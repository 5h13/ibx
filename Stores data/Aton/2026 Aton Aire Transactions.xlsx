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4"/>
    <sheet state="visible" name="2026CF" sheetId="2" r:id="rId5"/>
    <sheet state="visible" name="2026 IS" sheetId="3" r:id="rId6"/>
    <sheet state="visible" name="2026 Exp" sheetId="4" r:id="rId7"/>
    <sheet state="visible" name="2026 DS" sheetId="5" r:id="rId8"/>
    <sheet state="visible" name="2026 Ikot" sheetId="6" r:id="rId9"/>
    <sheet state="visible" name="2026 Purch" sheetId="7" r:id="rId10"/>
    <sheet state="visible" name="2026 AP" sheetId="8" r:id="rId11"/>
    <sheet state="visible" name="2026 issuances" sheetId="9" r:id="rId12"/>
    <sheet state="visible" name="2026 AR" sheetId="10" r:id="rId13"/>
    <sheet state="visible" name="Template" sheetId="11" r:id="rId14"/>
    <sheet state="visible" name="2026 Comm" sheetId="12" r:id="rId15"/>
    <sheet state="visible" name="check summ" sheetId="13" r:id="rId16"/>
  </sheets>
  <definedNames>
    <definedName hidden="1" localSheetId="3" name="_xlnm._FilterDatabase">'2026 Exp'!$A$1:$A$1004</definedName>
    <definedName hidden="1" localSheetId="6" name="_xlnm._FilterDatabase">'2026 Purch'!$A$1:$G$1035</definedName>
    <definedName hidden="1" localSheetId="7" name="_xlnm._FilterDatabase">'2026 AP'!$A$14:$AP$308</definedName>
    <definedName hidden="1" localSheetId="8" name="_xlnm._FilterDatabase">'2026 issuances'!$A$2:$P$61</definedName>
    <definedName hidden="1" localSheetId="6" name="Z_1B6C7A18_4C29_44F1_B742_6F1AB0AF3989_.wvu.FilterData">'2026 Purch'!$A$1:$G$94</definedName>
    <definedName hidden="1" localSheetId="6" name="Z_EFA1E2F2_F62C_4D69_BC53_57001C80045A_.wvu.FilterData">'2026 Purch'!$A$1:$G$1035</definedName>
  </definedNames>
  <calcPr/>
  <customWorkbookViews>
    <customWorkbookView activeSheetId="0" maximized="1" windowHeight="0" windowWidth="0" guid="{1B6C7A18-4C29-44F1-B742-6F1AB0AF3989}" name="Filter 1"/>
    <customWorkbookView activeSheetId="0" maximized="1" windowHeight="0" windowWidth="0" guid="{EFA1E2F2-F62C-4D69-BC53-57001C80045A}" name="Filter 2"/>
  </customWorkbookViews>
  <extLst>
    <ext uri="GoogleSheetsCustomDataVersion2">
      <go:sheetsCustomData xmlns:go="http://customooxmlschemas.google.com/" r:id="rId17" roundtripDataChecksum="ZvF29qM3TqpyuCtErqq6aGYc7eUiJk99KKsvIy1e0Q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ID#AAACFaOEQVA
Marou De la Pena    (2026-08-10 06:21:23)
50K hospital bill + 10k discharge expenses (meds &amp; milk)</t>
      </text>
    </comment>
  </commentList>
  <extLst>
    <ext uri="GoogleSheetsCustomDataVersion2">
      <go:sheetsCustomData xmlns:go="http://customooxmlschemas.google.com/" r:id="rId1" roundtripDataSignature="AMtx7miamj82ifpUUKkFmm/HSU1VuTgP1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63">
      <text>
        <t xml:space="preserve">======
ID#AAAByzJJexw
Marou    (2026-02-03 12:25:30)
Q2 2025 with penalty</t>
      </text>
    </comment>
    <comment authorId="0" ref="AG37">
      <text>
        <t xml:space="preserve">======
ID#AAAByzJJex0
Marou    (2026-02-03 12:25:30)
Q2 2025 with penalty</t>
      </text>
    </comment>
    <comment authorId="0" ref="G168">
      <text>
        <t xml:space="preserve">======
ID#AAACFaOAbOc
Marou De la Pena    (2026-08-10 06:17:46)
includes alfredo share 22,312.22</t>
      </text>
    </comment>
  </commentList>
  <extLst>
    <ext uri="GoogleSheetsCustomDataVersion2">
      <go:sheetsCustomData xmlns:go="http://customooxmlschemas.google.com/" r:id="rId1" roundtripDataSignature="AMtx7mhqGCGr5CH3jFgDxpxnegHjEBcm5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3">
      <text>
        <t xml:space="preserve">======
ID#AAAB4z0wlns
Aton Aire    (2026-05-01 04:02:07)
less return amount 1550</t>
      </text>
    </comment>
  </commentList>
  <extLst>
    <ext uri="GoogleSheetsCustomDataVersion2">
      <go:sheetsCustomData xmlns:go="http://customooxmlschemas.google.com/" r:id="rId1" roundtripDataSignature="AMtx7miT3e4nY3/CmUvHMP9LLz7j0pyIWg=="/>
    </ext>
  </extLst>
</comments>
</file>

<file path=xl/sharedStrings.xml><?xml version="1.0" encoding="utf-8"?>
<sst xmlns="http://schemas.openxmlformats.org/spreadsheetml/2006/main" count="3545" uniqueCount="799">
  <si>
    <t>Aton Aire Trading Corporation</t>
  </si>
  <si>
    <t>Date</t>
  </si>
  <si>
    <t>Description</t>
  </si>
  <si>
    <t>In</t>
  </si>
  <si>
    <t>January</t>
  </si>
  <si>
    <t>February</t>
  </si>
  <si>
    <t>March</t>
  </si>
  <si>
    <t>Out</t>
  </si>
  <si>
    <t>April</t>
  </si>
  <si>
    <t>Balance</t>
  </si>
  <si>
    <t>Remarks</t>
  </si>
  <si>
    <t>Monthly Income/Loss</t>
  </si>
  <si>
    <t>Operation</t>
  </si>
  <si>
    <t>For the Year 2026</t>
  </si>
  <si>
    <t>Sales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</si>
  <si>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</si>
  <si>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</si>
  <si>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</si>
  <si>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</si>
  <si>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</si>
  <si>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</si>
  <si>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</si>
  <si>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</si>
  <si>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</si>
  <si>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Beginning Balance</t>
  </si>
  <si>
    <t>Cost of Sales</t>
  </si>
  <si>
    <t>2026 Expenses</t>
  </si>
  <si>
    <t>Month</t>
  </si>
  <si>
    <t>January Cash Sales</t>
  </si>
  <si>
    <t>Gross Margin</t>
  </si>
  <si>
    <t>Cash Purchase</t>
  </si>
  <si>
    <t>Uniwestech 2 tanks 134A</t>
  </si>
  <si>
    <t>Total for the Month</t>
  </si>
  <si>
    <t>Expenses for the month</t>
  </si>
  <si>
    <t>Lalamove from Cubao</t>
  </si>
  <si>
    <t>Salaries Jan 15 2026</t>
  </si>
  <si>
    <t>Jocelyn</t>
  </si>
  <si>
    <t>Opex</t>
  </si>
  <si>
    <t>Pastor Jun</t>
  </si>
  <si>
    <t>Christia</t>
  </si>
  <si>
    <t>Ishabella JC</t>
  </si>
  <si>
    <t>Payment</t>
  </si>
  <si>
    <t>Net Income (Loss)</t>
  </si>
  <si>
    <t>Entalpia replacement for check #942972</t>
  </si>
  <si>
    <t>938017 Centralworld</t>
  </si>
  <si>
    <t>Expenses Related to Sales</t>
  </si>
  <si>
    <t>938046 JYQL</t>
  </si>
  <si>
    <t>942956 JYQL</t>
  </si>
  <si>
    <t>Inventory</t>
  </si>
  <si>
    <t>942957 JYQL</t>
  </si>
  <si>
    <t>Cash</t>
  </si>
  <si>
    <t>Beg Balance</t>
  </si>
  <si>
    <t>917636 STAL</t>
  </si>
  <si>
    <t>917637 STAL</t>
  </si>
  <si>
    <t>917646 STAL</t>
  </si>
  <si>
    <t>Purchases</t>
  </si>
  <si>
    <t>942953 Winterpine</t>
  </si>
  <si>
    <t>Salaries</t>
  </si>
  <si>
    <t>942970 Entalpia</t>
  </si>
  <si>
    <t>Sold</t>
  </si>
  <si>
    <t>942972 Entalpia</t>
  </si>
  <si>
    <t>13th Month</t>
  </si>
  <si>
    <t>938035 Uniwestech</t>
  </si>
  <si>
    <t>Gross Profit Ratio</t>
  </si>
  <si>
    <t>938045 JYQL</t>
  </si>
  <si>
    <t>End Balance</t>
  </si>
  <si>
    <t>942958 JYQL</t>
  </si>
  <si>
    <t>Christmas Expenses</t>
  </si>
  <si>
    <t>942959 JYQL</t>
  </si>
  <si>
    <t>942960 JYQL</t>
  </si>
  <si>
    <t>Business Permit</t>
  </si>
  <si>
    <t>942955 Winterpine</t>
  </si>
  <si>
    <t>Payable</t>
  </si>
  <si>
    <t>917650 STAL</t>
  </si>
  <si>
    <t>Operating Expenses (cash)</t>
  </si>
  <si>
    <t>Percentage tax</t>
  </si>
  <si>
    <t>938001 STAL</t>
  </si>
  <si>
    <t>938036 Uniwestech</t>
  </si>
  <si>
    <t>Rent</t>
  </si>
  <si>
    <t>Payments</t>
  </si>
  <si>
    <t>Salaries Jan 30 2026</t>
  </si>
  <si>
    <t>LTO Renewal</t>
  </si>
  <si>
    <t>Electicity &amp; Water</t>
  </si>
  <si>
    <t>Internet</t>
  </si>
  <si>
    <t>Rocky</t>
  </si>
  <si>
    <t>Receivable</t>
  </si>
  <si>
    <t>SSS Contribution</t>
  </si>
  <si>
    <t>Additions</t>
  </si>
  <si>
    <t>OR Renewal Suzuki with penalty (2023-2025)</t>
  </si>
  <si>
    <t>PHIC Contribution</t>
  </si>
  <si>
    <t>Collected</t>
  </si>
  <si>
    <t>Ishabella full payment 4 pcs korea pump</t>
  </si>
  <si>
    <t>Delivery Expense</t>
  </si>
  <si>
    <t>HDMF Contribution</t>
  </si>
  <si>
    <t>Cash Collection / Sales</t>
  </si>
  <si>
    <t>Drench, check payment</t>
  </si>
  <si>
    <t>Store supplies</t>
  </si>
  <si>
    <t>JYQL</t>
  </si>
  <si>
    <t>Repairs &amp; Maintenance</t>
  </si>
  <si>
    <t>Uniwestech replacement for check #942952</t>
  </si>
  <si>
    <t>Bank Charges</t>
  </si>
  <si>
    <t>JYQL bounced check</t>
  </si>
  <si>
    <t>JYQL replacement for check #942982</t>
  </si>
  <si>
    <t>Communication</t>
  </si>
  <si>
    <t>Meals</t>
  </si>
  <si>
    <t xml:space="preserve">JYQL   </t>
  </si>
  <si>
    <t>Winterpine bounced check</t>
  </si>
  <si>
    <t>Gasoline</t>
  </si>
  <si>
    <t>Deliveries</t>
  </si>
  <si>
    <t>Salaries Feb 14 2026</t>
  </si>
  <si>
    <t>Borrowings</t>
  </si>
  <si>
    <t>Lazada</t>
  </si>
  <si>
    <t>Commissions</t>
  </si>
  <si>
    <t>Nonoy (30 less 15k, less 7k balance 8k)</t>
  </si>
  <si>
    <t>from Pastor Jun</t>
  </si>
  <si>
    <t>From Ikot Feb 19 2026</t>
  </si>
  <si>
    <t>Solicitation to Drench</t>
  </si>
  <si>
    <t>Edison</t>
  </si>
  <si>
    <t>Uniwestech 2 tanks 134A (cash purchase)</t>
  </si>
  <si>
    <t>91780 JYQL</t>
  </si>
  <si>
    <t>Stal bounced check 31,300</t>
  </si>
  <si>
    <t>Lalamove Jayson to Cubao</t>
  </si>
  <si>
    <t>Gcash from Ikot Feb 26 2026</t>
  </si>
  <si>
    <t>Cash deposit from Ikot Feb 26 2026</t>
  </si>
  <si>
    <t>Transfer from Ikot Feb 26 2026</t>
  </si>
  <si>
    <t>942973 Uniwestech</t>
  </si>
  <si>
    <t>Salaries Feb 27 2026</t>
  </si>
  <si>
    <t>938018 Centralworld</t>
  </si>
  <si>
    <t>Ishabella</t>
  </si>
  <si>
    <t>943002 JYQL</t>
  </si>
  <si>
    <t>938002 STAL</t>
  </si>
  <si>
    <t>943003 JYQL</t>
  </si>
  <si>
    <t>943005 JYQL</t>
  </si>
  <si>
    <t>942954 Winterpine</t>
  </si>
  <si>
    <t>Salaries Mar 15 2026</t>
  </si>
  <si>
    <t>DP Decasio</t>
  </si>
  <si>
    <t>Uniwestech</t>
  </si>
  <si>
    <t>917639 STAL</t>
  </si>
  <si>
    <t>943006JYQL</t>
  </si>
  <si>
    <t>938003 STAL</t>
  </si>
  <si>
    <t>bounced check Hisys</t>
  </si>
  <si>
    <t>943008JYQL</t>
  </si>
  <si>
    <t>943017HISYS</t>
  </si>
  <si>
    <t>KM Aire Alliance Corporation</t>
  </si>
  <si>
    <t>938019Central Word</t>
  </si>
  <si>
    <t>Centralworld Enterprises</t>
  </si>
  <si>
    <t>943004JYQL</t>
  </si>
  <si>
    <t>44561 JYQL</t>
  </si>
  <si>
    <t>938047STAL</t>
  </si>
  <si>
    <t>Jambon / Cash</t>
  </si>
  <si>
    <t>938048STAL</t>
  </si>
  <si>
    <t>943009JYQL</t>
  </si>
  <si>
    <t>943018HISYS</t>
  </si>
  <si>
    <t>Hospitaization</t>
  </si>
  <si>
    <t>Papa</t>
  </si>
  <si>
    <t>Suzuki</t>
  </si>
  <si>
    <t>Sales March 2026</t>
  </si>
  <si>
    <t>943010JYQL</t>
  </si>
  <si>
    <t>943011JYQL</t>
  </si>
  <si>
    <t>942966STAL</t>
  </si>
  <si>
    <t>172 Cash/Stal</t>
  </si>
  <si>
    <t>942967STAL</t>
  </si>
  <si>
    <t>174 Cash/Stal</t>
  </si>
  <si>
    <t>FT 3BMA</t>
  </si>
  <si>
    <t>3BMA</t>
  </si>
  <si>
    <t>Salaries April 15 2026</t>
  </si>
  <si>
    <t>938049STAL</t>
  </si>
  <si>
    <t>160 Jambon / Cash</t>
  </si>
  <si>
    <t>942968STAL</t>
  </si>
  <si>
    <t>184 Jambon/Stal</t>
  </si>
  <si>
    <t>938021CENTRAL</t>
  </si>
  <si>
    <t>943020JYQL</t>
  </si>
  <si>
    <t>Allowances (Hospitalization)</t>
  </si>
  <si>
    <t>943022JYQL</t>
  </si>
  <si>
    <t>Q2 2026 payment</t>
  </si>
  <si>
    <t>Total Opex (cash)</t>
  </si>
  <si>
    <t>Suzuki Battery</t>
  </si>
  <si>
    <t>Hisys DR# 0159</t>
  </si>
  <si>
    <r>
      <rPr>
        <rFont val="Arial"/>
        <b/>
        <color rgb="FF002060"/>
        <sz val="10.0"/>
      </rPr>
      <t>Income/</t>
    </r>
    <r>
      <rPr>
        <rFont val="Arial"/>
        <b/>
        <color rgb="FFC00000"/>
        <sz val="10.0"/>
      </rPr>
      <t>(Loss)</t>
    </r>
  </si>
  <si>
    <t>Q1 2025 2551Q Percentage Tax</t>
  </si>
  <si>
    <t>Depreciation</t>
  </si>
  <si>
    <t>Income Tax (20%)</t>
  </si>
  <si>
    <t>938050STAL</t>
  </si>
  <si>
    <t>CASH/STAL</t>
  </si>
  <si>
    <t>943024JYQL</t>
  </si>
  <si>
    <t>943027WINTERPINE</t>
  </si>
  <si>
    <t>Winterpine</t>
  </si>
  <si>
    <t>Salaries April 30 2026</t>
  </si>
  <si>
    <r>
      <rPr>
        <rFont val="Arial"/>
        <b/>
        <color rgb="FF0070C0"/>
        <sz val="10.0"/>
      </rPr>
      <t>Final Net Income/</t>
    </r>
    <r>
      <rPr>
        <rFont val="Arial"/>
        <b/>
        <color rgb="FFC00000"/>
        <sz val="10.0"/>
      </rPr>
      <t>(Loss)</t>
    </r>
  </si>
  <si>
    <t>Net Profit Ratio</t>
  </si>
  <si>
    <t>Parking Fee</t>
  </si>
  <si>
    <t>Feb to July 2026</t>
  </si>
  <si>
    <t>Cash Advance Jocelyn</t>
  </si>
  <si>
    <t>Audit Fee 2025 AFS</t>
  </si>
  <si>
    <t>Cash Advance Pastor</t>
  </si>
  <si>
    <t>Cash purchase Hisys, Drain Pumps &amp; Hose</t>
  </si>
  <si>
    <t>Suzuki LTO renewal 2026</t>
  </si>
  <si>
    <t>DR #</t>
  </si>
  <si>
    <t>Customer Name</t>
  </si>
  <si>
    <t>Sales Agent</t>
  </si>
  <si>
    <t xml:space="preserve">Mode </t>
  </si>
  <si>
    <t>Capital</t>
  </si>
  <si>
    <t>Sales related Exp</t>
  </si>
  <si>
    <t>Margin</t>
  </si>
  <si>
    <t>GPR</t>
  </si>
  <si>
    <t>Agents Comm</t>
  </si>
  <si>
    <t>BIR Sales</t>
  </si>
  <si>
    <t>Percentage 
Tax</t>
  </si>
  <si>
    <t>For the month of January 2026</t>
  </si>
  <si>
    <t>Q1 2026</t>
  </si>
  <si>
    <t>TECHPRO</t>
  </si>
  <si>
    <t>Gcash</t>
  </si>
  <si>
    <t>Subic GS Auto</t>
  </si>
  <si>
    <t>Store</t>
  </si>
  <si>
    <t>Drench</t>
  </si>
  <si>
    <t>Ikot</t>
  </si>
  <si>
    <t>RAJ</t>
  </si>
  <si>
    <t>D7A</t>
  </si>
  <si>
    <t>Vhong</t>
  </si>
  <si>
    <t>Buenafe</t>
  </si>
  <si>
    <t>Auto Aire</t>
  </si>
  <si>
    <t>DR lacking in computation</t>
  </si>
  <si>
    <t>Mervin Hilotin</t>
  </si>
  <si>
    <t>Darla</t>
  </si>
  <si>
    <t>cancelled</t>
  </si>
  <si>
    <t>Matthew Tan</t>
  </si>
  <si>
    <t>Check</t>
  </si>
  <si>
    <t>Vi N Vi</t>
  </si>
  <si>
    <t>Marelco</t>
  </si>
  <si>
    <t>Brian Bosa</t>
  </si>
  <si>
    <t>Bank Transfer</t>
  </si>
  <si>
    <t>Jobs Wright</t>
  </si>
  <si>
    <t>For the month of February 2026</t>
  </si>
  <si>
    <t>FEBRUARY</t>
  </si>
  <si>
    <t>blank</t>
  </si>
  <si>
    <t>JS Electronomical</t>
  </si>
  <si>
    <t>Arnold</t>
  </si>
  <si>
    <t>with DP 10,000+20000</t>
  </si>
  <si>
    <t>Chrstian Erick</t>
  </si>
  <si>
    <t>BLB KING REYES</t>
  </si>
  <si>
    <t xml:space="preserve">Mervin Hilotin </t>
  </si>
  <si>
    <t>REC AC</t>
  </si>
  <si>
    <t xml:space="preserve">Subic GS Auto </t>
  </si>
  <si>
    <t>DRENCH</t>
  </si>
  <si>
    <t>VHONG</t>
  </si>
  <si>
    <t>DARLA</t>
  </si>
  <si>
    <t>Auto Air</t>
  </si>
  <si>
    <t>HILARIO</t>
  </si>
  <si>
    <t>For the month of March 2026</t>
  </si>
  <si>
    <t>MARCH</t>
  </si>
  <si>
    <t xml:space="preserve">Store </t>
  </si>
  <si>
    <t>JS Electronimical</t>
  </si>
  <si>
    <t>MED</t>
  </si>
  <si>
    <t>Cancelled</t>
  </si>
  <si>
    <t>William</t>
  </si>
  <si>
    <t>MHM</t>
  </si>
  <si>
    <t>Glen</t>
  </si>
  <si>
    <t>Templink Airconditioning</t>
  </si>
  <si>
    <t>DCASIO</t>
  </si>
  <si>
    <t>price 8800 discount 5000</t>
  </si>
  <si>
    <t>JS</t>
  </si>
  <si>
    <t>2025 Ikot Summary</t>
  </si>
  <si>
    <t>Sales:</t>
  </si>
  <si>
    <t>Collection</t>
  </si>
  <si>
    <t>Amount</t>
  </si>
  <si>
    <t>Mode</t>
  </si>
  <si>
    <t>CR #</t>
  </si>
  <si>
    <t>Benjie</t>
  </si>
  <si>
    <t>Jan 8 2026</t>
  </si>
  <si>
    <t>June Tibayan</t>
  </si>
  <si>
    <t>For the month of April 2026</t>
  </si>
  <si>
    <t>Rocky Expense 1400</t>
  </si>
  <si>
    <t>APRIL</t>
  </si>
  <si>
    <t>expense 1300 gas &amp; meal</t>
  </si>
  <si>
    <t xml:space="preserve">Q2 2026 </t>
  </si>
  <si>
    <t xml:space="preserve">VHONG </t>
  </si>
  <si>
    <t>MESAR</t>
  </si>
  <si>
    <t xml:space="preserve">Drench </t>
  </si>
  <si>
    <t>DBA</t>
  </si>
  <si>
    <t>store</t>
  </si>
  <si>
    <t>Maeden</t>
  </si>
  <si>
    <t>dcasio</t>
  </si>
  <si>
    <t xml:space="preserve">Darla </t>
  </si>
  <si>
    <t xml:space="preserve"> </t>
  </si>
  <si>
    <t>February 03, 2026</t>
  </si>
  <si>
    <t>subic gs auto</t>
  </si>
  <si>
    <t>js electronomical</t>
  </si>
  <si>
    <t>aida</t>
  </si>
  <si>
    <t>Blank</t>
  </si>
  <si>
    <t>janel dorado</t>
  </si>
  <si>
    <t>john paul ambon</t>
  </si>
  <si>
    <t>norman coronacion</t>
  </si>
  <si>
    <t>Fean Marie</t>
  </si>
  <si>
    <t>Yara</t>
  </si>
  <si>
    <t>Jepoy</t>
  </si>
  <si>
    <t>Last Day</t>
  </si>
  <si>
    <t>-----------------</t>
  </si>
  <si>
    <t>3M Buenafe</t>
  </si>
  <si>
    <t>Auto air</t>
  </si>
  <si>
    <t>MCZ</t>
  </si>
  <si>
    <t>JVL</t>
  </si>
  <si>
    <t>MCZ CA</t>
  </si>
  <si>
    <t>For the month of May</t>
  </si>
  <si>
    <t>MAY</t>
  </si>
  <si>
    <t>Jshua</t>
  </si>
  <si>
    <t>Jobswright</t>
  </si>
  <si>
    <t>Coronacion</t>
  </si>
  <si>
    <t>RPV</t>
  </si>
  <si>
    <t xml:space="preserve">Raymart Ramos </t>
  </si>
  <si>
    <t>Edward</t>
  </si>
  <si>
    <t>Albert</t>
  </si>
  <si>
    <t>Cristine Rumoroza</t>
  </si>
  <si>
    <t>For the month of June</t>
  </si>
  <si>
    <t>JUNE</t>
  </si>
  <si>
    <t xml:space="preserve">JS Electronimical </t>
  </si>
  <si>
    <t>BRUN</t>
  </si>
  <si>
    <t>TechPro</t>
  </si>
  <si>
    <t>Alex</t>
  </si>
  <si>
    <t>Tempunk</t>
  </si>
  <si>
    <t>The Palms CC</t>
  </si>
  <si>
    <t>Jon</t>
  </si>
  <si>
    <t>JAJ</t>
  </si>
  <si>
    <t xml:space="preserve">FAV Refrigeration </t>
  </si>
  <si>
    <t>TOP 1</t>
  </si>
  <si>
    <t>JMQ CCTV</t>
  </si>
  <si>
    <t>For the month of July</t>
  </si>
  <si>
    <t>JULY</t>
  </si>
  <si>
    <t>Mcz</t>
  </si>
  <si>
    <t>Ref #</t>
  </si>
  <si>
    <t>Suppliers Name</t>
  </si>
  <si>
    <t>Term</t>
  </si>
  <si>
    <t>Total Purchases Monthly</t>
  </si>
  <si>
    <t>Inventory
Balance</t>
  </si>
  <si>
    <t>End Balance Dec 31 2025</t>
  </si>
  <si>
    <t>Days</t>
  </si>
  <si>
    <t>Leo de Guzman</t>
  </si>
  <si>
    <t>Tope</t>
  </si>
  <si>
    <t>Due Date</t>
  </si>
  <si>
    <t>Check #</t>
  </si>
  <si>
    <t>ELHAG AC</t>
  </si>
  <si>
    <t>DR#191</t>
  </si>
  <si>
    <t>STAL</t>
  </si>
  <si>
    <t>Ryan</t>
  </si>
  <si>
    <t>issued check</t>
  </si>
  <si>
    <t>DR#189</t>
  </si>
  <si>
    <t>DR#197</t>
  </si>
  <si>
    <t>Alex Mendezebel</t>
  </si>
  <si>
    <t>DR#94218</t>
  </si>
  <si>
    <t>Maam Lesly</t>
  </si>
  <si>
    <t>DR#002</t>
  </si>
  <si>
    <t>ENTALPIA</t>
  </si>
  <si>
    <t>paid</t>
  </si>
  <si>
    <t>DR#70746</t>
  </si>
  <si>
    <t>UNIWESTECH</t>
  </si>
  <si>
    <t>DR#108</t>
  </si>
  <si>
    <t>DR#001</t>
  </si>
  <si>
    <t>DR#91780</t>
  </si>
  <si>
    <t>DR#14429</t>
  </si>
  <si>
    <t>Kyozobrado</t>
  </si>
  <si>
    <t>DR#44561</t>
  </si>
  <si>
    <t>DR#110</t>
  </si>
  <si>
    <t>MG</t>
  </si>
  <si>
    <t>DR#111</t>
  </si>
  <si>
    <t>DR#85619</t>
  </si>
  <si>
    <t>DR#95150</t>
  </si>
  <si>
    <t>DR#116</t>
  </si>
  <si>
    <t>Joshua</t>
  </si>
  <si>
    <t>DR#119</t>
  </si>
  <si>
    <t>DR#126</t>
  </si>
  <si>
    <t>ISHABELLA</t>
  </si>
  <si>
    <t>DR#51328</t>
  </si>
  <si>
    <t>DR#92794</t>
  </si>
  <si>
    <t>DR#127</t>
  </si>
  <si>
    <t>DR#21733</t>
  </si>
  <si>
    <t>DR#52984</t>
  </si>
  <si>
    <t>DR#130</t>
  </si>
  <si>
    <t>DR# 45034</t>
  </si>
  <si>
    <t>DR# 0132</t>
  </si>
  <si>
    <t>20000/23850</t>
  </si>
  <si>
    <t>2pcs DP 8m</t>
  </si>
  <si>
    <t>c/o Ishabella</t>
  </si>
  <si>
    <t>1 tank 134A</t>
  </si>
  <si>
    <t>DR# 93049</t>
  </si>
  <si>
    <t>AUGUST</t>
  </si>
  <si>
    <t>DR# 74013</t>
  </si>
  <si>
    <t>Aljune</t>
  </si>
  <si>
    <t>2/18/2026 deposit</t>
  </si>
  <si>
    <t>DR# 139</t>
  </si>
  <si>
    <t>Nat</t>
  </si>
  <si>
    <t>2pcs DP 6m</t>
  </si>
  <si>
    <t>2/25/2026 deposit</t>
  </si>
  <si>
    <t>DR# 61845</t>
  </si>
  <si>
    <t xml:space="preserve">Cancelled </t>
  </si>
  <si>
    <t>03/02/2026 deposit</t>
  </si>
  <si>
    <t>DR# 143</t>
  </si>
  <si>
    <t>03/02/2026 full payment</t>
  </si>
  <si>
    <t>A2</t>
  </si>
  <si>
    <t>DR# 0117</t>
  </si>
  <si>
    <t>HYSIS</t>
  </si>
  <si>
    <t xml:space="preserve">JS Electronomical </t>
  </si>
  <si>
    <t>2 checks</t>
  </si>
  <si>
    <t>DR# 02137</t>
  </si>
  <si>
    <t>Dondon</t>
  </si>
  <si>
    <t>DR# 148</t>
  </si>
  <si>
    <t>DR#212162</t>
  </si>
  <si>
    <t>WINTERPINE</t>
  </si>
  <si>
    <t>943026 / 943027 / 943028</t>
  </si>
  <si>
    <t>DR#75401</t>
  </si>
  <si>
    <t>Jane</t>
  </si>
  <si>
    <t>DR# 53181</t>
  </si>
  <si>
    <t>Isabelle Sanchez</t>
  </si>
  <si>
    <t>Return</t>
  </si>
  <si>
    <t>applied to DR#35765</t>
  </si>
  <si>
    <t>for deduction next check (April)</t>
  </si>
  <si>
    <t>DR# 153</t>
  </si>
  <si>
    <t xml:space="preserve">Auto Air </t>
  </si>
  <si>
    <t>DR#212394</t>
  </si>
  <si>
    <t>DR#212516</t>
  </si>
  <si>
    <t>paid 05/01/26</t>
  </si>
  <si>
    <t>2 ROLLS HOSE</t>
  </si>
  <si>
    <t>VIOS BLOWER MOTOR</t>
  </si>
  <si>
    <t>DR# 155</t>
  </si>
  <si>
    <t>DR# 30724</t>
  </si>
  <si>
    <t>8 ND OIL</t>
  </si>
  <si>
    <t>paid 04/14/26</t>
  </si>
  <si>
    <t>6 R134A</t>
  </si>
  <si>
    <t>DR#43432</t>
  </si>
  <si>
    <t>DR#655588</t>
  </si>
  <si>
    <t>DR#2885</t>
  </si>
  <si>
    <t>DHICEL</t>
  </si>
  <si>
    <t>DR#212730</t>
  </si>
  <si>
    <t>June 5,12,19,26</t>
  </si>
  <si>
    <t>DR#213350</t>
  </si>
  <si>
    <t>June 19, July 3, 10</t>
  </si>
  <si>
    <t>DR# 158</t>
  </si>
  <si>
    <t>DR#61962</t>
  </si>
  <si>
    <t>DR#35765</t>
  </si>
  <si>
    <t>Mervin</t>
  </si>
  <si>
    <t>DR#0159</t>
  </si>
  <si>
    <t>KM AIRE (HYSIS)</t>
  </si>
  <si>
    <t>PAID</t>
  </si>
  <si>
    <t>Cash payment</t>
  </si>
  <si>
    <t>DR#3039</t>
  </si>
  <si>
    <t>paid 04/29/26</t>
  </si>
  <si>
    <t>DR#3124</t>
  </si>
  <si>
    <t>DR#0169</t>
  </si>
  <si>
    <t>DR#42282</t>
  </si>
  <si>
    <t>Raymart Ramos</t>
  </si>
  <si>
    <t>SEPTEMBER</t>
  </si>
  <si>
    <t>DR#73165</t>
  </si>
  <si>
    <t>DR#213490</t>
  </si>
  <si>
    <t>Raymart Escalona</t>
  </si>
  <si>
    <t>DR#40309</t>
  </si>
  <si>
    <t>DR#80939</t>
  </si>
  <si>
    <t>Rainard Yap</t>
  </si>
  <si>
    <t>DR#0172</t>
  </si>
  <si>
    <t>ok</t>
  </si>
  <si>
    <t>DR#02529</t>
  </si>
  <si>
    <t>956455 / 956456</t>
  </si>
  <si>
    <t>Jerome Carbonera</t>
  </si>
  <si>
    <t>June 26 (16,595) July 10 (20,000)</t>
  </si>
  <si>
    <t>DR#62933</t>
  </si>
  <si>
    <t>Zyzozobrado</t>
  </si>
  <si>
    <t>956457 / 956458 / 956459</t>
  </si>
  <si>
    <t>July 8 (15,000) July 15 (15,000) July 20 (18,685)</t>
  </si>
  <si>
    <t>DR#0173</t>
  </si>
  <si>
    <t>956460 / 956461 / 956462</t>
  </si>
  <si>
    <t>Aug 7 (20,000) 14 (20,000) 21 (13,890)</t>
  </si>
  <si>
    <t>Sir Edmund</t>
  </si>
  <si>
    <t>WINTERPINE (Adjustment)</t>
  </si>
  <si>
    <t>fund transfer 5/27/26</t>
  </si>
  <si>
    <t>RE-ISSUE</t>
  </si>
  <si>
    <t xml:space="preserve">STAL </t>
  </si>
  <si>
    <t>May 28</t>
  </si>
  <si>
    <t>Alex Mendezabal</t>
  </si>
  <si>
    <t>DR#0086</t>
  </si>
  <si>
    <t>DR#183</t>
  </si>
  <si>
    <t>DR#63073</t>
  </si>
  <si>
    <t>DR#22586</t>
  </si>
  <si>
    <t>DR#90569</t>
  </si>
  <si>
    <t>DR#0185</t>
  </si>
  <si>
    <t>DR#04263</t>
  </si>
  <si>
    <t>DR#0188</t>
  </si>
  <si>
    <t>DR#92228</t>
  </si>
  <si>
    <t>Summary</t>
  </si>
  <si>
    <t>DR#0002</t>
  </si>
  <si>
    <t>DR#0006</t>
  </si>
  <si>
    <t>DR#</t>
  </si>
  <si>
    <t>2026 Payable</t>
  </si>
  <si>
    <t>DR#21329</t>
  </si>
  <si>
    <t>fund transfer</t>
  </si>
  <si>
    <t>DR#72846</t>
  </si>
  <si>
    <t>Autority Ae</t>
  </si>
  <si>
    <t>DR#0004</t>
  </si>
  <si>
    <t>paid 55300 direct to 3BMA (July 30 - 50k, Aug 1 - 5300</t>
  </si>
  <si>
    <t>DR#03094</t>
  </si>
  <si>
    <t>JYQL (additional)</t>
  </si>
  <si>
    <t>Date of Issuance</t>
  </si>
  <si>
    <t>Hisys</t>
  </si>
  <si>
    <t>Check Date</t>
  </si>
  <si>
    <t>DR#0218</t>
  </si>
  <si>
    <t>Deposit Date</t>
  </si>
  <si>
    <t>cash payment</t>
  </si>
  <si>
    <t>DR#118</t>
  </si>
  <si>
    <t>Payee</t>
  </si>
  <si>
    <t>Reference</t>
  </si>
  <si>
    <t>Entalpia</t>
  </si>
  <si>
    <t>DR#93261</t>
  </si>
  <si>
    <t>salaries</t>
  </si>
  <si>
    <t>Aug 21 (15,000) Aug 28 (18,705)</t>
  </si>
  <si>
    <t>DR#00002</t>
  </si>
  <si>
    <t xml:space="preserve">   </t>
  </si>
  <si>
    <t>2BMA</t>
  </si>
  <si>
    <t>DR#01252</t>
  </si>
  <si>
    <t>DR#9608</t>
  </si>
  <si>
    <t>for bank transfer</t>
  </si>
  <si>
    <t>DR#0233</t>
  </si>
  <si>
    <t>KM AIRE</t>
  </si>
  <si>
    <t>MHM Autoshop</t>
  </si>
  <si>
    <t xml:space="preserve">Ishabella </t>
  </si>
  <si>
    <t>034534 &amp; 180294 JYQL (6350+5450)</t>
  </si>
  <si>
    <t>HOLD, deposit Jan 12, 2026</t>
  </si>
  <si>
    <t>DR#0242</t>
  </si>
  <si>
    <t>65045 JYQL</t>
  </si>
  <si>
    <t>DR#0244</t>
  </si>
  <si>
    <t>DR#12472</t>
  </si>
  <si>
    <t>91741 JYQL</t>
  </si>
  <si>
    <t>DR#0108</t>
  </si>
  <si>
    <t>HOLD, deposit Dec 19</t>
  </si>
  <si>
    <t>Aug 28 (15,000) Sept 4 (15,000) Sept 11 (15,750)</t>
  </si>
  <si>
    <t>DR#0116</t>
  </si>
  <si>
    <t>DR#0003</t>
  </si>
  <si>
    <t>DR#0123</t>
  </si>
  <si>
    <t>Oct 16 (20,000) Oct 23 (17,830)</t>
  </si>
  <si>
    <t>204688 Winterpine (JS)</t>
  </si>
  <si>
    <t>DR#9806</t>
  </si>
  <si>
    <t>DR#32742</t>
  </si>
  <si>
    <t>for 8 cylender freon</t>
  </si>
  <si>
    <t>deposit Jan 15 2026</t>
  </si>
  <si>
    <t>DR#04781</t>
  </si>
  <si>
    <t>401581 JYQL</t>
  </si>
  <si>
    <t>HOLD, deposit Jan 16, 2026</t>
  </si>
  <si>
    <t>DR#9977</t>
  </si>
  <si>
    <t>72620 JYQL</t>
  </si>
  <si>
    <t>DR#7011</t>
  </si>
  <si>
    <t>20202 JYQL</t>
  </si>
  <si>
    <t>DR#218650</t>
  </si>
  <si>
    <t>956509/956510/95611</t>
  </si>
  <si>
    <t>10-16(23000) 10-23(23000) 11-6(22976)</t>
  </si>
  <si>
    <t>DR#25897</t>
  </si>
  <si>
    <t>OverAll</t>
  </si>
  <si>
    <t>JYQL AIRCON PARTS TRADING</t>
  </si>
  <si>
    <t>WINTERPINE AIR CONDITIONING CORP</t>
  </si>
  <si>
    <t>10 cyls 404, deposit date Jan 22</t>
  </si>
  <si>
    <t>HISYS / KM AIRE ALLIANCE CORP</t>
  </si>
  <si>
    <t>956512 replaced with check # 956523</t>
  </si>
  <si>
    <t>4 cyls R314A</t>
  </si>
  <si>
    <t>Entalpia Europe (Philippines) Inc</t>
  </si>
  <si>
    <t>DR#61221</t>
  </si>
  <si>
    <t>50116 JYQL</t>
  </si>
  <si>
    <t>Particulars</t>
  </si>
  <si>
    <t>956513/956514</t>
  </si>
  <si>
    <t>Supplier</t>
  </si>
  <si>
    <t>9-18 (16000) 9-25 (16400)</t>
  </si>
  <si>
    <t xml:space="preserve">Debit </t>
  </si>
  <si>
    <t xml:space="preserve">Credit </t>
  </si>
  <si>
    <t>208141 Winterpine</t>
  </si>
  <si>
    <t>DR#0126 additional, less overpayment DR#108</t>
  </si>
  <si>
    <t>HOLD, deposit Jan 24, 2026</t>
  </si>
  <si>
    <t>DR#0005</t>
  </si>
  <si>
    <t>DR#0130</t>
  </si>
  <si>
    <t>Beg Bal</t>
  </si>
  <si>
    <t>deposit Jan 26, 2026</t>
  </si>
  <si>
    <t>DR#62058</t>
  </si>
  <si>
    <t>DR#21413</t>
  </si>
  <si>
    <t>956518/956519</t>
  </si>
  <si>
    <t>9-28 (20000) 10-2 (25800)</t>
  </si>
  <si>
    <t>30652 JYQL</t>
  </si>
  <si>
    <t>moved to Feb 5 2026</t>
  </si>
  <si>
    <t>DR#7238</t>
  </si>
  <si>
    <t>65427 JYQL</t>
  </si>
  <si>
    <t>DR#7286</t>
  </si>
  <si>
    <t>94218 JYQL</t>
  </si>
  <si>
    <t>replacement check # 917648</t>
  </si>
  <si>
    <t>bounced, redep Feb 13, cleared Feb 6 2026</t>
  </si>
  <si>
    <t>DR#84293</t>
  </si>
  <si>
    <t>63426 JYQL</t>
  </si>
  <si>
    <t>paid thru bank transfer Feb 7 2026</t>
  </si>
  <si>
    <t>DR#7473</t>
  </si>
  <si>
    <t xml:space="preserve">3BMA </t>
  </si>
  <si>
    <t>65820 JYQL</t>
  </si>
  <si>
    <t>DR#21435</t>
  </si>
  <si>
    <t>70746JYQL</t>
  </si>
  <si>
    <t>3BMA (double encoding)</t>
  </si>
  <si>
    <t>DR# 94218</t>
  </si>
  <si>
    <t>DR#62788</t>
  </si>
  <si>
    <t>DR#6090</t>
  </si>
  <si>
    <t>70746 JYQL</t>
  </si>
  <si>
    <t>DR# 70746</t>
  </si>
  <si>
    <t>DR#0157</t>
  </si>
  <si>
    <t>DR# 91780</t>
  </si>
  <si>
    <t>Good</t>
  </si>
  <si>
    <t>DR#0010</t>
  </si>
  <si>
    <t>cleared Feb 27</t>
  </si>
  <si>
    <t>DR#05088</t>
  </si>
  <si>
    <t>2 tanks Gaz</t>
  </si>
  <si>
    <t>Uniwestech Philippines Inc</t>
  </si>
  <si>
    <t>DR#0274</t>
  </si>
  <si>
    <t>DR#72094</t>
  </si>
  <si>
    <t>DR#03425</t>
  </si>
  <si>
    <t>commissions</t>
  </si>
  <si>
    <t>DR#8544</t>
  </si>
  <si>
    <t>DR#85456</t>
  </si>
  <si>
    <t>14429 JYQL</t>
  </si>
  <si>
    <t>DR# 14429</t>
  </si>
  <si>
    <t>DR#00441</t>
  </si>
  <si>
    <t>DR#0012</t>
  </si>
  <si>
    <t>DR#8705</t>
  </si>
  <si>
    <t>DR#8644</t>
  </si>
  <si>
    <t>DR#91555</t>
  </si>
  <si>
    <t>TRANSFER</t>
  </si>
  <si>
    <t>DR#0001</t>
  </si>
  <si>
    <t>STAL / Cash</t>
  </si>
  <si>
    <t>DR#0137</t>
  </si>
  <si>
    <t>deposit March 3 2026, Tuesday</t>
  </si>
  <si>
    <t>DR#34344</t>
  </si>
  <si>
    <t>DR#8140</t>
  </si>
  <si>
    <t>204958 Winterpine</t>
  </si>
  <si>
    <t>bank transfer  March 12 2026</t>
  </si>
  <si>
    <t>5 tanks R134A</t>
  </si>
  <si>
    <t>DR# 44561a</t>
  </si>
  <si>
    <t>deposit March 13 2026</t>
  </si>
  <si>
    <t>85619 JYQL</t>
  </si>
  <si>
    <t>DR# 85619</t>
  </si>
  <si>
    <t>DR#0126</t>
  </si>
  <si>
    <t>deposit March 18</t>
  </si>
  <si>
    <t>95150 JYQL</t>
  </si>
  <si>
    <t>DR# 95150</t>
  </si>
  <si>
    <t>DR#0140</t>
  </si>
  <si>
    <t>deposit March 19</t>
  </si>
  <si>
    <t>Centralworld</t>
  </si>
  <si>
    <t>DR#51328 &amp; DR#92794</t>
  </si>
  <si>
    <t>cleared March 24</t>
  </si>
  <si>
    <t>deposit March 24 2026, Tuesday</t>
  </si>
  <si>
    <t>DR# 44561b</t>
  </si>
  <si>
    <t>deposit March 27 2026, Friday</t>
  </si>
  <si>
    <t>DR#148</t>
  </si>
  <si>
    <t>DR#150</t>
  </si>
  <si>
    <t>deposit March 27, Today</t>
  </si>
  <si>
    <t>deposit March 31 2026, Tuesday</t>
  </si>
  <si>
    <t>DR#45034</t>
  </si>
  <si>
    <t>deposit April 10 2026</t>
  </si>
  <si>
    <t>FT</t>
  </si>
  <si>
    <t>6 tanks R134a</t>
  </si>
  <si>
    <t>DR#160</t>
  </si>
  <si>
    <t>deposit April 17</t>
  </si>
  <si>
    <t>paid April 21, 2026 (bank transfer)</t>
  </si>
  <si>
    <t>Q2 business permit</t>
  </si>
  <si>
    <t>paid April 20 2026</t>
  </si>
  <si>
    <t>DR# 93049/74013</t>
  </si>
  <si>
    <t>deposit April 17 2026</t>
  </si>
  <si>
    <t>DR#61845</t>
  </si>
  <si>
    <t>Q1 percentage tax</t>
  </si>
  <si>
    <t>DR#170</t>
  </si>
  <si>
    <t>deposit April 24</t>
  </si>
  <si>
    <t>DR#02137</t>
  </si>
  <si>
    <t>DR#212162 (2/3)</t>
  </si>
  <si>
    <t>Salary</t>
  </si>
  <si>
    <t>DR# 75401 (1/2)</t>
  </si>
  <si>
    <t>transferred May 11 2026</t>
  </si>
  <si>
    <t>4 tanks R134a</t>
  </si>
  <si>
    <t>Audit Fee 2025</t>
  </si>
  <si>
    <t>DR# 191</t>
  </si>
  <si>
    <t>re deposit May 8</t>
  </si>
  <si>
    <t>DR# 189</t>
  </si>
  <si>
    <t>deposit May 8</t>
  </si>
  <si>
    <t>DR# 197</t>
  </si>
  <si>
    <t>DR# 43432</t>
  </si>
  <si>
    <t>DR#212162 (3/3)</t>
  </si>
  <si>
    <t>DR# 75401 (2/2)</t>
  </si>
  <si>
    <t>DR# 55588</t>
  </si>
  <si>
    <t>suzuki</t>
  </si>
  <si>
    <t>DR# 212730 (1/4)</t>
  </si>
  <si>
    <t>DR# 212730 (2/4)</t>
  </si>
  <si>
    <t>CASH/STAL REPLACEMENT CHECK#942994</t>
  </si>
  <si>
    <t>done</t>
  </si>
  <si>
    <t>DR# 111</t>
  </si>
  <si>
    <t>deposit June 19 2026 (Friday)</t>
  </si>
  <si>
    <t>DR# 110</t>
  </si>
  <si>
    <t>DR# 213350 (1/3)</t>
  </si>
  <si>
    <t>DR# 212730 (3/4)</t>
  </si>
  <si>
    <t>DR# 116</t>
  </si>
  <si>
    <t>deposit June 26 2026 (Friday)</t>
  </si>
  <si>
    <t>DR#02529 (1/2)</t>
  </si>
  <si>
    <t>DR# 212730 (4/4)</t>
  </si>
  <si>
    <t>DR#212162 (1/3)</t>
  </si>
  <si>
    <t>deposit April 13 2026</t>
  </si>
  <si>
    <t>DR# 213350 (2/3)</t>
  </si>
  <si>
    <t>DR#62933 (1/3)</t>
  </si>
  <si>
    <t>8 freon</t>
  </si>
  <si>
    <t>fund transfer 50K 7/9/26, 13.2K 7/10/26</t>
  </si>
  <si>
    <t>DR#02529 (2/2)</t>
  </si>
  <si>
    <t>DR# 213350 (3/3)</t>
  </si>
  <si>
    <t>deposit July 10 2026</t>
  </si>
  <si>
    <t>SPAY2</t>
  </si>
  <si>
    <t>(2/6)</t>
  </si>
  <si>
    <t>DR#62933 (2/3)</t>
  </si>
  <si>
    <t>Q2 Percentage Tax</t>
  </si>
  <si>
    <t>SPAY3</t>
  </si>
  <si>
    <t>(1/6)</t>
  </si>
  <si>
    <t>deposit July 17 2026</t>
  </si>
  <si>
    <t>DR#0132</t>
  </si>
  <si>
    <t>HC2</t>
  </si>
  <si>
    <t>(1/36)</t>
  </si>
  <si>
    <t>DR#62933 (3/3)</t>
  </si>
  <si>
    <t>DR#139</t>
  </si>
  <si>
    <t>deposit July 24 2026</t>
  </si>
  <si>
    <t>7 freons</t>
  </si>
  <si>
    <t>bank transfer (July 30 - 50K &amp; Aug 1 - 5300</t>
  </si>
  <si>
    <t>DR#143</t>
  </si>
  <si>
    <t>deposit July 31 2026</t>
  </si>
  <si>
    <t>SPAY1</t>
  </si>
  <si>
    <t>(6/6)</t>
  </si>
  <si>
    <t>HC1</t>
  </si>
  <si>
    <t>(7/42)</t>
  </si>
  <si>
    <t>Aug 7 bank transfer 33k, Aug 10 cash deposit 46K from Ishabella</t>
  </si>
  <si>
    <t>Deposit to Ishabella July 28 (7500) bank transfer Aug 7 (2500)</t>
  </si>
  <si>
    <t>deposit  July 28 (7,928.57) bank transfer Aug 7 (2,071.43)</t>
  </si>
  <si>
    <t>(3/6)</t>
  </si>
  <si>
    <t>(2/36)</t>
  </si>
  <si>
    <t>DR#93261 (1/2)</t>
  </si>
  <si>
    <t>bank transfer 08/27/26 (50K) deposited to Ishabella 15K, bank transfer full pmt 09/18/2026</t>
  </si>
  <si>
    <t>DR#93261 (2/2)</t>
  </si>
  <si>
    <t>DR#12472 (1/3)</t>
  </si>
  <si>
    <t>bounced July 27 2026 (re deposit August 21, 2026</t>
  </si>
  <si>
    <t>for cancellation less return items (24,220)</t>
  </si>
  <si>
    <t>(8/42)</t>
  </si>
  <si>
    <t>DR#12472 (2/3)</t>
  </si>
  <si>
    <t>(4/6)</t>
  </si>
  <si>
    <t>DR#12472 (3/3)</t>
  </si>
  <si>
    <t>returned check</t>
  </si>
  <si>
    <t>(2/2)</t>
  </si>
  <si>
    <t>(3/36)</t>
  </si>
  <si>
    <t>DR#0002 &amp; DR#0004</t>
  </si>
  <si>
    <t>bounced Sept 22</t>
  </si>
  <si>
    <t>(1/2)</t>
  </si>
  <si>
    <t>bank transfer 09/21/26 (20K), 09/25/26 (30K)</t>
  </si>
  <si>
    <t>cash</t>
  </si>
  <si>
    <t>DR#0173 (1/3)</t>
  </si>
  <si>
    <t>transfer</t>
  </si>
  <si>
    <t>DR#0173 (2/3)</t>
  </si>
  <si>
    <t>DR#0173 (3/3)</t>
  </si>
  <si>
    <t>DR#0002/DR#0003</t>
  </si>
  <si>
    <t>bounced 9/30/2026</t>
  </si>
  <si>
    <t>moved to Oct 2</t>
  </si>
  <si>
    <t>DR#0169 34,720 less return 24,220</t>
  </si>
  <si>
    <t>bounced 10/2/26</t>
  </si>
  <si>
    <t>bounced 9/28/26 for transfer 10/8/2026</t>
  </si>
  <si>
    <t>bank transfer 5000(9/30/26) 19300(10/13/26)</t>
  </si>
  <si>
    <t>bank transfer 12K (10/14/26) 20K (10/16/26)</t>
  </si>
  <si>
    <t>deposit Oct 16 2026 (Friday)</t>
  </si>
  <si>
    <t>DR#0003 (1/2)</t>
  </si>
  <si>
    <t>bounced 10/6/2026</t>
  </si>
  <si>
    <t>DR#0003 (2/2)</t>
  </si>
  <si>
    <t>Entalpia c/o Ishabella</t>
  </si>
  <si>
    <t>KM Aire / HISYS</t>
  </si>
  <si>
    <t xml:space="preserve">Centralworld </t>
  </si>
  <si>
    <t>2026 Receivable</t>
  </si>
  <si>
    <t>JAMBON</t>
  </si>
  <si>
    <t>COOP</t>
  </si>
  <si>
    <t>HISYS</t>
  </si>
  <si>
    <t>NBO</t>
  </si>
  <si>
    <t>JAMBON/STAL</t>
  </si>
  <si>
    <t>LUFT</t>
  </si>
  <si>
    <t>References</t>
  </si>
  <si>
    <t>160 Cash/Stal</t>
  </si>
  <si>
    <t>184 Cash/Stal</t>
  </si>
  <si>
    <t xml:space="preserve">   0  5   0  5    2  0  2  6</t>
  </si>
  <si>
    <t>TWENTY TWO THOUSAND ONE HUNDRED SEVENTY PESOS ONLY</t>
  </si>
  <si>
    <t xml:space="preserve">                                                                                       </t>
  </si>
  <si>
    <t>2026 Commissions</t>
  </si>
  <si>
    <t>correct amount is 7100</t>
  </si>
  <si>
    <t>returned</t>
  </si>
  <si>
    <t>cancelled for replacement (wrong amount)</t>
  </si>
  <si>
    <t>good check</t>
  </si>
  <si>
    <t>Names</t>
  </si>
  <si>
    <t>Gcash #</t>
  </si>
  <si>
    <t>deposit to Ishabella</t>
  </si>
  <si>
    <t>payment to Ishabella</t>
  </si>
  <si>
    <t>JC allowance Sept 2026</t>
  </si>
  <si>
    <t>2 tanks 134A</t>
  </si>
  <si>
    <t>payment to 3BMA</t>
  </si>
  <si>
    <t>full payment DR#9977</t>
  </si>
  <si>
    <t>full payment DR#7011</t>
  </si>
  <si>
    <t>full payment DR#7238</t>
  </si>
  <si>
    <t>partial payment DR#7473</t>
  </si>
  <si>
    <t>remaining balance</t>
  </si>
  <si>
    <t>snacks Shiena</t>
  </si>
  <si>
    <t>Jun Villanueva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</si>
</sst>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_-* #,##0.00_-;\-* #,##0.00_-;_-* &quot;-&quot;??_-;_-@"/>
    <numFmt numFmtId="165" formatCode="#,##0.00;\(#,##0.00\)"/>
    <numFmt numFmtId="166" formatCode="#,##0.00;(#,##0.00)"/>
    <numFmt numFmtId="167" formatCode="mm/dd/yyyy"/>
    <numFmt numFmtId="168" formatCode="m/d/yyyy"/>
    <numFmt numFmtId="169" formatCode="mm&quot;-&quot;dd&quot;-&quot;yy"/>
    <numFmt numFmtId="170" formatCode="mmmm yyyy"/>
    <numFmt numFmtId="171" formatCode="mm-dd-yy"/>
    <numFmt numFmtId="172" formatCode="mmmm d"/>
    <numFmt numFmtId="173" formatCode="mmmm dd"/>
    <numFmt numFmtId="174" formatCode="mmmm dd, yyyy"/>
    <numFmt numFmtId="175" formatCode="mmmm d, yyyy"/>
    <numFmt numFmtId="176" formatCode="dddd&quot;, &quot;mmmm&quot; &quot;d&quot;, &quot;yyyy"/>
    <numFmt numFmtId="177" formatCode="mmmm d, yy"/>
    <numFmt numFmtId="178" formatCode="M/d/yyyy"/>
    <numFmt numFmtId="179" formatCode="[$-F800]dddd\,\ mmmm\ dd\,\ yyyy"/>
    <numFmt numFmtId="180" formatCode="m-d-yy"/>
  </numFmts>
  <fonts count="85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7030A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0.0"/>
      <color rgb="FF7030A0"/>
      <name val="Arial"/>
    </font>
    <font>
      <b/>
      <sz val="10.0"/>
      <color rgb="FFC00000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i/>
      <sz val="10.0"/>
      <color theme="1"/>
      <name val="Arial"/>
    </font>
    <font>
      <color rgb="FF000000"/>
      <name val="Arial"/>
    </font>
    <font>
      <b/>
      <sz val="11.0"/>
      <color rgb="FF002060"/>
      <name val="Arial"/>
    </font>
    <font>
      <sz val="11.0"/>
      <color rgb="FF000000"/>
      <name val="Arial"/>
    </font>
    <font>
      <b/>
      <sz val="10.0"/>
      <color rgb="FF002060"/>
      <name val="Arial"/>
    </font>
    <font>
      <b/>
      <sz val="10.0"/>
      <color rgb="FF0070C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sz val="10.0"/>
      <color rgb="FF000000"/>
      <name val="Calibri"/>
    </font>
    <font>
      <sz val="10.0"/>
      <color rgb="FF000000"/>
      <name val="Arial"/>
    </font>
    <font>
      <sz val="9.0"/>
      <color theme="1"/>
      <name val="Arial"/>
    </font>
    <font>
      <color rgb="FF000000"/>
      <name val="Calibri"/>
      <scheme val="minor"/>
    </font>
    <font>
      <b/>
      <u/>
      <sz val="9.0"/>
      <color rgb="FF000000"/>
      <name val="Arial"/>
    </font>
    <font>
      <color theme="1"/>
      <name val="Calibri"/>
      <scheme val="minor"/>
    </font>
    <font>
      <b/>
      <u/>
      <sz val="8.0"/>
      <color rgb="FF000000"/>
      <name val="Arial"/>
    </font>
    <font>
      <u/>
      <sz val="9.0"/>
      <color rgb="FF000000"/>
      <name val="Arial"/>
    </font>
    <font>
      <strike/>
      <sz val="9.0"/>
      <color rgb="FF000000"/>
      <name val="Arial"/>
    </font>
    <font>
      <strike/>
      <color theme="1"/>
      <name val="Calibri"/>
      <scheme val="minor"/>
    </font>
    <font>
      <b/>
      <strike/>
      <sz val="9.0"/>
      <color rgb="FF000000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sz val="10.0"/>
      <color theme="1"/>
      <name val="Calibri"/>
    </font>
    <font>
      <strike/>
      <u/>
      <sz val="9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0.0"/>
      <color rgb="FF0000FF"/>
      <name val="Arial"/>
    </font>
    <font>
      <u/>
      <color theme="1"/>
      <name val="Calibri"/>
      <scheme val="minor"/>
    </font>
    <font>
      <b/>
      <u/>
      <sz val="8.0"/>
      <color rgb="FF000000"/>
      <name val="Arial"/>
    </font>
    <font>
      <b/>
      <sz val="9.0"/>
      <color rgb="FF7030A0"/>
      <name val="Arial"/>
    </font>
    <font>
      <b/>
      <sz val="9.0"/>
      <color rgb="FF002060"/>
      <name val="Arial"/>
    </font>
    <font>
      <b/>
      <u/>
      <sz val="9.0"/>
      <color rgb="FF002060"/>
      <name val="Arial"/>
    </font>
    <font>
      <b/>
      <sz val="9.0"/>
      <color rgb="FFC55A11"/>
      <name val="Arial"/>
    </font>
    <font>
      <b/>
      <sz val="11.0"/>
      <color rgb="FFC65911"/>
      <name val="Lora"/>
    </font>
    <font>
      <sz val="11.0"/>
      <color rgb="FF000000"/>
      <name val="Lora"/>
    </font>
    <font>
      <sz val="11.0"/>
      <color theme="1"/>
      <name val="Lora"/>
    </font>
    <font>
      <b/>
      <color rgb="FF980000"/>
      <name val="Calibri"/>
      <scheme val="minor"/>
    </font>
    <font>
      <b/>
      <sz val="11.0"/>
      <color rgb="FF000000"/>
      <name val="Lora"/>
    </font>
    <font>
      <b/>
      <sz val="11.0"/>
      <color rgb="FF0070C0"/>
      <name val="Lora"/>
    </font>
    <font>
      <b/>
      <sz val="11.0"/>
      <color theme="1"/>
      <name val="Lora"/>
    </font>
    <font>
      <b/>
      <sz val="11.0"/>
      <color rgb="FF000000"/>
      <name val="Arial"/>
    </font>
    <font>
      <b/>
      <sz val="11.0"/>
      <color rgb="FF0070C0"/>
      <name val="Arial"/>
    </font>
    <font>
      <b/>
      <u/>
      <sz val="9.0"/>
      <color rgb="FF002060"/>
      <name val="Arial"/>
    </font>
    <font>
      <b/>
      <u/>
      <sz val="9.0"/>
      <color rgb="FF002060"/>
      <name val="Arial"/>
    </font>
    <font>
      <b/>
      <u/>
      <sz val="9.0"/>
      <color rgb="FF002060"/>
      <name val="Arial"/>
    </font>
    <font>
      <b/>
      <sz val="9.0"/>
      <color rgb="FF0070C0"/>
      <name val="Arial"/>
    </font>
    <font>
      <b/>
      <sz val="11.0"/>
      <color rgb="FF1155CC"/>
      <name val="Lora"/>
    </font>
    <font>
      <b/>
      <sz val="11.0"/>
      <color rgb="FFE06666"/>
      <name val="Lora"/>
    </font>
    <font>
      <sz val="11.0"/>
      <color rgb="FFCC0000"/>
      <name val="Lora"/>
    </font>
    <font>
      <sz val="11.0"/>
      <color rgb="FF0000FF"/>
      <name val="Lora"/>
    </font>
    <font>
      <b/>
      <sz val="8.0"/>
      <color theme="1"/>
      <name val="Arial"/>
    </font>
    <font>
      <b/>
      <sz val="8.0"/>
      <color rgb="FF002060"/>
      <name val="Arial"/>
    </font>
    <font>
      <b/>
      <u/>
      <sz val="8.0"/>
      <color rgb="FF002060"/>
      <name val="Arial"/>
    </font>
    <font>
      <b/>
      <sz val="8.0"/>
      <color rgb="FFC55A11"/>
      <name val="Arial"/>
    </font>
    <font>
      <b/>
      <sz val="10.0"/>
      <color rgb="FFC55A11"/>
      <name val="Arial"/>
    </font>
    <font>
      <b/>
      <u/>
      <sz val="10.0"/>
      <color rgb="FF002060"/>
      <name val="Arial"/>
    </font>
    <font>
      <b/>
      <sz val="8.0"/>
      <color rgb="FF0070C0"/>
      <name val="Arial"/>
    </font>
    <font>
      <sz val="8.0"/>
      <color theme="1"/>
      <name val="Arial"/>
    </font>
    <font>
      <b/>
      <color rgb="FFC00000"/>
      <name val="Calibri"/>
      <scheme val="minor"/>
    </font>
    <font>
      <b/>
      <sz val="12.0"/>
      <color rgb="FFC00000"/>
      <name val="Calibri"/>
      <scheme val="minor"/>
    </font>
    <font>
      <b/>
      <sz val="12.0"/>
      <color rgb="FFC00000"/>
      <name val="Times New Roman"/>
    </font>
    <font>
      <b/>
      <color rgb="FFC00000"/>
      <name val="Times New Roman"/>
    </font>
    <font>
      <sz val="10.0"/>
      <color theme="1"/>
      <name val="Roboto"/>
    </font>
    <font>
      <b/>
      <sz val="10.0"/>
      <color rgb="FFC65911"/>
      <name val="Roboto"/>
    </font>
    <font>
      <sz val="10.0"/>
      <color rgb="FF000000"/>
      <name val="Roboto"/>
    </font>
    <font>
      <b/>
      <u/>
      <sz val="9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BE4D5"/>
        <bgColor rgb="FFFBE4D5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  <fill>
      <patternFill patternType="solid">
        <fgColor rgb="FF4A86E8"/>
        <bgColor rgb="FF4A86E8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  <fill>
      <patternFill patternType="solid">
        <fgColor rgb="FF8E7CC3"/>
        <bgColor rgb="FF8E7CC3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C65911"/>
        <bgColor rgb="FFC65911"/>
      </patternFill>
    </fill>
    <fill>
      <patternFill patternType="solid">
        <fgColor rgb="FFD6DCE4"/>
        <bgColor rgb="FFD6DCE4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9">
    <border/>
    <border>
      <bottom style="thick">
        <color rgb="FFFF00F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/>
      <right/>
      <top/>
    </border>
    <border>
      <top style="thick">
        <color rgb="FFFF00FF"/>
      </top>
    </border>
    <border>
      <left style="thin">
        <color rgb="FFC00000"/>
      </left>
    </border>
  </borders>
  <cellStyleXfs count="1">
    <xf borderId="0" fillId="0" fontId="0" numFmtId="0" applyAlignment="1" applyFont="1"/>
  </cellStyleXfs>
  <cellXfs count="658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readingOrder="0" vertical="center"/>
    </xf>
    <xf borderId="0" fillId="0" fontId="2" numFmtId="164" xfId="0" applyFont="1" applyNumberFormat="1"/>
    <xf borderId="0" fillId="0" fontId="2" numFmtId="4" xfId="0" applyFont="1" applyNumberFormat="1"/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5" numFmtId="164" xfId="0" applyAlignment="1" applyFont="1" applyNumberFormat="1">
      <alignment vertical="center"/>
    </xf>
    <xf borderId="0" fillId="0" fontId="6" numFmtId="165" xfId="0" applyAlignment="1" applyFont="1" applyNumberFormat="1">
      <alignment vertical="center"/>
    </xf>
    <xf borderId="0" fillId="0" fontId="7" numFmtId="14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7" numFmtId="164" xfId="0" applyFont="1" applyNumberFormat="1"/>
    <xf borderId="0" fillId="0" fontId="7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7" numFmtId="165" xfId="0" applyFont="1" applyNumberFormat="1"/>
    <xf borderId="0" fillId="0" fontId="3" numFmtId="166" xfId="0" applyFont="1" applyNumberFormat="1"/>
    <xf borderId="0" fillId="0" fontId="7" numFmtId="0" xfId="0" applyFont="1"/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3" numFmtId="4" xfId="0" applyFont="1" applyNumberFormat="1"/>
    <xf borderId="0" fillId="0" fontId="2" numFmtId="0" xfId="0" applyAlignment="1" applyFont="1">
      <alignment readingOrder="0" vertical="center"/>
    </xf>
    <xf borderId="0" fillId="0" fontId="8" numFmtId="164" xfId="0" applyAlignment="1" applyFont="1" applyNumberFormat="1">
      <alignment horizontal="left" vertical="center"/>
    </xf>
    <xf borderId="0" fillId="0" fontId="7" numFmtId="167" xfId="0" applyAlignment="1" applyFont="1" applyNumberFormat="1">
      <alignment horizontal="left" readingOrder="0"/>
    </xf>
    <xf borderId="0" fillId="0" fontId="7" numFmtId="168" xfId="0" applyAlignment="1" applyFont="1" applyNumberFormat="1">
      <alignment horizontal="left" readingOrder="0"/>
    </xf>
    <xf borderId="0" fillId="0" fontId="9" numFmtId="166" xfId="0" applyFont="1" applyNumberFormat="1"/>
    <xf borderId="0" fillId="0" fontId="3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10" numFmtId="164" xfId="0" applyFont="1" applyNumberFormat="1"/>
    <xf borderId="0" fillId="0" fontId="3" numFmtId="164" xfId="0" applyAlignment="1" applyFont="1" applyNumberFormat="1">
      <alignment readingOrder="0" vertical="center"/>
    </xf>
    <xf borderId="0" fillId="0" fontId="11" numFmtId="4" xfId="0" applyFont="1" applyNumberFormat="1"/>
    <xf borderId="0" fillId="0" fontId="12" numFmtId="0" xfId="0" applyFont="1"/>
    <xf borderId="0" fillId="2" fontId="4" numFmtId="164" xfId="0" applyAlignment="1" applyFill="1" applyFont="1" applyNumberFormat="1">
      <alignment vertical="center"/>
    </xf>
    <xf borderId="0" fillId="0" fontId="12" numFmtId="10" xfId="0" applyFont="1" applyNumberFormat="1"/>
    <xf borderId="0" fillId="0" fontId="12" numFmtId="4" xfId="0" applyFont="1" applyNumberFormat="1"/>
    <xf borderId="0" fillId="0" fontId="12" numFmtId="164" xfId="0" applyFont="1" applyNumberFormat="1"/>
    <xf borderId="0" fillId="0" fontId="3" numFmtId="0" xfId="0" applyAlignment="1" applyFont="1">
      <alignment readingOrder="0" vertical="center"/>
    </xf>
    <xf borderId="1" fillId="0" fontId="7" numFmtId="14" xfId="0" applyAlignment="1" applyBorder="1" applyFont="1" applyNumberForma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164" xfId="0" applyBorder="1" applyFont="1" applyNumberFormat="1"/>
    <xf borderId="1" fillId="0" fontId="7" numFmtId="164" xfId="0" applyAlignment="1" applyBorder="1" applyFont="1" applyNumberFormat="1">
      <alignment readingOrder="0"/>
    </xf>
    <xf borderId="1" fillId="0" fontId="7" numFmtId="165" xfId="0" applyBorder="1" applyFont="1" applyNumberFormat="1"/>
    <xf borderId="0" fillId="3" fontId="7" numFmtId="164" xfId="0" applyAlignment="1" applyFill="1" applyFont="1" applyNumberForma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164" xfId="0" applyFont="1" applyNumberFormat="1"/>
    <xf borderId="1" fillId="3" fontId="7" numFmtId="164" xfId="0" applyAlignment="1" applyBorder="1" applyFill="1" applyFont="1" applyNumberFormat="1">
      <alignment readingOrder="0"/>
    </xf>
    <xf borderId="0" fillId="0" fontId="7" numFmtId="14" xfId="0" applyAlignment="1" applyFont="1" applyNumberFormat="1">
      <alignment horizontal="left"/>
    </xf>
    <xf borderId="0" fillId="0" fontId="15" numFmtId="0" xfId="0" applyAlignment="1" applyFont="1">
      <alignment readingOrder="0" shrinkToFit="0" wrapText="0"/>
    </xf>
    <xf borderId="0" fillId="0" fontId="7" numFmtId="4" xfId="0" applyAlignment="1" applyFont="1" applyNumberFormat="1">
      <alignment readingOrder="0"/>
    </xf>
    <xf borderId="0" fillId="0" fontId="15" numFmtId="0" xfId="0" applyAlignment="1" applyFont="1">
      <alignment horizontal="left" readingOrder="0" shrinkToFit="0" wrapText="0"/>
    </xf>
    <xf borderId="0" fillId="0" fontId="16" numFmtId="0" xfId="0" applyFont="1"/>
    <xf borderId="0" fillId="0" fontId="16" numFmtId="164" xfId="0" applyFont="1" applyNumberFormat="1"/>
    <xf borderId="0" fillId="0" fontId="16" numFmtId="166" xfId="0" applyFont="1" applyNumberFormat="1"/>
    <xf borderId="0" fillId="0" fontId="16" numFmtId="4" xfId="0" applyFont="1" applyNumberFormat="1"/>
    <xf borderId="0" fillId="0" fontId="17" numFmtId="0" xfId="0" applyFont="1"/>
    <xf borderId="0" fillId="0" fontId="17" numFmtId="164" xfId="0" applyFont="1" applyNumberFormat="1"/>
    <xf borderId="0" fillId="0" fontId="17" numFmtId="166" xfId="0" applyFont="1" applyNumberFormat="1"/>
    <xf borderId="0" fillId="0" fontId="17" numFmtId="4" xfId="0" applyFont="1" applyNumberFormat="1"/>
    <xf borderId="0" fillId="0" fontId="3" numFmtId="10" xfId="0" applyFont="1" applyNumberFormat="1"/>
    <xf borderId="2" fillId="0" fontId="7" numFmtId="164" xfId="0" applyBorder="1" applyFont="1" applyNumberFormat="1"/>
    <xf borderId="2" fillId="0" fontId="7" numFmtId="0" xfId="0" applyBorder="1" applyFont="1"/>
    <xf borderId="0" fillId="0" fontId="3" numFmtId="4" xfId="0" applyAlignment="1" applyFont="1" applyNumberFormat="1">
      <alignment vertical="center"/>
    </xf>
    <xf borderId="3" fillId="4" fontId="18" numFmtId="169" xfId="0" applyAlignment="1" applyBorder="1" applyFill="1" applyFont="1" applyNumberFormat="1">
      <alignment horizontal="left" vertical="center"/>
    </xf>
    <xf borderId="3" fillId="4" fontId="18" numFmtId="0" xfId="0" applyAlignment="1" applyBorder="1" applyFill="1" applyFont="1">
      <alignment horizontal="center" vertical="center"/>
    </xf>
    <xf borderId="3" fillId="4" fontId="18" numFmtId="0" xfId="0" applyAlignment="1" applyBorder="1" applyFill="1" applyFont="1">
      <alignment horizontal="left" vertical="center"/>
    </xf>
    <xf borderId="3" fillId="4" fontId="18" numFmtId="4" xfId="0" applyAlignment="1" applyBorder="1" applyFill="1" applyFont="1" applyNumberFormat="1">
      <alignment horizontal="right" vertical="center"/>
    </xf>
    <xf borderId="3" fillId="4" fontId="18" numFmtId="4" xfId="0" applyAlignment="1" applyBorder="1" applyFill="1" applyFont="1" applyNumberFormat="1">
      <alignment horizontal="center" vertical="center"/>
    </xf>
    <xf borderId="3" fillId="4" fontId="18" numFmtId="164" xfId="0" applyAlignment="1" applyBorder="1" applyFill="1" applyFont="1" applyNumberFormat="1">
      <alignment horizontal="center" shrinkToFit="0" vertical="center" wrapText="1"/>
    </xf>
    <xf borderId="3" fillId="4" fontId="18" numFmtId="164" xfId="0" applyAlignment="1" applyBorder="1" applyFill="1" applyFont="1" applyNumberFormat="1">
      <alignment horizontal="center" vertical="center"/>
    </xf>
    <xf borderId="2" fillId="4" fontId="18" numFmtId="4" xfId="0" applyAlignment="1" applyBorder="1" applyFill="1" applyFont="1" applyNumberFormat="1">
      <alignment horizontal="center" vertical="center"/>
    </xf>
    <xf borderId="2" fillId="4" fontId="18" numFmtId="0" xfId="0" applyAlignment="1" applyBorder="1" applyFill="1" applyFont="1">
      <alignment horizontal="center" readingOrder="0" vertical="center"/>
    </xf>
    <xf borderId="2" fillId="4" fontId="18" numFmtId="4" xfId="0" applyAlignment="1" applyBorder="1" applyFill="1" applyFont="1" applyNumberFormat="1">
      <alignment horizontal="center" readingOrder="0" vertical="center"/>
    </xf>
    <xf borderId="2" fillId="4" fontId="18" numFmtId="0" xfId="0" applyAlignment="1" applyBorder="1" applyFill="1" applyFont="1">
      <alignment horizontal="center" vertical="center"/>
    </xf>
    <xf borderId="2" fillId="5" fontId="19" numFmtId="169" xfId="0" applyAlignment="1" applyBorder="1" applyFill="1" applyFont="1" applyNumberFormat="1">
      <alignment horizontal="left"/>
    </xf>
    <xf borderId="2" fillId="5" fontId="19" numFmtId="0" xfId="0" applyAlignment="1" applyBorder="1" applyFill="1" applyFont="1">
      <alignment horizontal="center"/>
    </xf>
    <xf borderId="2" fillId="5" fontId="19" numFmtId="0" xfId="0" applyAlignment="1" applyBorder="1" applyFill="1" applyFont="1">
      <alignment horizontal="left"/>
    </xf>
    <xf borderId="2" fillId="5" fontId="19" numFmtId="0" xfId="0" applyBorder="1" applyFill="1" applyFont="1"/>
    <xf borderId="2" fillId="5" fontId="19" numFmtId="4" xfId="0" applyAlignment="1" applyBorder="1" applyFill="1" applyFont="1" applyNumberFormat="1">
      <alignment horizontal="right"/>
    </xf>
    <xf borderId="2" fillId="5" fontId="19" numFmtId="4" xfId="0" applyBorder="1" applyFill="1" applyFont="1" applyNumberFormat="1"/>
    <xf borderId="2" fillId="5" fontId="19" numFmtId="164" xfId="0" applyAlignment="1" applyBorder="1" applyFill="1" applyFont="1" applyNumberFormat="1">
      <alignment horizontal="right"/>
    </xf>
    <xf borderId="2" fillId="5" fontId="19" numFmtId="10" xfId="0" applyBorder="1" applyFill="1" applyFont="1" applyNumberFormat="1"/>
    <xf borderId="2" fillId="5" fontId="18" numFmtId="4" xfId="0" applyBorder="1" applyFill="1" applyFont="1" applyNumberFormat="1"/>
    <xf borderId="0" fillId="0" fontId="19" numFmtId="0" xfId="0" applyFont="1"/>
    <xf borderId="2" fillId="6" fontId="20" numFmtId="0" xfId="0" applyAlignment="1" applyBorder="1" applyFill="1" applyFont="1">
      <alignment horizontal="left" vertical="center"/>
    </xf>
    <xf borderId="0" fillId="6" fontId="19" numFmtId="0" xfId="0" applyAlignment="1" applyFill="1" applyFont="1">
      <alignment horizontal="center"/>
    </xf>
    <xf borderId="2" fillId="6" fontId="21" numFmtId="0" xfId="0" applyAlignment="1" applyBorder="1" applyFill="1" applyFont="1">
      <alignment vertical="center"/>
    </xf>
    <xf borderId="2" fillId="6" fontId="22" numFmtId="4" xfId="0" applyAlignment="1" applyBorder="1" applyFill="1" applyFont="1" applyNumberFormat="1">
      <alignment horizontal="right" vertical="center"/>
    </xf>
    <xf borderId="2" fillId="6" fontId="23" numFmtId="4" xfId="0" applyAlignment="1" applyBorder="1" applyFill="1" applyFont="1" applyNumberFormat="1">
      <alignment vertical="center"/>
    </xf>
    <xf borderId="2" fillId="6" fontId="24" numFmtId="164" xfId="0" applyAlignment="1" applyBorder="1" applyFill="1" applyFont="1" applyNumberFormat="1">
      <alignment vertical="center"/>
    </xf>
    <xf borderId="2" fillId="6" fontId="19" numFmtId="10" xfId="0" applyBorder="1" applyFill="1" applyFont="1" applyNumberFormat="1"/>
    <xf borderId="2" fillId="6" fontId="25" numFmtId="164" xfId="0" applyAlignment="1" applyBorder="1" applyFill="1" applyFont="1" applyNumberFormat="1">
      <alignment horizontal="right" readingOrder="0" vertical="center"/>
    </xf>
    <xf borderId="2" fillId="7" fontId="26" numFmtId="164" xfId="0" applyAlignment="1" applyBorder="1" applyFill="1" applyFont="1" applyNumberFormat="1">
      <alignment readingOrder="0" vertical="center"/>
    </xf>
    <xf borderId="0" fillId="6" fontId="19" numFmtId="0" xfId="0" applyFill="1" applyFont="1"/>
    <xf borderId="0" fillId="0" fontId="19" numFmtId="169" xfId="0" applyAlignment="1" applyFont="1" applyNumberFormat="1">
      <alignment horizontal="left"/>
    </xf>
    <xf borderId="2" fillId="0" fontId="19" numFmtId="0" xfId="0" applyAlignment="1" applyBorder="1" applyFont="1">
      <alignment horizontal="center"/>
    </xf>
    <xf borderId="0" fillId="0" fontId="19" numFmtId="0" xfId="0" applyAlignment="1" applyFont="1">
      <alignment horizontal="left"/>
    </xf>
    <xf borderId="0" fillId="8" fontId="19" numFmtId="4" xfId="0" applyAlignment="1" applyFill="1" applyFont="1" applyNumberFormat="1">
      <alignment horizontal="right"/>
    </xf>
    <xf borderId="2" fillId="9" fontId="19" numFmtId="4" xfId="0" applyBorder="1" applyFill="1" applyFont="1" applyNumberFormat="1"/>
    <xf borderId="0" fillId="0" fontId="19" numFmtId="164" xfId="0" applyFont="1" applyNumberFormat="1"/>
    <xf borderId="0" fillId="0" fontId="19" numFmtId="4" xfId="0" applyAlignment="1" applyFont="1" applyNumberFormat="1">
      <alignment horizontal="right"/>
    </xf>
    <xf borderId="2" fillId="9" fontId="19" numFmtId="10" xfId="0" applyBorder="1" applyFill="1" applyFont="1" applyNumberFormat="1"/>
    <xf borderId="0" fillId="0" fontId="18" numFmtId="4" xfId="0" applyFont="1" applyNumberFormat="1"/>
    <xf borderId="0" fillId="0" fontId="19" numFmtId="169" xfId="0" applyAlignment="1" applyFont="1" applyNumberFormat="1">
      <alignment horizontal="left" readingOrder="0"/>
    </xf>
    <xf borderId="0" fillId="0" fontId="19" numFmtId="0" xfId="0" applyAlignment="1" applyFont="1">
      <alignment horizontal="center" readingOrder="0"/>
    </xf>
    <xf borderId="0" fillId="0" fontId="19" numFmtId="170" xfId="0" applyAlignment="1" applyFont="1" applyNumberFormat="1">
      <alignment horizontal="left" readingOrder="0"/>
    </xf>
    <xf borderId="2" fillId="9" fontId="19" numFmtId="4" xfId="0" applyAlignment="1" applyBorder="1" applyFill="1" applyFont="1" applyNumberFormat="1">
      <alignment readingOrder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19" numFmtId="4" xfId="0" applyAlignment="1" applyFont="1" applyNumberFormat="1">
      <alignment horizontal="right" readingOrder="0"/>
    </xf>
    <xf borderId="0" fillId="0" fontId="19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left"/>
    </xf>
    <xf borderId="0" fillId="0" fontId="19" numFmtId="164" xfId="0" applyAlignment="1" applyFont="1" applyNumberFormat="1">
      <alignment horizontal="right"/>
    </xf>
    <xf borderId="0" fillId="8" fontId="19" numFmtId="4" xfId="0" applyAlignment="1" applyFill="1" applyFont="1" applyNumberFormat="1">
      <alignment horizontal="right" readingOrder="0"/>
    </xf>
    <xf borderId="4" fillId="0" fontId="19" numFmtId="0" xfId="0" applyAlignment="1" applyBorder="1" applyFont="1">
      <alignment horizontal="center" readingOrder="0"/>
    </xf>
    <xf borderId="0" fillId="0" fontId="29" numFmtId="4" xfId="0" applyAlignment="1" applyFont="1" applyNumberFormat="1">
      <alignment horizontal="right" vertical="bottom"/>
    </xf>
    <xf borderId="2" fillId="10" fontId="29" numFmtId="10" xfId="0" applyAlignment="1" applyBorder="1" applyFill="1" applyFont="1" applyNumberFormat="1">
      <alignment horizontal="right" vertical="bottom"/>
    </xf>
    <xf borderId="4" fillId="0" fontId="19" numFmtId="0" xfId="0" applyAlignment="1" applyBorder="1" applyFont="1">
      <alignment horizontal="center"/>
    </xf>
    <xf borderId="0" fillId="0" fontId="30" numFmtId="0" xfId="0" applyAlignment="1" applyFont="1">
      <alignment horizontal="left"/>
    </xf>
    <xf borderId="0" fillId="0" fontId="30" numFmtId="0" xfId="0" applyFont="1"/>
    <xf borderId="0" fillId="0" fontId="30" numFmtId="4" xfId="0" applyAlignment="1" applyFont="1" applyNumberFormat="1">
      <alignment horizontal="right"/>
    </xf>
    <xf borderId="0" fillId="0" fontId="30" numFmtId="4" xfId="0" applyFont="1" applyNumberFormat="1"/>
    <xf borderId="2" fillId="6" fontId="31" numFmtId="0" xfId="0" applyAlignment="1" applyBorder="1" applyFill="1" applyFont="1">
      <alignment horizontal="left" readingOrder="0" vertical="center"/>
    </xf>
    <xf borderId="0" fillId="11" fontId="18" numFmtId="0" xfId="0" applyAlignment="1" applyFill="1" applyFont="1">
      <alignment horizontal="left" vertical="center"/>
    </xf>
    <xf borderId="0" fillId="11" fontId="18" numFmtId="0" xfId="0" applyAlignment="1" applyFill="1" applyFont="1">
      <alignment horizontal="left" readingOrder="0" vertical="center"/>
    </xf>
    <xf borderId="5" fillId="11" fontId="18" numFmtId="4" xfId="0" applyAlignment="1" applyBorder="1" applyFill="1" applyFont="1" applyNumberFormat="1">
      <alignment horizontal="right" vertical="center"/>
    </xf>
    <xf borderId="5" fillId="11" fontId="18" numFmtId="4" xfId="0" applyAlignment="1" applyBorder="1" applyFill="1" applyFont="1" applyNumberFormat="1">
      <alignment horizontal="left" vertical="center"/>
    </xf>
    <xf borderId="5" fillId="11" fontId="18" numFmtId="164" xfId="0" applyAlignment="1" applyBorder="1" applyFill="1" applyFont="1" applyNumberFormat="1">
      <alignment horizontal="left" vertical="center"/>
    </xf>
    <xf borderId="2" fillId="11" fontId="18" numFmtId="10" xfId="0" applyAlignment="1" applyBorder="1" applyFill="1" applyFont="1" applyNumberFormat="1">
      <alignment horizontal="left" vertical="center"/>
    </xf>
    <xf borderId="0" fillId="11" fontId="18" numFmtId="4" xfId="0" applyAlignment="1" applyFill="1" applyFont="1" applyNumberFormat="1">
      <alignment horizontal="left" vertical="center"/>
    </xf>
    <xf borderId="0" fillId="9" fontId="19" numFmtId="4" xfId="0" applyFill="1" applyFont="1" applyNumberFormat="1"/>
    <xf borderId="0" fillId="0" fontId="32" numFmtId="0" xfId="0" applyAlignment="1" applyFont="1">
      <alignment readingOrder="0"/>
    </xf>
    <xf borderId="0" fillId="0" fontId="32" numFmtId="0" xfId="0" applyAlignment="1" applyFont="1">
      <alignment horizontal="left" readingOrder="0"/>
    </xf>
    <xf borderId="0" fillId="9" fontId="19" numFmtId="4" xfId="0" applyAlignment="1" applyFill="1" applyFont="1" applyNumberFormat="1">
      <alignment readingOrder="0"/>
    </xf>
    <xf borderId="2" fillId="11" fontId="33" numFmtId="0" xfId="0" applyAlignment="1" applyBorder="1" applyFill="1" applyFont="1">
      <alignment horizontal="left" readingOrder="0" vertical="center"/>
    </xf>
    <xf borderId="5" fillId="11" fontId="18" numFmtId="4" xfId="0" applyAlignment="1" applyBorder="1" applyFill="1" applyFont="1" applyNumberFormat="1">
      <alignment horizontal="right" readingOrder="0" vertical="center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5" numFmtId="0" xfId="0" applyAlignment="1" applyFont="1">
      <alignment horizontal="left" readingOrder="0"/>
    </xf>
    <xf borderId="0" fillId="0" fontId="36" numFmtId="0" xfId="0" applyAlignment="1" applyFont="1">
      <alignment horizontal="left"/>
    </xf>
    <xf borderId="0" fillId="0" fontId="35" numFmtId="0" xfId="0" applyAlignment="1" applyFont="1">
      <alignment horizontal="center" readingOrder="0"/>
    </xf>
    <xf borderId="0" fillId="0" fontId="35" numFmtId="0" xfId="0" applyAlignment="1" applyFont="1">
      <alignment horizontal="left" readingOrder="0"/>
    </xf>
    <xf borderId="0" fillId="0" fontId="35" numFmtId="0" xfId="0" applyAlignment="1" applyFont="1">
      <alignment readingOrder="0"/>
    </xf>
    <xf borderId="0" fillId="0" fontId="35" numFmtId="0" xfId="0" applyAlignment="1" applyFont="1">
      <alignment horizontal="left"/>
    </xf>
    <xf borderId="0" fillId="0" fontId="35" numFmtId="4" xfId="0" applyAlignment="1" applyFont="1" applyNumberFormat="1">
      <alignment horizontal="right" readingOrder="0"/>
    </xf>
    <xf borderId="0" fillId="0" fontId="36" numFmtId="4" xfId="0" applyFont="1" applyNumberFormat="1"/>
    <xf borderId="0" fillId="0" fontId="35" numFmtId="164" xfId="0" applyAlignment="1" applyFont="1" applyNumberFormat="1">
      <alignment horizontal="right"/>
    </xf>
    <xf borderId="0" fillId="0" fontId="35" numFmtId="4" xfId="0" applyAlignment="1" applyFont="1" applyNumberFormat="1">
      <alignment horizontal="right"/>
    </xf>
    <xf borderId="2" fillId="9" fontId="35" numFmtId="10" xfId="0" applyBorder="1" applyFill="1" applyFont="1" applyNumberFormat="1"/>
    <xf borderId="0" fillId="0" fontId="37" numFmtId="4" xfId="0" applyFont="1" applyNumberFormat="1"/>
    <xf borderId="0" fillId="0" fontId="35" numFmtId="0" xfId="0" applyFont="1"/>
    <xf borderId="0" fillId="0" fontId="19" numFmtId="171" xfId="0" applyAlignment="1" applyFont="1" applyNumberFormat="1">
      <alignment horizontal="left" readingOrder="0"/>
    </xf>
    <xf borderId="0" fillId="0" fontId="19" numFmtId="164" xfId="0" applyAlignment="1" applyFont="1" applyNumberFormat="1">
      <alignment horizontal="right" readingOrder="0"/>
    </xf>
    <xf borderId="0" fillId="0" fontId="32" numFmtId="0" xfId="0" applyAlignment="1" applyFont="1">
      <alignment horizontal="left"/>
    </xf>
    <xf borderId="0" fillId="0" fontId="38" numFmtId="0" xfId="0" applyAlignment="1" applyFont="1">
      <alignment horizontal="left"/>
    </xf>
    <xf borderId="0" fillId="0" fontId="38" numFmtId="0" xfId="0" applyFont="1"/>
    <xf borderId="0" fillId="0" fontId="38" numFmtId="164" xfId="0" applyFont="1" applyNumberFormat="1"/>
    <xf borderId="0" fillId="0" fontId="38" numFmtId="0" xfId="0" applyAlignment="1" applyFont="1">
      <alignment horizontal="center"/>
    </xf>
    <xf borderId="0" fillId="0" fontId="38" numFmtId="165" xfId="0" applyFont="1" applyNumberFormat="1"/>
    <xf borderId="0" fillId="0" fontId="29" numFmtId="0" xfId="0" applyAlignment="1" applyFont="1">
      <alignment horizontal="center"/>
    </xf>
    <xf borderId="0" fillId="0" fontId="29" numFmtId="0" xfId="0" applyFont="1"/>
    <xf borderId="0" fillId="0" fontId="29" numFmtId="164" xfId="0" applyFont="1" applyNumberFormat="1"/>
    <xf borderId="0" fillId="0" fontId="29" numFmtId="0" xfId="0" applyAlignment="1" applyFont="1">
      <alignment horizontal="left"/>
    </xf>
    <xf borderId="0" fillId="0" fontId="29" numFmtId="165" xfId="0" applyFont="1" applyNumberFormat="1"/>
    <xf borderId="0" fillId="0" fontId="38" numFmtId="164" xfId="0" applyAlignment="1" applyFont="1" applyNumberFormat="1">
      <alignment horizontal="center"/>
    </xf>
    <xf borderId="0" fillId="0" fontId="38" numFmtId="165" xfId="0" applyAlignment="1" applyFont="1" applyNumberFormat="1">
      <alignment horizontal="center"/>
    </xf>
    <xf borderId="2" fillId="9" fontId="38" numFmtId="0" xfId="0" applyBorder="1" applyFill="1" applyFont="1"/>
    <xf borderId="2" fillId="9" fontId="39" numFmtId="164" xfId="0" applyBorder="1" applyFill="1" applyFont="1" applyNumberFormat="1"/>
    <xf borderId="2" fillId="9" fontId="40" numFmtId="165" xfId="0" applyBorder="1" applyFill="1" applyFont="1" applyNumberFormat="1"/>
    <xf borderId="0" fillId="0" fontId="41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9" numFmtId="0" xfId="0" applyAlignment="1" applyFont="1">
      <alignment horizontal="center" readingOrder="0"/>
    </xf>
    <xf borderId="0" fillId="11" fontId="18" numFmtId="0" xfId="0" applyAlignment="1" applyFill="1" applyFont="1">
      <alignment horizontal="right" readingOrder="0" vertical="center"/>
    </xf>
    <xf borderId="0" fillId="9" fontId="29" numFmtId="172" xfId="0" applyAlignment="1" applyFill="1" applyFont="1" applyNumberFormat="1">
      <alignment horizontal="left" readingOrder="0"/>
    </xf>
    <xf borderId="0" fillId="0" fontId="29" numFmtId="0" xfId="0" applyAlignment="1" applyFont="1">
      <alignment horizontal="left" readingOrder="0"/>
    </xf>
    <xf borderId="0" fillId="0" fontId="29" numFmtId="165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29" numFmtId="164" xfId="0" applyAlignment="1" applyFont="1" applyNumberFormat="1">
      <alignment readingOrder="0"/>
    </xf>
    <xf borderId="0" fillId="9" fontId="29" numFmtId="173" xfId="0" applyAlignment="1" applyFill="1" applyFont="1" applyNumberFormat="1">
      <alignment horizontal="left" readingOrder="0"/>
    </xf>
    <xf borderId="0" fillId="0" fontId="35" numFmtId="169" xfId="0" applyAlignment="1" applyFont="1" applyNumberFormat="1">
      <alignment horizontal="left"/>
    </xf>
    <xf borderId="2" fillId="9" fontId="29" numFmtId="0" xfId="0" applyBorder="1" applyFill="1" applyFont="1"/>
    <xf borderId="0" fillId="0" fontId="32" numFmtId="0" xfId="0" applyAlignment="1" applyFont="1">
      <alignment horizontal="center"/>
    </xf>
    <xf borderId="2" fillId="0" fontId="35" numFmtId="4" xfId="0" applyBorder="1" applyFont="1" applyNumberFormat="1"/>
    <xf borderId="0" fillId="0" fontId="35" numFmtId="164" xfId="0" applyFont="1" applyNumberFormat="1"/>
    <xf borderId="0" fillId="9" fontId="29" numFmtId="174" xfId="0" applyAlignment="1" applyFill="1" applyFont="1" applyNumberFormat="1">
      <alignment readingOrder="0"/>
    </xf>
    <xf borderId="0" fillId="0" fontId="32" numFmtId="0" xfId="0" applyAlignment="1" applyFont="1">
      <alignment horizontal="center" readingOrder="0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19" numFmtId="164" xfId="0" applyAlignment="1" applyFont="1" applyNumberFormat="1">
      <alignment readingOrder="0"/>
    </xf>
    <xf borderId="0" fillId="12" fontId="19" numFmtId="4" xfId="0" applyAlignment="1" applyFill="1" applyFont="1" applyNumberFormat="1">
      <alignment horizontal="right" readingOrder="0"/>
    </xf>
    <xf borderId="0" fillId="0" fontId="18" numFmtId="4" xfId="0" applyAlignment="1" applyFont="1" applyNumberFormat="1">
      <alignment readingOrder="0"/>
    </xf>
    <xf borderId="0" fillId="9" fontId="29" numFmtId="175" xfId="0" applyAlignment="1" applyFill="1" applyFont="1" applyNumberFormat="1">
      <alignment readingOrder="0"/>
    </xf>
    <xf borderId="0" fillId="0" fontId="29" numFmtId="172" xfId="0" applyAlignment="1" applyFont="1" applyNumberFormat="1">
      <alignment horizontal="left" readingOrder="0"/>
    </xf>
    <xf borderId="0" fillId="9" fontId="32" numFmtId="172" xfId="0" applyAlignment="1" applyFill="1" applyFont="1" applyNumberFormat="1">
      <alignment horizontal="left" readingOrder="0"/>
    </xf>
    <xf borderId="0" fillId="9" fontId="19" numFmtId="175" xfId="0" applyAlignment="1" applyFill="1" applyFont="1" applyNumberFormat="1">
      <alignment horizontal="left" readingOrder="0"/>
    </xf>
    <xf borderId="0" fillId="13" fontId="19" numFmtId="169" xfId="0" applyAlignment="1" applyFill="1" applyFont="1" applyNumberFormat="1">
      <alignment horizontal="left" readingOrder="0"/>
    </xf>
    <xf borderId="0" fillId="13" fontId="19" numFmtId="0" xfId="0" applyAlignment="1" applyFill="1" applyFont="1">
      <alignment horizontal="center" readingOrder="0"/>
    </xf>
    <xf borderId="0" fillId="13" fontId="19" numFmtId="0" xfId="0" applyAlignment="1" applyFill="1" applyFont="1">
      <alignment horizontal="left" readingOrder="0"/>
    </xf>
    <xf borderId="0" fillId="13" fontId="19" numFmtId="0" xfId="0" applyAlignment="1" applyFill="1" applyFont="1">
      <alignment readingOrder="0"/>
    </xf>
    <xf borderId="0" fillId="13" fontId="19" numFmtId="0" xfId="0" applyAlignment="1" applyFill="1" applyFont="1">
      <alignment horizontal="left"/>
    </xf>
    <xf borderId="0" fillId="13" fontId="19" numFmtId="4" xfId="0" applyAlignment="1" applyFill="1" applyFont="1" applyNumberFormat="1">
      <alignment horizontal="right" readingOrder="0"/>
    </xf>
    <xf borderId="2" fillId="13" fontId="19" numFmtId="4" xfId="0" applyAlignment="1" applyBorder="1" applyFill="1" applyFont="1" applyNumberFormat="1">
      <alignment readingOrder="0"/>
    </xf>
    <xf borderId="0" fillId="9" fontId="29" numFmtId="175" xfId="0" applyAlignment="1" applyFill="1" applyFont="1" applyNumberFormat="1">
      <alignment horizontal="left" readingOrder="0"/>
    </xf>
    <xf borderId="0" fillId="13" fontId="19" numFmtId="164" xfId="0" applyFill="1" applyFont="1" applyNumberFormat="1"/>
    <xf borderId="0" fillId="13" fontId="19" numFmtId="4" xfId="0" applyAlignment="1" applyFill="1" applyFont="1" applyNumberFormat="1">
      <alignment horizontal="right"/>
    </xf>
    <xf borderId="2" fillId="13" fontId="19" numFmtId="10" xfId="0" applyBorder="1" applyFill="1" applyFont="1" applyNumberFormat="1"/>
    <xf borderId="0" fillId="13" fontId="19" numFmtId="0" xfId="0" applyFill="1" applyFont="1"/>
    <xf borderId="0" fillId="8" fontId="19" numFmtId="164" xfId="0" applyAlignment="1" applyFill="1" applyFont="1" applyNumberFormat="1">
      <alignment readingOrder="0"/>
    </xf>
    <xf borderId="0" fillId="9" fontId="29" numFmtId="175" xfId="0" applyAlignment="1" applyFill="1" applyFont="1" applyNumberFormat="1">
      <alignment horizontal="center" readingOrder="0"/>
    </xf>
    <xf borderId="0" fillId="0" fontId="29" numFmtId="172" xfId="0" applyAlignment="1" applyFont="1" applyNumberFormat="1">
      <alignment horizontal="center" readingOrder="0"/>
    </xf>
    <xf borderId="0" fillId="0" fontId="29" numFmtId="175" xfId="0" applyAlignment="1" applyFont="1" applyNumberFormat="1">
      <alignment horizontal="center" readingOrder="0"/>
    </xf>
    <xf borderId="0" fillId="0" fontId="29" numFmtId="175" xfId="0" applyAlignment="1" applyFont="1" applyNumberFormat="1">
      <alignment readingOrder="0"/>
    </xf>
    <xf borderId="0" fillId="12" fontId="32" numFmtId="4" xfId="0" applyAlignment="1" applyFill="1" applyFont="1" applyNumberFormat="1">
      <alignment horizontal="right" readingOrder="0"/>
    </xf>
    <xf borderId="0" fillId="9" fontId="32" numFmtId="4" xfId="0" applyAlignment="1" applyFill="1" applyFont="1" applyNumberFormat="1">
      <alignment readingOrder="0"/>
    </xf>
    <xf borderId="0" fillId="0" fontId="32" numFmtId="4" xfId="0" applyAlignment="1" applyFont="1" applyNumberFormat="1">
      <alignment horizontal="right" readingOrder="0"/>
    </xf>
    <xf borderId="0" fillId="0" fontId="32" numFmtId="4" xfId="0" applyAlignment="1" applyFont="1" applyNumberFormat="1">
      <alignment horizontal="right"/>
    </xf>
    <xf borderId="0" fillId="9" fontId="32" numFmtId="4" xfId="0" applyFill="1" applyFont="1" applyNumberFormat="1"/>
    <xf borderId="0" fillId="0" fontId="32" numFmtId="171" xfId="0" applyAlignment="1" applyFont="1" applyNumberFormat="1">
      <alignment horizontal="left" readingOrder="0"/>
    </xf>
    <xf borderId="0" fillId="0" fontId="32" numFmtId="4" xfId="0" applyAlignment="1" applyFont="1" applyNumberFormat="1">
      <alignment readingOrder="0"/>
    </xf>
    <xf borderId="0" fillId="0" fontId="36" numFmtId="0" xfId="0" applyAlignment="1" applyFont="1">
      <alignment horizontal="left" readingOrder="0"/>
    </xf>
    <xf borderId="0" fillId="0" fontId="36" numFmtId="4" xfId="0" applyAlignment="1" applyFont="1" applyNumberFormat="1">
      <alignment horizontal="right"/>
    </xf>
    <xf borderId="0" fillId="9" fontId="36" numFmtId="4" xfId="0" applyFill="1" applyFont="1" applyNumberFormat="1"/>
    <xf borderId="6" fillId="9" fontId="19" numFmtId="4" xfId="0" applyAlignment="1" applyBorder="1" applyFill="1" applyFont="1" applyNumberFormat="1">
      <alignment readingOrder="0"/>
    </xf>
    <xf borderId="0" fillId="0" fontId="42" numFmtId="0" xfId="0" applyAlignment="1" applyFont="1">
      <alignment horizontal="center" readingOrder="0"/>
    </xf>
    <xf borderId="0" fillId="0" fontId="43" numFmtId="0" xfId="0" applyAlignment="1" applyFont="1">
      <alignment horizontal="left" readingOrder="0" vertical="top"/>
    </xf>
    <xf borderId="0" fillId="0" fontId="43" numFmtId="0" xfId="0" applyAlignment="1" applyFont="1">
      <alignment horizontal="center" readingOrder="0" vertical="top"/>
    </xf>
    <xf borderId="0" fillId="0" fontId="43" numFmtId="4" xfId="0" applyAlignment="1" applyFont="1" applyNumberFormat="1">
      <alignment horizontal="center" readingOrder="0" vertical="top"/>
    </xf>
    <xf borderId="0" fillId="0" fontId="43" numFmtId="164" xfId="0" applyAlignment="1" applyFont="1" applyNumberFormat="1">
      <alignment horizontal="center" readingOrder="0" vertical="top"/>
    </xf>
    <xf borderId="0" fillId="0" fontId="43" numFmtId="164" xfId="0" applyAlignment="1" applyFont="1" applyNumberFormat="1">
      <alignment horizontal="center" readingOrder="0" shrinkToFit="0" vertical="top" wrapText="1"/>
    </xf>
    <xf borderId="0" fillId="0" fontId="43" numFmtId="0" xfId="0" applyAlignment="1" applyFont="1">
      <alignment horizontal="center" readingOrder="0" shrinkToFit="0" wrapText="1"/>
    </xf>
    <xf borderId="0" fillId="0" fontId="43" numFmtId="0" xfId="0" applyFont="1"/>
    <xf borderId="0" fillId="0" fontId="43" numFmtId="0" xfId="0" applyAlignment="1" applyFont="1">
      <alignment horizontal="center"/>
    </xf>
    <xf borderId="0" fillId="0" fontId="43" numFmtId="0" xfId="0" applyAlignment="1" applyFont="1">
      <alignment horizontal="left"/>
    </xf>
    <xf borderId="0" fillId="0" fontId="44" numFmtId="169" xfId="0" applyAlignment="1" applyFont="1" applyNumberFormat="1">
      <alignment horizontal="left" readingOrder="0"/>
    </xf>
    <xf borderId="0" fillId="0" fontId="44" numFmtId="0" xfId="0" applyAlignment="1" applyFont="1">
      <alignment horizontal="left" readingOrder="0"/>
    </xf>
    <xf borderId="0" fillId="0" fontId="45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1" fillId="0" fontId="45" numFmtId="4" xfId="0" applyAlignment="1" applyBorder="1" applyFont="1" applyNumberFormat="1">
      <alignment horizontal="center" readingOrder="0"/>
    </xf>
    <xf borderId="0" fillId="0" fontId="44" numFmtId="164" xfId="0" applyAlignment="1" applyFont="1" applyNumberFormat="1">
      <alignment horizontal="center"/>
    </xf>
    <xf borderId="0" fillId="0" fontId="32" numFmtId="0" xfId="0" applyAlignment="1" applyFont="1">
      <alignment horizontal="center" readingOrder="0"/>
    </xf>
    <xf borderId="1" fillId="0" fontId="44" numFmtId="4" xfId="0" applyBorder="1" applyFont="1" applyNumberFormat="1"/>
    <xf borderId="1" fillId="0" fontId="45" numFmtId="4" xfId="0" applyAlignment="1" applyBorder="1" applyFont="1" applyNumberFormat="1">
      <alignment readingOrder="0"/>
    </xf>
    <xf borderId="0" fillId="0" fontId="44" numFmtId="0" xfId="0" applyFont="1"/>
    <xf borderId="0" fillId="0" fontId="44" numFmtId="0" xfId="0" applyAlignment="1" applyFont="1">
      <alignment horizontal="left"/>
    </xf>
    <xf borderId="0" fillId="0" fontId="28" numFmtId="169" xfId="0" applyAlignment="1" applyFont="1" applyNumberFormat="1">
      <alignment horizontal="left" readingOrder="0"/>
    </xf>
    <xf borderId="0" fillId="0" fontId="28" numFmtId="0" xfId="0" applyAlignment="1" applyFont="1">
      <alignment horizontal="left" readingOrder="0"/>
    </xf>
    <xf borderId="0" fillId="0" fontId="28" numFmtId="0" xfId="0" applyAlignment="1" applyFont="1">
      <alignment horizontal="center" readingOrder="0"/>
    </xf>
    <xf borderId="0" fillId="0" fontId="28" numFmtId="4" xfId="0" applyAlignment="1" applyFont="1" applyNumberFormat="1">
      <alignment horizontal="center" readingOrder="0"/>
    </xf>
    <xf borderId="0" fillId="0" fontId="28" numFmtId="164" xfId="0" applyAlignment="1" applyFont="1" applyNumberFormat="1">
      <alignment horizontal="center"/>
    </xf>
    <xf borderId="0" fillId="0" fontId="28" numFmtId="164" xfId="0" applyAlignment="1" applyFont="1" applyNumberFormat="1">
      <alignment horizontal="right"/>
    </xf>
    <xf borderId="0" fillId="0" fontId="28" numFmtId="10" xfId="0" applyFont="1" applyNumberFormat="1"/>
    <xf borderId="0" fillId="0" fontId="43" numFmtId="4" xfId="0" applyFont="1" applyNumberFormat="1"/>
    <xf borderId="0" fillId="0" fontId="28" numFmtId="0" xfId="0" applyAlignment="1" applyFont="1">
      <alignment readingOrder="0"/>
    </xf>
    <xf borderId="0" fillId="0" fontId="28" numFmtId="0" xfId="0" applyFont="1"/>
    <xf borderId="0" fillId="0" fontId="28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8" numFmtId="164" xfId="0" applyFont="1" applyNumberFormat="1"/>
    <xf borderId="0" fillId="0" fontId="28" numFmtId="164" xfId="0" applyAlignment="1" applyFont="1" applyNumberFormat="1">
      <alignment horizontal="center" readingOrder="0"/>
    </xf>
    <xf borderId="0" fillId="14" fontId="28" numFmtId="0" xfId="0" applyAlignment="1" applyFill="1" applyFont="1">
      <alignment horizontal="left" readingOrder="0"/>
    </xf>
    <xf borderId="1" fillId="0" fontId="28" numFmtId="169" xfId="0" applyAlignment="1" applyBorder="1" applyFont="1" applyNumberFormat="1">
      <alignment horizontal="left" readingOrder="0"/>
    </xf>
    <xf borderId="1" fillId="14" fontId="28" numFmtId="0" xfId="0" applyAlignment="1" applyBorder="1" applyFill="1" applyFont="1">
      <alignment horizontal="left"/>
    </xf>
    <xf borderId="1" fillId="0" fontId="28" numFmtId="0" xfId="0" applyAlignment="1" applyBorder="1" applyFont="1">
      <alignment horizontal="left" readingOrder="0"/>
    </xf>
    <xf borderId="1" fillId="0" fontId="28" numFmtId="0" xfId="0" applyAlignment="1" applyBorder="1" applyFont="1">
      <alignment horizontal="center" readingOrder="0"/>
    </xf>
    <xf borderId="1" fillId="0" fontId="28" numFmtId="4" xfId="0" applyAlignment="1" applyBorder="1" applyFont="1" applyNumberFormat="1">
      <alignment horizontal="center" readingOrder="0"/>
    </xf>
    <xf borderId="1" fillId="0" fontId="28" numFmtId="164" xfId="0" applyAlignment="1" applyBorder="1" applyFont="1" applyNumberFormat="1">
      <alignment horizontal="center" readingOrder="0"/>
    </xf>
    <xf borderId="1" fillId="0" fontId="28" numFmtId="164" xfId="0" applyAlignment="1" applyBorder="1" applyFont="1" applyNumberFormat="1">
      <alignment horizontal="right"/>
    </xf>
    <xf borderId="1" fillId="0" fontId="28" numFmtId="4" xfId="0" applyBorder="1" applyFont="1" applyNumberFormat="1"/>
    <xf borderId="1" fillId="0" fontId="43" numFmtId="4" xfId="0" applyBorder="1" applyFont="1" applyNumberFormat="1"/>
    <xf borderId="0" fillId="0" fontId="28" numFmtId="169" xfId="0" applyFont="1" applyNumberFormat="1"/>
    <xf borderId="0" fillId="0" fontId="3" numFmtId="171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28" numFmtId="171" xfId="0" applyFont="1" applyNumberFormat="1"/>
    <xf borderId="0" fillId="0" fontId="28" numFmtId="168" xfId="0" applyAlignment="1" applyFont="1" applyNumberFormat="1">
      <alignment horizontal="left" readingOrder="0"/>
    </xf>
    <xf borderId="0" fillId="0" fontId="28" numFmtId="4" xfId="0" applyAlignment="1" applyFont="1" applyNumberFormat="1">
      <alignment horizontal="center"/>
    </xf>
    <xf borderId="0" fillId="0" fontId="28" numFmtId="4" xfId="0" applyAlignment="1" applyFont="1" applyNumberFormat="1">
      <alignment readingOrder="0"/>
    </xf>
    <xf borderId="1" fillId="0" fontId="28" numFmtId="0" xfId="0" applyAlignment="1" applyBorder="1" applyFont="1">
      <alignment horizontal="left"/>
    </xf>
    <xf borderId="1" fillId="0" fontId="28" numFmtId="4" xfId="0" applyAlignment="1" applyBorder="1" applyFont="1" applyNumberFormat="1">
      <alignment horizontal="center"/>
    </xf>
    <xf borderId="1" fillId="0" fontId="28" numFmtId="164" xfId="0" applyAlignment="1" applyBorder="1" applyFont="1" applyNumberFormat="1">
      <alignment horizontal="center"/>
    </xf>
    <xf borderId="2" fillId="11" fontId="47" numFmtId="176" xfId="0" applyAlignment="1" applyBorder="1" applyFill="1" applyFont="1" applyNumberFormat="1">
      <alignment horizontal="left" vertical="center"/>
    </xf>
    <xf borderId="0" fillId="0" fontId="3" numFmtId="0" xfId="0" applyAlignment="1" applyFont="1">
      <alignment horizontal="center" readingOrder="0" shrinkToFit="0" wrapText="0"/>
    </xf>
    <xf borderId="0" fillId="0" fontId="28" numFmtId="4" xfId="0" applyFont="1" applyNumberFormat="1"/>
    <xf borderId="0" fillId="11" fontId="18" numFmtId="4" xfId="0" applyFill="1" applyFont="1" applyNumberFormat="1"/>
    <xf borderId="0" fillId="0" fontId="28" numFmtId="166" xfId="0" applyAlignment="1" applyFont="1" applyNumberFormat="1">
      <alignment readingOrder="0"/>
    </xf>
    <xf borderId="0" fillId="0" fontId="36" numFmtId="0" xfId="0" applyAlignment="1" applyFont="1">
      <alignment horizontal="center" readingOrder="0"/>
    </xf>
    <xf borderId="2" fillId="9" fontId="19" numFmtId="4" xfId="0" applyAlignment="1" applyBorder="1" applyFill="1" applyFont="1" applyNumberFormat="1">
      <alignment horizontal="right" readingOrder="0"/>
    </xf>
    <xf borderId="0" fillId="0" fontId="28" numFmtId="166" xfId="0" applyFont="1" applyNumberFormat="1"/>
    <xf borderId="0" fillId="0" fontId="32" numFmtId="177" xfId="0" applyAlignment="1" applyFont="1" applyNumberFormat="1">
      <alignment horizontal="left" readingOrder="0"/>
    </xf>
    <xf borderId="0" fillId="15" fontId="28" numFmtId="0" xfId="0" applyAlignment="1" applyFill="1" applyFont="1">
      <alignment horizontal="left" readingOrder="0"/>
    </xf>
    <xf borderId="0" fillId="0" fontId="3" numFmtId="164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28" numFmtId="171" xfId="0" applyAlignment="1" applyFont="1" applyNumberFormat="1">
      <alignment horizontal="left" readingOrder="0"/>
    </xf>
    <xf borderId="0" fillId="0" fontId="28" numFmtId="0" xfId="0" applyAlignment="1" applyFont="1">
      <alignment horizontal="center"/>
    </xf>
    <xf borderId="0" fillId="0" fontId="28" numFmtId="0" xfId="0" applyFont="1"/>
    <xf borderId="0" fillId="0" fontId="28" numFmtId="0" xfId="0" applyAlignment="1" applyFont="1">
      <alignment horizontal="left"/>
    </xf>
    <xf borderId="0" fillId="0" fontId="28" numFmtId="0" xfId="0" applyAlignment="1" applyFont="1">
      <alignment horizontal="left" readingOrder="0" vertical="center"/>
    </xf>
    <xf borderId="0" fillId="0" fontId="28" numFmtId="0" xfId="0" applyAlignment="1" applyFont="1">
      <alignment horizontal="center" readingOrder="0" vertical="center"/>
    </xf>
    <xf borderId="0" fillId="0" fontId="28" numFmtId="4" xfId="0" applyAlignment="1" applyFont="1" applyNumberFormat="1">
      <alignment horizontal="center" readingOrder="0" vertical="center"/>
    </xf>
    <xf borderId="0" fillId="0" fontId="43" numFmtId="164" xfId="0" applyAlignment="1" applyFont="1" applyNumberFormat="1">
      <alignment horizontal="center" vertical="center"/>
    </xf>
    <xf borderId="0" fillId="0" fontId="43" numFmtId="164" xfId="0" applyAlignment="1" applyFont="1" applyNumberFormat="1">
      <alignment horizontal="left" vertical="center"/>
    </xf>
    <xf borderId="0" fillId="0" fontId="43" numFmtId="10" xfId="0" applyAlignment="1" applyFont="1" applyNumberFormat="1">
      <alignment horizontal="left" vertical="center"/>
    </xf>
    <xf borderId="0" fillId="0" fontId="43" numFmtId="4" xfId="0" applyAlignment="1" applyFont="1" applyNumberFormat="1">
      <alignment horizontal="left" vertical="center"/>
    </xf>
    <xf borderId="0" fillId="0" fontId="43" numFmtId="0" xfId="0" applyAlignment="1" applyFont="1">
      <alignment horizontal="left" vertical="center"/>
    </xf>
    <xf quotePrefix="1" borderId="0" fillId="0" fontId="28" numFmtId="0" xfId="0" applyAlignment="1" applyFont="1">
      <alignment horizontal="left" readingOrder="0"/>
    </xf>
    <xf borderId="0" fillId="0" fontId="48" numFmtId="178" xfId="0" applyAlignment="1" applyFont="1" applyNumberFormat="1">
      <alignment horizontal="center" vertical="center"/>
    </xf>
    <xf borderId="0" fillId="0" fontId="48" numFmtId="167" xfId="0" applyAlignment="1" applyFont="1" applyNumberFormat="1">
      <alignment horizontal="center" vertical="center"/>
    </xf>
    <xf borderId="0" fillId="0" fontId="38" numFmtId="164" xfId="0" applyAlignment="1" applyFont="1" applyNumberFormat="1">
      <alignment horizontal="center" readingOrder="0"/>
    </xf>
    <xf borderId="0" fillId="0" fontId="38" numFmtId="164" xfId="0" applyAlignment="1" applyFont="1" applyNumberFormat="1">
      <alignment readingOrder="0"/>
    </xf>
    <xf borderId="0" fillId="0" fontId="38" numFmtId="166" xfId="0" applyFont="1" applyNumberFormat="1"/>
    <xf borderId="0" fillId="0" fontId="49" numFmtId="0" xfId="0" applyFont="1"/>
    <xf borderId="0" fillId="0" fontId="50" numFmtId="164" xfId="0" applyAlignment="1" applyFont="1" applyNumberFormat="1">
      <alignment vertical="center"/>
    </xf>
    <xf borderId="0" fillId="0" fontId="51" numFmtId="179" xfId="0" applyAlignment="1" applyFont="1" applyNumberFormat="1">
      <alignment horizontal="left"/>
    </xf>
    <xf borderId="0" fillId="0" fontId="49" numFmtId="164" xfId="0" applyFont="1" applyNumberFormat="1"/>
    <xf borderId="0" fillId="0" fontId="38" numFmtId="0" xfId="0" applyAlignment="1" applyFont="1">
      <alignment horizontal="center" readingOrder="0"/>
    </xf>
    <xf borderId="0" fillId="0" fontId="51" numFmtId="164" xfId="0" applyFont="1" applyNumberFormat="1"/>
    <xf borderId="0" fillId="0" fontId="52" numFmtId="178" xfId="0" applyAlignment="1" applyFont="1" applyNumberFormat="1">
      <alignment horizontal="left" readingOrder="0" shrinkToFit="0" vertical="bottom" wrapText="0"/>
    </xf>
    <xf borderId="0" fillId="0" fontId="53" numFmtId="0" xfId="0" applyAlignment="1" applyFont="1">
      <alignment horizontal="center" shrinkToFit="0" wrapText="0"/>
    </xf>
    <xf borderId="0" fillId="0" fontId="53" numFmtId="164" xfId="0" applyAlignment="1" applyFont="1" applyNumberFormat="1">
      <alignment horizontal="center" shrinkToFit="0" wrapText="0"/>
    </xf>
    <xf borderId="0" fillId="0" fontId="53" numFmtId="0" xfId="0" applyAlignment="1" applyFont="1">
      <alignment shrinkToFit="0" wrapText="0"/>
    </xf>
    <xf borderId="0" fillId="0" fontId="53" numFmtId="164" xfId="0" applyAlignment="1" applyFont="1" applyNumberFormat="1">
      <alignment shrinkToFit="0" wrapText="0"/>
    </xf>
    <xf borderId="0" fillId="0" fontId="54" numFmtId="164" xfId="0" applyAlignment="1" applyFont="1" applyNumberFormat="1">
      <alignment vertical="center"/>
    </xf>
    <xf borderId="0" fillId="0" fontId="54" numFmtId="0" xfId="0" applyAlignment="1" applyFont="1">
      <alignment vertical="center"/>
    </xf>
    <xf borderId="0" fillId="0" fontId="28" numFmtId="168" xfId="0" applyAlignment="1" applyFont="1" applyNumberFormat="1">
      <alignment readingOrder="0"/>
    </xf>
    <xf borderId="0" fillId="0" fontId="55" numFmtId="0" xfId="0" applyAlignment="1" applyFont="1">
      <alignment horizontal="center" readingOrder="0"/>
    </xf>
    <xf borderId="0" fillId="0" fontId="56" numFmtId="178" xfId="0" applyAlignment="1" applyFont="1" applyNumberFormat="1">
      <alignment readingOrder="0" shrinkToFit="0" wrapText="0"/>
    </xf>
    <xf borderId="0" fillId="0" fontId="53" numFmtId="178" xfId="0" applyAlignment="1" applyFont="1" applyNumberFormat="1">
      <alignment horizontal="center" readingOrder="0" shrinkToFit="0" wrapText="0"/>
    </xf>
    <xf borderId="0" fillId="0" fontId="57" numFmtId="0" xfId="0" applyAlignment="1" applyFont="1">
      <alignment horizontal="left" readingOrder="0" shrinkToFit="0" wrapText="0"/>
    </xf>
    <xf borderId="0" fillId="0" fontId="56" numFmtId="0" xfId="0" applyAlignment="1" applyFont="1">
      <alignment horizontal="center" readingOrder="0" shrinkToFit="0" wrapText="0"/>
    </xf>
    <xf borderId="0" fillId="0" fontId="56" numFmtId="164" xfId="0" applyAlignment="1" applyFont="1" applyNumberFormat="1">
      <alignment horizontal="center" readingOrder="0" shrinkToFit="0" wrapText="0"/>
    </xf>
    <xf borderId="0" fillId="0" fontId="56" numFmtId="0" xfId="0" applyAlignment="1" applyFont="1">
      <alignment readingOrder="0" shrinkToFit="0" wrapText="0"/>
    </xf>
    <xf borderId="0" fillId="0" fontId="56" numFmtId="0" xfId="0" applyAlignment="1" applyFont="1">
      <alignment shrinkToFit="0" wrapText="0"/>
    </xf>
    <xf borderId="0" fillId="0" fontId="56" numFmtId="164" xfId="0" applyAlignment="1" applyFont="1" applyNumberFormat="1">
      <alignment shrinkToFit="0" wrapText="0"/>
    </xf>
    <xf borderId="0" fillId="0" fontId="58" numFmtId="164" xfId="0" applyAlignment="1" applyFont="1" applyNumberFormat="1">
      <alignment vertical="center"/>
    </xf>
    <xf borderId="0" fillId="0" fontId="58" numFmtId="0" xfId="0" applyAlignment="1" applyFont="1">
      <alignment vertical="center"/>
    </xf>
    <xf borderId="0" fillId="0" fontId="53" numFmtId="178" xfId="0" applyAlignment="1" applyFont="1" applyNumberFormat="1">
      <alignment horizontal="right" readingOrder="0" shrinkToFit="0" wrapText="0"/>
    </xf>
    <xf borderId="0" fillId="9" fontId="53" numFmtId="178" xfId="0" applyAlignment="1" applyFill="1" applyFont="1" applyNumberFormat="1">
      <alignment horizontal="center" readingOrder="0" shrinkToFit="0" wrapText="0"/>
    </xf>
    <xf borderId="0" fillId="9" fontId="57" numFmtId="168" xfId="0" applyAlignment="1" applyFill="1" applyFont="1" applyNumberFormat="1">
      <alignment horizontal="left" readingOrder="0" shrinkToFit="0" wrapText="0"/>
    </xf>
    <xf borderId="0" fillId="9" fontId="53" numFmtId="0" xfId="0" applyAlignment="1" applyFill="1" applyFont="1">
      <alignment horizontal="center" readingOrder="0" shrinkToFit="0" wrapText="0"/>
    </xf>
    <xf borderId="0" fillId="9" fontId="53" numFmtId="164" xfId="0" applyAlignment="1" applyFill="1" applyFont="1" applyNumberFormat="1">
      <alignment horizontal="center" readingOrder="0" shrinkToFit="0" wrapText="0"/>
    </xf>
    <xf borderId="0" fillId="0" fontId="53" numFmtId="0" xfId="0" applyAlignment="1" applyFont="1">
      <alignment readingOrder="0" shrinkToFit="0" wrapText="0"/>
    </xf>
    <xf borderId="1" fillId="0" fontId="28" numFmtId="0" xfId="0" applyAlignment="1" applyBorder="1" applyFont="1">
      <alignment readingOrder="0"/>
    </xf>
    <xf borderId="1" fillId="0" fontId="28" numFmtId="0" xfId="0" applyBorder="1" applyFont="1"/>
    <xf borderId="0" fillId="0" fontId="53" numFmtId="164" xfId="0" applyAlignment="1" applyFont="1" applyNumberFormat="1">
      <alignment shrinkToFit="0" vertical="bottom" wrapText="0"/>
    </xf>
    <xf borderId="1" fillId="0" fontId="28" numFmtId="0" xfId="0" applyAlignment="1" applyBorder="1" applyFont="1">
      <alignment horizontal="center"/>
    </xf>
    <xf borderId="0" fillId="0" fontId="53" numFmtId="0" xfId="0" applyAlignment="1" applyFont="1">
      <alignment shrinkToFit="0" vertical="bottom" wrapText="0"/>
    </xf>
    <xf borderId="0" fillId="0" fontId="53" numFmtId="164" xfId="0" applyAlignment="1" applyFont="1" applyNumberFormat="1">
      <alignment horizontal="left" shrinkToFit="0" wrapText="0"/>
    </xf>
    <xf borderId="0" fillId="0" fontId="53" numFmtId="178" xfId="0" applyAlignment="1" applyFont="1" applyNumberFormat="1">
      <alignment shrinkToFit="0" wrapText="0"/>
    </xf>
    <xf borderId="0" fillId="9" fontId="53" numFmtId="178" xfId="0" applyAlignment="1" applyFill="1" applyFont="1" applyNumberFormat="1">
      <alignment horizontal="center" shrinkToFit="0" wrapText="0"/>
    </xf>
    <xf borderId="0" fillId="9" fontId="53" numFmtId="0" xfId="0" applyAlignment="1" applyFill="1" applyFont="1">
      <alignment horizontal="center" shrinkToFit="0" wrapText="0"/>
    </xf>
    <xf borderId="0" fillId="0" fontId="53" numFmtId="16" xfId="0" applyAlignment="1" applyFont="1" applyNumberFormat="1">
      <alignment shrinkToFit="0" wrapText="0"/>
    </xf>
    <xf borderId="0" fillId="0" fontId="54" numFmtId="0" xfId="0" applyFont="1"/>
    <xf borderId="0" fillId="0" fontId="54" numFmtId="164" xfId="0" applyFont="1" applyNumberFormat="1"/>
    <xf borderId="0" fillId="0" fontId="54" numFmtId="14" xfId="0" applyAlignment="1" applyFont="1" applyNumberFormat="1">
      <alignment vertical="center"/>
    </xf>
    <xf borderId="0" fillId="9" fontId="57" numFmtId="168" xfId="0" applyAlignment="1" applyFill="1" applyFont="1" applyNumberFormat="1">
      <alignment horizontal="left" shrinkToFit="0" wrapText="0"/>
    </xf>
    <xf borderId="0" fillId="11" fontId="38" numFmtId="164" xfId="0" applyFill="1" applyFont="1" applyNumberFormat="1"/>
    <xf borderId="1" fillId="11" fontId="38" numFmtId="164" xfId="0" applyBorder="1" applyFill="1" applyFont="1" applyNumberFormat="1"/>
    <xf borderId="0" fillId="16" fontId="15" numFmtId="178" xfId="0" applyAlignment="1" applyFill="1" applyFont="1" applyNumberFormat="1">
      <alignment shrinkToFit="0" wrapText="0"/>
    </xf>
    <xf borderId="0" fillId="16" fontId="59" numFmtId="178" xfId="0" applyAlignment="1" applyFill="1" applyFont="1" applyNumberFormat="1">
      <alignment horizontal="center" shrinkToFit="0" wrapText="0"/>
    </xf>
    <xf borderId="0" fillId="6" fontId="28" numFmtId="0" xfId="0" applyAlignment="1" applyFill="1" applyFont="1">
      <alignment horizontal="left" readingOrder="0"/>
    </xf>
    <xf borderId="0" fillId="16" fontId="60" numFmtId="168" xfId="0" applyAlignment="1" applyFill="1" applyFont="1" applyNumberFormat="1">
      <alignment shrinkToFit="0" wrapText="0"/>
    </xf>
    <xf borderId="0" fillId="6" fontId="28" numFmtId="0" xfId="0" applyAlignment="1" applyFill="1" applyFont="1">
      <alignment horizontal="center" readingOrder="0"/>
    </xf>
    <xf borderId="0" fillId="16" fontId="15" numFmtId="0" xfId="0" applyAlignment="1" applyFill="1" applyFont="1">
      <alignment horizontal="center" shrinkToFit="0" wrapText="0"/>
    </xf>
    <xf borderId="0" fillId="16" fontId="15" numFmtId="164" xfId="0" applyAlignment="1" applyFill="1" applyFont="1" applyNumberFormat="1">
      <alignment shrinkToFit="0" wrapText="0"/>
    </xf>
    <xf borderId="0" fillId="6" fontId="28" numFmtId="4" xfId="0" applyAlignment="1" applyFill="1" applyFont="1" applyNumberFormat="1">
      <alignment horizontal="center" readingOrder="0"/>
    </xf>
    <xf borderId="0" fillId="11" fontId="61" numFmtId="164" xfId="0" applyFill="1" applyFont="1" applyNumberFormat="1"/>
    <xf borderId="0" fillId="17" fontId="28" numFmtId="4" xfId="0" applyAlignment="1" applyFill="1" applyFont="1" applyNumberFormat="1">
      <alignment horizontal="center" readingOrder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0" fillId="0" fontId="15" numFmtId="16" xfId="0" applyAlignment="1" applyFont="1" applyNumberFormat="1">
      <alignment shrinkToFit="0" wrapText="0"/>
    </xf>
    <xf borderId="0" fillId="0" fontId="15" numFmtId="164" xfId="0" applyAlignment="1" applyFont="1" applyNumberFormat="1">
      <alignment horizontal="left" shrinkToFit="0" wrapText="0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62" numFmtId="166" xfId="0" applyFont="1" applyNumberFormat="1"/>
    <xf borderId="0" fillId="14" fontId="53" numFmtId="0" xfId="0" applyAlignment="1" applyFill="1" applyFont="1">
      <alignment horizontal="center" readingOrder="0" shrinkToFit="0" wrapText="0"/>
    </xf>
    <xf borderId="0" fillId="9" fontId="54" numFmtId="164" xfId="0" applyAlignment="1" applyFill="1" applyFont="1" applyNumberFormat="1">
      <alignment horizontal="center" readingOrder="0" shrinkToFit="0" wrapText="0"/>
    </xf>
    <xf borderId="0" fillId="0" fontId="57" numFmtId="0" xfId="0" applyAlignment="1" applyFont="1">
      <alignment readingOrder="0" shrinkToFit="0" wrapText="0"/>
    </xf>
    <xf borderId="0" fillId="0" fontId="63" numFmtId="164" xfId="0" applyFont="1" applyNumberFormat="1"/>
    <xf borderId="0" fillId="0" fontId="53" numFmtId="168" xfId="0" applyAlignment="1" applyFont="1" applyNumberFormat="1">
      <alignment horizontal="left" readingOrder="0" shrinkToFit="0" vertical="bottom" wrapText="0"/>
    </xf>
    <xf borderId="0" fillId="0" fontId="57" numFmtId="164" xfId="0" applyAlignment="1" applyFont="1" applyNumberFormat="1">
      <alignment readingOrder="0" shrinkToFit="0" wrapText="0"/>
    </xf>
    <xf borderId="0" fillId="0" fontId="53" numFmtId="14" xfId="0" applyAlignment="1" applyFont="1" applyNumberFormat="1">
      <alignment shrinkToFit="0" wrapText="0"/>
    </xf>
    <xf borderId="0" fillId="0" fontId="53" numFmtId="14" xfId="0" applyAlignment="1" applyFont="1" applyNumberFormat="1">
      <alignment horizontal="left" readingOrder="0" shrinkToFit="0" vertical="bottom" wrapText="0"/>
    </xf>
    <xf borderId="0" fillId="0" fontId="57" numFmtId="0" xfId="0" applyAlignment="1" applyFont="1">
      <alignment shrinkToFit="0" wrapText="0"/>
    </xf>
    <xf borderId="0" fillId="9" fontId="54" numFmtId="164" xfId="0" applyAlignment="1" applyFill="1" applyFont="1" applyNumberFormat="1">
      <alignment horizontal="center" readingOrder="0" shrinkToFit="0" vertical="bottom" wrapText="0"/>
    </xf>
    <xf borderId="0" fillId="0" fontId="15" numFmtId="178" xfId="0" applyAlignment="1" applyFont="1" applyNumberFormat="1">
      <alignment shrinkToFit="0" wrapText="0"/>
    </xf>
    <xf borderId="0" fillId="9" fontId="59" numFmtId="178" xfId="0" applyAlignment="1" applyFill="1" applyFont="1" applyNumberFormat="1">
      <alignment horizontal="center" readingOrder="0" shrinkToFit="0" wrapText="0"/>
    </xf>
    <xf borderId="0" fillId="9" fontId="60" numFmtId="168" xfId="0" applyAlignment="1" applyFill="1" applyFont="1" applyNumberFormat="1">
      <alignment horizontal="right" readingOrder="0" shrinkToFit="0" wrapText="0"/>
    </xf>
    <xf borderId="0" fillId="14" fontId="15" numFmtId="0" xfId="0" applyAlignment="1" applyFill="1" applyFont="1">
      <alignment horizontal="center" readingOrder="0" shrinkToFit="0" wrapText="0"/>
    </xf>
    <xf borderId="0" fillId="9" fontId="15" numFmtId="164" xfId="0" applyAlignment="1" applyFill="1" applyFont="1" applyNumberFormat="1">
      <alignment readingOrder="0" shrinkToFit="0" wrapText="0"/>
    </xf>
    <xf borderId="0" fillId="0" fontId="15" numFmtId="168" xfId="0" applyAlignment="1" applyFont="1" applyNumberFormat="1">
      <alignment horizontal="left" readingOrder="0" shrinkToFit="0" vertical="bottom" wrapText="0"/>
    </xf>
    <xf borderId="0" fillId="0" fontId="15" numFmtId="14" xfId="0" applyAlignment="1" applyFont="1" applyNumberFormat="1">
      <alignment shrinkToFit="0" wrapText="0"/>
    </xf>
    <xf borderId="0" fillId="0" fontId="15" numFmtId="164" xfId="0" applyAlignment="1" applyFont="1" applyNumberFormat="1">
      <alignment shrinkToFit="0" wrapText="0"/>
    </xf>
    <xf borderId="0" fillId="0" fontId="15" numFmtId="14" xfId="0" applyAlignment="1" applyFont="1" applyNumberFormat="1">
      <alignment shrinkToFit="0" vertical="bottom" wrapText="0"/>
    </xf>
    <xf borderId="0" fillId="0" fontId="64" numFmtId="0" xfId="0" applyFont="1"/>
    <xf borderId="0" fillId="0" fontId="64" numFmtId="178" xfId="0" applyAlignment="1" applyFont="1" applyNumberFormat="1">
      <alignment horizontal="center" vertical="center"/>
    </xf>
    <xf borderId="0" fillId="0" fontId="64" numFmtId="167" xfId="0" applyAlignment="1" applyFont="1" applyNumberFormat="1">
      <alignment horizontal="center" vertical="center"/>
    </xf>
    <xf borderId="0" fillId="18" fontId="28" numFmtId="0" xfId="0" applyAlignment="1" applyFill="1" applyFont="1">
      <alignment horizontal="left" readingOrder="0"/>
    </xf>
    <xf borderId="0" fillId="0" fontId="53" numFmtId="14" xfId="0" applyAlignment="1" applyFont="1" applyNumberFormat="1">
      <alignment shrinkToFit="0" vertical="bottom" wrapText="0"/>
    </xf>
    <xf borderId="0" fillId="0" fontId="64" numFmtId="164" xfId="0" applyAlignment="1" applyFont="1" applyNumberFormat="1">
      <alignment horizontal="center" vertical="center"/>
    </xf>
    <xf borderId="0" fillId="18" fontId="28" numFmtId="0" xfId="0" applyAlignment="1" applyFill="1" applyFont="1">
      <alignment horizontal="center" readingOrder="0"/>
    </xf>
    <xf borderId="0" fillId="0" fontId="53" numFmtId="0" xfId="0" applyAlignment="1" applyFont="1">
      <alignment horizontal="left" shrinkToFit="0" wrapText="0"/>
    </xf>
    <xf borderId="0" fillId="0" fontId="64" numFmtId="164" xfId="0" applyAlignment="1" applyFont="1" applyNumberFormat="1">
      <alignment horizontal="center" readingOrder="0" vertical="center"/>
    </xf>
    <xf borderId="0" fillId="18" fontId="28" numFmtId="4" xfId="0" applyAlignment="1" applyFill="1" applyFont="1" applyNumberFormat="1">
      <alignment horizontal="center" readingOrder="0"/>
    </xf>
    <xf borderId="0" fillId="18" fontId="55" numFmtId="0" xfId="0" applyAlignment="1" applyFill="1" applyFont="1">
      <alignment horizontal="center" readingOrder="0"/>
    </xf>
    <xf borderId="0" fillId="0" fontId="64" numFmtId="164" xfId="0" applyFont="1" applyNumberFormat="1"/>
    <xf borderId="0" fillId="0" fontId="38" numFmtId="164" xfId="0" applyAlignment="1" applyFont="1" applyNumberFormat="1">
      <alignment horizontal="center" readingOrder="0" vertical="center"/>
    </xf>
    <xf borderId="0" fillId="0" fontId="54" numFmtId="0" xfId="0" applyAlignment="1" applyFont="1">
      <alignment horizontal="left" vertical="center"/>
    </xf>
    <xf borderId="0" fillId="0" fontId="32" numFmtId="4" xfId="0" applyAlignment="1" applyFont="1" applyNumberFormat="1">
      <alignment horizontal="center" readingOrder="0"/>
    </xf>
    <xf borderId="0" fillId="0" fontId="38" numFmtId="178" xfId="0" applyAlignment="1" applyFont="1" applyNumberFormat="1">
      <alignment horizontal="center" vertical="center"/>
    </xf>
    <xf borderId="0" fillId="0" fontId="38" numFmtId="167" xfId="0" applyAlignment="1" applyFont="1" applyNumberFormat="1">
      <alignment horizontal="center" vertical="center"/>
    </xf>
    <xf borderId="0" fillId="0" fontId="38" numFmtId="0" xfId="0" applyAlignment="1" applyFont="1">
      <alignment readingOrder="0"/>
    </xf>
    <xf borderId="0" fillId="0" fontId="38" numFmtId="164" xfId="0" applyAlignment="1" applyFont="1" applyNumberFormat="1">
      <alignment horizontal="center" vertical="center"/>
    </xf>
    <xf borderId="0" fillId="0" fontId="38" numFmtId="166" xfId="0" applyAlignment="1" applyFont="1" applyNumberFormat="1">
      <alignment horizontal="center" vertical="center"/>
    </xf>
    <xf borderId="0" fillId="0" fontId="53" numFmtId="167" xfId="0" applyAlignment="1" applyFont="1" applyNumberFormat="1">
      <alignment horizontal="left" readingOrder="0" shrinkToFit="0" wrapText="0"/>
    </xf>
    <xf borderId="7" fillId="0" fontId="28" numFmtId="169" xfId="0" applyAlignment="1" applyBorder="1" applyFont="1" applyNumberFormat="1">
      <alignment horizontal="left" readingOrder="0"/>
    </xf>
    <xf borderId="7" fillId="0" fontId="28" numFmtId="0" xfId="0" applyAlignment="1" applyBorder="1" applyFont="1">
      <alignment horizontal="left" readingOrder="0"/>
    </xf>
    <xf borderId="7" fillId="0" fontId="28" numFmtId="0" xfId="0" applyAlignment="1" applyBorder="1" applyFont="1">
      <alignment horizontal="center" readingOrder="0"/>
    </xf>
    <xf borderId="0" fillId="0" fontId="38" numFmtId="178" xfId="0" applyAlignment="1" applyFont="1" applyNumberFormat="1">
      <alignment horizontal="center" readingOrder="0" vertical="center"/>
    </xf>
    <xf borderId="7" fillId="0" fontId="28" numFmtId="4" xfId="0" applyAlignment="1" applyBorder="1" applyFont="1" applyNumberFormat="1">
      <alignment horizontal="center" readingOrder="0"/>
    </xf>
    <xf borderId="7" fillId="0" fontId="28" numFmtId="164" xfId="0" applyAlignment="1" applyBorder="1" applyFont="1" applyNumberFormat="1">
      <alignment horizontal="center"/>
    </xf>
    <xf borderId="0" fillId="0" fontId="15" numFmtId="0" xfId="0" applyAlignment="1" applyFont="1">
      <alignment horizontal="left" shrinkToFit="0" vertical="bottom" wrapText="0"/>
    </xf>
    <xf borderId="7" fillId="0" fontId="28" numFmtId="164" xfId="0" applyAlignment="1" applyBorder="1" applyFont="1" applyNumberFormat="1">
      <alignment horizontal="right"/>
    </xf>
    <xf borderId="7" fillId="0" fontId="28" numFmtId="10" xfId="0" applyBorder="1" applyFont="1" applyNumberFormat="1"/>
    <xf borderId="7" fillId="0" fontId="43" numFmtId="4" xfId="0" applyBorder="1" applyFont="1" applyNumberFormat="1"/>
    <xf borderId="7" fillId="0" fontId="28" numFmtId="169" xfId="0" applyBorder="1" applyFont="1" applyNumberFormat="1"/>
    <xf borderId="7" fillId="0" fontId="55" numFmtId="0" xfId="0" applyAlignment="1" applyBorder="1" applyFont="1">
      <alignment horizontal="center" readingOrder="0"/>
    </xf>
    <xf borderId="7" fillId="0" fontId="28" numFmtId="0" xfId="0" applyAlignment="1" applyBorder="1" applyFont="1">
      <alignment horizontal="left"/>
    </xf>
    <xf borderId="0" fillId="11" fontId="15" numFmtId="178" xfId="0" applyAlignment="1" applyFill="1" applyFont="1" applyNumberFormat="1">
      <alignment shrinkToFit="0" wrapText="0"/>
    </xf>
    <xf borderId="7" fillId="0" fontId="28" numFmtId="0" xfId="0" applyBorder="1" applyFont="1"/>
    <xf borderId="0" fillId="11" fontId="59" numFmtId="178" xfId="0" applyAlignment="1" applyFill="1" applyFont="1" applyNumberFormat="1">
      <alignment horizontal="center" shrinkToFit="0" wrapText="0"/>
    </xf>
    <xf borderId="0" fillId="11" fontId="60" numFmtId="168" xfId="0" applyAlignment="1" applyFill="1" applyFont="1" applyNumberFormat="1">
      <alignment shrinkToFit="0" wrapText="0"/>
    </xf>
    <xf borderId="0" fillId="0" fontId="38" numFmtId="166" xfId="0" applyAlignment="1" applyFont="1" applyNumberFormat="1">
      <alignment readingOrder="0"/>
    </xf>
    <xf borderId="0" fillId="11" fontId="15" numFmtId="0" xfId="0" applyAlignment="1" applyFill="1" applyFont="1">
      <alignment horizontal="center" shrinkToFit="0" wrapText="0"/>
    </xf>
    <xf borderId="0" fillId="11" fontId="7" numFmtId="164" xfId="0" applyAlignment="1" applyFill="1" applyFont="1" applyNumberFormat="1">
      <alignment shrinkToFit="0" wrapText="0"/>
    </xf>
    <xf borderId="0" fillId="0" fontId="7" numFmtId="14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53" numFmtId="168" xfId="0" applyAlignment="1" applyFont="1" applyNumberFormat="1">
      <alignment horizontal="left" readingOrder="0" shrinkToFit="0" wrapText="0"/>
    </xf>
    <xf borderId="0" fillId="0" fontId="29" numFmtId="178" xfId="0" applyAlignment="1" applyFont="1" applyNumberFormat="1">
      <alignment horizontal="center" readingOrder="0" vertical="center"/>
    </xf>
    <xf borderId="0" fillId="0" fontId="53" numFmtId="167" xfId="0" applyAlignment="1" applyFont="1" applyNumberFormat="1">
      <alignment shrinkToFit="0" wrapText="0"/>
    </xf>
    <xf borderId="0" fillId="0" fontId="29" numFmtId="178" xfId="0" applyAlignment="1" applyFont="1" applyNumberFormat="1">
      <alignment horizontal="center" vertical="center"/>
    </xf>
    <xf borderId="0" fillId="0" fontId="29" numFmtId="164" xfId="0" applyAlignment="1" applyFont="1" applyNumberFormat="1">
      <alignment horizontal="center"/>
    </xf>
    <xf borderId="0" fillId="0" fontId="53" numFmtId="167" xfId="0" applyAlignment="1" applyFont="1" applyNumberFormat="1">
      <alignment horizontal="left" readingOrder="0" shrinkToFit="0" vertical="bottom" wrapText="0"/>
    </xf>
    <xf borderId="0" fillId="9" fontId="53" numFmtId="0" xfId="0" applyAlignment="1" applyFill="1" applyFont="1">
      <alignment readingOrder="0" shrinkToFit="0" wrapText="0"/>
    </xf>
    <xf borderId="0" fillId="0" fontId="15" numFmtId="168" xfId="0" applyAlignment="1" applyFont="1" applyNumberFormat="1">
      <alignment horizontal="left" readingOrder="0" shrinkToFit="0" wrapText="0"/>
    </xf>
    <xf borderId="0" fillId="6" fontId="32" numFmtId="0" xfId="0" applyAlignment="1" applyFill="1" applyFont="1">
      <alignment readingOrder="0"/>
    </xf>
    <xf borderId="0" fillId="6" fontId="32" numFmtId="4" xfId="0" applyAlignment="1" applyFill="1" applyFont="1" applyNumberFormat="1">
      <alignment readingOrder="0"/>
    </xf>
    <xf borderId="0" fillId="19" fontId="28" numFmtId="169" xfId="0" applyFill="1" applyFont="1" applyNumberFormat="1"/>
    <xf borderId="0" fillId="0" fontId="60" numFmtId="0" xfId="0" applyAlignment="1" applyFont="1">
      <alignment readingOrder="0" shrinkToFit="0" wrapText="0"/>
    </xf>
    <xf borderId="0" fillId="0" fontId="53" numFmtId="178" xfId="0" applyAlignment="1" applyFont="1" applyNumberFormat="1">
      <alignment horizontal="center" shrinkToFit="0" wrapText="0"/>
    </xf>
    <xf borderId="0" fillId="0" fontId="57" numFmtId="168" xfId="0" applyAlignment="1" applyFont="1" applyNumberFormat="1">
      <alignment horizontal="left" readingOrder="0" shrinkToFit="0" wrapText="0"/>
    </xf>
    <xf borderId="0" fillId="0" fontId="53" numFmtId="164" xfId="0" applyAlignment="1" applyFont="1" applyNumberFormat="1">
      <alignment horizontal="center" readingOrder="0" shrinkToFit="0" wrapText="0"/>
    </xf>
    <xf borderId="0" fillId="0" fontId="53" numFmtId="0" xfId="0" applyAlignment="1" applyFont="1">
      <alignment horizontal="left" readingOrder="0" shrinkToFit="0" vertical="bottom" wrapText="0"/>
    </xf>
    <xf borderId="0" fillId="0" fontId="53" numFmtId="0" xfId="0" applyAlignment="1" applyFont="1">
      <alignment horizontal="center" readingOrder="0" shrinkToFit="0" wrapText="0"/>
    </xf>
    <xf borderId="0" fillId="0" fontId="32" numFmtId="178" xfId="0" applyFont="1" applyNumberFormat="1"/>
    <xf borderId="0" fillId="0" fontId="32" numFmtId="178" xfId="0" applyAlignment="1" applyFont="1" applyNumberFormat="1">
      <alignment horizontal="center"/>
    </xf>
    <xf borderId="0" fillId="6" fontId="28" numFmtId="0" xfId="0" applyAlignment="1" applyFill="1" applyFont="1">
      <alignment horizontal="center"/>
    </xf>
    <xf borderId="0" fillId="9" fontId="60" numFmtId="168" xfId="0" applyAlignment="1" applyFill="1" applyFont="1" applyNumberFormat="1">
      <alignment readingOrder="0" shrinkToFit="0" wrapText="0"/>
    </xf>
    <xf borderId="0" fillId="9" fontId="15" numFmtId="0" xfId="0" applyAlignment="1" applyFill="1" applyFont="1">
      <alignment horizontal="center" readingOrder="0" shrinkToFit="0" wrapText="0"/>
    </xf>
    <xf borderId="0" fillId="0" fontId="28" numFmtId="180" xfId="0" applyAlignment="1" applyFont="1" applyNumberFormat="1">
      <alignment horizontal="left" readingOrder="0"/>
    </xf>
    <xf borderId="0" fillId="0" fontId="28" numFmtId="169" xfId="0" applyAlignment="1" applyFont="1" applyNumberFormat="1">
      <alignment horizontal="left"/>
    </xf>
    <xf borderId="0" fillId="9" fontId="57" numFmtId="167" xfId="0" applyAlignment="1" applyFill="1" applyFont="1" applyNumberFormat="1">
      <alignment horizontal="left" readingOrder="0" shrinkToFit="0" wrapText="0"/>
    </xf>
    <xf borderId="0" fillId="0" fontId="29" numFmtId="167" xfId="0" applyAlignment="1" applyFont="1" applyNumberFormat="1">
      <alignment horizontal="center" vertical="center"/>
    </xf>
    <xf borderId="0" fillId="0" fontId="54" numFmtId="178" xfId="0" applyFont="1" applyNumberFormat="1"/>
    <xf borderId="0" fillId="9" fontId="54" numFmtId="0" xfId="0" applyAlignment="1" applyFill="1" applyFont="1">
      <alignment horizontal="center" readingOrder="0"/>
    </xf>
    <xf borderId="0" fillId="9" fontId="54" numFmtId="4" xfId="0" applyAlignment="1" applyFill="1" applyFont="1" applyNumberFormat="1">
      <alignment horizontal="center" readingOrder="0"/>
    </xf>
    <xf borderId="0" fillId="0" fontId="54" numFmtId="0" xfId="0" applyAlignment="1" applyFont="1">
      <alignment readingOrder="0"/>
    </xf>
    <xf borderId="0" fillId="0" fontId="54" numFmtId="0" xfId="0" applyFont="1"/>
    <xf borderId="0" fillId="0" fontId="53" numFmtId="0" xfId="0" applyAlignment="1" applyFont="1">
      <alignment horizontal="left" readingOrder="0" shrinkToFit="0" wrapText="0"/>
    </xf>
    <xf borderId="0" fillId="16" fontId="53" numFmtId="178" xfId="0" applyAlignment="1" applyFill="1" applyFont="1" applyNumberFormat="1">
      <alignment shrinkToFit="0" wrapText="0"/>
    </xf>
    <xf borderId="0" fillId="16" fontId="53" numFmtId="178" xfId="0" applyAlignment="1" applyFill="1" applyFont="1" applyNumberFormat="1">
      <alignment horizontal="center" shrinkToFit="0" wrapText="0"/>
    </xf>
    <xf borderId="0" fillId="16" fontId="57" numFmtId="168" xfId="0" applyAlignment="1" applyFill="1" applyFont="1" applyNumberFormat="1">
      <alignment horizontal="left" shrinkToFit="0" wrapText="0"/>
    </xf>
    <xf borderId="0" fillId="16" fontId="53" numFmtId="0" xfId="0" applyAlignment="1" applyFill="1" applyFont="1">
      <alignment horizontal="center" shrinkToFit="0" wrapText="0"/>
    </xf>
    <xf borderId="0" fillId="16" fontId="53" numFmtId="164" xfId="0" applyAlignment="1" applyFill="1" applyFont="1" applyNumberFormat="1">
      <alignment horizontal="center" shrinkToFit="0" wrapText="0"/>
    </xf>
    <xf borderId="0" fillId="0" fontId="54" numFmtId="178" xfId="0" applyAlignment="1" applyFont="1" applyNumberFormat="1">
      <alignment readingOrder="0"/>
    </xf>
    <xf borderId="0" fillId="9" fontId="54" numFmtId="178" xfId="0" applyAlignment="1" applyFill="1" applyFont="1" applyNumberFormat="1">
      <alignment horizontal="center" readingOrder="0"/>
    </xf>
    <xf borderId="0" fillId="9" fontId="65" numFmtId="167" xfId="0" applyAlignment="1" applyFill="1" applyFont="1" applyNumberFormat="1">
      <alignment horizontal="left" readingOrder="0"/>
    </xf>
    <xf borderId="0" fillId="9" fontId="54" numFmtId="0" xfId="0" applyAlignment="1" applyFill="1" applyFont="1">
      <alignment horizontal="left"/>
    </xf>
    <xf borderId="0" fillId="9" fontId="54" numFmtId="178" xfId="0" applyAlignment="1" applyFill="1" applyFont="1" applyNumberFormat="1">
      <alignment horizontal="center"/>
    </xf>
    <xf borderId="0" fillId="9" fontId="53" numFmtId="0" xfId="0" applyAlignment="1" applyFill="1" applyFont="1">
      <alignment horizontal="center" readingOrder="0"/>
    </xf>
    <xf borderId="0" fillId="9" fontId="53" numFmtId="4" xfId="0" applyAlignment="1" applyFill="1" applyFont="1" applyNumberFormat="1">
      <alignment horizontal="center" readingOrder="0"/>
    </xf>
    <xf borderId="0" fillId="0" fontId="53" numFmtId="0" xfId="0" applyAlignment="1" applyFont="1">
      <alignment horizontal="left" readingOrder="0"/>
    </xf>
    <xf borderId="0" fillId="9" fontId="57" numFmtId="168" xfId="0" applyAlignment="1" applyFill="1" applyFont="1" applyNumberFormat="1">
      <alignment horizontal="left" vertical="center"/>
    </xf>
    <xf borderId="0" fillId="9" fontId="54" numFmtId="0" xfId="0" applyAlignment="1" applyFill="1" applyFont="1">
      <alignment horizontal="center" readingOrder="0" vertical="center"/>
    </xf>
    <xf borderId="0" fillId="9" fontId="54" numFmtId="4" xfId="0" applyAlignment="1" applyFill="1" applyFont="1" applyNumberFormat="1">
      <alignment horizontal="center" readingOrder="0" vertical="center"/>
    </xf>
    <xf borderId="0" fillId="0" fontId="54" numFmtId="0" xfId="0" applyAlignment="1" applyFont="1">
      <alignment readingOrder="0" vertical="center"/>
    </xf>
    <xf borderId="0" fillId="9" fontId="53" numFmtId="4" xfId="0" applyAlignment="1" applyFill="1" applyFont="1" applyNumberFormat="1">
      <alignment horizontal="center" readingOrder="0" vertical="center"/>
    </xf>
    <xf borderId="0" fillId="0" fontId="29" numFmtId="167" xfId="0" applyAlignment="1" applyFont="1" applyNumberFormat="1">
      <alignment horizontal="center" readingOrder="0" vertical="center"/>
    </xf>
    <xf borderId="0" fillId="0" fontId="53" numFmtId="0" xfId="0" applyAlignment="1" applyFont="1">
      <alignment horizontal="left" readingOrder="0" vertical="center"/>
    </xf>
    <xf borderId="0" fillId="0" fontId="53" numFmtId="178" xfId="0" applyAlignment="1" applyFont="1" applyNumberFormat="1">
      <alignment readingOrder="0" shrinkToFit="0" vertical="bottom" wrapText="0"/>
    </xf>
    <xf borderId="0" fillId="9" fontId="53" numFmtId="178" xfId="0" applyAlignment="1" applyFill="1" applyFont="1" applyNumberFormat="1">
      <alignment horizontal="center" readingOrder="0" shrinkToFit="0" vertical="bottom" wrapText="0"/>
    </xf>
    <xf borderId="0" fillId="9" fontId="53" numFmtId="0" xfId="0" applyAlignment="1" applyFill="1" applyFont="1">
      <alignment horizontal="center" readingOrder="0" shrinkToFit="0" vertical="bottom" wrapText="0"/>
    </xf>
    <xf borderId="0" fillId="9" fontId="53" numFmtId="4" xfId="0" applyAlignment="1" applyFill="1" applyFont="1" applyNumberFormat="1">
      <alignment horizontal="center" readingOrder="0" shrinkToFit="0" vertical="bottom" wrapText="0"/>
    </xf>
    <xf borderId="0" fillId="0" fontId="53" numFmtId="0" xfId="0" applyAlignment="1" applyFont="1">
      <alignment readingOrder="0" shrinkToFit="0" vertical="bottom" wrapText="0"/>
    </xf>
    <xf borderId="0" fillId="9" fontId="54" numFmtId="178" xfId="0" applyAlignment="1" applyFill="1" applyFont="1" applyNumberFormat="1">
      <alignment horizontal="center" readingOrder="0" vertical="center"/>
    </xf>
    <xf borderId="0" fillId="0" fontId="53" numFmtId="167" xfId="0" applyAlignment="1" applyFont="1" applyNumberFormat="1">
      <alignment readingOrder="0" shrinkToFit="0" vertical="bottom" wrapText="0"/>
    </xf>
    <xf borderId="0" fillId="0" fontId="54" numFmtId="178" xfId="0" applyAlignment="1" applyFont="1" applyNumberFormat="1">
      <alignment horizontal="center" readingOrder="0"/>
    </xf>
    <xf borderId="0" fillId="0" fontId="57" numFmtId="167" xfId="0" applyAlignment="1" applyFont="1" applyNumberFormat="1">
      <alignment horizontal="left" readingOrder="0" shrinkToFit="0" wrapText="0"/>
    </xf>
    <xf borderId="0" fillId="0" fontId="54" numFmtId="0" xfId="0" applyAlignment="1" applyFont="1">
      <alignment horizontal="center" readingOrder="0"/>
    </xf>
    <xf borderId="0" fillId="0" fontId="54" numFmtId="4" xfId="0" applyAlignment="1" applyFont="1" applyNumberFormat="1">
      <alignment horizontal="center" readingOrder="0"/>
    </xf>
    <xf borderId="0" fillId="0" fontId="19" numFmtId="4" xfId="0" applyFont="1" applyNumberFormat="1"/>
    <xf borderId="0" fillId="9" fontId="54" numFmtId="164" xfId="0" applyAlignment="1" applyFill="1" applyFont="1" applyNumberFormat="1">
      <alignment horizontal="center" readingOrder="0" vertical="center"/>
    </xf>
    <xf borderId="0" fillId="9" fontId="54" numFmtId="0" xfId="0" applyAlignment="1" applyFill="1" applyFont="1">
      <alignment horizontal="center"/>
    </xf>
    <xf borderId="0" fillId="9" fontId="57" numFmtId="168" xfId="0" applyAlignment="1" applyFill="1" applyFont="1" applyNumberFormat="1">
      <alignment horizontal="left" readingOrder="0" vertical="center"/>
    </xf>
    <xf borderId="0" fillId="9" fontId="54" numFmtId="0" xfId="0" applyAlignment="1" applyFill="1" applyFont="1">
      <alignment readingOrder="0"/>
    </xf>
    <xf borderId="0" fillId="9" fontId="54" numFmtId="0" xfId="0" applyFill="1" applyFont="1"/>
    <xf borderId="0" fillId="20" fontId="54" numFmtId="178" xfId="0" applyAlignment="1" applyFill="1" applyFont="1" applyNumberFormat="1">
      <alignment horizontal="center"/>
    </xf>
    <xf borderId="0" fillId="20" fontId="54" numFmtId="0" xfId="0" applyAlignment="1" applyFill="1" applyFont="1">
      <alignment horizontal="left"/>
    </xf>
    <xf borderId="0" fillId="20" fontId="53" numFmtId="0" xfId="0" applyAlignment="1" applyFill="1" applyFont="1">
      <alignment horizontal="center" readingOrder="0"/>
    </xf>
    <xf borderId="0" fillId="20" fontId="53" numFmtId="4" xfId="0" applyAlignment="1" applyFill="1" applyFont="1" applyNumberFormat="1">
      <alignment horizontal="center" readingOrder="0"/>
    </xf>
    <xf borderId="0" fillId="0" fontId="53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29" numFmtId="4" xfId="0" applyAlignment="1" applyFont="1" applyNumberFormat="1">
      <alignment readingOrder="0"/>
    </xf>
    <xf borderId="0" fillId="9" fontId="53" numFmtId="168" xfId="0" applyAlignment="1" applyFill="1" applyFont="1" applyNumberFormat="1">
      <alignment horizontal="center" readingOrder="0" shrinkToFit="0" vertical="bottom" wrapText="0"/>
    </xf>
    <xf borderId="0" fillId="9" fontId="54" numFmtId="169" xfId="0" applyAlignment="1" applyFill="1" applyFont="1" applyNumberFormat="1">
      <alignment horizontal="center"/>
    </xf>
    <xf borderId="0" fillId="0" fontId="54" numFmtId="178" xfId="0" applyAlignment="1" applyFont="1" applyNumberFormat="1">
      <alignment horizontal="center" vertical="center"/>
    </xf>
    <xf borderId="0" fillId="9" fontId="54" numFmtId="169" xfId="0" applyAlignment="1" applyFill="1" applyFont="1" applyNumberFormat="1">
      <alignment horizontal="center" readingOrder="0" vertical="center"/>
    </xf>
    <xf borderId="0" fillId="9" fontId="54" numFmtId="169" xfId="0" applyAlignment="1" applyFill="1" applyFont="1" applyNumberFormat="1">
      <alignment horizontal="center" vertical="center"/>
    </xf>
    <xf borderId="0" fillId="9" fontId="53" numFmtId="4" xfId="0" applyAlignment="1" applyFill="1" applyFont="1" applyNumberFormat="1">
      <alignment horizontal="center" readingOrder="0" shrinkToFit="0" wrapText="0"/>
    </xf>
    <xf borderId="1" fillId="0" fontId="29" numFmtId="0" xfId="0" applyAlignment="1" applyBorder="1" applyFont="1">
      <alignment horizontal="center"/>
    </xf>
    <xf borderId="1" fillId="0" fontId="29" numFmtId="178" xfId="0" applyAlignment="1" applyBorder="1" applyFont="1" applyNumberFormat="1">
      <alignment horizontal="center" readingOrder="0" vertical="center"/>
    </xf>
    <xf borderId="1" fillId="0" fontId="29" numFmtId="167" xfId="0" applyAlignment="1" applyBorder="1" applyFont="1" applyNumberFormat="1">
      <alignment horizontal="center" vertical="center"/>
    </xf>
    <xf borderId="1" fillId="0" fontId="29" numFmtId="0" xfId="0" applyAlignment="1" applyBorder="1" applyFont="1">
      <alignment readingOrder="0"/>
    </xf>
    <xf borderId="1" fillId="0" fontId="29" numFmtId="0" xfId="0" applyBorder="1" applyFont="1"/>
    <xf borderId="0" fillId="0" fontId="67" numFmtId="0" xfId="0" applyAlignment="1" applyFont="1">
      <alignment readingOrder="0" shrinkToFit="0" wrapText="0"/>
    </xf>
    <xf borderId="1" fillId="0" fontId="29" numFmtId="164" xfId="0" applyAlignment="1" applyBorder="1" applyFont="1" applyNumberFormat="1">
      <alignment horizontal="center"/>
    </xf>
    <xf borderId="1" fillId="0" fontId="29" numFmtId="164" xfId="0" applyBorder="1" applyFont="1" applyNumberFormat="1"/>
    <xf borderId="1" fillId="0" fontId="38" numFmtId="164" xfId="0" applyBorder="1" applyFont="1" applyNumberFormat="1"/>
    <xf borderId="1" fillId="0" fontId="38" numFmtId="166" xfId="0" applyBorder="1" applyFont="1" applyNumberFormat="1"/>
    <xf borderId="1" fillId="0" fontId="29" numFmtId="164" xfId="0" applyAlignment="1" applyBorder="1" applyFont="1" applyNumberFormat="1">
      <alignment readingOrder="0"/>
    </xf>
    <xf borderId="0" fillId="9" fontId="53" numFmtId="169" xfId="0" applyAlignment="1" applyFill="1" applyFont="1" applyNumberFormat="1">
      <alignment horizontal="center" readingOrder="0"/>
    </xf>
    <xf borderId="0" fillId="0" fontId="53" numFmtId="169" xfId="0" applyAlignment="1" applyFont="1" applyNumberFormat="1">
      <alignment horizontal="center" readingOrder="0"/>
    </xf>
    <xf borderId="0" fillId="0" fontId="57" numFmtId="168" xfId="0" applyAlignment="1" applyFont="1" applyNumberFormat="1">
      <alignment horizontal="left" readingOrder="0" vertical="center"/>
    </xf>
    <xf borderId="0" fillId="0" fontId="53" numFmtId="4" xfId="0" applyAlignment="1" applyFont="1" applyNumberFormat="1">
      <alignment horizontal="center" readingOrder="0"/>
    </xf>
    <xf borderId="0" fillId="0" fontId="53" numFmtId="178" xfId="0" applyAlignment="1" applyFont="1" applyNumberFormat="1">
      <alignment horizontal="center" readingOrder="0" shrinkToFit="0" vertical="bottom" wrapText="0"/>
    </xf>
    <xf borderId="0" fillId="0" fontId="54" numFmtId="0" xfId="0" applyAlignment="1" applyFont="1">
      <alignment horizontal="left"/>
    </xf>
    <xf borderId="0" fillId="0" fontId="53" numFmtId="0" xfId="0" applyAlignment="1" applyFont="1">
      <alignment horizontal="center" readingOrder="0" shrinkToFit="0" vertical="bottom" wrapText="0"/>
    </xf>
    <xf borderId="0" fillId="0" fontId="53" numFmtId="4" xfId="0" applyAlignment="1" applyFont="1" applyNumberFormat="1">
      <alignment horizontal="center" readingOrder="0" shrinkToFit="0" vertical="bottom" wrapText="0"/>
    </xf>
    <xf borderId="0" fillId="0" fontId="29" numFmtId="0" xfId="0" applyAlignment="1" applyFont="1">
      <alignment horizontal="center" readingOrder="0" vertical="center"/>
    </xf>
    <xf borderId="0" fillId="0" fontId="29" numFmtId="164" xfId="0" applyAlignment="1" applyFont="1" applyNumberFormat="1">
      <alignment horizontal="center" readingOrder="0"/>
    </xf>
    <xf borderId="0" fillId="2" fontId="29" numFmtId="164" xfId="0" applyFill="1" applyFont="1" applyNumberFormat="1"/>
    <xf borderId="0" fillId="0" fontId="57" numFmtId="168" xfId="0" applyAlignment="1" applyFont="1" applyNumberFormat="1">
      <alignment horizontal="left" shrinkToFit="0" wrapText="0"/>
    </xf>
    <xf borderId="0" fillId="0" fontId="53" numFmtId="4" xfId="0" applyAlignment="1" applyFont="1" applyNumberFormat="1">
      <alignment horizontal="center" readingOrder="0" shrinkToFit="0" wrapText="0"/>
    </xf>
    <xf borderId="0" fillId="14" fontId="53" numFmtId="178" xfId="0" applyAlignment="1" applyFill="1" applyFont="1" applyNumberFormat="1">
      <alignment horizontal="center" readingOrder="0" shrinkToFit="0" wrapText="0"/>
    </xf>
    <xf borderId="0" fillId="14" fontId="57" numFmtId="168" xfId="0" applyAlignment="1" applyFill="1" applyFont="1" applyNumberFormat="1">
      <alignment horizontal="left" shrinkToFit="0" wrapText="0"/>
    </xf>
    <xf borderId="0" fillId="14" fontId="53" numFmtId="4" xfId="0" applyAlignment="1" applyFill="1" applyFont="1" applyNumberFormat="1">
      <alignment horizontal="center" readingOrder="0" shrinkToFit="0" wrapText="0"/>
    </xf>
    <xf borderId="0" fillId="14" fontId="53" numFmtId="0" xfId="0" applyAlignment="1" applyFill="1" applyFont="1">
      <alignment readingOrder="0" shrinkToFit="0" wrapText="0"/>
    </xf>
    <xf borderId="0" fillId="14" fontId="53" numFmtId="0" xfId="0" applyAlignment="1" applyFill="1" applyFont="1">
      <alignment horizontal="left" readingOrder="0"/>
    </xf>
    <xf borderId="0" fillId="0" fontId="68" numFmtId="0" xfId="0" applyAlignment="1" applyFont="1">
      <alignment readingOrder="0" shrinkToFit="0" wrapText="0"/>
    </xf>
    <xf borderId="0" fillId="9" fontId="54" numFmtId="171" xfId="0" applyAlignment="1" applyFill="1" applyFont="1" applyNumberFormat="1">
      <alignment horizontal="center" readingOrder="0" vertical="center"/>
    </xf>
    <xf borderId="0" fillId="0" fontId="54" numFmtId="169" xfId="0" applyAlignment="1" applyFont="1" applyNumberFormat="1">
      <alignment horizontal="center" readingOrder="0"/>
    </xf>
    <xf borderId="0" fillId="9" fontId="54" numFmtId="171" xfId="0" applyAlignment="1" applyFill="1" applyFont="1" applyNumberFormat="1">
      <alignment horizontal="center" readingOrder="0"/>
    </xf>
    <xf borderId="0" fillId="0" fontId="54" numFmtId="0" xfId="0" applyAlignment="1" applyFont="1">
      <alignment horizontal="center" readingOrder="0" vertical="center"/>
    </xf>
    <xf borderId="0" fillId="0" fontId="54" numFmtId="4" xfId="0" applyAlignment="1" applyFont="1" applyNumberFormat="1">
      <alignment horizontal="center" readingOrder="0" vertical="center"/>
    </xf>
    <xf borderId="0" fillId="0" fontId="54" numFmtId="180" xfId="0" applyAlignment="1" applyFont="1" applyNumberFormat="1">
      <alignment horizontal="center" readingOrder="0"/>
    </xf>
    <xf borderId="0" fillId="0" fontId="54" numFmtId="169" xfId="0" applyAlignment="1" applyFont="1" applyNumberFormat="1">
      <alignment horizontal="center" readingOrder="0" vertical="center"/>
    </xf>
    <xf borderId="0" fillId="0" fontId="57" numFmtId="168" xfId="0" applyAlignment="1" applyFont="1" applyNumberFormat="1">
      <alignment horizontal="left" vertical="center"/>
    </xf>
    <xf borderId="0" fillId="0" fontId="54" numFmtId="169" xfId="0" applyAlignment="1" applyFont="1" applyNumberFormat="1">
      <alignment horizontal="center"/>
    </xf>
    <xf borderId="0" fillId="0" fontId="54" numFmtId="171" xfId="0" applyAlignment="1" applyFont="1" applyNumberFormat="1">
      <alignment horizontal="center" readingOrder="0"/>
    </xf>
    <xf borderId="0" fillId="0" fontId="54" numFmtId="0" xfId="0" applyAlignment="1" applyFont="1">
      <alignment vertical="center"/>
    </xf>
    <xf borderId="0" fillId="0" fontId="54" numFmtId="169" xfId="0" applyAlignment="1" applyFont="1" applyNumberFormat="1">
      <alignment horizontal="center" vertical="center"/>
    </xf>
    <xf borderId="0" fillId="0" fontId="54" numFmtId="0" xfId="0" applyAlignment="1" applyFont="1">
      <alignment horizontal="left" readingOrder="0"/>
    </xf>
    <xf borderId="0" fillId="0" fontId="54" numFmtId="171" xfId="0" applyAlignment="1" applyFont="1" applyNumberFormat="1">
      <alignment horizontal="center" readingOrder="0" vertical="center"/>
    </xf>
    <xf borderId="0" fillId="0" fontId="53" numFmtId="169" xfId="0" applyAlignment="1" applyFont="1" applyNumberFormat="1">
      <alignment horizontal="center"/>
    </xf>
    <xf borderId="0" fillId="0" fontId="54" numFmtId="178" xfId="0" applyAlignment="1" applyFont="1" applyNumberFormat="1">
      <alignment horizontal="center"/>
    </xf>
    <xf borderId="0" fillId="0" fontId="54" numFmtId="0" xfId="0" applyAlignment="1" applyFont="1">
      <alignment horizontal="center"/>
    </xf>
    <xf borderId="0" fillId="0" fontId="54" numFmtId="0" xfId="0" applyAlignment="1" applyFont="1">
      <alignment horizontal="center" vertical="center"/>
    </xf>
    <xf borderId="0" fillId="0" fontId="54" numFmtId="164" xfId="0" applyAlignment="1" applyFont="1" applyNumberFormat="1">
      <alignment horizontal="center" vertical="center"/>
    </xf>
    <xf borderId="1" fillId="2" fontId="29" numFmtId="164" xfId="0" applyBorder="1" applyFill="1" applyFont="1" applyNumberFormat="1"/>
    <xf borderId="0" fillId="0" fontId="29" numFmtId="178" xfId="0" applyAlignment="1" applyFont="1" applyNumberFormat="1">
      <alignment horizontal="left" readingOrder="0"/>
    </xf>
    <xf borderId="0" fillId="0" fontId="19" numFmtId="0" xfId="0" applyAlignment="1" applyFont="1">
      <alignment readingOrder="0" shrinkToFit="0" wrapText="0"/>
    </xf>
    <xf borderId="0" fillId="0" fontId="4" numFmtId="14" xfId="0" applyFont="1" applyNumberFormat="1"/>
    <xf borderId="0" fillId="0" fontId="4" numFmtId="0" xfId="0" applyFont="1"/>
    <xf borderId="0" fillId="0" fontId="69" numFmtId="0" xfId="0" applyFont="1"/>
    <xf borderId="8" fillId="0" fontId="2" numFmtId="164" xfId="0" applyBorder="1" applyFont="1" applyNumberFormat="1"/>
    <xf borderId="0" fillId="0" fontId="70" numFmtId="0" xfId="0" applyFont="1"/>
    <xf borderId="0" fillId="0" fontId="71" numFmtId="164" xfId="0" applyAlignment="1" applyFont="1" applyNumberFormat="1">
      <alignment vertical="center"/>
    </xf>
    <xf borderId="0" fillId="0" fontId="72" numFmtId="179" xfId="0" applyAlignment="1" applyFont="1" applyNumberFormat="1">
      <alignment horizontal="left"/>
    </xf>
    <xf borderId="0" fillId="0" fontId="70" numFmtId="164" xfId="0" applyFont="1" applyNumberFormat="1"/>
    <xf borderId="0" fillId="0" fontId="73" numFmtId="164" xfId="0" applyFont="1" applyNumberFormat="1"/>
    <xf borderId="0" fillId="0" fontId="19" numFmtId="0" xfId="0" applyAlignment="1" applyFont="1">
      <alignment horizontal="left" readingOrder="0" shrinkToFit="0" wrapText="0"/>
    </xf>
    <xf borderId="0" fillId="0" fontId="19" numFmtId="178" xfId="0" applyAlignment="1" applyFont="1" applyNumberFormat="1">
      <alignment horizontal="left" readingOrder="0"/>
    </xf>
    <xf borderId="0" fillId="0" fontId="74" numFmtId="164" xfId="0" applyFont="1" applyNumberFormat="1"/>
    <xf borderId="0" fillId="0" fontId="19" numFmtId="4" xfId="0" applyAlignment="1" applyFont="1" applyNumberFormat="1">
      <alignment horizontal="center" readingOrder="0"/>
    </xf>
    <xf borderId="0" fillId="0" fontId="75" numFmtId="0" xfId="0" applyFont="1"/>
    <xf borderId="0" fillId="0" fontId="75" numFmtId="14" xfId="0" applyFont="1" applyNumberFormat="1"/>
    <xf borderId="0" fillId="0" fontId="75" numFmtId="164" xfId="0" applyAlignment="1" applyFont="1" applyNumberFormat="1">
      <alignment horizontal="center" vertical="center"/>
    </xf>
    <xf borderId="0" fillId="0" fontId="75" numFmtId="164" xfId="0" applyFont="1" applyNumberFormat="1"/>
    <xf borderId="0" fillId="0" fontId="2" numFmtId="14" xfId="0" applyFont="1" applyNumberFormat="1"/>
    <xf borderId="8" fillId="0" fontId="2" numFmtId="164" xfId="0" applyAlignment="1" applyBorder="1" applyFont="1" applyNumberFormat="1">
      <alignment horizontal="center" vertical="center"/>
    </xf>
    <xf borderId="0" fillId="0" fontId="3" numFmtId="14" xfId="0" applyFont="1" applyNumberFormat="1"/>
    <xf borderId="0" fillId="0" fontId="76" numFmtId="0" xfId="0" applyFont="1"/>
    <xf borderId="8" fillId="0" fontId="3" numFmtId="164" xfId="0" applyBorder="1" applyFont="1" applyNumberFormat="1"/>
    <xf borderId="0" fillId="15" fontId="19" numFmtId="0" xfId="0" applyAlignment="1" applyFill="1" applyFont="1">
      <alignment horizontal="left" readingOrder="0"/>
    </xf>
    <xf borderId="0" fillId="0" fontId="76" numFmtId="14" xfId="0" applyFont="1" applyNumberFormat="1"/>
    <xf borderId="1" fillId="0" fontId="19" numFmtId="178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left" readingOrder="0"/>
    </xf>
    <xf borderId="0" fillId="0" fontId="29" numFmtId="0" xfId="0" applyAlignment="1" applyFont="1">
      <alignment horizontal="center"/>
    </xf>
    <xf borderId="1" fillId="0" fontId="29" numFmtId="0" xfId="0" applyAlignment="1" applyBorder="1" applyFont="1">
      <alignment horizontal="center" readingOrder="0"/>
    </xf>
    <xf borderId="0" fillId="21" fontId="32" numFmtId="0" xfId="0" applyFill="1" applyFont="1"/>
    <xf borderId="0" fillId="21" fontId="77" numFmtId="0" xfId="0" applyFill="1" applyFont="1"/>
    <xf borderId="0" fillId="21" fontId="78" numFmtId="0" xfId="0" applyAlignment="1" applyFill="1" applyFont="1">
      <alignment readingOrder="0"/>
    </xf>
    <xf borderId="0" fillId="21" fontId="77" numFmtId="0" xfId="0" applyAlignment="1" applyFill="1" applyFont="1">
      <alignment readingOrder="0"/>
    </xf>
    <xf borderId="0" fillId="21" fontId="79" numFmtId="0" xfId="0" applyAlignment="1" applyFill="1" applyFont="1">
      <alignment readingOrder="0"/>
    </xf>
    <xf borderId="0" fillId="21" fontId="77" numFmtId="4" xfId="0" applyAlignment="1" applyFill="1" applyFont="1" applyNumberFormat="1">
      <alignment horizontal="center" readingOrder="0" vertical="top"/>
    </xf>
    <xf borderId="0" fillId="21" fontId="80" numFmtId="0" xfId="0" applyAlignment="1" applyFill="1" applyFont="1">
      <alignment readingOrder="0"/>
    </xf>
    <xf borderId="1" fillId="0" fontId="29" numFmtId="4" xfId="0" applyAlignment="1" applyBorder="1" applyFont="1" applyNumberFormat="1">
      <alignment readingOrder="0"/>
    </xf>
    <xf borderId="0" fillId="0" fontId="81" numFmtId="0" xfId="0" applyFont="1"/>
    <xf borderId="0" fillId="0" fontId="81" numFmtId="4" xfId="0" applyAlignment="1" applyFont="1" applyNumberFormat="1">
      <alignment horizontal="center"/>
    </xf>
    <xf borderId="0" fillId="0" fontId="82" numFmtId="0" xfId="0" applyAlignment="1" applyFont="1">
      <alignment horizontal="center"/>
    </xf>
    <xf borderId="0" fillId="0" fontId="81" numFmtId="0" xfId="0" applyAlignment="1" applyFont="1">
      <alignment readingOrder="0"/>
    </xf>
    <xf borderId="0" fillId="0" fontId="81" numFmtId="4" xfId="0" applyAlignment="1" applyFont="1" applyNumberFormat="1">
      <alignment horizontal="center" readingOrder="0"/>
    </xf>
    <xf borderId="0" fillId="0" fontId="82" numFmtId="0" xfId="0" applyAlignment="1" applyFont="1">
      <alignment horizontal="center" readingOrder="0"/>
    </xf>
    <xf borderId="0" fillId="0" fontId="83" numFmtId="169" xfId="0" applyAlignment="1" applyFont="1" applyNumberFormat="1">
      <alignment horizontal="left" readingOrder="0"/>
    </xf>
    <xf borderId="0" fillId="0" fontId="83" numFmtId="0" xfId="0" applyAlignment="1" applyFont="1">
      <alignment horizontal="left" readingOrder="0"/>
    </xf>
    <xf borderId="0" fillId="0" fontId="83" numFmtId="0" xfId="0" applyAlignment="1" applyFont="1">
      <alignment horizontal="center" readingOrder="0"/>
    </xf>
    <xf borderId="0" fillId="0" fontId="83" numFmtId="4" xfId="0" applyAlignment="1" applyFont="1" applyNumberFormat="1">
      <alignment horizontal="center" readingOrder="0"/>
    </xf>
    <xf borderId="0" fillId="0" fontId="81" numFmtId="169" xfId="0" applyAlignment="1" applyFont="1" applyNumberFormat="1">
      <alignment readingOrder="0"/>
    </xf>
    <xf borderId="0" fillId="0" fontId="81" numFmtId="169" xfId="0" applyFont="1" applyNumberFormat="1"/>
    <xf borderId="0" fillId="0" fontId="83" numFmtId="0" xfId="0" applyAlignment="1" applyFont="1">
      <alignment readingOrder="0"/>
    </xf>
    <xf borderId="0" fillId="0" fontId="83" numFmtId="0" xfId="0" applyAlignment="1" applyFont="1">
      <alignment horizontal="center" readingOrder="0" vertical="center"/>
    </xf>
    <xf borderId="0" fillId="0" fontId="83" numFmtId="0" xfId="0" applyAlignment="1" applyFont="1">
      <alignment horizontal="center"/>
    </xf>
    <xf borderId="0" fillId="0" fontId="81" numFmtId="0" xfId="0" applyAlignment="1" applyFont="1">
      <alignment vertical="center"/>
    </xf>
    <xf borderId="0" fillId="0" fontId="81" numFmtId="180" xfId="0" applyAlignment="1" applyFont="1" applyNumberFormat="1">
      <alignment readingOrder="0"/>
    </xf>
    <xf borderId="0" fillId="0" fontId="81" numFmtId="171" xfId="0" applyAlignment="1" applyFont="1" applyNumberFormat="1">
      <alignment readingOrder="0"/>
    </xf>
    <xf borderId="0" fillId="0" fontId="83" numFmtId="0" xfId="0" applyFont="1"/>
    <xf borderId="0" fillId="0" fontId="83" numFmtId="171" xfId="0" applyAlignment="1" applyFont="1" applyNumberFormat="1">
      <alignment horizontal="left" readingOrder="0"/>
    </xf>
    <xf borderId="0" fillId="18" fontId="81" numFmtId="169" xfId="0" applyAlignment="1" applyFill="1" applyFont="1" applyNumberFormat="1">
      <alignment readingOrder="0"/>
    </xf>
    <xf borderId="0" fillId="18" fontId="83" numFmtId="0" xfId="0" applyAlignment="1" applyFill="1" applyFont="1">
      <alignment readingOrder="0"/>
    </xf>
    <xf borderId="0" fillId="0" fontId="81" numFmtId="171" xfId="0" applyAlignment="1" applyFont="1" applyNumberFormat="1">
      <alignment horizontal="left" readingOrder="0"/>
    </xf>
    <xf borderId="0" fillId="0" fontId="81" numFmtId="0" xfId="0" applyAlignment="1" applyFont="1">
      <alignment horizontal="center" readingOrder="0"/>
    </xf>
    <xf borderId="0" fillId="0" fontId="84" numFmtId="164" xfId="0" applyAlignment="1" applyFont="1" applyNumberFormat="1">
      <alignment horizontal="center"/>
    </xf>
    <xf borderId="0" fillId="0" fontId="38" numFmtId="0" xfId="0" applyAlignment="1" applyFont="1">
      <alignment horizontal="center" vertical="center"/>
    </xf>
    <xf borderId="0" fillId="0" fontId="81" numFmtId="167" xfId="0" applyAlignment="1" applyFont="1" applyNumberFormat="1">
      <alignment readingOrder="0"/>
    </xf>
    <xf borderId="0" fillId="0" fontId="83" numFmtId="169" xfId="0" applyFont="1" applyNumberFormat="1"/>
    <xf borderId="0" fillId="0" fontId="32" numFmtId="178" xfId="0" applyAlignment="1" applyFont="1" applyNumberFormat="1">
      <alignment readingOrder="0"/>
    </xf>
    <xf borderId="0" fillId="0" fontId="83" numFmtId="169" xfId="0" applyAlignment="1" applyFont="1" applyNumberFormat="1">
      <alignment readingOrder="0"/>
    </xf>
    <xf borderId="1" fillId="0" fontId="29" numFmtId="178" xfId="0" applyAlignment="1" applyBorder="1" applyFont="1" applyNumberFormat="1">
      <alignment horizontal="center" vertical="center"/>
    </xf>
    <xf borderId="0" fillId="0" fontId="38" numFmtId="4" xfId="0" applyAlignment="1" applyFont="1" applyNumberFormat="1">
      <alignment readingOrder="0"/>
    </xf>
  </cellXfs>
  <cellStyles count="1">
    <cellStyle xfId="0" name="Normal" builtinId="0"/>
  </cellStyles>
  <dxfs count="3">
    <dxf>
      <font>
        <color rgb="FF9C0006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0.14"/>
  </cols>
  <sheetData>
    <row r="1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>
        <v>2026.0</v>
      </c>
      <c r="B2" s="12" t="s">
        <v>4</v>
      </c>
      <c r="C2" s="12" t="s">
        <v>5</v>
      </c>
      <c r="D2" s="12" t="s">
        <v>6</v>
      </c>
      <c r="E2" s="12" t="s">
        <v>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 t="s">
        <v>12</v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">
        <v>14</v>
      </c>
      <c r="B4" s="25">
        <f>'2026 IS'!C5</f>
        <v>405325.97</v>
      </c>
      <c r="C4" s="26">
        <f>'2026 IS'!D5</f>
        <v>314994.6</v>
      </c>
      <c r="D4" s="26">
        <f>'2026 IS'!E5</f>
        <v>676068</v>
      </c>
      <c r="E4" s="26">
        <f>'2026 IS'!F5</f>
        <v>664972.26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7" t="s">
        <v>25</v>
      </c>
      <c r="B5" s="33">
        <f>'2026 IS'!C6</f>
        <v>-280718.4</v>
      </c>
      <c r="C5" s="35">
        <f>'2026 IS'!D6</f>
        <v>-206326.08</v>
      </c>
      <c r="D5" s="35">
        <f>'2026 IS'!E6+'2026 IS'!E7</f>
        <v>-527192.8</v>
      </c>
      <c r="E5" s="35">
        <f>'2026 IS'!F6</f>
        <v>-500048.32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">
        <v>29</v>
      </c>
      <c r="B6" s="26">
        <f>'2026 IS'!C8</f>
        <v>124607.57</v>
      </c>
      <c r="C6" s="26">
        <f>'2026 IS'!D8</f>
        <v>108668.52</v>
      </c>
      <c r="D6" s="26">
        <f>'2026 IS'!E8</f>
        <v>148875.2</v>
      </c>
      <c r="E6" s="26">
        <f>'2026 IS'!F8</f>
        <v>164923.94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">
        <v>37</v>
      </c>
      <c r="B7" s="35">
        <f>-'2026 IS'!C35</f>
        <v>-86778.60243</v>
      </c>
      <c r="C7" s="35">
        <f>-'2026 IS'!D35</f>
        <v>-95045.81733</v>
      </c>
      <c r="D7" s="35">
        <f>-'2026 IS'!E35</f>
        <v>-149782.0833</v>
      </c>
      <c r="E7" s="35">
        <f>-'2026 IS'!F35</f>
        <v>-86517.73333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6" t="s">
        <v>42</v>
      </c>
      <c r="B8" s="8">
        <f>'2026 IS'!C39</f>
        <v>30263.17405</v>
      </c>
      <c r="C8" s="8">
        <f>'2026 IS'!D39</f>
        <v>10898.16213</v>
      </c>
      <c r="D8" s="44">
        <f>'2026 IS'!E36</f>
        <v>-906.8833333</v>
      </c>
      <c r="E8" s="8">
        <f>'2026 IS'!F39</f>
        <v>62724.96533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6" t="s">
        <v>48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7" t="s">
        <v>51</v>
      </c>
      <c r="B11" s="39">
        <f>'2026 Purch'!K2</f>
        <v>582521.5</v>
      </c>
      <c r="C11" s="39">
        <f t="shared" ref="C11:D11" si="1">B14</f>
        <v>563271.1</v>
      </c>
      <c r="D11" s="39">
        <f t="shared" si="1"/>
        <v>576346.62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7" t="s">
        <v>55</v>
      </c>
      <c r="B12" s="26">
        <f>'2026 Purch'!H20</f>
        <v>261468</v>
      </c>
      <c r="C12" s="26">
        <f>'2026 Purch'!H34</f>
        <v>219401.6</v>
      </c>
      <c r="D12" s="26">
        <f>'2026 Purch'!H53</f>
        <v>548340.12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7" t="s">
        <v>59</v>
      </c>
      <c r="B13" s="35">
        <f>-'2026 Purch'!I20</f>
        <v>-280718.4</v>
      </c>
      <c r="C13" s="35">
        <f>-'2026 Purch'!I34</f>
        <v>-206326.08</v>
      </c>
      <c r="D13" s="35">
        <f>-'2026 Purch'!I53</f>
        <v>-521692.8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6" t="s">
        <v>65</v>
      </c>
      <c r="B14" s="9">
        <f t="shared" ref="B14:E14" si="2">sum(B11:B13)</f>
        <v>563271.1</v>
      </c>
      <c r="C14" s="9">
        <f t="shared" si="2"/>
        <v>576346.62</v>
      </c>
      <c r="D14" s="9">
        <f t="shared" si="2"/>
        <v>602993.94</v>
      </c>
      <c r="E14" s="13">
        <f t="shared" si="2"/>
        <v>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6" t="s">
        <v>72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7" t="s">
        <v>51</v>
      </c>
      <c r="B17" s="26">
        <f>'2026 AP'!J15</f>
        <v>534000.2</v>
      </c>
      <c r="C17" s="26">
        <f t="shared" ref="C17:D17" si="3">B20</f>
        <v>462098.8</v>
      </c>
      <c r="D17" s="26">
        <f t="shared" si="3"/>
        <v>462705.6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7" t="s">
        <v>55</v>
      </c>
      <c r="B18" s="26">
        <f>'2026 Purch'!H20</f>
        <v>261468</v>
      </c>
      <c r="C18" s="26">
        <f>'2026 Purch'!H34</f>
        <v>219401.6</v>
      </c>
      <c r="D18" s="26">
        <f>D12</f>
        <v>548340.12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7" t="s">
        <v>79</v>
      </c>
      <c r="B19" s="35">
        <f>-sum('2026 AP'!H16:H50)</f>
        <v>-333369.4</v>
      </c>
      <c r="C19" s="35">
        <f>-sum('2026 AP'!H51:H74)</f>
        <v>-218794.8</v>
      </c>
      <c r="D19" s="35">
        <f>-sum('2026 AP'!H75:H93)</f>
        <v>-504266.72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6" t="s">
        <v>65</v>
      </c>
      <c r="B20" s="8">
        <f t="shared" ref="B20:E20" si="4">sum(B17:B19)</f>
        <v>462098.8</v>
      </c>
      <c r="C20" s="8">
        <f t="shared" si="4"/>
        <v>462705.6</v>
      </c>
      <c r="D20" s="8">
        <f t="shared" si="4"/>
        <v>506779</v>
      </c>
      <c r="E20" s="13">
        <f t="shared" si="4"/>
        <v>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6" t="s">
        <v>85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7" t="s">
        <v>51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7" t="s">
        <v>87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7" t="s">
        <v>90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6" t="s">
        <v>65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40.29"/>
    <col customWidth="1" min="3" max="4" width="14.57"/>
    <col customWidth="1" min="5" max="5" width="22.29"/>
    <col customWidth="1" min="6" max="6" width="50.86"/>
    <col customWidth="1" min="7" max="26" width="8.86"/>
  </cols>
  <sheetData>
    <row r="1" ht="13.5" customHeight="1">
      <c r="A1" s="1"/>
      <c r="B1" s="2"/>
      <c r="C1" s="3"/>
      <c r="D1" s="3"/>
      <c r="E1" s="7">
        <v>17329.53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 t="s">
        <v>1</v>
      </c>
      <c r="B2" s="2" t="s">
        <v>2</v>
      </c>
      <c r="C2" s="11" t="s">
        <v>3</v>
      </c>
      <c r="D2" s="11" t="s">
        <v>7</v>
      </c>
      <c r="E2" s="14" t="s">
        <v>9</v>
      </c>
      <c r="F2" s="1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2"/>
      <c r="C3" s="11">
        <f t="shared" ref="C3:D3" si="1">SUM(C5:C1048649)</f>
        <v>1398388.57</v>
      </c>
      <c r="D3" s="11">
        <f t="shared" si="1"/>
        <v>1817994.87</v>
      </c>
      <c r="E3" s="14">
        <f>E1+C3-D3</f>
        <v>-402276.77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>
        <v>2026.0</v>
      </c>
      <c r="B4" s="2" t="s">
        <v>24</v>
      </c>
      <c r="C4" s="27"/>
      <c r="D4" s="27"/>
      <c r="E4" s="2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9"/>
      <c r="B5" s="30"/>
      <c r="C5" s="31"/>
      <c r="D5" s="32"/>
      <c r="E5" s="34">
        <f>E1</f>
        <v>17329.53</v>
      </c>
      <c r="F5" s="30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3.5" customHeight="1">
      <c r="A6" s="29">
        <v>46053.0</v>
      </c>
      <c r="B6" s="30" t="s">
        <v>28</v>
      </c>
      <c r="C6" s="31">
        <v>405325.97</v>
      </c>
      <c r="D6" s="32"/>
      <c r="E6" s="34">
        <f t="shared" ref="E6:E64" si="2">E5+C6-D6</f>
        <v>422655.5</v>
      </c>
      <c r="F6" s="30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3.5" customHeight="1">
      <c r="A7" s="29">
        <v>46029.0</v>
      </c>
      <c r="B7" s="30" t="s">
        <v>30</v>
      </c>
      <c r="C7" s="31"/>
      <c r="D7" s="32">
        <v>15600.0</v>
      </c>
      <c r="E7" s="34">
        <f t="shared" si="2"/>
        <v>407055.5</v>
      </c>
      <c r="F7" s="30" t="s">
        <v>31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3.5" customHeight="1">
      <c r="A8" s="29">
        <v>46030.0</v>
      </c>
      <c r="B8" s="30" t="s">
        <v>33</v>
      </c>
      <c r="C8" s="31"/>
      <c r="D8" s="32">
        <v>20538.0</v>
      </c>
      <c r="E8" s="34">
        <f t="shared" si="2"/>
        <v>386517.5</v>
      </c>
      <c r="F8" s="30" t="s">
        <v>34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3.5" customHeight="1">
      <c r="A9" s="29">
        <v>46037.0</v>
      </c>
      <c r="B9" s="30" t="s">
        <v>35</v>
      </c>
      <c r="C9" s="31"/>
      <c r="D9" s="32">
        <v>6000.0</v>
      </c>
      <c r="E9" s="34">
        <f t="shared" si="2"/>
        <v>380517.5</v>
      </c>
      <c r="F9" s="30" t="s">
        <v>36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29">
        <v>46037.0</v>
      </c>
      <c r="B10" s="30" t="s">
        <v>35</v>
      </c>
      <c r="C10" s="31"/>
      <c r="D10" s="32">
        <v>6600.0</v>
      </c>
      <c r="E10" s="34">
        <f t="shared" si="2"/>
        <v>373917.5</v>
      </c>
      <c r="F10" s="30" t="s">
        <v>38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3.5" customHeight="1">
      <c r="A11" s="29">
        <v>46037.0</v>
      </c>
      <c r="B11" s="30" t="s">
        <v>35</v>
      </c>
      <c r="C11" s="31"/>
      <c r="D11" s="32">
        <v>500.0</v>
      </c>
      <c r="E11" s="34">
        <f t="shared" si="2"/>
        <v>373417.5</v>
      </c>
      <c r="F11" s="30" t="s">
        <v>39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3.5" customHeight="1">
      <c r="A12" s="29">
        <v>46037.0</v>
      </c>
      <c r="B12" s="30" t="s">
        <v>35</v>
      </c>
      <c r="C12" s="31"/>
      <c r="D12" s="32">
        <v>2500.0</v>
      </c>
      <c r="E12" s="34">
        <f t="shared" si="2"/>
        <v>370917.5</v>
      </c>
      <c r="F12" s="30" t="s">
        <v>40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3.5" customHeight="1">
      <c r="A13" s="29">
        <v>46044.0</v>
      </c>
      <c r="B13" s="30" t="s">
        <v>41</v>
      </c>
      <c r="C13" s="31"/>
      <c r="D13" s="32">
        <v>26928.0</v>
      </c>
      <c r="E13" s="34">
        <f t="shared" si="2"/>
        <v>343989.5</v>
      </c>
      <c r="F13" s="30" t="s">
        <v>43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3.5" customHeight="1">
      <c r="A14" s="42">
        <v>46042.0</v>
      </c>
      <c r="B14" s="30" t="s">
        <v>41</v>
      </c>
      <c r="C14" s="31"/>
      <c r="D14" s="31">
        <v>20000.0</v>
      </c>
      <c r="E14" s="34">
        <f t="shared" si="2"/>
        <v>323989.5</v>
      </c>
      <c r="F14" s="30" t="s">
        <v>44</v>
      </c>
      <c r="G14" s="30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3.5" customHeight="1">
      <c r="A15" s="43">
        <v>45669.0</v>
      </c>
      <c r="B15" s="30" t="s">
        <v>41</v>
      </c>
      <c r="C15" s="31"/>
      <c r="D15" s="31">
        <v>11800.0</v>
      </c>
      <c r="E15" s="34">
        <f t="shared" si="2"/>
        <v>312189.5</v>
      </c>
      <c r="F15" s="30" t="s">
        <v>46</v>
      </c>
      <c r="G15" s="30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3.5" customHeight="1">
      <c r="A16" s="43">
        <v>45670.0</v>
      </c>
      <c r="B16" s="30" t="s">
        <v>41</v>
      </c>
      <c r="C16" s="31"/>
      <c r="D16" s="31">
        <v>13800.0</v>
      </c>
      <c r="E16" s="34">
        <f t="shared" si="2"/>
        <v>298389.5</v>
      </c>
      <c r="F16" s="30" t="s">
        <v>47</v>
      </c>
      <c r="G16" s="30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3.5" customHeight="1">
      <c r="A17" s="43">
        <v>45670.0</v>
      </c>
      <c r="B17" s="30" t="s">
        <v>41</v>
      </c>
      <c r="C17" s="31"/>
      <c r="D17" s="31">
        <v>16300.0</v>
      </c>
      <c r="E17" s="34">
        <f t="shared" si="2"/>
        <v>282089.5</v>
      </c>
      <c r="F17" s="30" t="s">
        <v>49</v>
      </c>
      <c r="G17" s="30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3.5" customHeight="1">
      <c r="A18" s="42">
        <v>46041.0</v>
      </c>
      <c r="B18" s="30" t="s">
        <v>41</v>
      </c>
      <c r="C18" s="31"/>
      <c r="D18" s="31">
        <v>5310.0</v>
      </c>
      <c r="E18" s="34">
        <f t="shared" si="2"/>
        <v>276779.5</v>
      </c>
      <c r="F18" s="30" t="s">
        <v>52</v>
      </c>
      <c r="G18" s="30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3.5" customHeight="1">
      <c r="A19" s="42">
        <v>46041.0</v>
      </c>
      <c r="B19" s="30" t="s">
        <v>41</v>
      </c>
      <c r="C19" s="31"/>
      <c r="D19" s="31">
        <v>18760.0</v>
      </c>
      <c r="E19" s="34">
        <f t="shared" si="2"/>
        <v>258019.5</v>
      </c>
      <c r="F19" s="30" t="s">
        <v>53</v>
      </c>
      <c r="G19" s="30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3.5" customHeight="1">
      <c r="A20" s="42">
        <v>46041.0</v>
      </c>
      <c r="B20" s="30" t="s">
        <v>41</v>
      </c>
      <c r="C20" s="31"/>
      <c r="D20" s="31">
        <v>10020.0</v>
      </c>
      <c r="E20" s="34">
        <f t="shared" si="2"/>
        <v>247999.5</v>
      </c>
      <c r="F20" s="30" t="s">
        <v>54</v>
      </c>
      <c r="G20" s="30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3.5" customHeight="1">
      <c r="A21" s="42">
        <v>46036.0</v>
      </c>
      <c r="B21" s="30" t="s">
        <v>41</v>
      </c>
      <c r="C21" s="31"/>
      <c r="D21" s="31">
        <v>32118.0</v>
      </c>
      <c r="E21" s="34">
        <f t="shared" si="2"/>
        <v>215881.5</v>
      </c>
      <c r="F21" s="30" t="s">
        <v>56</v>
      </c>
      <c r="G21" s="30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3.5" customHeight="1">
      <c r="A22" s="42">
        <v>46044.0</v>
      </c>
      <c r="B22" s="30" t="s">
        <v>41</v>
      </c>
      <c r="C22" s="31"/>
      <c r="D22" s="31">
        <v>44145.0</v>
      </c>
      <c r="E22" s="34">
        <f t="shared" si="2"/>
        <v>171736.5</v>
      </c>
      <c r="F22" s="30" t="s">
        <v>58</v>
      </c>
      <c r="G22" s="30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3.5" customHeight="1">
      <c r="A23" s="42">
        <v>46044.0</v>
      </c>
      <c r="B23" s="30" t="s">
        <v>41</v>
      </c>
      <c r="C23" s="31"/>
      <c r="D23" s="31">
        <v>26928.0</v>
      </c>
      <c r="E23" s="34">
        <f t="shared" si="2"/>
        <v>144808.5</v>
      </c>
      <c r="F23" s="30" t="s">
        <v>60</v>
      </c>
      <c r="G23" s="30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3.5" customHeight="1">
      <c r="A24" s="42">
        <v>46037.0</v>
      </c>
      <c r="B24" s="30" t="s">
        <v>41</v>
      </c>
      <c r="C24" s="31"/>
      <c r="D24" s="31">
        <v>20000.0</v>
      </c>
      <c r="E24" s="34">
        <f t="shared" si="2"/>
        <v>124808.5</v>
      </c>
      <c r="F24" s="30" t="s">
        <v>62</v>
      </c>
      <c r="G24" s="30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3.5" customHeight="1">
      <c r="A25" s="42">
        <v>46038.0</v>
      </c>
      <c r="B25" s="30" t="s">
        <v>41</v>
      </c>
      <c r="C25" s="31"/>
      <c r="D25" s="31">
        <v>27260.0</v>
      </c>
      <c r="E25" s="34">
        <f t="shared" si="2"/>
        <v>97548.5</v>
      </c>
      <c r="F25" s="30" t="s">
        <v>64</v>
      </c>
      <c r="G25" s="30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3.5" customHeight="1">
      <c r="A26" s="42">
        <v>46038.0</v>
      </c>
      <c r="B26" s="30" t="s">
        <v>41</v>
      </c>
      <c r="C26" s="31"/>
      <c r="D26" s="31">
        <v>12000.0</v>
      </c>
      <c r="E26" s="34">
        <f t="shared" si="2"/>
        <v>85548.5</v>
      </c>
      <c r="F26" s="30" t="s">
        <v>66</v>
      </c>
      <c r="G26" s="30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3.5" customHeight="1">
      <c r="A27" s="42">
        <v>46038.0</v>
      </c>
      <c r="B27" s="30" t="s">
        <v>41</v>
      </c>
      <c r="C27" s="31"/>
      <c r="D27" s="31">
        <v>10800.0</v>
      </c>
      <c r="E27" s="34">
        <f t="shared" si="2"/>
        <v>74748.5</v>
      </c>
      <c r="F27" s="30" t="s">
        <v>68</v>
      </c>
      <c r="G27" s="30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3.5" customHeight="1">
      <c r="A28" s="42">
        <v>46044.0</v>
      </c>
      <c r="B28" s="30" t="s">
        <v>41</v>
      </c>
      <c r="C28" s="31"/>
      <c r="D28" s="31">
        <v>8550.0</v>
      </c>
      <c r="E28" s="34">
        <f t="shared" si="2"/>
        <v>66198.5</v>
      </c>
      <c r="F28" s="30" t="s">
        <v>69</v>
      </c>
      <c r="G28" s="30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3.5" customHeight="1">
      <c r="A29" s="42">
        <v>46045.0</v>
      </c>
      <c r="B29" s="30" t="s">
        <v>41</v>
      </c>
      <c r="C29" s="31"/>
      <c r="D29" s="31">
        <v>18858.4</v>
      </c>
      <c r="E29" s="34">
        <f t="shared" si="2"/>
        <v>47340.1</v>
      </c>
      <c r="F29" s="30" t="s">
        <v>71</v>
      </c>
      <c r="G29" s="30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3.5" customHeight="1">
      <c r="A30" s="42">
        <v>46045.0</v>
      </c>
      <c r="B30" s="30" t="s">
        <v>41</v>
      </c>
      <c r="C30" s="31"/>
      <c r="D30" s="31">
        <v>3650.0</v>
      </c>
      <c r="E30" s="34">
        <f t="shared" si="2"/>
        <v>43690.1</v>
      </c>
      <c r="F30" s="30" t="s">
        <v>73</v>
      </c>
      <c r="G30" s="30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3.5" customHeight="1">
      <c r="A31" s="42">
        <v>46045.0</v>
      </c>
      <c r="B31" s="30" t="s">
        <v>41</v>
      </c>
      <c r="C31" s="31"/>
      <c r="D31" s="31">
        <v>7470.0</v>
      </c>
      <c r="E31" s="34">
        <f t="shared" si="2"/>
        <v>36220.1</v>
      </c>
      <c r="F31" s="30" t="s">
        <v>76</v>
      </c>
      <c r="G31" s="30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3.5" customHeight="1">
      <c r="A32" s="42">
        <v>46048.0</v>
      </c>
      <c r="B32" s="30" t="s">
        <v>41</v>
      </c>
      <c r="C32" s="31"/>
      <c r="D32" s="31">
        <v>25600.0</v>
      </c>
      <c r="E32" s="34">
        <f t="shared" si="2"/>
        <v>10620.1</v>
      </c>
      <c r="F32" s="30" t="s">
        <v>77</v>
      </c>
      <c r="G32" s="30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3.5" customHeight="1">
      <c r="A33" s="29"/>
      <c r="B33" s="30"/>
      <c r="C33" s="31"/>
      <c r="D33" s="32"/>
      <c r="E33" s="34">
        <f t="shared" si="2"/>
        <v>10620.1</v>
      </c>
      <c r="F33" s="30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3.5" customHeight="1">
      <c r="A34" s="29"/>
      <c r="B34" s="30"/>
      <c r="C34" s="31"/>
      <c r="D34" s="32"/>
      <c r="E34" s="34">
        <f t="shared" si="2"/>
        <v>10620.1</v>
      </c>
      <c r="F34" s="30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3.5" customHeight="1">
      <c r="A35" s="29">
        <v>46052.0</v>
      </c>
      <c r="B35" s="30" t="s">
        <v>70</v>
      </c>
      <c r="C35" s="31"/>
      <c r="D35" s="32">
        <v>34000.0</v>
      </c>
      <c r="E35" s="34">
        <f t="shared" si="2"/>
        <v>-23379.9</v>
      </c>
      <c r="F35" s="30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3.5" customHeight="1">
      <c r="A36" s="29">
        <v>46052.0</v>
      </c>
      <c r="B36" s="30" t="s">
        <v>80</v>
      </c>
      <c r="C36" s="31"/>
      <c r="D36" s="32">
        <v>6600.0</v>
      </c>
      <c r="E36" s="34">
        <f t="shared" si="2"/>
        <v>-29979.9</v>
      </c>
      <c r="F36" s="30" t="s">
        <v>38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3.5" customHeight="1">
      <c r="A37" s="29">
        <v>46052.0</v>
      </c>
      <c r="B37" s="30" t="s">
        <v>80</v>
      </c>
      <c r="C37" s="31"/>
      <c r="D37" s="32">
        <v>5000.0</v>
      </c>
      <c r="E37" s="34">
        <f t="shared" si="2"/>
        <v>-34979.9</v>
      </c>
      <c r="F37" s="30" t="s">
        <v>36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3.5" customHeight="1">
      <c r="A38" s="29">
        <v>46052.0</v>
      </c>
      <c r="B38" s="30" t="s">
        <v>80</v>
      </c>
      <c r="C38" s="31"/>
      <c r="D38" s="32">
        <v>1000.0</v>
      </c>
      <c r="E38" s="34">
        <f t="shared" si="2"/>
        <v>-35979.9</v>
      </c>
      <c r="F38" s="30" t="s">
        <v>39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3.5" customHeight="1">
      <c r="A39" s="57">
        <v>46052.0</v>
      </c>
      <c r="B39" s="58" t="s">
        <v>80</v>
      </c>
      <c r="C39" s="59"/>
      <c r="D39" s="60">
        <v>5000.0</v>
      </c>
      <c r="E39" s="61">
        <f t="shared" si="2"/>
        <v>-40979.9</v>
      </c>
      <c r="F39" s="58" t="s">
        <v>84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3.5" customHeight="1">
      <c r="A40" s="29">
        <v>46055.0</v>
      </c>
      <c r="B40" s="30" t="s">
        <v>81</v>
      </c>
      <c r="C40" s="31"/>
      <c r="D40" s="32">
        <v>9000.0</v>
      </c>
      <c r="E40" s="34">
        <f t="shared" si="2"/>
        <v>-49979.9</v>
      </c>
      <c r="F40" s="30" t="s">
        <v>88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3.5" customHeight="1">
      <c r="A41" s="29">
        <v>46056.0</v>
      </c>
      <c r="B41" s="30" t="s">
        <v>41</v>
      </c>
      <c r="C41" s="31"/>
      <c r="D41" s="62">
        <v>9854.8</v>
      </c>
      <c r="E41" s="34">
        <f t="shared" si="2"/>
        <v>-59834.7</v>
      </c>
      <c r="F41" s="30" t="s">
        <v>91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3.5" customHeight="1">
      <c r="A42" s="29">
        <v>46058.0</v>
      </c>
      <c r="B42" s="30" t="s">
        <v>92</v>
      </c>
      <c r="C42" s="31"/>
      <c r="D42" s="32">
        <v>531.0</v>
      </c>
      <c r="E42" s="34">
        <f t="shared" si="2"/>
        <v>-60365.7</v>
      </c>
      <c r="F42" s="30" t="s">
        <v>34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3.5" customHeight="1">
      <c r="A43" s="29">
        <v>46058.0</v>
      </c>
      <c r="B43" s="30" t="s">
        <v>94</v>
      </c>
      <c r="C43" s="32">
        <v>17839.29</v>
      </c>
      <c r="D43" s="32"/>
      <c r="E43" s="34">
        <f t="shared" si="2"/>
        <v>-42526.41</v>
      </c>
      <c r="F43" s="30" t="s">
        <v>95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3.5" customHeight="1">
      <c r="A44" s="29">
        <v>46058.0</v>
      </c>
      <c r="B44" s="30" t="s">
        <v>41</v>
      </c>
      <c r="C44" s="31"/>
      <c r="D44" s="62">
        <v>27450.0</v>
      </c>
      <c r="E44" s="34">
        <f t="shared" si="2"/>
        <v>-69976.41</v>
      </c>
      <c r="F44" s="30" t="s">
        <v>97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3.5" customHeight="1">
      <c r="A45" s="29">
        <v>46058.0</v>
      </c>
      <c r="B45" s="30" t="s">
        <v>41</v>
      </c>
      <c r="C45" s="31"/>
      <c r="D45" s="62">
        <v>18610.0</v>
      </c>
      <c r="E45" s="34">
        <f t="shared" si="2"/>
        <v>-88586.41</v>
      </c>
      <c r="F45" s="30" t="s">
        <v>97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3.5" customHeight="1">
      <c r="A46" s="29">
        <v>46059.0</v>
      </c>
      <c r="B46" s="30" t="s">
        <v>41</v>
      </c>
      <c r="C46" s="31"/>
      <c r="D46" s="62">
        <v>35000.0</v>
      </c>
      <c r="E46" s="34">
        <f t="shared" si="2"/>
        <v>-123586.41</v>
      </c>
      <c r="F46" s="30" t="s">
        <v>99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3.5" customHeight="1">
      <c r="A47" s="29">
        <v>46059.0</v>
      </c>
      <c r="B47" s="30" t="s">
        <v>100</v>
      </c>
      <c r="C47" s="31"/>
      <c r="D47" s="32">
        <v>2600.0</v>
      </c>
      <c r="E47" s="34">
        <f t="shared" si="2"/>
        <v>-126186.41</v>
      </c>
      <c r="F47" s="30" t="s">
        <v>101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3.5" customHeight="1">
      <c r="A48" s="29">
        <v>46059.0</v>
      </c>
      <c r="B48" s="30" t="s">
        <v>92</v>
      </c>
      <c r="C48" s="31"/>
      <c r="D48" s="32">
        <v>364.0</v>
      </c>
      <c r="E48" s="34">
        <f t="shared" si="2"/>
        <v>-126550.41</v>
      </c>
      <c r="F48" s="30" t="s">
        <v>34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3.5" customHeight="1">
      <c r="A49" s="29">
        <v>46060.0</v>
      </c>
      <c r="B49" s="30" t="s">
        <v>41</v>
      </c>
      <c r="C49" s="31"/>
      <c r="D49" s="62">
        <v>12850.0</v>
      </c>
      <c r="E49" s="34">
        <f t="shared" si="2"/>
        <v>-139400.41</v>
      </c>
      <c r="F49" s="30" t="s">
        <v>102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3.5" customHeight="1">
      <c r="A50" s="29">
        <v>46065.0</v>
      </c>
      <c r="B50" s="30" t="s">
        <v>92</v>
      </c>
      <c r="C50" s="31"/>
      <c r="D50" s="32">
        <v>1000.0</v>
      </c>
      <c r="E50" s="34">
        <f t="shared" si="2"/>
        <v>-140400.41</v>
      </c>
      <c r="F50" s="30" t="s">
        <v>34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3.5" customHeight="1">
      <c r="A51" s="29">
        <v>46065.0</v>
      </c>
      <c r="B51" s="30" t="s">
        <v>94</v>
      </c>
      <c r="C51" s="32">
        <v>8000.0</v>
      </c>
      <c r="D51" s="32"/>
      <c r="E51" s="34">
        <f t="shared" si="2"/>
        <v>-132400.41</v>
      </c>
      <c r="F51" s="30" t="s">
        <v>95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3.5" customHeight="1">
      <c r="A52" s="29">
        <v>46065.0</v>
      </c>
      <c r="B52" s="30" t="s">
        <v>41</v>
      </c>
      <c r="C52" s="31"/>
      <c r="D52" s="62">
        <v>23500.0</v>
      </c>
      <c r="E52" s="34">
        <f t="shared" si="2"/>
        <v>-155900.41</v>
      </c>
      <c r="F52" s="30" t="s">
        <v>105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3.5" customHeight="1">
      <c r="A53" s="29">
        <v>46065.0</v>
      </c>
      <c r="B53" s="30" t="s">
        <v>100</v>
      </c>
      <c r="C53" s="31"/>
      <c r="D53" s="32">
        <v>2200.0</v>
      </c>
      <c r="E53" s="34">
        <f t="shared" si="2"/>
        <v>-158100.41</v>
      </c>
      <c r="F53" s="30" t="s">
        <v>106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3.5" customHeight="1">
      <c r="A54" s="29">
        <v>46066.0</v>
      </c>
      <c r="B54" s="30" t="s">
        <v>92</v>
      </c>
      <c r="C54" s="31"/>
      <c r="D54" s="32">
        <v>221.0</v>
      </c>
      <c r="E54" s="34">
        <f t="shared" si="2"/>
        <v>-158321.41</v>
      </c>
      <c r="F54" s="30" t="s">
        <v>34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3.5" customHeight="1">
      <c r="A55" s="29">
        <v>46066.0</v>
      </c>
      <c r="B55" s="30" t="s">
        <v>41</v>
      </c>
      <c r="C55" s="31"/>
      <c r="D55" s="62">
        <v>10290.0</v>
      </c>
      <c r="E55" s="34">
        <f t="shared" si="2"/>
        <v>-168611.41</v>
      </c>
      <c r="F55" s="30" t="s">
        <v>105</v>
      </c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3.5" customHeight="1">
      <c r="A56" s="29">
        <v>46066.0</v>
      </c>
      <c r="B56" s="30" t="s">
        <v>41</v>
      </c>
      <c r="C56" s="31"/>
      <c r="D56" s="62">
        <v>9400.0</v>
      </c>
      <c r="E56" s="34">
        <f t="shared" si="2"/>
        <v>-178011.41</v>
      </c>
      <c r="F56" s="30" t="s">
        <v>105</v>
      </c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3.5" customHeight="1">
      <c r="A57" s="29">
        <v>46067.0</v>
      </c>
      <c r="B57" s="30" t="s">
        <v>109</v>
      </c>
      <c r="C57" s="31"/>
      <c r="D57" s="32">
        <v>1000.0</v>
      </c>
      <c r="E57" s="34">
        <f t="shared" si="2"/>
        <v>-179011.41</v>
      </c>
      <c r="F57" s="30" t="s">
        <v>39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3.5" customHeight="1">
      <c r="A58" s="29">
        <v>46067.0</v>
      </c>
      <c r="B58" s="30" t="s">
        <v>109</v>
      </c>
      <c r="C58" s="31"/>
      <c r="D58" s="32">
        <v>2500.0</v>
      </c>
      <c r="E58" s="34">
        <f t="shared" si="2"/>
        <v>-181511.41</v>
      </c>
      <c r="F58" s="30" t="s">
        <v>40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3.5" customHeight="1">
      <c r="A59" s="29">
        <v>46067.0</v>
      </c>
      <c r="B59" s="30" t="s">
        <v>109</v>
      </c>
      <c r="C59" s="31"/>
      <c r="D59" s="32">
        <v>5000.0</v>
      </c>
      <c r="E59" s="34">
        <f t="shared" si="2"/>
        <v>-186511.41</v>
      </c>
      <c r="F59" s="30" t="s">
        <v>36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3.5" customHeight="1">
      <c r="A60" s="29">
        <v>46067.0</v>
      </c>
      <c r="B60" s="30" t="s">
        <v>109</v>
      </c>
      <c r="C60" s="31"/>
      <c r="D60" s="32">
        <v>6000.0</v>
      </c>
      <c r="E60" s="34">
        <f t="shared" si="2"/>
        <v>-192511.41</v>
      </c>
      <c r="F60" s="30" t="s">
        <v>38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3.5" customHeight="1">
      <c r="A61" s="29">
        <v>46067.0</v>
      </c>
      <c r="B61" s="30" t="s">
        <v>109</v>
      </c>
      <c r="C61" s="31"/>
      <c r="D61" s="32">
        <v>5000.0</v>
      </c>
      <c r="E61" s="34">
        <f t="shared" si="2"/>
        <v>-197511.41</v>
      </c>
      <c r="F61" s="30" t="s">
        <v>84</v>
      </c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3.5" customHeight="1">
      <c r="A62" s="29">
        <v>46067.0</v>
      </c>
      <c r="B62" s="30" t="s">
        <v>92</v>
      </c>
      <c r="C62" s="31"/>
      <c r="D62" s="32">
        <v>500.0</v>
      </c>
      <c r="E62" s="34">
        <f t="shared" si="2"/>
        <v>-198011.41</v>
      </c>
      <c r="F62" s="30" t="s">
        <v>34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3.5" customHeight="1">
      <c r="A63" s="29">
        <v>46069.0</v>
      </c>
      <c r="B63" s="30" t="s">
        <v>110</v>
      </c>
      <c r="C63" s="32">
        <v>16000.0</v>
      </c>
      <c r="D63" s="31"/>
      <c r="E63" s="34">
        <f t="shared" si="2"/>
        <v>-182011.41</v>
      </c>
      <c r="F63" s="30" t="s">
        <v>111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3.5" customHeight="1">
      <c r="A64" s="29">
        <v>46070.0</v>
      </c>
      <c r="B64" s="30" t="s">
        <v>41</v>
      </c>
      <c r="C64" s="32"/>
      <c r="D64" s="32">
        <v>7000.0</v>
      </c>
      <c r="E64" s="34">
        <f t="shared" si="2"/>
        <v>-189011.41</v>
      </c>
      <c r="F64" s="30" t="s">
        <v>113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3.5" customHeight="1">
      <c r="A65" s="29">
        <v>46071.0</v>
      </c>
      <c r="B65" s="30" t="s">
        <v>94</v>
      </c>
      <c r="C65" s="32">
        <v>5100.0</v>
      </c>
      <c r="D65" s="32"/>
      <c r="E65" s="34">
        <f>E63+C65-D65</f>
        <v>-176911.41</v>
      </c>
      <c r="F65" s="30" t="s">
        <v>114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3.5" customHeight="1">
      <c r="A66" s="29">
        <v>46072.0</v>
      </c>
      <c r="B66" s="30" t="s">
        <v>94</v>
      </c>
      <c r="C66" s="32">
        <v>6900.0</v>
      </c>
      <c r="D66" s="32"/>
      <c r="E66" s="34">
        <f t="shared" ref="E66:E72" si="3">E65+C66-D66</f>
        <v>-170011.41</v>
      </c>
      <c r="F66" s="30" t="s">
        <v>115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3.5" customHeight="1">
      <c r="A67" s="29">
        <v>46072.0</v>
      </c>
      <c r="B67" s="30" t="s">
        <v>94</v>
      </c>
      <c r="C67" s="32">
        <v>21000.0</v>
      </c>
      <c r="D67" s="32"/>
      <c r="E67" s="34">
        <f t="shared" si="3"/>
        <v>-149011.41</v>
      </c>
      <c r="F67" s="30" t="s">
        <v>115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3.5" customHeight="1">
      <c r="A68" s="29">
        <v>46073.0</v>
      </c>
      <c r="B68" s="30" t="s">
        <v>116</v>
      </c>
      <c r="C68" s="31"/>
      <c r="D68" s="32">
        <v>500.0</v>
      </c>
      <c r="E68" s="34">
        <f t="shared" si="3"/>
        <v>-149511.41</v>
      </c>
      <c r="F68" s="30" t="s">
        <v>117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3.5" customHeight="1">
      <c r="A69" s="29">
        <v>46073.0</v>
      </c>
      <c r="B69" s="30" t="s">
        <v>41</v>
      </c>
      <c r="C69" s="31"/>
      <c r="D69" s="62">
        <v>16600.0</v>
      </c>
      <c r="E69" s="34">
        <f t="shared" si="3"/>
        <v>-166111.41</v>
      </c>
      <c r="F69" s="30" t="s">
        <v>118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3.5" customHeight="1">
      <c r="A70" s="29">
        <v>46078.0</v>
      </c>
      <c r="B70" s="30" t="s">
        <v>41</v>
      </c>
      <c r="C70" s="31"/>
      <c r="D70" s="62">
        <v>19240.0</v>
      </c>
      <c r="E70" s="34">
        <f t="shared" si="3"/>
        <v>-185351.41</v>
      </c>
      <c r="F70" s="63" t="s">
        <v>119</v>
      </c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3.5" customHeight="1">
      <c r="A71" s="29">
        <v>46078.0</v>
      </c>
      <c r="B71" s="30" t="s">
        <v>100</v>
      </c>
      <c r="C71" s="64"/>
      <c r="D71" s="32">
        <v>2200.0</v>
      </c>
      <c r="E71" s="34">
        <f t="shared" si="3"/>
        <v>-187551.41</v>
      </c>
      <c r="F71" s="30" t="s">
        <v>120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3.5" customHeight="1">
      <c r="A72" s="29">
        <v>46078.0</v>
      </c>
      <c r="B72" s="30" t="s">
        <v>92</v>
      </c>
      <c r="C72" s="32"/>
      <c r="D72" s="32">
        <v>350.0</v>
      </c>
      <c r="E72" s="34">
        <f t="shared" si="3"/>
        <v>-187901.41</v>
      </c>
      <c r="F72" s="30" t="s">
        <v>121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3.5" customHeight="1">
      <c r="A73" s="29">
        <v>46079.0</v>
      </c>
      <c r="B73" s="30" t="s">
        <v>94</v>
      </c>
      <c r="C73" s="32">
        <v>9420.0</v>
      </c>
      <c r="D73" s="31"/>
      <c r="E73" s="34">
        <f>E71+C73-D73</f>
        <v>-178131.41</v>
      </c>
      <c r="F73" s="30" t="s">
        <v>122</v>
      </c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3.5" customHeight="1">
      <c r="A74" s="29">
        <v>46079.0</v>
      </c>
      <c r="B74" s="30" t="s">
        <v>94</v>
      </c>
      <c r="C74" s="32">
        <v>4000.0</v>
      </c>
      <c r="D74" s="31"/>
      <c r="E74" s="34">
        <f>E73+C74-D74</f>
        <v>-174131.41</v>
      </c>
      <c r="F74" s="30" t="s">
        <v>122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3.5" customHeight="1">
      <c r="A75" s="29">
        <v>46079.0</v>
      </c>
      <c r="B75" s="30" t="s">
        <v>94</v>
      </c>
      <c r="C75" s="32">
        <v>19000.0</v>
      </c>
      <c r="D75" s="31"/>
      <c r="E75" s="34">
        <f>E73+C75-D75</f>
        <v>-159131.41</v>
      </c>
      <c r="F75" s="30" t="s">
        <v>123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3.5" customHeight="1">
      <c r="A76" s="29">
        <v>46079.0</v>
      </c>
      <c r="B76" s="30" t="s">
        <v>94</v>
      </c>
      <c r="C76" s="32">
        <v>9000.0</v>
      </c>
      <c r="D76" s="31"/>
      <c r="E76" s="34">
        <f t="shared" ref="E76:E144" si="4">E75+C76-D76</f>
        <v>-150131.41</v>
      </c>
      <c r="F76" s="30" t="s">
        <v>124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3.5" customHeight="1">
      <c r="A77" s="29">
        <v>46080.0</v>
      </c>
      <c r="B77" s="30" t="s">
        <v>41</v>
      </c>
      <c r="C77" s="31"/>
      <c r="D77" s="62">
        <v>16000.0</v>
      </c>
      <c r="E77" s="34">
        <f t="shared" si="4"/>
        <v>-166131.41</v>
      </c>
      <c r="F77" s="30" t="s">
        <v>125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3.5" customHeight="1">
      <c r="A78" s="29">
        <v>46080.0</v>
      </c>
      <c r="B78" s="30" t="s">
        <v>126</v>
      </c>
      <c r="C78" s="31"/>
      <c r="D78" s="32">
        <v>1000.0</v>
      </c>
      <c r="E78" s="34">
        <f t="shared" si="4"/>
        <v>-167131.41</v>
      </c>
      <c r="F78" s="30" t="s">
        <v>39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3.5" customHeight="1">
      <c r="A79" s="29">
        <v>46080.0</v>
      </c>
      <c r="B79" s="30" t="s">
        <v>126</v>
      </c>
      <c r="C79" s="31"/>
      <c r="D79" s="32">
        <v>5000.0</v>
      </c>
      <c r="E79" s="34">
        <f t="shared" si="4"/>
        <v>-172131.41</v>
      </c>
      <c r="F79" s="30" t="s">
        <v>36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3.5" customHeight="1">
      <c r="A80" s="29">
        <v>46080.0</v>
      </c>
      <c r="B80" s="30" t="s">
        <v>126</v>
      </c>
      <c r="C80" s="31"/>
      <c r="D80" s="32">
        <v>6000.0</v>
      </c>
      <c r="E80" s="34">
        <f t="shared" si="4"/>
        <v>-178131.41</v>
      </c>
      <c r="F80" s="30" t="s">
        <v>38</v>
      </c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3.5" customHeight="1">
      <c r="A81" s="29">
        <v>46080.0</v>
      </c>
      <c r="B81" s="30" t="s">
        <v>126</v>
      </c>
      <c r="C81" s="31"/>
      <c r="D81" s="32">
        <v>5000.0</v>
      </c>
      <c r="E81" s="34">
        <f t="shared" si="4"/>
        <v>-183131.41</v>
      </c>
      <c r="F81" s="30" t="s">
        <v>84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3.5" customHeight="1">
      <c r="A82" s="29">
        <v>46080.0</v>
      </c>
      <c r="B82" s="30" t="s">
        <v>94</v>
      </c>
      <c r="C82" s="32">
        <v>200735.31</v>
      </c>
      <c r="D82" s="31"/>
      <c r="E82" s="34">
        <f t="shared" si="4"/>
        <v>17603.9</v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3.5" customHeight="1">
      <c r="A83" s="29">
        <v>46080.0</v>
      </c>
      <c r="B83" s="30" t="s">
        <v>33</v>
      </c>
      <c r="C83" s="31"/>
      <c r="D83" s="32">
        <f>16737.34-2833.34+3230</f>
        <v>17134</v>
      </c>
      <c r="E83" s="34">
        <f t="shared" si="4"/>
        <v>469.9</v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3.5" customHeight="1">
      <c r="A84" s="57">
        <v>46080.0</v>
      </c>
      <c r="B84" s="58" t="s">
        <v>41</v>
      </c>
      <c r="C84" s="59"/>
      <c r="D84" s="65">
        <v>20000.0</v>
      </c>
      <c r="E84" s="61">
        <f t="shared" si="4"/>
        <v>-19530.1</v>
      </c>
      <c r="F84" s="58" t="s">
        <v>127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3.5" customHeight="1">
      <c r="A85" s="66"/>
      <c r="B85" s="36"/>
      <c r="C85" s="31"/>
      <c r="D85" s="31"/>
      <c r="E85" s="34">
        <f t="shared" si="4"/>
        <v>-19530.1</v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3.5" customHeight="1">
      <c r="A86" s="29">
        <v>46083.0</v>
      </c>
      <c r="B86" s="30" t="s">
        <v>41</v>
      </c>
      <c r="C86" s="31"/>
      <c r="D86" s="32">
        <v>16926.8</v>
      </c>
      <c r="E86" s="34">
        <f t="shared" si="4"/>
        <v>-36456.9</v>
      </c>
      <c r="F86" s="30" t="s">
        <v>128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3.5" customHeight="1">
      <c r="A87" s="29">
        <v>46083.0</v>
      </c>
      <c r="B87" s="30" t="s">
        <v>41</v>
      </c>
      <c r="C87" s="31"/>
      <c r="D87" s="32">
        <v>9200.0</v>
      </c>
      <c r="E87" s="34">
        <f t="shared" si="4"/>
        <v>-45656.9</v>
      </c>
      <c r="F87" s="30" t="s">
        <v>129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3.5" customHeight="1">
      <c r="A88" s="29">
        <v>46085.0</v>
      </c>
      <c r="B88" s="30" t="s">
        <v>41</v>
      </c>
      <c r="C88" s="31"/>
      <c r="D88" s="32">
        <v>12150.0</v>
      </c>
      <c r="E88" s="34">
        <f t="shared" si="4"/>
        <v>-57806.9</v>
      </c>
      <c r="F88" s="30" t="s">
        <v>130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3.5" customHeight="1">
      <c r="A89" s="29">
        <v>46087.0</v>
      </c>
      <c r="B89" s="30" t="s">
        <v>41</v>
      </c>
      <c r="C89" s="31"/>
      <c r="D89" s="32">
        <v>22500.0</v>
      </c>
      <c r="E89" s="34">
        <f t="shared" si="4"/>
        <v>-80306.9</v>
      </c>
      <c r="F89" s="30" t="s">
        <v>131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3.5" customHeight="1">
      <c r="A90" s="29">
        <v>46087.0</v>
      </c>
      <c r="B90" s="30" t="s">
        <v>41</v>
      </c>
      <c r="C90" s="31"/>
      <c r="D90" s="32">
        <v>6385.0</v>
      </c>
      <c r="E90" s="34">
        <f t="shared" si="4"/>
        <v>-86691.9</v>
      </c>
      <c r="F90" s="30" t="s">
        <v>132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3.5" customHeight="1">
      <c r="A91" s="29">
        <v>46091.0</v>
      </c>
      <c r="B91" s="30" t="s">
        <v>41</v>
      </c>
      <c r="C91" s="31"/>
      <c r="D91" s="32">
        <v>35360.0</v>
      </c>
      <c r="E91" s="34">
        <f t="shared" si="4"/>
        <v>-122051.9</v>
      </c>
      <c r="F91" s="30" t="s">
        <v>128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3.5" customHeight="1">
      <c r="A92" s="29">
        <v>45728.0</v>
      </c>
      <c r="B92" s="30" t="s">
        <v>41</v>
      </c>
      <c r="C92" s="31"/>
      <c r="D92" s="32">
        <v>25230.8</v>
      </c>
      <c r="E92" s="34">
        <f t="shared" si="4"/>
        <v>-147282.7</v>
      </c>
      <c r="F92" s="30" t="s">
        <v>133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3.5" customHeight="1">
      <c r="A93" s="29">
        <v>46094.0</v>
      </c>
      <c r="B93" s="30" t="s">
        <v>134</v>
      </c>
      <c r="C93" s="64"/>
      <c r="D93" s="32">
        <v>1000.0</v>
      </c>
      <c r="E93" s="34">
        <f t="shared" si="4"/>
        <v>-148282.7</v>
      </c>
      <c r="F93" s="30" t="s">
        <v>39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3.5" customHeight="1">
      <c r="A94" s="29">
        <v>46094.0</v>
      </c>
      <c r="B94" s="30" t="s">
        <v>134</v>
      </c>
      <c r="C94" s="31"/>
      <c r="D94" s="32">
        <v>2500.0</v>
      </c>
      <c r="E94" s="34">
        <f t="shared" si="4"/>
        <v>-150782.7</v>
      </c>
      <c r="F94" s="30" t="s">
        <v>40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3.5" customHeight="1">
      <c r="A95" s="29">
        <v>46094.0</v>
      </c>
      <c r="B95" s="30" t="s">
        <v>134</v>
      </c>
      <c r="C95" s="31"/>
      <c r="D95" s="32">
        <v>5000.0</v>
      </c>
      <c r="E95" s="34">
        <f t="shared" si="4"/>
        <v>-155782.7</v>
      </c>
      <c r="F95" s="30" t="s">
        <v>36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3.5" customHeight="1">
      <c r="A96" s="29">
        <v>46094.0</v>
      </c>
      <c r="B96" s="30" t="s">
        <v>134</v>
      </c>
      <c r="C96" s="31"/>
      <c r="D96" s="32">
        <v>6000.0</v>
      </c>
      <c r="E96" s="34">
        <f t="shared" si="4"/>
        <v>-161782.7</v>
      </c>
      <c r="F96" s="30" t="s">
        <v>38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3.5" customHeight="1">
      <c r="A97" s="29">
        <v>46094.0</v>
      </c>
      <c r="B97" s="30" t="s">
        <v>134</v>
      </c>
      <c r="C97" s="64"/>
      <c r="D97" s="32">
        <v>5000.0</v>
      </c>
      <c r="E97" s="34">
        <f t="shared" si="4"/>
        <v>-166782.7</v>
      </c>
      <c r="F97" s="30" t="s">
        <v>84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3.5" customHeight="1">
      <c r="A98" s="29">
        <v>46098.0</v>
      </c>
      <c r="B98" s="30" t="s">
        <v>94</v>
      </c>
      <c r="C98" s="32">
        <v>100000.0</v>
      </c>
      <c r="D98" s="32"/>
      <c r="E98" s="34">
        <f t="shared" si="4"/>
        <v>-66782.7</v>
      </c>
      <c r="F98" s="30" t="s">
        <v>135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3.5" customHeight="1">
      <c r="A99" s="29">
        <v>46099.0</v>
      </c>
      <c r="B99" s="30" t="s">
        <v>41</v>
      </c>
      <c r="C99" s="31"/>
      <c r="D99" s="32">
        <v>16400.0</v>
      </c>
      <c r="E99" s="34">
        <f t="shared" si="4"/>
        <v>-83182.7</v>
      </c>
      <c r="F99" s="30" t="s">
        <v>136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3.5" customHeight="1">
      <c r="A100" s="29">
        <v>46099.0</v>
      </c>
      <c r="B100" s="30" t="s">
        <v>41</v>
      </c>
      <c r="C100" s="31"/>
      <c r="D100" s="32">
        <v>20660.0</v>
      </c>
      <c r="E100" s="34">
        <f t="shared" si="4"/>
        <v>-103842.7</v>
      </c>
      <c r="F100" s="30" t="s">
        <v>137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3.5" customHeight="1">
      <c r="A101" s="29">
        <v>46099.0</v>
      </c>
      <c r="B101" s="30" t="s">
        <v>41</v>
      </c>
      <c r="C101" s="31"/>
      <c r="D101" s="32">
        <v>20730.0</v>
      </c>
      <c r="E101" s="34">
        <f t="shared" si="4"/>
        <v>-124572.7</v>
      </c>
      <c r="F101" s="30" t="s">
        <v>138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3.5" customHeight="1">
      <c r="A102" s="29">
        <v>46099.0</v>
      </c>
      <c r="B102" s="30" t="s">
        <v>41</v>
      </c>
      <c r="C102" s="31"/>
      <c r="D102" s="32">
        <v>19680.0</v>
      </c>
      <c r="E102" s="34">
        <f t="shared" si="4"/>
        <v>-144252.7</v>
      </c>
      <c r="F102" s="30" t="s">
        <v>139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3.5" customHeight="1">
      <c r="A103" s="29">
        <v>46099.0</v>
      </c>
      <c r="B103" s="30" t="s">
        <v>100</v>
      </c>
      <c r="C103" s="31"/>
      <c r="D103" s="32">
        <v>2400.0</v>
      </c>
      <c r="E103" s="34">
        <f t="shared" si="4"/>
        <v>-146652.7</v>
      </c>
      <c r="F103" s="30" t="s">
        <v>140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3.5" customHeight="1">
      <c r="A104" s="43">
        <v>46102.0</v>
      </c>
      <c r="B104" s="30" t="s">
        <v>41</v>
      </c>
      <c r="C104" s="31"/>
      <c r="D104" s="32">
        <v>7530.0</v>
      </c>
      <c r="E104" s="34">
        <f t="shared" si="4"/>
        <v>-154182.7</v>
      </c>
      <c r="F104" s="30" t="s">
        <v>141</v>
      </c>
      <c r="G104" s="67" t="s">
        <v>97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3.5" customHeight="1">
      <c r="A105" s="42">
        <v>46099.0</v>
      </c>
      <c r="B105" s="30" t="s">
        <v>41</v>
      </c>
      <c r="C105" s="31"/>
      <c r="D105" s="68">
        <v>60000.0</v>
      </c>
      <c r="E105" s="34">
        <f t="shared" si="4"/>
        <v>-214182.7</v>
      </c>
      <c r="F105" s="30" t="s">
        <v>142</v>
      </c>
      <c r="G105" s="30" t="s">
        <v>143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3.5" customHeight="1">
      <c r="A106" s="42">
        <v>46105.0</v>
      </c>
      <c r="B106" s="30" t="s">
        <v>41</v>
      </c>
      <c r="C106" s="31"/>
      <c r="D106" s="32">
        <v>20000.0</v>
      </c>
      <c r="E106" s="34">
        <f t="shared" si="4"/>
        <v>-234182.7</v>
      </c>
      <c r="F106" s="30" t="s">
        <v>144</v>
      </c>
      <c r="G106" s="67" t="s">
        <v>145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3.5" customHeight="1">
      <c r="A107" s="42">
        <v>46108.0</v>
      </c>
      <c r="B107" s="30" t="s">
        <v>41</v>
      </c>
      <c r="C107" s="31"/>
      <c r="D107" s="32">
        <v>22500.0</v>
      </c>
      <c r="E107" s="34">
        <f t="shared" si="4"/>
        <v>-256682.7</v>
      </c>
      <c r="F107" s="30" t="s">
        <v>146</v>
      </c>
      <c r="G107" s="67" t="s">
        <v>147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3.5" customHeight="1">
      <c r="A108" s="42">
        <v>46108.0</v>
      </c>
      <c r="B108" s="30" t="s">
        <v>41</v>
      </c>
      <c r="C108" s="31"/>
      <c r="D108" s="32">
        <v>19070.0</v>
      </c>
      <c r="E108" s="34">
        <f t="shared" si="4"/>
        <v>-275752.7</v>
      </c>
      <c r="F108" s="30" t="s">
        <v>148</v>
      </c>
      <c r="G108" s="67" t="s">
        <v>149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3.5" customHeight="1">
      <c r="A109" s="42">
        <v>46108.0</v>
      </c>
      <c r="B109" s="30" t="s">
        <v>41</v>
      </c>
      <c r="C109" s="31"/>
      <c r="D109" s="32">
        <v>21250.0</v>
      </c>
      <c r="E109" s="34">
        <f t="shared" si="4"/>
        <v>-297002.7</v>
      </c>
      <c r="F109" s="30" t="s">
        <v>150</v>
      </c>
      <c r="G109" s="67" t="s">
        <v>149</v>
      </c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3.5" customHeight="1">
      <c r="A110" s="43">
        <v>46110.0</v>
      </c>
      <c r="B110" s="30" t="s">
        <v>41</v>
      </c>
      <c r="C110" s="31"/>
      <c r="D110" s="32">
        <v>17050.0</v>
      </c>
      <c r="E110" s="34">
        <f t="shared" si="4"/>
        <v>-314052.7</v>
      </c>
      <c r="F110" s="30" t="s">
        <v>151</v>
      </c>
      <c r="G110" s="69" t="s">
        <v>97</v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3.5" customHeight="1">
      <c r="A111" s="42">
        <v>46112.0</v>
      </c>
      <c r="B111" s="30" t="s">
        <v>41</v>
      </c>
      <c r="C111" s="31"/>
      <c r="D111" s="68">
        <v>131644.12</v>
      </c>
      <c r="E111" s="34">
        <f t="shared" si="4"/>
        <v>-445696.82</v>
      </c>
      <c r="F111" s="30" t="s">
        <v>152</v>
      </c>
      <c r="G111" s="30" t="s">
        <v>143</v>
      </c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3.5" customHeight="1">
      <c r="A112" s="29">
        <v>46112.0</v>
      </c>
      <c r="B112" s="30" t="s">
        <v>153</v>
      </c>
      <c r="C112" s="31"/>
      <c r="D112" s="32">
        <v>70000.0</v>
      </c>
      <c r="E112" s="34">
        <f t="shared" si="4"/>
        <v>-515696.82</v>
      </c>
      <c r="F112" s="30" t="s">
        <v>154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3.5" customHeight="1">
      <c r="A113" s="29">
        <v>46112.0</v>
      </c>
      <c r="B113" s="30" t="s">
        <v>134</v>
      </c>
      <c r="C113" s="31"/>
      <c r="D113" s="32">
        <v>1000.0</v>
      </c>
      <c r="E113" s="34">
        <f t="shared" si="4"/>
        <v>-516696.82</v>
      </c>
      <c r="F113" s="30" t="s">
        <v>39</v>
      </c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3.5" customHeight="1">
      <c r="A114" s="29">
        <v>46112.0</v>
      </c>
      <c r="B114" s="30" t="s">
        <v>134</v>
      </c>
      <c r="C114" s="31"/>
      <c r="D114" s="32">
        <v>5000.0</v>
      </c>
      <c r="E114" s="34">
        <f t="shared" si="4"/>
        <v>-521696.82</v>
      </c>
      <c r="F114" s="30" t="s">
        <v>36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3.5" customHeight="1">
      <c r="A115" s="29">
        <v>46112.0</v>
      </c>
      <c r="B115" s="30" t="s">
        <v>134</v>
      </c>
      <c r="C115" s="31"/>
      <c r="D115" s="32">
        <v>7200.0</v>
      </c>
      <c r="E115" s="34">
        <f t="shared" si="4"/>
        <v>-528896.82</v>
      </c>
      <c r="F115" s="30" t="s">
        <v>38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3.5" customHeight="1">
      <c r="A116" s="29">
        <v>46112.0</v>
      </c>
      <c r="B116" s="30" t="s">
        <v>134</v>
      </c>
      <c r="C116" s="31"/>
      <c r="D116" s="32">
        <v>5000.0</v>
      </c>
      <c r="E116" s="34">
        <f t="shared" si="4"/>
        <v>-533896.82</v>
      </c>
      <c r="F116" s="30" t="s">
        <v>84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3.5" customHeight="1">
      <c r="A117" s="29">
        <v>46112.0</v>
      </c>
      <c r="B117" s="30" t="s">
        <v>41</v>
      </c>
      <c r="C117" s="31"/>
      <c r="D117" s="32">
        <v>10000.0</v>
      </c>
      <c r="E117" s="34">
        <f t="shared" si="4"/>
        <v>-543896.82</v>
      </c>
      <c r="F117" s="30" t="s">
        <v>155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3.5" customHeight="1">
      <c r="A118" s="29">
        <v>46112.0</v>
      </c>
      <c r="B118" s="30" t="s">
        <v>156</v>
      </c>
      <c r="C118" s="32">
        <f>676068-100000</f>
        <v>576068</v>
      </c>
      <c r="D118" s="31"/>
      <c r="E118" s="34">
        <f t="shared" si="4"/>
        <v>32171.18</v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3.5" customHeight="1">
      <c r="A119" s="43">
        <v>46116.0</v>
      </c>
      <c r="B119" s="30" t="s">
        <v>41</v>
      </c>
      <c r="C119" s="31"/>
      <c r="D119" s="32">
        <v>18090.0</v>
      </c>
      <c r="E119" s="34">
        <f t="shared" si="4"/>
        <v>14081.18</v>
      </c>
      <c r="F119" s="30" t="s">
        <v>157</v>
      </c>
      <c r="G119" s="30" t="s">
        <v>97</v>
      </c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3.5" customHeight="1">
      <c r="A120" s="43">
        <v>46122.0</v>
      </c>
      <c r="B120" s="30" t="s">
        <v>41</v>
      </c>
      <c r="C120" s="31"/>
      <c r="D120" s="32">
        <v>7840.0</v>
      </c>
      <c r="E120" s="34">
        <f t="shared" si="4"/>
        <v>6241.18</v>
      </c>
      <c r="F120" s="30" t="s">
        <v>158</v>
      </c>
      <c r="G120" s="30" t="s">
        <v>97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3.5" customHeight="1">
      <c r="A121" s="42">
        <v>46122.0</v>
      </c>
      <c r="B121" s="30" t="s">
        <v>41</v>
      </c>
      <c r="C121" s="31"/>
      <c r="D121" s="32">
        <v>20250.0</v>
      </c>
      <c r="E121" s="34">
        <f t="shared" si="4"/>
        <v>-14008.82</v>
      </c>
      <c r="F121" s="30" t="s">
        <v>159</v>
      </c>
      <c r="G121" s="30" t="s">
        <v>160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3.5" customHeight="1">
      <c r="A122" s="42">
        <v>46122.0</v>
      </c>
      <c r="B122" s="30" t="s">
        <v>41</v>
      </c>
      <c r="C122" s="64"/>
      <c r="D122" s="32">
        <v>3900.0</v>
      </c>
      <c r="E122" s="34">
        <f t="shared" si="4"/>
        <v>-17908.82</v>
      </c>
      <c r="F122" s="30" t="s">
        <v>161</v>
      </c>
      <c r="G122" s="30" t="s">
        <v>162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3.5" customHeight="1">
      <c r="A123" s="42">
        <v>46127.0</v>
      </c>
      <c r="B123" s="30" t="s">
        <v>41</v>
      </c>
      <c r="C123" s="31"/>
      <c r="D123" s="68">
        <v>46200.0</v>
      </c>
      <c r="E123" s="34">
        <f t="shared" si="4"/>
        <v>-64108.82</v>
      </c>
      <c r="F123" s="30" t="s">
        <v>163</v>
      </c>
      <c r="G123" s="30" t="s">
        <v>164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3.5" customHeight="1">
      <c r="A124" s="42">
        <v>46127.0</v>
      </c>
      <c r="B124" s="30" t="s">
        <v>165</v>
      </c>
      <c r="C124" s="31"/>
      <c r="D124" s="32">
        <v>2500.0</v>
      </c>
      <c r="E124" s="34">
        <f t="shared" si="4"/>
        <v>-66608.82</v>
      </c>
      <c r="F124" s="30" t="s">
        <v>39</v>
      </c>
      <c r="G124" s="3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3.5" customHeight="1">
      <c r="A125" s="42">
        <v>46127.0</v>
      </c>
      <c r="B125" s="30" t="s">
        <v>165</v>
      </c>
      <c r="C125" s="31"/>
      <c r="D125" s="32">
        <v>2500.0</v>
      </c>
      <c r="E125" s="34">
        <f t="shared" si="4"/>
        <v>-69108.82</v>
      </c>
      <c r="F125" s="30" t="s">
        <v>40</v>
      </c>
      <c r="G125" s="30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3.5" customHeight="1">
      <c r="A126" s="42">
        <v>46127.0</v>
      </c>
      <c r="B126" s="30" t="s">
        <v>165</v>
      </c>
      <c r="C126" s="31"/>
      <c r="D126" s="32">
        <v>5000.0</v>
      </c>
      <c r="E126" s="34">
        <f t="shared" si="4"/>
        <v>-74108.82</v>
      </c>
      <c r="F126" s="30" t="s">
        <v>36</v>
      </c>
      <c r="G126" s="30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3.5" customHeight="1">
      <c r="A127" s="42">
        <v>46127.0</v>
      </c>
      <c r="B127" s="30" t="s">
        <v>165</v>
      </c>
      <c r="C127" s="31"/>
      <c r="D127" s="32">
        <v>6250.0</v>
      </c>
      <c r="E127" s="34">
        <f t="shared" si="4"/>
        <v>-80358.82</v>
      </c>
      <c r="F127" s="30" t="s">
        <v>38</v>
      </c>
      <c r="G127" s="3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3.5" customHeight="1">
      <c r="A128" s="42">
        <v>46127.0</v>
      </c>
      <c r="B128" s="30" t="s">
        <v>165</v>
      </c>
      <c r="C128" s="31"/>
      <c r="D128" s="32">
        <v>5000.0</v>
      </c>
      <c r="E128" s="34">
        <f t="shared" si="4"/>
        <v>-85358.82</v>
      </c>
      <c r="F128" s="30" t="s">
        <v>84</v>
      </c>
      <c r="G128" s="30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3.5" customHeight="1">
      <c r="A129" s="43">
        <v>46129.0</v>
      </c>
      <c r="B129" s="30" t="s">
        <v>41</v>
      </c>
      <c r="C129" s="31"/>
      <c r="D129" s="32">
        <v>25400.0</v>
      </c>
      <c r="E129" s="34">
        <f t="shared" si="4"/>
        <v>-110758.82</v>
      </c>
      <c r="F129" s="30" t="s">
        <v>166</v>
      </c>
      <c r="G129" s="30" t="s">
        <v>167</v>
      </c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3.5" customHeight="1">
      <c r="A130" s="43">
        <v>46129.0</v>
      </c>
      <c r="B130" s="30" t="s">
        <v>41</v>
      </c>
      <c r="C130" s="31"/>
      <c r="D130" s="32">
        <v>12600.0</v>
      </c>
      <c r="E130" s="34">
        <f t="shared" si="4"/>
        <v>-123358.82</v>
      </c>
      <c r="F130" s="30" t="s">
        <v>168</v>
      </c>
      <c r="G130" s="30" t="s">
        <v>169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3.5" customHeight="1">
      <c r="A131" s="43">
        <v>46133.0</v>
      </c>
      <c r="B131" s="30" t="s">
        <v>41</v>
      </c>
      <c r="C131" s="31"/>
      <c r="D131" s="68">
        <v>23100.0</v>
      </c>
      <c r="E131" s="34">
        <f t="shared" si="4"/>
        <v>-146458.82</v>
      </c>
      <c r="F131" s="30" t="s">
        <v>163</v>
      </c>
      <c r="G131" s="30" t="s">
        <v>164</v>
      </c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3.5" customHeight="1">
      <c r="A132" s="43">
        <v>46132.0</v>
      </c>
      <c r="B132" s="30" t="s">
        <v>41</v>
      </c>
      <c r="C132" s="31"/>
      <c r="D132" s="32">
        <v>20000.0</v>
      </c>
      <c r="E132" s="34">
        <f t="shared" si="4"/>
        <v>-166458.82</v>
      </c>
      <c r="F132" s="30" t="s">
        <v>170</v>
      </c>
      <c r="G132" s="30" t="s">
        <v>145</v>
      </c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3.5" customHeight="1">
      <c r="A133" s="42">
        <v>46129.0</v>
      </c>
      <c r="B133" s="30" t="s">
        <v>41</v>
      </c>
      <c r="C133" s="31"/>
      <c r="D133" s="68">
        <v>20695.0</v>
      </c>
      <c r="E133" s="34">
        <f t="shared" si="4"/>
        <v>-187153.82</v>
      </c>
      <c r="F133" s="30" t="s">
        <v>171</v>
      </c>
      <c r="G133" s="30" t="s">
        <v>97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3.5" customHeight="1">
      <c r="A134" s="42">
        <v>46129.0</v>
      </c>
      <c r="B134" s="30" t="s">
        <v>41</v>
      </c>
      <c r="C134" s="31"/>
      <c r="D134" s="68">
        <v>38530.0</v>
      </c>
      <c r="E134" s="34">
        <f t="shared" si="4"/>
        <v>-225683.82</v>
      </c>
      <c r="F134" s="30" t="s">
        <v>173</v>
      </c>
      <c r="G134" s="30" t="s">
        <v>97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E135" s="34">
        <f t="shared" si="4"/>
        <v>-225683.82</v>
      </c>
    </row>
    <row r="136">
      <c r="E136" s="34">
        <f t="shared" si="4"/>
        <v>-225683.82</v>
      </c>
    </row>
    <row r="137">
      <c r="E137" s="34">
        <f t="shared" si="4"/>
        <v>-225683.82</v>
      </c>
    </row>
    <row r="138" ht="13.5" customHeight="1">
      <c r="A138" s="66"/>
      <c r="B138" s="36"/>
      <c r="C138" s="31"/>
      <c r="D138" s="31"/>
      <c r="E138" s="34">
        <f t="shared" si="4"/>
        <v>-225683.82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3.5" customHeight="1">
      <c r="A139" s="29">
        <v>46132.0</v>
      </c>
      <c r="B139" s="30" t="s">
        <v>70</v>
      </c>
      <c r="C139" s="31"/>
      <c r="D139" s="32">
        <v>5500.0</v>
      </c>
      <c r="E139" s="34">
        <f t="shared" si="4"/>
        <v>-231183.82</v>
      </c>
      <c r="F139" s="30" t="s">
        <v>174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3.5" customHeight="1">
      <c r="A140" s="66"/>
      <c r="B140" s="36"/>
      <c r="C140" s="31"/>
      <c r="D140" s="31"/>
      <c r="E140" s="34">
        <f t="shared" si="4"/>
        <v>-231183.82</v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3.5" customHeight="1">
      <c r="A141" s="66"/>
      <c r="B141" s="36"/>
      <c r="C141" s="31"/>
      <c r="D141" s="31"/>
      <c r="E141" s="34">
        <f t="shared" si="4"/>
        <v>-231183.82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3.5" customHeight="1">
      <c r="A142" s="29">
        <v>46134.0</v>
      </c>
      <c r="B142" s="30" t="s">
        <v>41</v>
      </c>
      <c r="C142" s="31"/>
      <c r="D142" s="32">
        <v>3500.0</v>
      </c>
      <c r="E142" s="34">
        <f t="shared" si="4"/>
        <v>-234683.82</v>
      </c>
      <c r="F142" s="30" t="s">
        <v>176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3.5" customHeight="1">
      <c r="A143" s="29">
        <v>46134.0</v>
      </c>
      <c r="B143" s="30" t="s">
        <v>41</v>
      </c>
      <c r="C143" s="31"/>
      <c r="D143" s="32">
        <v>14389.8</v>
      </c>
      <c r="E143" s="34">
        <f t="shared" si="4"/>
        <v>-249073.62</v>
      </c>
      <c r="F143" s="30" t="s">
        <v>177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3.5" customHeight="1">
      <c r="A144" s="29">
        <v>46134.0</v>
      </c>
      <c r="B144" s="30" t="s">
        <v>41</v>
      </c>
      <c r="C144" s="31"/>
      <c r="D144" s="32">
        <v>13548.15</v>
      </c>
      <c r="E144" s="34">
        <f t="shared" si="4"/>
        <v>-262621.77</v>
      </c>
      <c r="F144" s="30" t="s">
        <v>179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3.5" customHeight="1">
      <c r="A145" s="43">
        <v>46136.0</v>
      </c>
      <c r="B145" s="30" t="s">
        <v>41</v>
      </c>
      <c r="C145" s="31"/>
      <c r="D145" s="32">
        <v>31300.0</v>
      </c>
      <c r="E145" s="34">
        <f>E134+C145-D145</f>
        <v>-256983.82</v>
      </c>
      <c r="F145" s="30" t="s">
        <v>182</v>
      </c>
      <c r="G145" s="30" t="s">
        <v>183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3.5" customHeight="1">
      <c r="A146" s="43">
        <v>46136.0</v>
      </c>
      <c r="B146" s="30" t="s">
        <v>41</v>
      </c>
      <c r="C146" s="31"/>
      <c r="D146" s="68">
        <v>18080.0</v>
      </c>
      <c r="E146" s="34">
        <f t="shared" ref="E146:E1186" si="5">E145+C146-D146</f>
        <v>-275063.82</v>
      </c>
      <c r="F146" s="30" t="s">
        <v>184</v>
      </c>
      <c r="G146" s="30" t="s">
        <v>97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3.5" customHeight="1">
      <c r="A147" s="43">
        <v>46136.0</v>
      </c>
      <c r="B147" s="30" t="s">
        <v>41</v>
      </c>
      <c r="C147" s="31"/>
      <c r="D147" s="68">
        <v>25000.0</v>
      </c>
      <c r="E147" s="34">
        <f t="shared" si="5"/>
        <v>-300063.82</v>
      </c>
      <c r="F147" s="30" t="s">
        <v>185</v>
      </c>
      <c r="G147" s="30" t="s">
        <v>186</v>
      </c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3.5" customHeight="1">
      <c r="A148" s="29">
        <v>46142.0</v>
      </c>
      <c r="B148" s="30" t="s">
        <v>187</v>
      </c>
      <c r="C148" s="31"/>
      <c r="D148" s="32">
        <v>2500.0</v>
      </c>
      <c r="E148" s="34">
        <f t="shared" si="5"/>
        <v>-302563.82</v>
      </c>
      <c r="F148" s="30" t="s">
        <v>39</v>
      </c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3.5" customHeight="1">
      <c r="A149" s="29">
        <v>46142.0</v>
      </c>
      <c r="B149" s="30" t="s">
        <v>187</v>
      </c>
      <c r="C149" s="31"/>
      <c r="D149" s="32">
        <v>5000.0</v>
      </c>
      <c r="E149" s="34">
        <f t="shared" si="5"/>
        <v>-307563.82</v>
      </c>
      <c r="F149" s="30" t="s">
        <v>36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3.5" customHeight="1">
      <c r="A150" s="29">
        <v>46142.0</v>
      </c>
      <c r="B150" s="30" t="s">
        <v>187</v>
      </c>
      <c r="C150" s="31"/>
      <c r="D150" s="32">
        <v>6250.0</v>
      </c>
      <c r="E150" s="34">
        <f t="shared" si="5"/>
        <v>-313813.82</v>
      </c>
      <c r="F150" s="30" t="s">
        <v>38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3.5" customHeight="1">
      <c r="A151" s="29">
        <v>46142.0</v>
      </c>
      <c r="B151" s="30" t="s">
        <v>187</v>
      </c>
      <c r="C151" s="31"/>
      <c r="D151" s="32">
        <v>5000.0</v>
      </c>
      <c r="E151" s="34">
        <f t="shared" si="5"/>
        <v>-318813.82</v>
      </c>
      <c r="F151" s="30" t="s">
        <v>84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3.5" customHeight="1">
      <c r="A152" s="29"/>
      <c r="B152" s="30"/>
      <c r="C152" s="31"/>
      <c r="D152" s="32"/>
      <c r="E152" s="34">
        <f t="shared" si="5"/>
        <v>-318813.82</v>
      </c>
      <c r="F152" s="30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3.5" customHeight="1">
      <c r="A153" s="29"/>
      <c r="B153" s="30"/>
      <c r="C153" s="31"/>
      <c r="D153" s="32"/>
      <c r="E153" s="34">
        <f t="shared" si="5"/>
        <v>-318813.82</v>
      </c>
      <c r="F153" s="30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3.5" customHeight="1">
      <c r="A154" s="29"/>
      <c r="B154" s="30"/>
      <c r="C154" s="31"/>
      <c r="D154" s="32"/>
      <c r="E154" s="34">
        <f t="shared" si="5"/>
        <v>-318813.82</v>
      </c>
      <c r="F154" s="30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3.5" customHeight="1">
      <c r="A155" s="29"/>
      <c r="B155" s="30"/>
      <c r="C155" s="31"/>
      <c r="D155" s="32"/>
      <c r="E155" s="34">
        <f t="shared" si="5"/>
        <v>-318813.82</v>
      </c>
      <c r="F155" s="30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3.5" customHeight="1">
      <c r="A156" s="29"/>
      <c r="B156" s="30"/>
      <c r="C156" s="31"/>
      <c r="D156" s="32"/>
      <c r="E156" s="34">
        <f t="shared" si="5"/>
        <v>-318813.82</v>
      </c>
      <c r="F156" s="30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3.5" customHeight="1">
      <c r="A157" s="29"/>
      <c r="B157" s="30"/>
      <c r="C157" s="31"/>
      <c r="D157" s="32"/>
      <c r="E157" s="34">
        <f t="shared" si="5"/>
        <v>-318813.82</v>
      </c>
      <c r="F157" s="30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3.5" customHeight="1">
      <c r="A158" s="29">
        <v>46144.0</v>
      </c>
      <c r="B158" s="30" t="s">
        <v>190</v>
      </c>
      <c r="C158" s="31"/>
      <c r="D158" s="32">
        <v>6000.0</v>
      </c>
      <c r="E158" s="34">
        <f t="shared" si="5"/>
        <v>-324813.82</v>
      </c>
      <c r="F158" s="30" t="s">
        <v>191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3.5" customHeight="1">
      <c r="A159" s="29">
        <v>46154.0</v>
      </c>
      <c r="B159" s="30" t="s">
        <v>192</v>
      </c>
      <c r="C159" s="31"/>
      <c r="D159" s="32">
        <v>3000.0</v>
      </c>
      <c r="E159" s="34">
        <f t="shared" si="5"/>
        <v>-327813.82</v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3.5" customHeight="1">
      <c r="A160" s="29">
        <v>46157.0</v>
      </c>
      <c r="B160" s="30" t="s">
        <v>193</v>
      </c>
      <c r="C160" s="31"/>
      <c r="D160" s="32">
        <v>9500.0</v>
      </c>
      <c r="E160" s="34">
        <f t="shared" si="5"/>
        <v>-337313.82</v>
      </c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3.5" customHeight="1">
      <c r="A161" s="66"/>
      <c r="B161" s="36"/>
      <c r="C161" s="31"/>
      <c r="D161" s="31"/>
      <c r="E161" s="34">
        <f t="shared" si="5"/>
        <v>-337313.82</v>
      </c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3.5" customHeight="1">
      <c r="A162" s="66"/>
      <c r="B162" s="36"/>
      <c r="C162" s="31"/>
      <c r="D162" s="31"/>
      <c r="E162" s="34">
        <f t="shared" si="5"/>
        <v>-337313.82</v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3.5" customHeight="1">
      <c r="A163" s="66"/>
      <c r="B163" s="36"/>
      <c r="C163" s="31"/>
      <c r="D163" s="31"/>
      <c r="E163" s="34">
        <f t="shared" si="5"/>
        <v>-337313.82</v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3.5" customHeight="1">
      <c r="A164" s="29">
        <v>46158.0</v>
      </c>
      <c r="B164" s="30" t="s">
        <v>194</v>
      </c>
      <c r="C164" s="31"/>
      <c r="D164" s="32">
        <v>3000.0</v>
      </c>
      <c r="E164" s="34">
        <f t="shared" si="5"/>
        <v>-340313.82</v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3.5" customHeight="1">
      <c r="A165" s="29">
        <v>46164.0</v>
      </c>
      <c r="B165" s="30" t="s">
        <v>41</v>
      </c>
      <c r="C165" s="31"/>
      <c r="D165" s="32">
        <v>15675.0</v>
      </c>
      <c r="E165" s="34">
        <f t="shared" si="5"/>
        <v>-355988.82</v>
      </c>
      <c r="F165" s="30" t="s">
        <v>195</v>
      </c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3.5" customHeight="1">
      <c r="A166" s="66"/>
      <c r="B166" s="36"/>
      <c r="C166" s="31"/>
      <c r="D166" s="31"/>
      <c r="E166" s="34">
        <f t="shared" si="5"/>
        <v>-355988.82</v>
      </c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3.5" customHeight="1">
      <c r="A167" s="66"/>
      <c r="B167" s="36"/>
      <c r="C167" s="31"/>
      <c r="D167" s="31"/>
      <c r="E167" s="34">
        <f t="shared" si="5"/>
        <v>-355988.82</v>
      </c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3.5" customHeight="1">
      <c r="A168" s="66"/>
      <c r="B168" s="36"/>
      <c r="C168" s="31"/>
      <c r="D168" s="31"/>
      <c r="E168" s="34">
        <f t="shared" si="5"/>
        <v>-355988.82</v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3.5" customHeight="1">
      <c r="A169" s="66"/>
      <c r="B169" s="36"/>
      <c r="C169" s="31"/>
      <c r="D169" s="31"/>
      <c r="E169" s="34">
        <f t="shared" si="5"/>
        <v>-355988.82</v>
      </c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3.5" customHeight="1">
      <c r="A170" s="66"/>
      <c r="B170" s="36"/>
      <c r="C170" s="31"/>
      <c r="D170" s="31"/>
      <c r="E170" s="34">
        <f t="shared" si="5"/>
        <v>-355988.82</v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3.5" customHeight="1">
      <c r="A171" s="66"/>
      <c r="B171" s="36"/>
      <c r="C171" s="31"/>
      <c r="D171" s="31"/>
      <c r="E171" s="34">
        <f t="shared" si="5"/>
        <v>-355988.82</v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3.5" customHeight="1">
      <c r="A172" s="66"/>
      <c r="B172" s="36"/>
      <c r="C172" s="31"/>
      <c r="D172" s="31"/>
      <c r="E172" s="34">
        <f t="shared" si="5"/>
        <v>-355988.82</v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3.5" customHeight="1">
      <c r="A173" s="66"/>
      <c r="B173" s="36"/>
      <c r="C173" s="31"/>
      <c r="D173" s="31"/>
      <c r="E173" s="34">
        <f t="shared" si="5"/>
        <v>-355988.82</v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3.5" customHeight="1">
      <c r="A174" s="66"/>
      <c r="B174" s="36"/>
      <c r="C174" s="31"/>
      <c r="D174" s="31"/>
      <c r="E174" s="34">
        <f t="shared" si="5"/>
        <v>-355988.82</v>
      </c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3.5" customHeight="1">
      <c r="A175" s="29">
        <v>46177.0</v>
      </c>
      <c r="B175" s="30" t="s">
        <v>196</v>
      </c>
      <c r="C175" s="31"/>
      <c r="D175" s="32">
        <v>6000.0</v>
      </c>
      <c r="E175" s="34">
        <f t="shared" si="5"/>
        <v>-361988.82</v>
      </c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3.5" customHeight="1">
      <c r="A176" s="66"/>
      <c r="B176" s="36"/>
      <c r="C176" s="31"/>
      <c r="D176" s="31"/>
      <c r="E176" s="34">
        <f t="shared" si="5"/>
        <v>-361988.82</v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3.5" customHeight="1">
      <c r="A177" s="66"/>
      <c r="B177" s="36"/>
      <c r="C177" s="31"/>
      <c r="D177" s="31"/>
      <c r="E177" s="34">
        <f t="shared" si="5"/>
        <v>-361988.82</v>
      </c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3.5" customHeight="1">
      <c r="A178" s="66"/>
      <c r="B178" s="36"/>
      <c r="C178" s="31"/>
      <c r="D178" s="31"/>
      <c r="E178" s="34">
        <f t="shared" si="5"/>
        <v>-361988.82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3.5" customHeight="1">
      <c r="A179" s="66"/>
      <c r="B179" s="36"/>
      <c r="C179" s="31"/>
      <c r="D179" s="31"/>
      <c r="E179" s="34">
        <f t="shared" si="5"/>
        <v>-361988.82</v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3.5" customHeight="1">
      <c r="A180" s="66"/>
      <c r="B180" s="36"/>
      <c r="C180" s="31"/>
      <c r="D180" s="31"/>
      <c r="E180" s="34">
        <f t="shared" si="5"/>
        <v>-361988.82</v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3.5" customHeight="1">
      <c r="A181" s="66"/>
      <c r="B181" s="36"/>
      <c r="C181" s="31"/>
      <c r="D181" s="31"/>
      <c r="E181" s="34">
        <f t="shared" si="5"/>
        <v>-361988.82</v>
      </c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3.5" customHeight="1">
      <c r="A182" s="66"/>
      <c r="B182" s="36"/>
      <c r="C182" s="31"/>
      <c r="D182" s="31"/>
      <c r="E182" s="34">
        <f t="shared" si="5"/>
        <v>-361988.82</v>
      </c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3.5" customHeight="1">
      <c r="A183" s="66"/>
      <c r="B183" s="36"/>
      <c r="C183" s="31"/>
      <c r="D183" s="31"/>
      <c r="E183" s="34">
        <f t="shared" si="5"/>
        <v>-361988.82</v>
      </c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3.5" customHeight="1">
      <c r="A184" s="66"/>
      <c r="B184" s="36"/>
      <c r="C184" s="31"/>
      <c r="D184" s="31"/>
      <c r="E184" s="34">
        <f t="shared" si="5"/>
        <v>-361988.82</v>
      </c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3.5" customHeight="1">
      <c r="A185" s="66"/>
      <c r="B185" s="36"/>
      <c r="C185" s="31"/>
      <c r="D185" s="31"/>
      <c r="E185" s="34">
        <f t="shared" si="5"/>
        <v>-361988.82</v>
      </c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3.5" customHeight="1">
      <c r="A186" s="66"/>
      <c r="B186" s="36"/>
      <c r="C186" s="31"/>
      <c r="D186" s="31"/>
      <c r="E186" s="34">
        <f t="shared" si="5"/>
        <v>-361988.82</v>
      </c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3.5" customHeight="1">
      <c r="A187" s="66"/>
      <c r="B187" s="36"/>
      <c r="C187" s="31"/>
      <c r="D187" s="31"/>
      <c r="E187" s="34">
        <f t="shared" si="5"/>
        <v>-361988.82</v>
      </c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3.5" customHeight="1">
      <c r="A188" s="66"/>
      <c r="B188" s="36"/>
      <c r="C188" s="31"/>
      <c r="D188" s="31"/>
      <c r="E188" s="34">
        <f t="shared" si="5"/>
        <v>-361988.82</v>
      </c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3.5" customHeight="1">
      <c r="A189" s="66"/>
      <c r="B189" s="36"/>
      <c r="C189" s="31"/>
      <c r="D189" s="31"/>
      <c r="E189" s="34">
        <f t="shared" si="5"/>
        <v>-361988.82</v>
      </c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3.5" customHeight="1">
      <c r="A190" s="66"/>
      <c r="B190" s="36"/>
      <c r="C190" s="31"/>
      <c r="D190" s="31"/>
      <c r="E190" s="34">
        <f t="shared" si="5"/>
        <v>-361988.82</v>
      </c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3.5" customHeight="1">
      <c r="A191" s="66"/>
      <c r="B191" s="36"/>
      <c r="C191" s="31"/>
      <c r="D191" s="31"/>
      <c r="E191" s="34">
        <f t="shared" si="5"/>
        <v>-361988.82</v>
      </c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3.5" customHeight="1">
      <c r="A192" s="66"/>
      <c r="B192" s="36"/>
      <c r="C192" s="31"/>
      <c r="D192" s="31"/>
      <c r="E192" s="34">
        <f t="shared" si="5"/>
        <v>-361988.82</v>
      </c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3.5" customHeight="1">
      <c r="A193" s="66"/>
      <c r="B193" s="36"/>
      <c r="C193" s="31"/>
      <c r="D193" s="31"/>
      <c r="E193" s="34">
        <f t="shared" si="5"/>
        <v>-361988.82</v>
      </c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3.5" customHeight="1">
      <c r="A194" s="66"/>
      <c r="B194" s="36"/>
      <c r="C194" s="31"/>
      <c r="D194" s="31"/>
      <c r="E194" s="34">
        <f t="shared" si="5"/>
        <v>-361988.82</v>
      </c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3.5" customHeight="1">
      <c r="A195" s="66"/>
      <c r="B195" s="36"/>
      <c r="C195" s="31"/>
      <c r="D195" s="31"/>
      <c r="E195" s="34">
        <f t="shared" si="5"/>
        <v>-361988.82</v>
      </c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3.5" customHeight="1">
      <c r="A196" s="66"/>
      <c r="B196" s="36"/>
      <c r="C196" s="31"/>
      <c r="D196" s="31"/>
      <c r="E196" s="34">
        <f t="shared" si="5"/>
        <v>-361988.82</v>
      </c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3.5" customHeight="1">
      <c r="A197" s="66"/>
      <c r="B197" s="36"/>
      <c r="C197" s="31"/>
      <c r="D197" s="31"/>
      <c r="E197" s="34">
        <f t="shared" si="5"/>
        <v>-361988.82</v>
      </c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3.5" customHeight="1">
      <c r="A198" s="66"/>
      <c r="B198" s="36"/>
      <c r="C198" s="31"/>
      <c r="D198" s="31"/>
      <c r="E198" s="34">
        <f t="shared" si="5"/>
        <v>-361988.82</v>
      </c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3.5" customHeight="1">
      <c r="A199" s="66"/>
      <c r="B199" s="36"/>
      <c r="C199" s="31"/>
      <c r="D199" s="31"/>
      <c r="E199" s="34">
        <f t="shared" si="5"/>
        <v>-361988.82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3.5" customHeight="1">
      <c r="A200" s="66"/>
      <c r="B200" s="36"/>
      <c r="C200" s="31"/>
      <c r="D200" s="31"/>
      <c r="E200" s="34">
        <f t="shared" si="5"/>
        <v>-361988.82</v>
      </c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3.5" customHeight="1">
      <c r="A201" s="66"/>
      <c r="B201" s="36"/>
      <c r="C201" s="31"/>
      <c r="D201" s="31"/>
      <c r="E201" s="34">
        <f t="shared" si="5"/>
        <v>-361988.82</v>
      </c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3.5" customHeight="1">
      <c r="A202" s="66"/>
      <c r="B202" s="36"/>
      <c r="C202" s="31"/>
      <c r="D202" s="31"/>
      <c r="E202" s="34">
        <f t="shared" si="5"/>
        <v>-361988.82</v>
      </c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3.5" customHeight="1">
      <c r="A203" s="66"/>
      <c r="B203" s="36"/>
      <c r="C203" s="31"/>
      <c r="D203" s="31"/>
      <c r="E203" s="34">
        <f t="shared" si="5"/>
        <v>-361988.82</v>
      </c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3.5" customHeight="1">
      <c r="A204" s="66"/>
      <c r="B204" s="36"/>
      <c r="C204" s="31"/>
      <c r="D204" s="31"/>
      <c r="E204" s="34">
        <f t="shared" si="5"/>
        <v>-361988.82</v>
      </c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3.5" customHeight="1">
      <c r="A205" s="66"/>
      <c r="B205" s="36"/>
      <c r="C205" s="31"/>
      <c r="D205" s="31"/>
      <c r="E205" s="34">
        <f t="shared" si="5"/>
        <v>-361988.82</v>
      </c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3.5" customHeight="1">
      <c r="A206" s="66"/>
      <c r="B206" s="36"/>
      <c r="C206" s="31"/>
      <c r="D206" s="31"/>
      <c r="E206" s="34">
        <f t="shared" si="5"/>
        <v>-361988.82</v>
      </c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3.5" customHeight="1">
      <c r="A207" s="66"/>
      <c r="B207" s="36"/>
      <c r="C207" s="31"/>
      <c r="D207" s="31"/>
      <c r="E207" s="34">
        <f t="shared" si="5"/>
        <v>-361988.82</v>
      </c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3.5" customHeight="1">
      <c r="A208" s="66"/>
      <c r="B208" s="36"/>
      <c r="C208" s="31"/>
      <c r="D208" s="31"/>
      <c r="E208" s="34">
        <f t="shared" si="5"/>
        <v>-361988.82</v>
      </c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3.5" customHeight="1">
      <c r="A209" s="66"/>
      <c r="B209" s="36"/>
      <c r="C209" s="31"/>
      <c r="D209" s="31"/>
      <c r="E209" s="34">
        <f t="shared" si="5"/>
        <v>-361988.82</v>
      </c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3.5" customHeight="1">
      <c r="A210" s="66"/>
      <c r="B210" s="36"/>
      <c r="C210" s="31"/>
      <c r="D210" s="31"/>
      <c r="E210" s="34">
        <f t="shared" si="5"/>
        <v>-361988.82</v>
      </c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3.5" customHeight="1">
      <c r="A211" s="66"/>
      <c r="B211" s="36"/>
      <c r="C211" s="31"/>
      <c r="D211" s="31"/>
      <c r="E211" s="34">
        <f t="shared" si="5"/>
        <v>-361988.82</v>
      </c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3.5" customHeight="1">
      <c r="A212" s="66"/>
      <c r="B212" s="36"/>
      <c r="C212" s="31"/>
      <c r="D212" s="31"/>
      <c r="E212" s="34">
        <f t="shared" si="5"/>
        <v>-361988.82</v>
      </c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3.5" customHeight="1">
      <c r="A213" s="66"/>
      <c r="B213" s="36"/>
      <c r="C213" s="31"/>
      <c r="D213" s="31"/>
      <c r="E213" s="34">
        <f t="shared" si="5"/>
        <v>-361988.82</v>
      </c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3.5" customHeight="1">
      <c r="A214" s="66"/>
      <c r="B214" s="36"/>
      <c r="C214" s="31"/>
      <c r="D214" s="31"/>
      <c r="E214" s="34">
        <f t="shared" si="5"/>
        <v>-361988.82</v>
      </c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3.5" customHeight="1">
      <c r="A215" s="66"/>
      <c r="B215" s="36"/>
      <c r="C215" s="31"/>
      <c r="D215" s="31"/>
      <c r="E215" s="34">
        <f t="shared" si="5"/>
        <v>-361988.82</v>
      </c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3.5" customHeight="1">
      <c r="A216" s="66"/>
      <c r="B216" s="36"/>
      <c r="C216" s="31"/>
      <c r="D216" s="31"/>
      <c r="E216" s="34">
        <f t="shared" si="5"/>
        <v>-361988.82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3.5" customHeight="1">
      <c r="A217" s="66"/>
      <c r="B217" s="36"/>
      <c r="C217" s="31"/>
      <c r="D217" s="31"/>
      <c r="E217" s="34">
        <f t="shared" si="5"/>
        <v>-361988.82</v>
      </c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3.5" customHeight="1">
      <c r="A218" s="66"/>
      <c r="B218" s="36"/>
      <c r="C218" s="31"/>
      <c r="D218" s="31"/>
      <c r="E218" s="34">
        <f t="shared" si="5"/>
        <v>-361988.82</v>
      </c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3.5" customHeight="1">
      <c r="A219" s="66"/>
      <c r="B219" s="36"/>
      <c r="C219" s="31"/>
      <c r="D219" s="31"/>
      <c r="E219" s="34">
        <f t="shared" si="5"/>
        <v>-361988.82</v>
      </c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3.5" customHeight="1">
      <c r="A220" s="66"/>
      <c r="B220" s="36"/>
      <c r="C220" s="31"/>
      <c r="D220" s="31"/>
      <c r="E220" s="34">
        <f t="shared" si="5"/>
        <v>-361988.82</v>
      </c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3.5" customHeight="1">
      <c r="A221" s="66"/>
      <c r="B221" s="36"/>
      <c r="C221" s="31"/>
      <c r="D221" s="31"/>
      <c r="E221" s="34">
        <f t="shared" si="5"/>
        <v>-361988.82</v>
      </c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3.5" customHeight="1">
      <c r="A222" s="66"/>
      <c r="B222" s="36"/>
      <c r="C222" s="31"/>
      <c r="D222" s="31"/>
      <c r="E222" s="34">
        <f t="shared" si="5"/>
        <v>-361988.82</v>
      </c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3.5" customHeight="1">
      <c r="A223" s="66"/>
      <c r="B223" s="36"/>
      <c r="C223" s="31"/>
      <c r="D223" s="31"/>
      <c r="E223" s="34">
        <f t="shared" si="5"/>
        <v>-361988.82</v>
      </c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3.5" customHeight="1">
      <c r="A224" s="66"/>
      <c r="B224" s="36"/>
      <c r="C224" s="31"/>
      <c r="D224" s="31"/>
      <c r="E224" s="34">
        <f t="shared" si="5"/>
        <v>-361988.82</v>
      </c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3.5" customHeight="1">
      <c r="A225" s="66"/>
      <c r="B225" s="36"/>
      <c r="C225" s="31"/>
      <c r="D225" s="31"/>
      <c r="E225" s="34">
        <f t="shared" si="5"/>
        <v>-361988.82</v>
      </c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3.5" customHeight="1">
      <c r="A226" s="66"/>
      <c r="B226" s="36"/>
      <c r="C226" s="31"/>
      <c r="D226" s="31"/>
      <c r="E226" s="34">
        <f t="shared" si="5"/>
        <v>-361988.82</v>
      </c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3.5" customHeight="1">
      <c r="A227" s="66"/>
      <c r="B227" s="36"/>
      <c r="C227" s="31"/>
      <c r="D227" s="31"/>
      <c r="E227" s="34">
        <f t="shared" si="5"/>
        <v>-361988.82</v>
      </c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3.5" customHeight="1">
      <c r="A228" s="66"/>
      <c r="B228" s="36"/>
      <c r="C228" s="31"/>
      <c r="D228" s="31"/>
      <c r="E228" s="34">
        <f t="shared" si="5"/>
        <v>-361988.82</v>
      </c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3.5" customHeight="1">
      <c r="A229" s="66"/>
      <c r="B229" s="36"/>
      <c r="C229" s="31"/>
      <c r="D229" s="31"/>
      <c r="E229" s="34">
        <f t="shared" si="5"/>
        <v>-361988.82</v>
      </c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3.5" customHeight="1">
      <c r="A230" s="66"/>
      <c r="B230" s="36"/>
      <c r="C230" s="31"/>
      <c r="D230" s="31"/>
      <c r="E230" s="34">
        <f t="shared" si="5"/>
        <v>-361988.82</v>
      </c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3.5" customHeight="1">
      <c r="A231" s="66"/>
      <c r="B231" s="36"/>
      <c r="C231" s="31"/>
      <c r="D231" s="31"/>
      <c r="E231" s="34">
        <f t="shared" si="5"/>
        <v>-361988.82</v>
      </c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3.5" customHeight="1">
      <c r="A232" s="66"/>
      <c r="B232" s="36"/>
      <c r="C232" s="31"/>
      <c r="D232" s="31"/>
      <c r="E232" s="34">
        <f t="shared" si="5"/>
        <v>-361988.82</v>
      </c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3.5" customHeight="1">
      <c r="A233" s="66"/>
      <c r="B233" s="36"/>
      <c r="C233" s="31"/>
      <c r="D233" s="31"/>
      <c r="E233" s="34">
        <f t="shared" si="5"/>
        <v>-361988.82</v>
      </c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3.5" customHeight="1">
      <c r="A234" s="66"/>
      <c r="B234" s="36"/>
      <c r="C234" s="31"/>
      <c r="D234" s="31"/>
      <c r="E234" s="34">
        <f t="shared" si="5"/>
        <v>-361988.82</v>
      </c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3.5" customHeight="1">
      <c r="A235" s="66"/>
      <c r="B235" s="36"/>
      <c r="C235" s="31"/>
      <c r="D235" s="31"/>
      <c r="E235" s="34">
        <f t="shared" si="5"/>
        <v>-361988.82</v>
      </c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3.5" customHeight="1">
      <c r="A236" s="66"/>
      <c r="B236" s="36"/>
      <c r="C236" s="31"/>
      <c r="D236" s="31"/>
      <c r="E236" s="34">
        <f t="shared" si="5"/>
        <v>-361988.82</v>
      </c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3.5" customHeight="1">
      <c r="A237" s="66"/>
      <c r="B237" s="36"/>
      <c r="C237" s="31"/>
      <c r="D237" s="31"/>
      <c r="E237" s="34">
        <f t="shared" si="5"/>
        <v>-361988.82</v>
      </c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3.5" customHeight="1">
      <c r="A238" s="66"/>
      <c r="B238" s="36"/>
      <c r="C238" s="31"/>
      <c r="D238" s="31"/>
      <c r="E238" s="34">
        <f t="shared" si="5"/>
        <v>-361988.82</v>
      </c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3.5" customHeight="1">
      <c r="A239" s="66"/>
      <c r="B239" s="36"/>
      <c r="C239" s="31"/>
      <c r="D239" s="31"/>
      <c r="E239" s="34">
        <f t="shared" si="5"/>
        <v>-361988.82</v>
      </c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3.5" customHeight="1">
      <c r="A240" s="66"/>
      <c r="B240" s="36"/>
      <c r="C240" s="31"/>
      <c r="D240" s="31"/>
      <c r="E240" s="34">
        <f t="shared" si="5"/>
        <v>-361988.82</v>
      </c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3.5" customHeight="1">
      <c r="A241" s="66"/>
      <c r="B241" s="36"/>
      <c r="C241" s="31"/>
      <c r="D241" s="31"/>
      <c r="E241" s="34">
        <f t="shared" si="5"/>
        <v>-361988.82</v>
      </c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3.5" customHeight="1">
      <c r="A242" s="66"/>
      <c r="B242" s="36"/>
      <c r="C242" s="31"/>
      <c r="D242" s="31"/>
      <c r="E242" s="34">
        <f t="shared" si="5"/>
        <v>-361988.82</v>
      </c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3.5" customHeight="1">
      <c r="A243" s="66"/>
      <c r="B243" s="36"/>
      <c r="C243" s="31"/>
      <c r="D243" s="31"/>
      <c r="E243" s="34">
        <f t="shared" si="5"/>
        <v>-361988.82</v>
      </c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3.5" customHeight="1">
      <c r="A244" s="66"/>
      <c r="B244" s="36"/>
      <c r="C244" s="31"/>
      <c r="D244" s="31"/>
      <c r="E244" s="34">
        <f t="shared" si="5"/>
        <v>-361988.82</v>
      </c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3.5" customHeight="1">
      <c r="A245" s="66"/>
      <c r="B245" s="36"/>
      <c r="C245" s="31"/>
      <c r="D245" s="31"/>
      <c r="E245" s="34">
        <f t="shared" si="5"/>
        <v>-361988.82</v>
      </c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3.5" customHeight="1">
      <c r="A246" s="66"/>
      <c r="B246" s="36"/>
      <c r="C246" s="31"/>
      <c r="D246" s="31"/>
      <c r="E246" s="34">
        <f t="shared" si="5"/>
        <v>-361988.82</v>
      </c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3.5" customHeight="1">
      <c r="A247" s="66"/>
      <c r="B247" s="36"/>
      <c r="C247" s="31"/>
      <c r="D247" s="31"/>
      <c r="E247" s="34">
        <f t="shared" si="5"/>
        <v>-361988.82</v>
      </c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3.5" customHeight="1">
      <c r="A248" s="66"/>
      <c r="B248" s="36"/>
      <c r="C248" s="31"/>
      <c r="D248" s="31"/>
      <c r="E248" s="34">
        <f t="shared" si="5"/>
        <v>-361988.82</v>
      </c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3.5" customHeight="1">
      <c r="A249" s="66"/>
      <c r="B249" s="36"/>
      <c r="C249" s="31"/>
      <c r="D249" s="31"/>
      <c r="E249" s="34">
        <f t="shared" si="5"/>
        <v>-361988.82</v>
      </c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3.5" customHeight="1">
      <c r="A250" s="66"/>
      <c r="B250" s="36"/>
      <c r="C250" s="31"/>
      <c r="D250" s="31"/>
      <c r="E250" s="34">
        <f t="shared" si="5"/>
        <v>-361988.82</v>
      </c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3.5" customHeight="1">
      <c r="A251" s="66"/>
      <c r="B251" s="36"/>
      <c r="C251" s="31"/>
      <c r="D251" s="31"/>
      <c r="E251" s="34">
        <f t="shared" si="5"/>
        <v>-361988.82</v>
      </c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3.5" customHeight="1">
      <c r="A252" s="66"/>
      <c r="B252" s="36"/>
      <c r="C252" s="31"/>
      <c r="D252" s="47"/>
      <c r="E252" s="34">
        <f t="shared" si="5"/>
        <v>-361988.82</v>
      </c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3.5" customHeight="1">
      <c r="A253" s="66"/>
      <c r="B253" s="36"/>
      <c r="C253" s="31"/>
      <c r="D253" s="31"/>
      <c r="E253" s="34">
        <f t="shared" si="5"/>
        <v>-361988.82</v>
      </c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3.5" customHeight="1">
      <c r="A254" s="66"/>
      <c r="B254" s="36"/>
      <c r="C254" s="31"/>
      <c r="D254" s="31"/>
      <c r="E254" s="34">
        <f t="shared" si="5"/>
        <v>-361988.82</v>
      </c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3.5" customHeight="1">
      <c r="A255" s="66"/>
      <c r="B255" s="36"/>
      <c r="C255" s="31"/>
      <c r="D255" s="31"/>
      <c r="E255" s="34">
        <f t="shared" si="5"/>
        <v>-361988.82</v>
      </c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3.5" customHeight="1">
      <c r="A256" s="66"/>
      <c r="B256" s="36"/>
      <c r="C256" s="31"/>
      <c r="D256" s="31"/>
      <c r="E256" s="34">
        <f t="shared" si="5"/>
        <v>-361988.82</v>
      </c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3.5" customHeight="1">
      <c r="A257" s="66"/>
      <c r="B257" s="36"/>
      <c r="C257" s="31"/>
      <c r="D257" s="31"/>
      <c r="E257" s="34">
        <f t="shared" si="5"/>
        <v>-361988.82</v>
      </c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3.5" customHeight="1">
      <c r="A258" s="66"/>
      <c r="B258" s="36"/>
      <c r="C258" s="31"/>
      <c r="D258" s="31"/>
      <c r="E258" s="34">
        <f t="shared" si="5"/>
        <v>-361988.82</v>
      </c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3.5" customHeight="1">
      <c r="A259" s="66"/>
      <c r="B259" s="36"/>
      <c r="C259" s="31"/>
      <c r="D259" s="31"/>
      <c r="E259" s="34">
        <f t="shared" si="5"/>
        <v>-361988.82</v>
      </c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3.5" customHeight="1">
      <c r="A260" s="66"/>
      <c r="B260" s="36"/>
      <c r="C260" s="31"/>
      <c r="D260" s="31"/>
      <c r="E260" s="34">
        <f t="shared" si="5"/>
        <v>-361988.82</v>
      </c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3.5" customHeight="1">
      <c r="A261" s="66"/>
      <c r="B261" s="36"/>
      <c r="C261" s="31"/>
      <c r="D261" s="31"/>
      <c r="E261" s="34">
        <f t="shared" si="5"/>
        <v>-361988.82</v>
      </c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3.5" customHeight="1">
      <c r="A262" s="66"/>
      <c r="B262" s="36"/>
      <c r="C262" s="31"/>
      <c r="D262" s="31"/>
      <c r="E262" s="34">
        <f t="shared" si="5"/>
        <v>-361988.82</v>
      </c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3.5" customHeight="1">
      <c r="A263" s="66"/>
      <c r="B263" s="36"/>
      <c r="C263" s="31"/>
      <c r="D263" s="31"/>
      <c r="E263" s="34">
        <f t="shared" si="5"/>
        <v>-361988.82</v>
      </c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3.5" customHeight="1">
      <c r="A264" s="66"/>
      <c r="B264" s="36"/>
      <c r="C264" s="31"/>
      <c r="D264" s="31"/>
      <c r="E264" s="34">
        <f t="shared" si="5"/>
        <v>-361988.82</v>
      </c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3.5" customHeight="1">
      <c r="A265" s="66"/>
      <c r="B265" s="36"/>
      <c r="C265" s="31"/>
      <c r="D265" s="31"/>
      <c r="E265" s="34">
        <f t="shared" si="5"/>
        <v>-361988.82</v>
      </c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3.5" customHeight="1">
      <c r="A266" s="66"/>
      <c r="B266" s="36"/>
      <c r="C266" s="31"/>
      <c r="D266" s="31"/>
      <c r="E266" s="34">
        <f t="shared" si="5"/>
        <v>-361988.82</v>
      </c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3.5" customHeight="1">
      <c r="A267" s="66"/>
      <c r="B267" s="36"/>
      <c r="C267" s="31"/>
      <c r="D267" s="31"/>
      <c r="E267" s="34">
        <f t="shared" si="5"/>
        <v>-361988.82</v>
      </c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3.5" customHeight="1">
      <c r="A268" s="66"/>
      <c r="B268" s="36"/>
      <c r="C268" s="31"/>
      <c r="D268" s="31"/>
      <c r="E268" s="34">
        <f t="shared" si="5"/>
        <v>-361988.82</v>
      </c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3.5" customHeight="1">
      <c r="A269" s="66"/>
      <c r="B269" s="36"/>
      <c r="C269" s="31"/>
      <c r="D269" s="31"/>
      <c r="E269" s="34">
        <f t="shared" si="5"/>
        <v>-361988.82</v>
      </c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3.5" customHeight="1">
      <c r="A270" s="66"/>
      <c r="B270" s="36"/>
      <c r="C270" s="31"/>
      <c r="D270" s="31"/>
      <c r="E270" s="34">
        <f t="shared" si="5"/>
        <v>-361988.82</v>
      </c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3.5" customHeight="1">
      <c r="A271" s="66"/>
      <c r="B271" s="36"/>
      <c r="C271" s="31"/>
      <c r="D271" s="31"/>
      <c r="E271" s="34">
        <f t="shared" si="5"/>
        <v>-361988.82</v>
      </c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3.5" customHeight="1">
      <c r="A272" s="66"/>
      <c r="B272" s="36"/>
      <c r="C272" s="31"/>
      <c r="D272" s="31"/>
      <c r="E272" s="34">
        <f t="shared" si="5"/>
        <v>-361988.82</v>
      </c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3.5" customHeight="1">
      <c r="A273" s="66"/>
      <c r="B273" s="36"/>
      <c r="C273" s="31"/>
      <c r="D273" s="31"/>
      <c r="E273" s="34">
        <f t="shared" si="5"/>
        <v>-361988.82</v>
      </c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3.5" customHeight="1">
      <c r="A274" s="66"/>
      <c r="B274" s="36"/>
      <c r="C274" s="31"/>
      <c r="D274" s="31"/>
      <c r="E274" s="34">
        <f t="shared" si="5"/>
        <v>-361988.82</v>
      </c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3.5" customHeight="1">
      <c r="A275" s="66"/>
      <c r="B275" s="36"/>
      <c r="C275" s="31"/>
      <c r="D275" s="31"/>
      <c r="E275" s="34">
        <f t="shared" si="5"/>
        <v>-361988.82</v>
      </c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3.5" customHeight="1">
      <c r="A276" s="66"/>
      <c r="B276" s="36"/>
      <c r="C276" s="31"/>
      <c r="D276" s="31"/>
      <c r="E276" s="34">
        <f t="shared" si="5"/>
        <v>-361988.82</v>
      </c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3.5" customHeight="1">
      <c r="A277" s="66"/>
      <c r="B277" s="36"/>
      <c r="C277" s="31"/>
      <c r="D277" s="31"/>
      <c r="E277" s="34">
        <f t="shared" si="5"/>
        <v>-361988.82</v>
      </c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3.5" customHeight="1">
      <c r="A278" s="66"/>
      <c r="B278" s="36"/>
      <c r="C278" s="31"/>
      <c r="D278" s="31"/>
      <c r="E278" s="34">
        <f t="shared" si="5"/>
        <v>-361988.82</v>
      </c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3.5" customHeight="1">
      <c r="A279" s="66"/>
      <c r="B279" s="36"/>
      <c r="C279" s="31"/>
      <c r="D279" s="31"/>
      <c r="E279" s="34">
        <f t="shared" si="5"/>
        <v>-361988.82</v>
      </c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3.5" customHeight="1">
      <c r="A280" s="66"/>
      <c r="B280" s="36"/>
      <c r="C280" s="31"/>
      <c r="D280" s="31"/>
      <c r="E280" s="34">
        <f t="shared" si="5"/>
        <v>-361988.82</v>
      </c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3.5" customHeight="1">
      <c r="A281" s="66"/>
      <c r="B281" s="36"/>
      <c r="C281" s="31"/>
      <c r="D281" s="31"/>
      <c r="E281" s="34">
        <f t="shared" si="5"/>
        <v>-361988.82</v>
      </c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3.5" customHeight="1">
      <c r="A282" s="66"/>
      <c r="B282" s="36"/>
      <c r="C282" s="31"/>
      <c r="D282" s="31"/>
      <c r="E282" s="34">
        <f t="shared" si="5"/>
        <v>-361988.82</v>
      </c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3.5" customHeight="1">
      <c r="A283" s="66"/>
      <c r="B283" s="36"/>
      <c r="C283" s="31"/>
      <c r="D283" s="31"/>
      <c r="E283" s="34">
        <f t="shared" si="5"/>
        <v>-361988.82</v>
      </c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3.5" customHeight="1">
      <c r="A284" s="66"/>
      <c r="B284" s="36"/>
      <c r="C284" s="31"/>
      <c r="D284" s="31"/>
      <c r="E284" s="34">
        <f t="shared" si="5"/>
        <v>-361988.82</v>
      </c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3.5" customHeight="1">
      <c r="A285" s="66"/>
      <c r="B285" s="36"/>
      <c r="C285" s="31"/>
      <c r="D285" s="31"/>
      <c r="E285" s="34">
        <f t="shared" si="5"/>
        <v>-361988.82</v>
      </c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3.5" customHeight="1">
      <c r="A286" s="66"/>
      <c r="B286" s="36"/>
      <c r="C286" s="31"/>
      <c r="D286" s="31"/>
      <c r="E286" s="34">
        <f t="shared" si="5"/>
        <v>-361988.82</v>
      </c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3.5" customHeight="1">
      <c r="A287" s="66"/>
      <c r="B287" s="36"/>
      <c r="C287" s="31"/>
      <c r="D287" s="31"/>
      <c r="E287" s="34">
        <f t="shared" si="5"/>
        <v>-361988.82</v>
      </c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3.5" customHeight="1">
      <c r="A288" s="66"/>
      <c r="B288" s="36"/>
      <c r="C288" s="31"/>
      <c r="D288" s="31"/>
      <c r="E288" s="34">
        <f t="shared" si="5"/>
        <v>-361988.82</v>
      </c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3.5" customHeight="1">
      <c r="A289" s="66"/>
      <c r="B289" s="36"/>
      <c r="C289" s="31"/>
      <c r="D289" s="31"/>
      <c r="E289" s="34">
        <f t="shared" si="5"/>
        <v>-361988.82</v>
      </c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3.5" customHeight="1">
      <c r="A290" s="66"/>
      <c r="B290" s="36"/>
      <c r="C290" s="31"/>
      <c r="D290" s="31"/>
      <c r="E290" s="34">
        <f t="shared" si="5"/>
        <v>-361988.82</v>
      </c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3.5" customHeight="1">
      <c r="A291" s="66"/>
      <c r="B291" s="36"/>
      <c r="C291" s="31"/>
      <c r="D291" s="31"/>
      <c r="E291" s="34">
        <f t="shared" si="5"/>
        <v>-361988.82</v>
      </c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3.5" customHeight="1">
      <c r="A292" s="66"/>
      <c r="B292" s="36"/>
      <c r="C292" s="31"/>
      <c r="D292" s="31"/>
      <c r="E292" s="34">
        <f t="shared" si="5"/>
        <v>-361988.82</v>
      </c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3.5" customHeight="1">
      <c r="A293" s="66"/>
      <c r="B293" s="36"/>
      <c r="C293" s="31"/>
      <c r="D293" s="31"/>
      <c r="E293" s="34">
        <f t="shared" si="5"/>
        <v>-361988.82</v>
      </c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3.5" customHeight="1">
      <c r="A294" s="66"/>
      <c r="B294" s="36"/>
      <c r="C294" s="31"/>
      <c r="D294" s="31"/>
      <c r="E294" s="34">
        <f t="shared" si="5"/>
        <v>-361988.82</v>
      </c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3.5" customHeight="1">
      <c r="A295" s="66"/>
      <c r="B295" s="36"/>
      <c r="C295" s="31"/>
      <c r="D295" s="31"/>
      <c r="E295" s="34">
        <f t="shared" si="5"/>
        <v>-361988.82</v>
      </c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3.5" customHeight="1">
      <c r="A296" s="66"/>
      <c r="B296" s="36"/>
      <c r="C296" s="31"/>
      <c r="D296" s="31"/>
      <c r="E296" s="34">
        <f t="shared" si="5"/>
        <v>-361988.82</v>
      </c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3.5" customHeight="1">
      <c r="A297" s="66"/>
      <c r="B297" s="36"/>
      <c r="C297" s="31"/>
      <c r="D297" s="31"/>
      <c r="E297" s="34">
        <f t="shared" si="5"/>
        <v>-361988.82</v>
      </c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3.5" customHeight="1">
      <c r="A298" s="66"/>
      <c r="B298" s="36"/>
      <c r="C298" s="31"/>
      <c r="D298" s="31"/>
      <c r="E298" s="34">
        <f t="shared" si="5"/>
        <v>-361988.82</v>
      </c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3.5" customHeight="1">
      <c r="A299" s="66"/>
      <c r="B299" s="36"/>
      <c r="C299" s="31"/>
      <c r="D299" s="31"/>
      <c r="E299" s="34">
        <f t="shared" si="5"/>
        <v>-361988.82</v>
      </c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3.5" customHeight="1">
      <c r="A300" s="66"/>
      <c r="B300" s="36"/>
      <c r="C300" s="31"/>
      <c r="D300" s="31"/>
      <c r="E300" s="34">
        <f t="shared" si="5"/>
        <v>-361988.82</v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3.5" customHeight="1">
      <c r="A301" s="66"/>
      <c r="B301" s="36"/>
      <c r="C301" s="31"/>
      <c r="D301" s="31"/>
      <c r="E301" s="34">
        <f t="shared" si="5"/>
        <v>-361988.82</v>
      </c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3.5" customHeight="1">
      <c r="A302" s="66"/>
      <c r="B302" s="36"/>
      <c r="C302" s="31"/>
      <c r="D302" s="31"/>
      <c r="E302" s="34">
        <f t="shared" si="5"/>
        <v>-361988.82</v>
      </c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3.5" customHeight="1">
      <c r="A303" s="66"/>
      <c r="B303" s="36"/>
      <c r="C303" s="31"/>
      <c r="D303" s="31"/>
      <c r="E303" s="34">
        <f t="shared" si="5"/>
        <v>-361988.82</v>
      </c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3.5" customHeight="1">
      <c r="A304" s="66"/>
      <c r="B304" s="36"/>
      <c r="C304" s="31"/>
      <c r="D304" s="31"/>
      <c r="E304" s="34">
        <f t="shared" si="5"/>
        <v>-361988.82</v>
      </c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3.5" customHeight="1">
      <c r="A305" s="66"/>
      <c r="B305" s="36"/>
      <c r="C305" s="31"/>
      <c r="D305" s="31"/>
      <c r="E305" s="34">
        <f t="shared" si="5"/>
        <v>-361988.82</v>
      </c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3.5" customHeight="1">
      <c r="A306" s="66"/>
      <c r="B306" s="36"/>
      <c r="C306" s="31"/>
      <c r="D306" s="31"/>
      <c r="E306" s="34">
        <f t="shared" si="5"/>
        <v>-361988.82</v>
      </c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3.5" customHeight="1">
      <c r="A307" s="66"/>
      <c r="B307" s="36"/>
      <c r="C307" s="31"/>
      <c r="D307" s="31"/>
      <c r="E307" s="34">
        <f t="shared" si="5"/>
        <v>-361988.82</v>
      </c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3.5" customHeight="1">
      <c r="A308" s="66"/>
      <c r="B308" s="36"/>
      <c r="C308" s="31"/>
      <c r="D308" s="31"/>
      <c r="E308" s="34">
        <f t="shared" si="5"/>
        <v>-361988.82</v>
      </c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3.5" customHeight="1">
      <c r="A309" s="66"/>
      <c r="B309" s="36"/>
      <c r="C309" s="31"/>
      <c r="D309" s="31"/>
      <c r="E309" s="34">
        <f t="shared" si="5"/>
        <v>-361988.82</v>
      </c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3.5" customHeight="1">
      <c r="A310" s="66"/>
      <c r="B310" s="36"/>
      <c r="C310" s="31"/>
      <c r="D310" s="31"/>
      <c r="E310" s="34">
        <f t="shared" si="5"/>
        <v>-361988.82</v>
      </c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3.5" customHeight="1">
      <c r="A311" s="66"/>
      <c r="B311" s="36"/>
      <c r="C311" s="31"/>
      <c r="D311" s="31"/>
      <c r="E311" s="34">
        <f t="shared" si="5"/>
        <v>-361988.82</v>
      </c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3.5" customHeight="1">
      <c r="A312" s="66"/>
      <c r="B312" s="36"/>
      <c r="C312" s="31"/>
      <c r="D312" s="31"/>
      <c r="E312" s="34">
        <f t="shared" si="5"/>
        <v>-361988.82</v>
      </c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3.5" customHeight="1">
      <c r="A313" s="66"/>
      <c r="B313" s="36"/>
      <c r="C313" s="31"/>
      <c r="D313" s="31"/>
      <c r="E313" s="34">
        <f t="shared" si="5"/>
        <v>-361988.82</v>
      </c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3.5" customHeight="1">
      <c r="A314" s="66"/>
      <c r="B314" s="36"/>
      <c r="C314" s="31"/>
      <c r="D314" s="31"/>
      <c r="E314" s="34">
        <f t="shared" si="5"/>
        <v>-361988.82</v>
      </c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3.5" customHeight="1">
      <c r="A315" s="66"/>
      <c r="B315" s="36"/>
      <c r="C315" s="31"/>
      <c r="D315" s="31"/>
      <c r="E315" s="34">
        <f t="shared" si="5"/>
        <v>-361988.82</v>
      </c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3.5" customHeight="1">
      <c r="A316" s="66"/>
      <c r="B316" s="36"/>
      <c r="C316" s="31"/>
      <c r="D316" s="31"/>
      <c r="E316" s="34">
        <f t="shared" si="5"/>
        <v>-361988.82</v>
      </c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3.5" customHeight="1">
      <c r="A317" s="66"/>
      <c r="B317" s="36"/>
      <c r="C317" s="31"/>
      <c r="D317" s="31"/>
      <c r="E317" s="34">
        <f t="shared" si="5"/>
        <v>-361988.82</v>
      </c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3.5" customHeight="1">
      <c r="A318" s="66"/>
      <c r="B318" s="36"/>
      <c r="C318" s="31"/>
      <c r="D318" s="31"/>
      <c r="E318" s="34">
        <f t="shared" si="5"/>
        <v>-361988.82</v>
      </c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3.5" customHeight="1">
      <c r="A319" s="66"/>
      <c r="B319" s="36"/>
      <c r="C319" s="31"/>
      <c r="D319" s="31"/>
      <c r="E319" s="34">
        <f t="shared" si="5"/>
        <v>-361988.82</v>
      </c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3.5" customHeight="1">
      <c r="A320" s="66"/>
      <c r="B320" s="36"/>
      <c r="C320" s="31"/>
      <c r="D320" s="31"/>
      <c r="E320" s="34">
        <f t="shared" si="5"/>
        <v>-361988.82</v>
      </c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3.5" customHeight="1">
      <c r="A321" s="66"/>
      <c r="B321" s="36"/>
      <c r="C321" s="31"/>
      <c r="D321" s="31"/>
      <c r="E321" s="34">
        <f t="shared" si="5"/>
        <v>-361988.82</v>
      </c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3.5" customHeight="1">
      <c r="A322" s="66"/>
      <c r="B322" s="36"/>
      <c r="C322" s="31"/>
      <c r="D322" s="31"/>
      <c r="E322" s="34">
        <f t="shared" si="5"/>
        <v>-361988.82</v>
      </c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3.5" customHeight="1">
      <c r="A323" s="66"/>
      <c r="B323" s="36"/>
      <c r="C323" s="31"/>
      <c r="D323" s="31"/>
      <c r="E323" s="34">
        <f t="shared" si="5"/>
        <v>-361988.82</v>
      </c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3.5" customHeight="1">
      <c r="A324" s="66"/>
      <c r="B324" s="36"/>
      <c r="C324" s="31"/>
      <c r="D324" s="31"/>
      <c r="E324" s="34">
        <f t="shared" si="5"/>
        <v>-361988.82</v>
      </c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3.5" customHeight="1">
      <c r="A325" s="66"/>
      <c r="B325" s="36"/>
      <c r="C325" s="31"/>
      <c r="D325" s="31"/>
      <c r="E325" s="34">
        <f t="shared" si="5"/>
        <v>-361988.82</v>
      </c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3.5" customHeight="1">
      <c r="A326" s="66"/>
      <c r="B326" s="36"/>
      <c r="C326" s="31"/>
      <c r="D326" s="31"/>
      <c r="E326" s="34">
        <f t="shared" si="5"/>
        <v>-361988.82</v>
      </c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3.5" customHeight="1">
      <c r="A327" s="66"/>
      <c r="B327" s="36"/>
      <c r="C327" s="31"/>
      <c r="D327" s="31"/>
      <c r="E327" s="34">
        <f t="shared" si="5"/>
        <v>-361988.82</v>
      </c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3.5" customHeight="1">
      <c r="A328" s="66"/>
      <c r="B328" s="36"/>
      <c r="C328" s="31"/>
      <c r="D328" s="31"/>
      <c r="E328" s="34">
        <f t="shared" si="5"/>
        <v>-361988.82</v>
      </c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3.5" customHeight="1">
      <c r="A329" s="66"/>
      <c r="B329" s="36"/>
      <c r="C329" s="79"/>
      <c r="D329" s="31"/>
      <c r="E329" s="34">
        <f t="shared" si="5"/>
        <v>-361988.82</v>
      </c>
      <c r="F329" s="80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3.5" customHeight="1">
      <c r="A330" s="66"/>
      <c r="B330" s="36"/>
      <c r="C330" s="31"/>
      <c r="D330" s="31"/>
      <c r="E330" s="34">
        <f t="shared" si="5"/>
        <v>-361988.82</v>
      </c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3.5" customHeight="1">
      <c r="A331" s="66"/>
      <c r="B331" s="36"/>
      <c r="C331" s="31"/>
      <c r="D331" s="31"/>
      <c r="E331" s="34">
        <f t="shared" si="5"/>
        <v>-361988.82</v>
      </c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3.5" customHeight="1">
      <c r="A332" s="66"/>
      <c r="B332" s="36"/>
      <c r="C332" s="31"/>
      <c r="D332" s="31"/>
      <c r="E332" s="34">
        <f t="shared" si="5"/>
        <v>-361988.82</v>
      </c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3.5" customHeight="1">
      <c r="A333" s="66"/>
      <c r="B333" s="36"/>
      <c r="C333" s="31"/>
      <c r="D333" s="31"/>
      <c r="E333" s="34">
        <f t="shared" si="5"/>
        <v>-361988.82</v>
      </c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3.5" customHeight="1">
      <c r="A334" s="66"/>
      <c r="B334" s="36"/>
      <c r="C334" s="31"/>
      <c r="D334" s="31"/>
      <c r="E334" s="34">
        <f t="shared" si="5"/>
        <v>-361988.82</v>
      </c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3.5" customHeight="1">
      <c r="A335" s="66"/>
      <c r="B335" s="36"/>
      <c r="C335" s="31"/>
      <c r="D335" s="31"/>
      <c r="E335" s="34">
        <f t="shared" si="5"/>
        <v>-361988.82</v>
      </c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3.5" customHeight="1">
      <c r="A336" s="66"/>
      <c r="B336" s="36"/>
      <c r="C336" s="31"/>
      <c r="D336" s="31"/>
      <c r="E336" s="34">
        <f t="shared" si="5"/>
        <v>-361988.82</v>
      </c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3.5" customHeight="1">
      <c r="A337" s="66"/>
      <c r="B337" s="36"/>
      <c r="C337" s="31"/>
      <c r="D337" s="31"/>
      <c r="E337" s="34">
        <f t="shared" si="5"/>
        <v>-361988.82</v>
      </c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3.5" customHeight="1">
      <c r="A338" s="66"/>
      <c r="B338" s="36"/>
      <c r="C338" s="31"/>
      <c r="D338" s="31"/>
      <c r="E338" s="34">
        <f t="shared" si="5"/>
        <v>-361988.82</v>
      </c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3.5" customHeight="1">
      <c r="A339" s="66"/>
      <c r="B339" s="36"/>
      <c r="C339" s="31"/>
      <c r="D339" s="31"/>
      <c r="E339" s="34">
        <f t="shared" si="5"/>
        <v>-361988.82</v>
      </c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3.5" customHeight="1">
      <c r="A340" s="66"/>
      <c r="B340" s="36"/>
      <c r="C340" s="31"/>
      <c r="D340" s="31"/>
      <c r="E340" s="34">
        <f t="shared" si="5"/>
        <v>-361988.82</v>
      </c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3.5" customHeight="1">
      <c r="A341" s="66"/>
      <c r="B341" s="36"/>
      <c r="C341" s="31"/>
      <c r="D341" s="31"/>
      <c r="E341" s="34">
        <f t="shared" si="5"/>
        <v>-361988.82</v>
      </c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3.5" customHeight="1">
      <c r="A342" s="66"/>
      <c r="B342" s="36"/>
      <c r="C342" s="31"/>
      <c r="D342" s="31"/>
      <c r="E342" s="34">
        <f t="shared" si="5"/>
        <v>-361988.82</v>
      </c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3.5" customHeight="1">
      <c r="A343" s="66"/>
      <c r="B343" s="36"/>
      <c r="C343" s="31"/>
      <c r="D343" s="31"/>
      <c r="E343" s="34">
        <f t="shared" si="5"/>
        <v>-361988.82</v>
      </c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3.5" customHeight="1">
      <c r="A344" s="66"/>
      <c r="B344" s="36"/>
      <c r="C344" s="31"/>
      <c r="D344" s="31"/>
      <c r="E344" s="34">
        <f t="shared" si="5"/>
        <v>-361988.82</v>
      </c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3.5" customHeight="1">
      <c r="A345" s="66"/>
      <c r="B345" s="36"/>
      <c r="C345" s="31"/>
      <c r="D345" s="31"/>
      <c r="E345" s="34">
        <f t="shared" si="5"/>
        <v>-361988.82</v>
      </c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3.5" customHeight="1">
      <c r="A346" s="66"/>
      <c r="B346" s="36"/>
      <c r="C346" s="31"/>
      <c r="D346" s="31"/>
      <c r="E346" s="34">
        <f t="shared" si="5"/>
        <v>-361988.82</v>
      </c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3.5" customHeight="1">
      <c r="A347" s="66"/>
      <c r="B347" s="36"/>
      <c r="C347" s="31"/>
      <c r="D347" s="31"/>
      <c r="E347" s="34">
        <f t="shared" si="5"/>
        <v>-361988.82</v>
      </c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3.5" customHeight="1">
      <c r="A348" s="66"/>
      <c r="B348" s="36"/>
      <c r="C348" s="31"/>
      <c r="D348" s="31"/>
      <c r="E348" s="34">
        <f t="shared" si="5"/>
        <v>-361988.82</v>
      </c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3.5" customHeight="1">
      <c r="A349" s="66"/>
      <c r="B349" s="36"/>
      <c r="C349" s="31"/>
      <c r="D349" s="31"/>
      <c r="E349" s="34">
        <f t="shared" si="5"/>
        <v>-361988.82</v>
      </c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3.5" customHeight="1">
      <c r="A350" s="66"/>
      <c r="B350" s="36"/>
      <c r="C350" s="31"/>
      <c r="D350" s="31"/>
      <c r="E350" s="34">
        <f t="shared" si="5"/>
        <v>-361988.82</v>
      </c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3.5" customHeight="1">
      <c r="A351" s="66"/>
      <c r="B351" s="36"/>
      <c r="C351" s="31"/>
      <c r="D351" s="31"/>
      <c r="E351" s="34">
        <f t="shared" si="5"/>
        <v>-361988.82</v>
      </c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3.5" customHeight="1">
      <c r="A352" s="66"/>
      <c r="B352" s="36"/>
      <c r="C352" s="31"/>
      <c r="D352" s="31"/>
      <c r="E352" s="34">
        <f t="shared" si="5"/>
        <v>-361988.82</v>
      </c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3.5" customHeight="1">
      <c r="A353" s="66"/>
      <c r="B353" s="36"/>
      <c r="C353" s="31"/>
      <c r="D353" s="31"/>
      <c r="E353" s="34">
        <f t="shared" si="5"/>
        <v>-361988.82</v>
      </c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3.5" customHeight="1">
      <c r="A354" s="66"/>
      <c r="B354" s="36"/>
      <c r="C354" s="31"/>
      <c r="D354" s="31"/>
      <c r="E354" s="34">
        <f t="shared" si="5"/>
        <v>-361988.82</v>
      </c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3.5" customHeight="1">
      <c r="A355" s="66"/>
      <c r="B355" s="36"/>
      <c r="C355" s="31"/>
      <c r="D355" s="31"/>
      <c r="E355" s="34">
        <f t="shared" si="5"/>
        <v>-361988.82</v>
      </c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3.5" customHeight="1">
      <c r="A356" s="66"/>
      <c r="B356" s="36"/>
      <c r="C356" s="31"/>
      <c r="D356" s="31"/>
      <c r="E356" s="34">
        <f t="shared" si="5"/>
        <v>-361988.82</v>
      </c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3.5" customHeight="1">
      <c r="A357" s="66"/>
      <c r="B357" s="36"/>
      <c r="C357" s="31"/>
      <c r="D357" s="31"/>
      <c r="E357" s="34">
        <f t="shared" si="5"/>
        <v>-361988.82</v>
      </c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3.5" customHeight="1">
      <c r="A358" s="66"/>
      <c r="B358" s="36"/>
      <c r="C358" s="31"/>
      <c r="D358" s="31"/>
      <c r="E358" s="34">
        <f t="shared" si="5"/>
        <v>-361988.82</v>
      </c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3.5" customHeight="1">
      <c r="A359" s="66"/>
      <c r="B359" s="36"/>
      <c r="C359" s="31"/>
      <c r="D359" s="31"/>
      <c r="E359" s="34">
        <f t="shared" si="5"/>
        <v>-361988.82</v>
      </c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3.5" customHeight="1">
      <c r="A360" s="66"/>
      <c r="B360" s="36"/>
      <c r="C360" s="31"/>
      <c r="D360" s="31"/>
      <c r="E360" s="34">
        <f t="shared" si="5"/>
        <v>-361988.82</v>
      </c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3.5" customHeight="1">
      <c r="A361" s="66"/>
      <c r="B361" s="36"/>
      <c r="C361" s="31"/>
      <c r="D361" s="31"/>
      <c r="E361" s="34">
        <f t="shared" si="5"/>
        <v>-361988.82</v>
      </c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3.5" customHeight="1">
      <c r="A362" s="66"/>
      <c r="B362" s="36"/>
      <c r="C362" s="31"/>
      <c r="D362" s="31"/>
      <c r="E362" s="34">
        <f t="shared" si="5"/>
        <v>-361988.82</v>
      </c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3.5" customHeight="1">
      <c r="A363" s="66"/>
      <c r="B363" s="36"/>
      <c r="C363" s="31"/>
      <c r="D363" s="31"/>
      <c r="E363" s="34">
        <f t="shared" si="5"/>
        <v>-361988.82</v>
      </c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3.5" customHeight="1">
      <c r="A364" s="66"/>
      <c r="B364" s="36"/>
      <c r="C364" s="31"/>
      <c r="D364" s="31"/>
      <c r="E364" s="34">
        <f t="shared" si="5"/>
        <v>-361988.82</v>
      </c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3.5" customHeight="1">
      <c r="A365" s="66"/>
      <c r="B365" s="36"/>
      <c r="C365" s="31"/>
      <c r="D365" s="31"/>
      <c r="E365" s="34">
        <f t="shared" si="5"/>
        <v>-361988.82</v>
      </c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3.5" customHeight="1">
      <c r="A366" s="66"/>
      <c r="B366" s="36"/>
      <c r="C366" s="31"/>
      <c r="D366" s="31"/>
      <c r="E366" s="34">
        <f t="shared" si="5"/>
        <v>-361988.82</v>
      </c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3.5" customHeight="1">
      <c r="A367" s="66"/>
      <c r="B367" s="36"/>
      <c r="C367" s="31"/>
      <c r="D367" s="31"/>
      <c r="E367" s="34">
        <f t="shared" si="5"/>
        <v>-361988.82</v>
      </c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3.5" customHeight="1">
      <c r="A368" s="66"/>
      <c r="B368" s="36"/>
      <c r="C368" s="31"/>
      <c r="D368" s="31"/>
      <c r="E368" s="34">
        <f t="shared" si="5"/>
        <v>-361988.82</v>
      </c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3.5" customHeight="1">
      <c r="A369" s="66"/>
      <c r="B369" s="36"/>
      <c r="C369" s="31"/>
      <c r="D369" s="31"/>
      <c r="E369" s="34">
        <f t="shared" si="5"/>
        <v>-361988.82</v>
      </c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3.5" customHeight="1">
      <c r="A370" s="66"/>
      <c r="B370" s="36"/>
      <c r="C370" s="31"/>
      <c r="D370" s="31"/>
      <c r="E370" s="34">
        <f t="shared" si="5"/>
        <v>-361988.82</v>
      </c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3.5" customHeight="1">
      <c r="A371" s="66"/>
      <c r="B371" s="36"/>
      <c r="C371" s="31"/>
      <c r="D371" s="31"/>
      <c r="E371" s="34">
        <f t="shared" si="5"/>
        <v>-361988.82</v>
      </c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3.5" customHeight="1">
      <c r="A372" s="66"/>
      <c r="B372" s="36"/>
      <c r="C372" s="31"/>
      <c r="D372" s="31"/>
      <c r="E372" s="34">
        <f t="shared" si="5"/>
        <v>-361988.82</v>
      </c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3.5" customHeight="1">
      <c r="A373" s="66"/>
      <c r="B373" s="36"/>
      <c r="C373" s="31"/>
      <c r="D373" s="31"/>
      <c r="E373" s="34">
        <f t="shared" si="5"/>
        <v>-361988.82</v>
      </c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3.5" customHeight="1">
      <c r="A374" s="66"/>
      <c r="B374" s="36"/>
      <c r="C374" s="31"/>
      <c r="D374" s="31"/>
      <c r="E374" s="34">
        <f t="shared" si="5"/>
        <v>-361988.82</v>
      </c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3.5" customHeight="1">
      <c r="A375" s="66"/>
      <c r="B375" s="36"/>
      <c r="C375" s="31"/>
      <c r="D375" s="31"/>
      <c r="E375" s="34">
        <f t="shared" si="5"/>
        <v>-361988.82</v>
      </c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3.5" customHeight="1">
      <c r="A376" s="66"/>
      <c r="B376" s="36"/>
      <c r="C376" s="31"/>
      <c r="D376" s="31"/>
      <c r="E376" s="34">
        <f t="shared" si="5"/>
        <v>-361988.82</v>
      </c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3.5" customHeight="1">
      <c r="A377" s="66"/>
      <c r="B377" s="36"/>
      <c r="C377" s="31"/>
      <c r="D377" s="31"/>
      <c r="E377" s="34">
        <f t="shared" si="5"/>
        <v>-361988.82</v>
      </c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3.5" customHeight="1">
      <c r="A378" s="66"/>
      <c r="B378" s="36"/>
      <c r="C378" s="31"/>
      <c r="D378" s="31"/>
      <c r="E378" s="34">
        <f t="shared" si="5"/>
        <v>-361988.82</v>
      </c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3.5" customHeight="1">
      <c r="A379" s="66"/>
      <c r="B379" s="36"/>
      <c r="C379" s="31"/>
      <c r="D379" s="31"/>
      <c r="E379" s="34">
        <f t="shared" si="5"/>
        <v>-361988.82</v>
      </c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3.5" customHeight="1">
      <c r="A380" s="66"/>
      <c r="B380" s="36"/>
      <c r="C380" s="31"/>
      <c r="D380" s="31"/>
      <c r="E380" s="34">
        <f t="shared" si="5"/>
        <v>-361988.82</v>
      </c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3.5" customHeight="1">
      <c r="A381" s="66"/>
      <c r="B381" s="36"/>
      <c r="C381" s="31"/>
      <c r="D381" s="31"/>
      <c r="E381" s="34">
        <f t="shared" si="5"/>
        <v>-361988.82</v>
      </c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3.5" customHeight="1">
      <c r="A382" s="66"/>
      <c r="B382" s="36"/>
      <c r="C382" s="31"/>
      <c r="D382" s="31"/>
      <c r="E382" s="34">
        <f t="shared" si="5"/>
        <v>-361988.82</v>
      </c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3.5" customHeight="1">
      <c r="A383" s="66"/>
      <c r="B383" s="36"/>
      <c r="C383" s="31"/>
      <c r="D383" s="31"/>
      <c r="E383" s="34">
        <f t="shared" si="5"/>
        <v>-361988.82</v>
      </c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3.5" customHeight="1">
      <c r="A384" s="66"/>
      <c r="B384" s="36"/>
      <c r="C384" s="31"/>
      <c r="D384" s="31"/>
      <c r="E384" s="34">
        <f t="shared" si="5"/>
        <v>-361988.82</v>
      </c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3.5" customHeight="1">
      <c r="A385" s="66"/>
      <c r="B385" s="36"/>
      <c r="C385" s="31"/>
      <c r="D385" s="31"/>
      <c r="E385" s="34">
        <f t="shared" si="5"/>
        <v>-361988.82</v>
      </c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3.5" customHeight="1">
      <c r="A386" s="66"/>
      <c r="B386" s="36"/>
      <c r="C386" s="31"/>
      <c r="D386" s="31"/>
      <c r="E386" s="34">
        <f t="shared" si="5"/>
        <v>-361988.82</v>
      </c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3.5" customHeight="1">
      <c r="A387" s="66"/>
      <c r="B387" s="36"/>
      <c r="C387" s="31"/>
      <c r="D387" s="31"/>
      <c r="E387" s="34">
        <f t="shared" si="5"/>
        <v>-361988.82</v>
      </c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3.5" customHeight="1">
      <c r="A388" s="66"/>
      <c r="B388" s="36"/>
      <c r="C388" s="31"/>
      <c r="D388" s="31"/>
      <c r="E388" s="34">
        <f t="shared" si="5"/>
        <v>-361988.82</v>
      </c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3.5" customHeight="1">
      <c r="A389" s="66"/>
      <c r="B389" s="36"/>
      <c r="C389" s="31"/>
      <c r="D389" s="31"/>
      <c r="E389" s="34">
        <f t="shared" si="5"/>
        <v>-361988.82</v>
      </c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3.5" customHeight="1">
      <c r="A390" s="66"/>
      <c r="B390" s="36"/>
      <c r="C390" s="31"/>
      <c r="D390" s="31"/>
      <c r="E390" s="34">
        <f t="shared" si="5"/>
        <v>-361988.82</v>
      </c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3.5" customHeight="1">
      <c r="A391" s="66"/>
      <c r="B391" s="36"/>
      <c r="C391" s="31"/>
      <c r="D391" s="31"/>
      <c r="E391" s="34">
        <f t="shared" si="5"/>
        <v>-361988.82</v>
      </c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3.5" customHeight="1">
      <c r="A392" s="66"/>
      <c r="B392" s="36"/>
      <c r="C392" s="31"/>
      <c r="D392" s="31"/>
      <c r="E392" s="34">
        <f t="shared" si="5"/>
        <v>-361988.82</v>
      </c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3.5" customHeight="1">
      <c r="A393" s="66"/>
      <c r="B393" s="36"/>
      <c r="C393" s="31"/>
      <c r="D393" s="31"/>
      <c r="E393" s="34">
        <f t="shared" si="5"/>
        <v>-361988.82</v>
      </c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3.5" customHeight="1">
      <c r="A394" s="66"/>
      <c r="B394" s="36"/>
      <c r="C394" s="31"/>
      <c r="D394" s="31"/>
      <c r="E394" s="34">
        <f t="shared" si="5"/>
        <v>-361988.82</v>
      </c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3.5" customHeight="1">
      <c r="A395" s="66"/>
      <c r="B395" s="36"/>
      <c r="C395" s="31"/>
      <c r="D395" s="31"/>
      <c r="E395" s="34">
        <f t="shared" si="5"/>
        <v>-361988.82</v>
      </c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3.5" customHeight="1">
      <c r="A396" s="66"/>
      <c r="B396" s="36"/>
      <c r="C396" s="31"/>
      <c r="D396" s="31"/>
      <c r="E396" s="34">
        <f t="shared" si="5"/>
        <v>-361988.82</v>
      </c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3.5" customHeight="1">
      <c r="A397" s="66"/>
      <c r="B397" s="36"/>
      <c r="C397" s="31"/>
      <c r="D397" s="31"/>
      <c r="E397" s="34">
        <f t="shared" si="5"/>
        <v>-361988.82</v>
      </c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3.5" customHeight="1">
      <c r="A398" s="66"/>
      <c r="B398" s="36"/>
      <c r="C398" s="31"/>
      <c r="D398" s="31"/>
      <c r="E398" s="34">
        <f t="shared" si="5"/>
        <v>-361988.82</v>
      </c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3.5" customHeight="1">
      <c r="A399" s="66"/>
      <c r="B399" s="36"/>
      <c r="C399" s="31"/>
      <c r="D399" s="31"/>
      <c r="E399" s="34">
        <f t="shared" si="5"/>
        <v>-361988.82</v>
      </c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3.5" customHeight="1">
      <c r="A400" s="66"/>
      <c r="B400" s="36"/>
      <c r="C400" s="31"/>
      <c r="D400" s="31"/>
      <c r="E400" s="34">
        <f t="shared" si="5"/>
        <v>-361988.82</v>
      </c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3.5" customHeight="1">
      <c r="A401" s="66"/>
      <c r="B401" s="36"/>
      <c r="C401" s="31"/>
      <c r="D401" s="31"/>
      <c r="E401" s="34">
        <f t="shared" si="5"/>
        <v>-361988.82</v>
      </c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3.5" customHeight="1">
      <c r="A402" s="66"/>
      <c r="B402" s="36"/>
      <c r="C402" s="31"/>
      <c r="D402" s="31"/>
      <c r="E402" s="34">
        <f t="shared" si="5"/>
        <v>-361988.82</v>
      </c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3.5" customHeight="1">
      <c r="A403" s="66"/>
      <c r="B403" s="36"/>
      <c r="C403" s="31"/>
      <c r="D403" s="31"/>
      <c r="E403" s="34">
        <f t="shared" si="5"/>
        <v>-361988.82</v>
      </c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3.5" customHeight="1">
      <c r="A404" s="66"/>
      <c r="B404" s="36"/>
      <c r="C404" s="31"/>
      <c r="D404" s="31"/>
      <c r="E404" s="34">
        <f t="shared" si="5"/>
        <v>-361988.82</v>
      </c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3.5" customHeight="1">
      <c r="A405" s="66"/>
      <c r="B405" s="36"/>
      <c r="C405" s="31"/>
      <c r="D405" s="31"/>
      <c r="E405" s="34">
        <f t="shared" si="5"/>
        <v>-361988.82</v>
      </c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3.5" customHeight="1">
      <c r="A406" s="66"/>
      <c r="B406" s="36"/>
      <c r="C406" s="31"/>
      <c r="D406" s="31"/>
      <c r="E406" s="34">
        <f t="shared" si="5"/>
        <v>-361988.82</v>
      </c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3.5" customHeight="1">
      <c r="A407" s="66"/>
      <c r="B407" s="36"/>
      <c r="C407" s="31"/>
      <c r="D407" s="31"/>
      <c r="E407" s="34">
        <f t="shared" si="5"/>
        <v>-361988.82</v>
      </c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3.5" customHeight="1">
      <c r="A408" s="66"/>
      <c r="B408" s="36"/>
      <c r="C408" s="31"/>
      <c r="D408" s="31"/>
      <c r="E408" s="34">
        <f t="shared" si="5"/>
        <v>-361988.82</v>
      </c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3.5" customHeight="1">
      <c r="A409" s="66"/>
      <c r="B409" s="36"/>
      <c r="C409" s="31"/>
      <c r="D409" s="31"/>
      <c r="E409" s="34">
        <f t="shared" si="5"/>
        <v>-361988.82</v>
      </c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3.5" customHeight="1">
      <c r="A410" s="66"/>
      <c r="B410" s="36"/>
      <c r="C410" s="31"/>
      <c r="D410" s="31"/>
      <c r="E410" s="34">
        <f t="shared" si="5"/>
        <v>-361988.82</v>
      </c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3.5" customHeight="1">
      <c r="A411" s="66"/>
      <c r="B411" s="36"/>
      <c r="C411" s="31"/>
      <c r="D411" s="31"/>
      <c r="E411" s="34">
        <f t="shared" si="5"/>
        <v>-361988.82</v>
      </c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3.5" customHeight="1">
      <c r="A412" s="66"/>
      <c r="B412" s="36"/>
      <c r="C412" s="31"/>
      <c r="D412" s="31"/>
      <c r="E412" s="34">
        <f t="shared" si="5"/>
        <v>-361988.82</v>
      </c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3.5" customHeight="1">
      <c r="A413" s="66"/>
      <c r="B413" s="36"/>
      <c r="C413" s="31"/>
      <c r="D413" s="31"/>
      <c r="E413" s="34">
        <f t="shared" si="5"/>
        <v>-361988.82</v>
      </c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3.5" customHeight="1">
      <c r="A414" s="66"/>
      <c r="B414" s="36"/>
      <c r="C414" s="31"/>
      <c r="D414" s="31"/>
      <c r="E414" s="34">
        <f t="shared" si="5"/>
        <v>-361988.82</v>
      </c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3.5" customHeight="1">
      <c r="A415" s="66"/>
      <c r="B415" s="36"/>
      <c r="C415" s="31"/>
      <c r="D415" s="31"/>
      <c r="E415" s="34">
        <f t="shared" si="5"/>
        <v>-361988.82</v>
      </c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3.5" customHeight="1">
      <c r="A416" s="66"/>
      <c r="B416" s="36"/>
      <c r="C416" s="31"/>
      <c r="D416" s="31"/>
      <c r="E416" s="34">
        <f t="shared" si="5"/>
        <v>-361988.82</v>
      </c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3.5" customHeight="1">
      <c r="A417" s="66"/>
      <c r="B417" s="36"/>
      <c r="C417" s="31"/>
      <c r="D417" s="31"/>
      <c r="E417" s="34">
        <f t="shared" si="5"/>
        <v>-361988.82</v>
      </c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3.5" customHeight="1">
      <c r="A418" s="66"/>
      <c r="B418" s="36"/>
      <c r="C418" s="31"/>
      <c r="D418" s="31"/>
      <c r="E418" s="34">
        <f t="shared" si="5"/>
        <v>-361988.82</v>
      </c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3.5" customHeight="1">
      <c r="A419" s="66"/>
      <c r="B419" s="36"/>
      <c r="C419" s="31"/>
      <c r="D419" s="31"/>
      <c r="E419" s="34">
        <f t="shared" si="5"/>
        <v>-361988.82</v>
      </c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3.5" customHeight="1">
      <c r="A420" s="66"/>
      <c r="B420" s="36"/>
      <c r="C420" s="31"/>
      <c r="D420" s="31"/>
      <c r="E420" s="34">
        <f t="shared" si="5"/>
        <v>-361988.82</v>
      </c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3.5" customHeight="1">
      <c r="A421" s="66"/>
      <c r="B421" s="36"/>
      <c r="C421" s="31"/>
      <c r="D421" s="31"/>
      <c r="E421" s="34">
        <f t="shared" si="5"/>
        <v>-361988.82</v>
      </c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3.5" customHeight="1">
      <c r="A422" s="66"/>
      <c r="B422" s="36"/>
      <c r="C422" s="31"/>
      <c r="D422" s="31"/>
      <c r="E422" s="34">
        <f t="shared" si="5"/>
        <v>-361988.82</v>
      </c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3.5" customHeight="1">
      <c r="A423" s="66"/>
      <c r="B423" s="36"/>
      <c r="C423" s="31"/>
      <c r="D423" s="31"/>
      <c r="E423" s="34">
        <f t="shared" si="5"/>
        <v>-361988.82</v>
      </c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3.5" customHeight="1">
      <c r="A424" s="66"/>
      <c r="B424" s="36"/>
      <c r="C424" s="31"/>
      <c r="D424" s="31"/>
      <c r="E424" s="34">
        <f t="shared" si="5"/>
        <v>-361988.82</v>
      </c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3.5" customHeight="1">
      <c r="A425" s="66"/>
      <c r="B425" s="36"/>
      <c r="C425" s="31"/>
      <c r="D425" s="31"/>
      <c r="E425" s="34">
        <f t="shared" si="5"/>
        <v>-361988.82</v>
      </c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3.5" customHeight="1">
      <c r="A426" s="66"/>
      <c r="B426" s="36"/>
      <c r="C426" s="31"/>
      <c r="D426" s="31"/>
      <c r="E426" s="34">
        <f t="shared" si="5"/>
        <v>-361988.82</v>
      </c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3.5" customHeight="1">
      <c r="A427" s="66"/>
      <c r="B427" s="36"/>
      <c r="C427" s="31"/>
      <c r="D427" s="31"/>
      <c r="E427" s="34">
        <f t="shared" si="5"/>
        <v>-361988.82</v>
      </c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3.5" customHeight="1">
      <c r="A428" s="66"/>
      <c r="B428" s="36"/>
      <c r="C428" s="31"/>
      <c r="D428" s="31"/>
      <c r="E428" s="34">
        <f t="shared" si="5"/>
        <v>-361988.82</v>
      </c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3.5" customHeight="1">
      <c r="A429" s="66"/>
      <c r="B429" s="36"/>
      <c r="C429" s="31"/>
      <c r="D429" s="31"/>
      <c r="E429" s="34">
        <f t="shared" si="5"/>
        <v>-361988.82</v>
      </c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3.5" customHeight="1">
      <c r="A430" s="66"/>
      <c r="B430" s="36"/>
      <c r="C430" s="31"/>
      <c r="D430" s="31"/>
      <c r="E430" s="34">
        <f t="shared" si="5"/>
        <v>-361988.82</v>
      </c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3.5" customHeight="1">
      <c r="A431" s="66"/>
      <c r="B431" s="36"/>
      <c r="C431" s="31"/>
      <c r="D431" s="31"/>
      <c r="E431" s="34">
        <f t="shared" si="5"/>
        <v>-361988.82</v>
      </c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3.5" customHeight="1">
      <c r="A432" s="66"/>
      <c r="B432" s="36"/>
      <c r="C432" s="31"/>
      <c r="D432" s="31"/>
      <c r="E432" s="34">
        <f t="shared" si="5"/>
        <v>-361988.82</v>
      </c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3.5" customHeight="1">
      <c r="A433" s="66"/>
      <c r="B433" s="36"/>
      <c r="C433" s="31"/>
      <c r="D433" s="31"/>
      <c r="E433" s="34">
        <f t="shared" si="5"/>
        <v>-361988.82</v>
      </c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3.5" customHeight="1">
      <c r="A434" s="66"/>
      <c r="B434" s="36"/>
      <c r="C434" s="31"/>
      <c r="D434" s="31"/>
      <c r="E434" s="34">
        <f t="shared" si="5"/>
        <v>-361988.82</v>
      </c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3.5" customHeight="1">
      <c r="A435" s="66"/>
      <c r="B435" s="36"/>
      <c r="C435" s="31"/>
      <c r="D435" s="31"/>
      <c r="E435" s="34">
        <f t="shared" si="5"/>
        <v>-361988.82</v>
      </c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3.5" customHeight="1">
      <c r="A436" s="66"/>
      <c r="B436" s="36"/>
      <c r="C436" s="31"/>
      <c r="D436" s="31"/>
      <c r="E436" s="34">
        <f t="shared" si="5"/>
        <v>-361988.82</v>
      </c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3.5" customHeight="1">
      <c r="A437" s="66"/>
      <c r="B437" s="36"/>
      <c r="C437" s="31"/>
      <c r="D437" s="31"/>
      <c r="E437" s="34">
        <f t="shared" si="5"/>
        <v>-361988.82</v>
      </c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3.5" customHeight="1">
      <c r="A438" s="66"/>
      <c r="B438" s="36"/>
      <c r="C438" s="31"/>
      <c r="D438" s="31"/>
      <c r="E438" s="34">
        <f t="shared" si="5"/>
        <v>-361988.82</v>
      </c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3.5" customHeight="1">
      <c r="A439" s="66"/>
      <c r="B439" s="36"/>
      <c r="C439" s="31"/>
      <c r="D439" s="31"/>
      <c r="E439" s="34">
        <f t="shared" si="5"/>
        <v>-361988.82</v>
      </c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3.5" customHeight="1">
      <c r="A440" s="66"/>
      <c r="B440" s="36"/>
      <c r="C440" s="31"/>
      <c r="D440" s="31"/>
      <c r="E440" s="34">
        <f t="shared" si="5"/>
        <v>-361988.82</v>
      </c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3.5" customHeight="1">
      <c r="A441" s="66"/>
      <c r="B441" s="36"/>
      <c r="C441" s="31"/>
      <c r="D441" s="31"/>
      <c r="E441" s="34">
        <f t="shared" si="5"/>
        <v>-361988.82</v>
      </c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3.5" customHeight="1">
      <c r="A442" s="66"/>
      <c r="B442" s="36"/>
      <c r="C442" s="31"/>
      <c r="D442" s="31"/>
      <c r="E442" s="34">
        <f t="shared" si="5"/>
        <v>-361988.82</v>
      </c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3.5" customHeight="1">
      <c r="A443" s="66"/>
      <c r="B443" s="36"/>
      <c r="C443" s="31"/>
      <c r="D443" s="31"/>
      <c r="E443" s="34">
        <f t="shared" si="5"/>
        <v>-361988.82</v>
      </c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3.5" customHeight="1">
      <c r="A444" s="66"/>
      <c r="B444" s="36"/>
      <c r="C444" s="31"/>
      <c r="D444" s="31"/>
      <c r="E444" s="34">
        <f t="shared" si="5"/>
        <v>-361988.82</v>
      </c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3.5" customHeight="1">
      <c r="A445" s="66"/>
      <c r="B445" s="36"/>
      <c r="C445" s="31"/>
      <c r="D445" s="31"/>
      <c r="E445" s="34">
        <f t="shared" si="5"/>
        <v>-361988.82</v>
      </c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3.5" customHeight="1">
      <c r="A446" s="66"/>
      <c r="B446" s="36"/>
      <c r="C446" s="31"/>
      <c r="D446" s="31"/>
      <c r="E446" s="34">
        <f t="shared" si="5"/>
        <v>-361988.82</v>
      </c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3.5" customHeight="1">
      <c r="A447" s="66"/>
      <c r="B447" s="36"/>
      <c r="C447" s="31"/>
      <c r="D447" s="31"/>
      <c r="E447" s="34">
        <f t="shared" si="5"/>
        <v>-361988.82</v>
      </c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3.5" customHeight="1">
      <c r="A448" s="66"/>
      <c r="B448" s="36"/>
      <c r="C448" s="31"/>
      <c r="D448" s="31"/>
      <c r="E448" s="34">
        <f t="shared" si="5"/>
        <v>-361988.82</v>
      </c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3.5" customHeight="1">
      <c r="A449" s="66"/>
      <c r="B449" s="36"/>
      <c r="C449" s="31"/>
      <c r="D449" s="31"/>
      <c r="E449" s="34">
        <f t="shared" si="5"/>
        <v>-361988.82</v>
      </c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3.5" customHeight="1">
      <c r="A450" s="66"/>
      <c r="B450" s="36"/>
      <c r="C450" s="31"/>
      <c r="D450" s="31"/>
      <c r="E450" s="34">
        <f t="shared" si="5"/>
        <v>-361988.82</v>
      </c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3.5" customHeight="1">
      <c r="A451" s="66"/>
      <c r="B451" s="36"/>
      <c r="C451" s="31"/>
      <c r="D451" s="31"/>
      <c r="E451" s="34">
        <f t="shared" si="5"/>
        <v>-361988.82</v>
      </c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3.5" customHeight="1">
      <c r="A452" s="66"/>
      <c r="B452" s="36"/>
      <c r="C452" s="31"/>
      <c r="D452" s="31"/>
      <c r="E452" s="34">
        <f t="shared" si="5"/>
        <v>-361988.82</v>
      </c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3.5" customHeight="1">
      <c r="A453" s="66"/>
      <c r="B453" s="36"/>
      <c r="C453" s="31"/>
      <c r="D453" s="31"/>
      <c r="E453" s="34">
        <f t="shared" si="5"/>
        <v>-361988.82</v>
      </c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3.5" customHeight="1">
      <c r="A454" s="66"/>
      <c r="B454" s="36"/>
      <c r="C454" s="31"/>
      <c r="D454" s="31"/>
      <c r="E454" s="34">
        <f t="shared" si="5"/>
        <v>-361988.82</v>
      </c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3.5" customHeight="1">
      <c r="A455" s="66"/>
      <c r="B455" s="36"/>
      <c r="C455" s="31"/>
      <c r="D455" s="31"/>
      <c r="E455" s="34">
        <f t="shared" si="5"/>
        <v>-361988.82</v>
      </c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3.5" customHeight="1">
      <c r="A456" s="66"/>
      <c r="B456" s="36"/>
      <c r="C456" s="31"/>
      <c r="D456" s="31"/>
      <c r="E456" s="34">
        <f t="shared" si="5"/>
        <v>-361988.82</v>
      </c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3.5" customHeight="1">
      <c r="A457" s="66"/>
      <c r="B457" s="36"/>
      <c r="C457" s="31"/>
      <c r="D457" s="31"/>
      <c r="E457" s="34">
        <f t="shared" si="5"/>
        <v>-361988.82</v>
      </c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3.5" customHeight="1">
      <c r="A458" s="66"/>
      <c r="B458" s="36"/>
      <c r="C458" s="31"/>
      <c r="D458" s="31"/>
      <c r="E458" s="34">
        <f t="shared" si="5"/>
        <v>-361988.82</v>
      </c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3.5" customHeight="1">
      <c r="A459" s="66"/>
      <c r="B459" s="36"/>
      <c r="C459" s="31"/>
      <c r="D459" s="31"/>
      <c r="E459" s="34">
        <f t="shared" si="5"/>
        <v>-361988.82</v>
      </c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3.5" customHeight="1">
      <c r="A460" s="66"/>
      <c r="B460" s="36"/>
      <c r="C460" s="31"/>
      <c r="D460" s="31"/>
      <c r="E460" s="34">
        <f t="shared" si="5"/>
        <v>-361988.82</v>
      </c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3.5" customHeight="1">
      <c r="A461" s="66"/>
      <c r="B461" s="36"/>
      <c r="C461" s="31"/>
      <c r="D461" s="31"/>
      <c r="E461" s="34">
        <f t="shared" si="5"/>
        <v>-361988.82</v>
      </c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3.5" customHeight="1">
      <c r="A462" s="66"/>
      <c r="B462" s="36"/>
      <c r="C462" s="31"/>
      <c r="D462" s="31"/>
      <c r="E462" s="34">
        <f t="shared" si="5"/>
        <v>-361988.82</v>
      </c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3.5" customHeight="1">
      <c r="A463" s="66"/>
      <c r="B463" s="36"/>
      <c r="C463" s="31"/>
      <c r="D463" s="31"/>
      <c r="E463" s="34">
        <f t="shared" si="5"/>
        <v>-361988.82</v>
      </c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3.5" customHeight="1">
      <c r="A464" s="66"/>
      <c r="B464" s="36"/>
      <c r="C464" s="31"/>
      <c r="D464" s="31"/>
      <c r="E464" s="34">
        <f t="shared" si="5"/>
        <v>-361988.82</v>
      </c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3.5" customHeight="1">
      <c r="A465" s="66"/>
      <c r="B465" s="36"/>
      <c r="C465" s="31"/>
      <c r="D465" s="31"/>
      <c r="E465" s="34">
        <f t="shared" si="5"/>
        <v>-361988.82</v>
      </c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3.5" customHeight="1">
      <c r="A466" s="66"/>
      <c r="B466" s="36"/>
      <c r="C466" s="31"/>
      <c r="D466" s="31"/>
      <c r="E466" s="34">
        <f t="shared" si="5"/>
        <v>-361988.82</v>
      </c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3.5" customHeight="1">
      <c r="A467" s="66"/>
      <c r="B467" s="36"/>
      <c r="C467" s="31"/>
      <c r="D467" s="31"/>
      <c r="E467" s="34">
        <f t="shared" si="5"/>
        <v>-361988.82</v>
      </c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3.5" customHeight="1">
      <c r="A468" s="66"/>
      <c r="B468" s="36"/>
      <c r="C468" s="31"/>
      <c r="D468" s="31"/>
      <c r="E468" s="34">
        <f t="shared" si="5"/>
        <v>-361988.82</v>
      </c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3.5" customHeight="1">
      <c r="A469" s="66"/>
      <c r="B469" s="36"/>
      <c r="C469" s="31"/>
      <c r="D469" s="31"/>
      <c r="E469" s="34">
        <f t="shared" si="5"/>
        <v>-361988.82</v>
      </c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3.5" customHeight="1">
      <c r="A470" s="66"/>
      <c r="B470" s="36"/>
      <c r="C470" s="31"/>
      <c r="D470" s="31"/>
      <c r="E470" s="34">
        <f t="shared" si="5"/>
        <v>-361988.82</v>
      </c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3.5" customHeight="1">
      <c r="A471" s="66"/>
      <c r="B471" s="36"/>
      <c r="C471" s="31"/>
      <c r="D471" s="31"/>
      <c r="E471" s="34">
        <f t="shared" si="5"/>
        <v>-361988.82</v>
      </c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3.5" customHeight="1">
      <c r="A472" s="66"/>
      <c r="B472" s="36"/>
      <c r="C472" s="31"/>
      <c r="D472" s="31"/>
      <c r="E472" s="34">
        <f t="shared" si="5"/>
        <v>-361988.82</v>
      </c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3.5" customHeight="1">
      <c r="A473" s="66"/>
      <c r="B473" s="36"/>
      <c r="C473" s="31"/>
      <c r="D473" s="31"/>
      <c r="E473" s="34">
        <f t="shared" si="5"/>
        <v>-361988.82</v>
      </c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3.5" customHeight="1">
      <c r="A474" s="66"/>
      <c r="B474" s="36"/>
      <c r="C474" s="31"/>
      <c r="D474" s="31"/>
      <c r="E474" s="34">
        <f t="shared" si="5"/>
        <v>-361988.82</v>
      </c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3.5" customHeight="1">
      <c r="A475" s="66"/>
      <c r="B475" s="36"/>
      <c r="C475" s="31"/>
      <c r="D475" s="31"/>
      <c r="E475" s="34">
        <f t="shared" si="5"/>
        <v>-361988.82</v>
      </c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3.5" customHeight="1">
      <c r="A476" s="66"/>
      <c r="B476" s="36"/>
      <c r="C476" s="31"/>
      <c r="D476" s="31"/>
      <c r="E476" s="34">
        <f t="shared" si="5"/>
        <v>-361988.82</v>
      </c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3.5" customHeight="1">
      <c r="A477" s="66"/>
      <c r="B477" s="36"/>
      <c r="C477" s="31"/>
      <c r="D477" s="31"/>
      <c r="E477" s="34">
        <f t="shared" si="5"/>
        <v>-361988.82</v>
      </c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3.5" customHeight="1">
      <c r="A478" s="66"/>
      <c r="B478" s="36"/>
      <c r="C478" s="31"/>
      <c r="D478" s="31"/>
      <c r="E478" s="34">
        <f t="shared" si="5"/>
        <v>-361988.82</v>
      </c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3.5" customHeight="1">
      <c r="A479" s="66"/>
      <c r="B479" s="36"/>
      <c r="C479" s="31"/>
      <c r="D479" s="31"/>
      <c r="E479" s="34">
        <f t="shared" si="5"/>
        <v>-361988.82</v>
      </c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3.5" customHeight="1">
      <c r="A480" s="66"/>
      <c r="B480" s="36"/>
      <c r="C480" s="31"/>
      <c r="D480" s="31"/>
      <c r="E480" s="34">
        <f t="shared" si="5"/>
        <v>-361988.82</v>
      </c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3.5" customHeight="1">
      <c r="A481" s="66"/>
      <c r="B481" s="36"/>
      <c r="C481" s="31"/>
      <c r="D481" s="31"/>
      <c r="E481" s="34">
        <f t="shared" si="5"/>
        <v>-361988.82</v>
      </c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3.5" customHeight="1">
      <c r="A482" s="66"/>
      <c r="B482" s="36"/>
      <c r="C482" s="31"/>
      <c r="D482" s="31"/>
      <c r="E482" s="34">
        <f t="shared" si="5"/>
        <v>-361988.82</v>
      </c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3.5" customHeight="1">
      <c r="A483" s="66"/>
      <c r="B483" s="36"/>
      <c r="C483" s="31"/>
      <c r="D483" s="31"/>
      <c r="E483" s="34">
        <f t="shared" si="5"/>
        <v>-361988.82</v>
      </c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3.5" customHeight="1">
      <c r="A484" s="66"/>
      <c r="B484" s="36"/>
      <c r="C484" s="31"/>
      <c r="D484" s="31"/>
      <c r="E484" s="34">
        <f t="shared" si="5"/>
        <v>-361988.82</v>
      </c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3.5" customHeight="1">
      <c r="A485" s="66"/>
      <c r="B485" s="36"/>
      <c r="C485" s="31"/>
      <c r="D485" s="31"/>
      <c r="E485" s="34">
        <f t="shared" si="5"/>
        <v>-361988.82</v>
      </c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3.5" customHeight="1">
      <c r="A486" s="66"/>
      <c r="B486" s="36"/>
      <c r="C486" s="31"/>
      <c r="D486" s="31"/>
      <c r="E486" s="34">
        <f t="shared" si="5"/>
        <v>-361988.82</v>
      </c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3.5" customHeight="1">
      <c r="A487" s="66"/>
      <c r="B487" s="36"/>
      <c r="C487" s="31"/>
      <c r="D487" s="31"/>
      <c r="E487" s="34">
        <f t="shared" si="5"/>
        <v>-361988.82</v>
      </c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3.5" customHeight="1">
      <c r="A488" s="66"/>
      <c r="B488" s="36"/>
      <c r="C488" s="31"/>
      <c r="D488" s="31"/>
      <c r="E488" s="34">
        <f t="shared" si="5"/>
        <v>-361988.82</v>
      </c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3.5" customHeight="1">
      <c r="A489" s="66"/>
      <c r="B489" s="36"/>
      <c r="C489" s="31"/>
      <c r="D489" s="31"/>
      <c r="E489" s="34">
        <f t="shared" si="5"/>
        <v>-361988.82</v>
      </c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3.5" customHeight="1">
      <c r="A490" s="66"/>
      <c r="B490" s="36"/>
      <c r="C490" s="31"/>
      <c r="D490" s="31"/>
      <c r="E490" s="34">
        <f t="shared" si="5"/>
        <v>-361988.82</v>
      </c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3.5" customHeight="1">
      <c r="A491" s="66"/>
      <c r="B491" s="36"/>
      <c r="C491" s="31"/>
      <c r="D491" s="31"/>
      <c r="E491" s="34">
        <f t="shared" si="5"/>
        <v>-361988.82</v>
      </c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3.5" customHeight="1">
      <c r="A492" s="66"/>
      <c r="B492" s="36"/>
      <c r="C492" s="31"/>
      <c r="D492" s="31"/>
      <c r="E492" s="34">
        <f t="shared" si="5"/>
        <v>-361988.82</v>
      </c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3.5" customHeight="1">
      <c r="A493" s="66"/>
      <c r="B493" s="36"/>
      <c r="C493" s="31"/>
      <c r="D493" s="31"/>
      <c r="E493" s="34">
        <f t="shared" si="5"/>
        <v>-361988.82</v>
      </c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3.5" customHeight="1">
      <c r="A494" s="66"/>
      <c r="B494" s="36"/>
      <c r="C494" s="31"/>
      <c r="D494" s="31"/>
      <c r="E494" s="34">
        <f t="shared" si="5"/>
        <v>-361988.82</v>
      </c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3.5" customHeight="1">
      <c r="A495" s="66"/>
      <c r="B495" s="36"/>
      <c r="C495" s="31"/>
      <c r="D495" s="31"/>
      <c r="E495" s="34">
        <f t="shared" si="5"/>
        <v>-361988.82</v>
      </c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3.5" customHeight="1">
      <c r="A496" s="66"/>
      <c r="B496" s="36"/>
      <c r="C496" s="31"/>
      <c r="D496" s="31"/>
      <c r="E496" s="34">
        <f t="shared" si="5"/>
        <v>-361988.82</v>
      </c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3.5" customHeight="1">
      <c r="A497" s="66"/>
      <c r="B497" s="36"/>
      <c r="C497" s="31"/>
      <c r="D497" s="31"/>
      <c r="E497" s="34">
        <f t="shared" si="5"/>
        <v>-361988.82</v>
      </c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3.5" customHeight="1">
      <c r="A498" s="66"/>
      <c r="B498" s="36"/>
      <c r="C498" s="31"/>
      <c r="D498" s="31"/>
      <c r="E498" s="34">
        <f t="shared" si="5"/>
        <v>-361988.82</v>
      </c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3.5" customHeight="1">
      <c r="A499" s="66"/>
      <c r="B499" s="36"/>
      <c r="C499" s="31"/>
      <c r="D499" s="31"/>
      <c r="E499" s="34">
        <f t="shared" si="5"/>
        <v>-361988.82</v>
      </c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3.5" customHeight="1">
      <c r="A500" s="66"/>
      <c r="B500" s="36"/>
      <c r="C500" s="31"/>
      <c r="D500" s="31"/>
      <c r="E500" s="34">
        <f t="shared" si="5"/>
        <v>-361988.82</v>
      </c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3.5" customHeight="1">
      <c r="A501" s="66"/>
      <c r="B501" s="36"/>
      <c r="C501" s="31"/>
      <c r="D501" s="31"/>
      <c r="E501" s="34">
        <f t="shared" si="5"/>
        <v>-361988.82</v>
      </c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3.5" customHeight="1">
      <c r="A502" s="66"/>
      <c r="B502" s="36"/>
      <c r="C502" s="31"/>
      <c r="D502" s="31"/>
      <c r="E502" s="34">
        <f t="shared" si="5"/>
        <v>-361988.82</v>
      </c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3.5" customHeight="1">
      <c r="A503" s="66"/>
      <c r="B503" s="36"/>
      <c r="C503" s="31"/>
      <c r="D503" s="31"/>
      <c r="E503" s="34">
        <f t="shared" si="5"/>
        <v>-361988.82</v>
      </c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3.5" customHeight="1">
      <c r="A504" s="66"/>
      <c r="B504" s="36"/>
      <c r="C504" s="31"/>
      <c r="D504" s="31"/>
      <c r="E504" s="34">
        <f t="shared" si="5"/>
        <v>-361988.82</v>
      </c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3.5" customHeight="1">
      <c r="A505" s="66"/>
      <c r="B505" s="36"/>
      <c r="C505" s="31"/>
      <c r="D505" s="31"/>
      <c r="E505" s="34">
        <f t="shared" si="5"/>
        <v>-361988.82</v>
      </c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3.5" customHeight="1">
      <c r="A506" s="66"/>
      <c r="B506" s="36"/>
      <c r="C506" s="31"/>
      <c r="D506" s="31"/>
      <c r="E506" s="34">
        <f t="shared" si="5"/>
        <v>-361988.82</v>
      </c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3.5" customHeight="1">
      <c r="A507" s="66"/>
      <c r="B507" s="36"/>
      <c r="C507" s="31"/>
      <c r="D507" s="31"/>
      <c r="E507" s="34">
        <f t="shared" si="5"/>
        <v>-361988.82</v>
      </c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3.5" customHeight="1">
      <c r="A508" s="66"/>
      <c r="B508" s="36"/>
      <c r="C508" s="31"/>
      <c r="D508" s="31"/>
      <c r="E508" s="34">
        <f t="shared" si="5"/>
        <v>-361988.82</v>
      </c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3.5" customHeight="1">
      <c r="A509" s="66"/>
      <c r="B509" s="36"/>
      <c r="C509" s="31"/>
      <c r="D509" s="31"/>
      <c r="E509" s="34">
        <f t="shared" si="5"/>
        <v>-361988.82</v>
      </c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3.5" customHeight="1">
      <c r="A510" s="66"/>
      <c r="B510" s="36"/>
      <c r="C510" s="31"/>
      <c r="D510" s="31"/>
      <c r="E510" s="34">
        <f t="shared" si="5"/>
        <v>-361988.82</v>
      </c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3.5" customHeight="1">
      <c r="A511" s="66"/>
      <c r="B511" s="36"/>
      <c r="C511" s="31"/>
      <c r="D511" s="31"/>
      <c r="E511" s="34">
        <f t="shared" si="5"/>
        <v>-361988.82</v>
      </c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3.5" customHeight="1">
      <c r="A512" s="66"/>
      <c r="B512" s="36"/>
      <c r="C512" s="31"/>
      <c r="D512" s="31"/>
      <c r="E512" s="34">
        <f t="shared" si="5"/>
        <v>-361988.82</v>
      </c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3.5" customHeight="1">
      <c r="A513" s="66"/>
      <c r="B513" s="36"/>
      <c r="C513" s="31"/>
      <c r="D513" s="31"/>
      <c r="E513" s="34">
        <f t="shared" si="5"/>
        <v>-361988.82</v>
      </c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3.5" customHeight="1">
      <c r="A514" s="66"/>
      <c r="B514" s="36"/>
      <c r="C514" s="31"/>
      <c r="D514" s="31"/>
      <c r="E514" s="34">
        <f t="shared" si="5"/>
        <v>-361988.82</v>
      </c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3.5" customHeight="1">
      <c r="A515" s="66"/>
      <c r="B515" s="36"/>
      <c r="C515" s="31"/>
      <c r="D515" s="31"/>
      <c r="E515" s="34">
        <f t="shared" si="5"/>
        <v>-361988.82</v>
      </c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3.5" customHeight="1">
      <c r="A516" s="66"/>
      <c r="B516" s="36"/>
      <c r="C516" s="31"/>
      <c r="D516" s="31"/>
      <c r="E516" s="34">
        <f t="shared" si="5"/>
        <v>-361988.82</v>
      </c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3.5" customHeight="1">
      <c r="A517" s="66"/>
      <c r="B517" s="36"/>
      <c r="C517" s="31"/>
      <c r="D517" s="31"/>
      <c r="E517" s="34">
        <f t="shared" si="5"/>
        <v>-361988.82</v>
      </c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3.5" customHeight="1">
      <c r="A518" s="66"/>
      <c r="B518" s="36"/>
      <c r="C518" s="31"/>
      <c r="D518" s="31"/>
      <c r="E518" s="34">
        <f t="shared" si="5"/>
        <v>-361988.82</v>
      </c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3.5" customHeight="1">
      <c r="A519" s="66"/>
      <c r="B519" s="36"/>
      <c r="C519" s="31"/>
      <c r="D519" s="31"/>
      <c r="E519" s="34">
        <f t="shared" si="5"/>
        <v>-361988.82</v>
      </c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3.5" customHeight="1">
      <c r="A520" s="66"/>
      <c r="B520" s="36"/>
      <c r="C520" s="31"/>
      <c r="D520" s="31"/>
      <c r="E520" s="34">
        <f t="shared" si="5"/>
        <v>-361988.82</v>
      </c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3.5" customHeight="1">
      <c r="A521" s="66"/>
      <c r="B521" s="36"/>
      <c r="C521" s="31"/>
      <c r="D521" s="31"/>
      <c r="E521" s="34">
        <f t="shared" si="5"/>
        <v>-361988.82</v>
      </c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3.5" customHeight="1">
      <c r="A522" s="66"/>
      <c r="B522" s="36"/>
      <c r="C522" s="31"/>
      <c r="D522" s="31"/>
      <c r="E522" s="34">
        <f t="shared" si="5"/>
        <v>-361988.82</v>
      </c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3.5" customHeight="1">
      <c r="A523" s="66"/>
      <c r="B523" s="36"/>
      <c r="C523" s="31"/>
      <c r="D523" s="31"/>
      <c r="E523" s="34">
        <f t="shared" si="5"/>
        <v>-361988.82</v>
      </c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3.5" customHeight="1">
      <c r="A524" s="66"/>
      <c r="B524" s="36"/>
      <c r="C524" s="31"/>
      <c r="D524" s="31"/>
      <c r="E524" s="34">
        <f t="shared" si="5"/>
        <v>-361988.82</v>
      </c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3.5" customHeight="1">
      <c r="A525" s="66"/>
      <c r="B525" s="36"/>
      <c r="C525" s="31"/>
      <c r="D525" s="31"/>
      <c r="E525" s="34">
        <f t="shared" si="5"/>
        <v>-361988.82</v>
      </c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3.5" customHeight="1">
      <c r="A526" s="66"/>
      <c r="B526" s="36"/>
      <c r="C526" s="31"/>
      <c r="D526" s="31"/>
      <c r="E526" s="34">
        <f t="shared" si="5"/>
        <v>-361988.82</v>
      </c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3.5" customHeight="1">
      <c r="A527" s="66"/>
      <c r="B527" s="36"/>
      <c r="C527" s="31"/>
      <c r="D527" s="31"/>
      <c r="E527" s="34">
        <f t="shared" si="5"/>
        <v>-361988.82</v>
      </c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3.5" customHeight="1">
      <c r="A528" s="66"/>
      <c r="B528" s="36"/>
      <c r="C528" s="31"/>
      <c r="D528" s="31"/>
      <c r="E528" s="34">
        <f t="shared" si="5"/>
        <v>-361988.82</v>
      </c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3.5" customHeight="1">
      <c r="A529" s="66"/>
      <c r="B529" s="36"/>
      <c r="C529" s="31"/>
      <c r="D529" s="31"/>
      <c r="E529" s="34">
        <f t="shared" si="5"/>
        <v>-361988.82</v>
      </c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3.5" customHeight="1">
      <c r="A530" s="66"/>
      <c r="B530" s="36"/>
      <c r="C530" s="31"/>
      <c r="D530" s="31"/>
      <c r="E530" s="34">
        <f t="shared" si="5"/>
        <v>-361988.82</v>
      </c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3.5" customHeight="1">
      <c r="A531" s="66"/>
      <c r="B531" s="36"/>
      <c r="C531" s="31"/>
      <c r="D531" s="31"/>
      <c r="E531" s="34">
        <f t="shared" si="5"/>
        <v>-361988.82</v>
      </c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3.5" customHeight="1">
      <c r="A532" s="66"/>
      <c r="B532" s="36"/>
      <c r="C532" s="31"/>
      <c r="D532" s="31"/>
      <c r="E532" s="34">
        <f t="shared" si="5"/>
        <v>-361988.82</v>
      </c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3.5" customHeight="1">
      <c r="A533" s="66"/>
      <c r="B533" s="36"/>
      <c r="C533" s="31"/>
      <c r="D533" s="31"/>
      <c r="E533" s="34">
        <f t="shared" si="5"/>
        <v>-361988.82</v>
      </c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3.5" customHeight="1">
      <c r="A534" s="66"/>
      <c r="B534" s="36"/>
      <c r="C534" s="31"/>
      <c r="D534" s="31"/>
      <c r="E534" s="34">
        <f t="shared" si="5"/>
        <v>-361988.82</v>
      </c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3.5" customHeight="1">
      <c r="A535" s="66"/>
      <c r="B535" s="36"/>
      <c r="C535" s="31"/>
      <c r="D535" s="31"/>
      <c r="E535" s="34">
        <f t="shared" si="5"/>
        <v>-361988.82</v>
      </c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3.5" customHeight="1">
      <c r="A536" s="66"/>
      <c r="B536" s="36"/>
      <c r="C536" s="31"/>
      <c r="D536" s="31"/>
      <c r="E536" s="34">
        <f t="shared" si="5"/>
        <v>-361988.82</v>
      </c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3.5" customHeight="1">
      <c r="A537" s="66"/>
      <c r="B537" s="36"/>
      <c r="C537" s="31"/>
      <c r="D537" s="31"/>
      <c r="E537" s="34">
        <f t="shared" si="5"/>
        <v>-361988.82</v>
      </c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3.5" customHeight="1">
      <c r="A538" s="66"/>
      <c r="B538" s="36"/>
      <c r="C538" s="31"/>
      <c r="D538" s="31"/>
      <c r="E538" s="34">
        <f t="shared" si="5"/>
        <v>-361988.82</v>
      </c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3.5" customHeight="1">
      <c r="A539" s="66"/>
      <c r="B539" s="36"/>
      <c r="C539" s="31"/>
      <c r="D539" s="31"/>
      <c r="E539" s="34">
        <f t="shared" si="5"/>
        <v>-361988.82</v>
      </c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3.5" customHeight="1">
      <c r="A540" s="66"/>
      <c r="B540" s="36"/>
      <c r="C540" s="31"/>
      <c r="D540" s="31"/>
      <c r="E540" s="34">
        <f t="shared" si="5"/>
        <v>-361988.82</v>
      </c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3.5" customHeight="1">
      <c r="A541" s="66"/>
      <c r="B541" s="36"/>
      <c r="C541" s="31"/>
      <c r="D541" s="31"/>
      <c r="E541" s="34">
        <f t="shared" si="5"/>
        <v>-361988.82</v>
      </c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3.5" customHeight="1">
      <c r="A542" s="66"/>
      <c r="B542" s="36"/>
      <c r="C542" s="31"/>
      <c r="D542" s="31"/>
      <c r="E542" s="34">
        <f t="shared" si="5"/>
        <v>-361988.82</v>
      </c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3.5" customHeight="1">
      <c r="A543" s="66"/>
      <c r="B543" s="36"/>
      <c r="C543" s="31"/>
      <c r="D543" s="31"/>
      <c r="E543" s="34">
        <f t="shared" si="5"/>
        <v>-361988.82</v>
      </c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3.5" customHeight="1">
      <c r="A544" s="66"/>
      <c r="B544" s="36"/>
      <c r="C544" s="31"/>
      <c r="D544" s="31"/>
      <c r="E544" s="34">
        <f t="shared" si="5"/>
        <v>-361988.82</v>
      </c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3.5" customHeight="1">
      <c r="A545" s="66"/>
      <c r="B545" s="36"/>
      <c r="C545" s="31"/>
      <c r="D545" s="31"/>
      <c r="E545" s="34">
        <f t="shared" si="5"/>
        <v>-361988.82</v>
      </c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3.5" customHeight="1">
      <c r="A546" s="66"/>
      <c r="B546" s="36"/>
      <c r="C546" s="31"/>
      <c r="D546" s="31"/>
      <c r="E546" s="34">
        <f t="shared" si="5"/>
        <v>-361988.82</v>
      </c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3.5" customHeight="1">
      <c r="A547" s="66"/>
      <c r="B547" s="36"/>
      <c r="C547" s="31"/>
      <c r="D547" s="31"/>
      <c r="E547" s="34">
        <f t="shared" si="5"/>
        <v>-361988.82</v>
      </c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3.5" customHeight="1">
      <c r="A548" s="66"/>
      <c r="B548" s="36"/>
      <c r="C548" s="31"/>
      <c r="D548" s="31"/>
      <c r="E548" s="34">
        <f t="shared" si="5"/>
        <v>-361988.82</v>
      </c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3.5" customHeight="1">
      <c r="A549" s="66"/>
      <c r="B549" s="36"/>
      <c r="C549" s="31"/>
      <c r="D549" s="31"/>
      <c r="E549" s="34">
        <f t="shared" si="5"/>
        <v>-361988.82</v>
      </c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3.5" customHeight="1">
      <c r="A550" s="66"/>
      <c r="B550" s="36"/>
      <c r="C550" s="31"/>
      <c r="D550" s="31"/>
      <c r="E550" s="34">
        <f t="shared" si="5"/>
        <v>-361988.82</v>
      </c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3.5" customHeight="1">
      <c r="A551" s="66"/>
      <c r="B551" s="36"/>
      <c r="C551" s="31"/>
      <c r="D551" s="31"/>
      <c r="E551" s="34">
        <f t="shared" si="5"/>
        <v>-361988.82</v>
      </c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3.5" customHeight="1">
      <c r="A552" s="66"/>
      <c r="B552" s="36"/>
      <c r="C552" s="31"/>
      <c r="D552" s="31"/>
      <c r="E552" s="34">
        <f t="shared" si="5"/>
        <v>-361988.82</v>
      </c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3.5" customHeight="1">
      <c r="A553" s="66"/>
      <c r="B553" s="36"/>
      <c r="C553" s="31"/>
      <c r="D553" s="31"/>
      <c r="E553" s="34">
        <f t="shared" si="5"/>
        <v>-361988.82</v>
      </c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3.5" customHeight="1">
      <c r="A554" s="66"/>
      <c r="B554" s="36"/>
      <c r="C554" s="31"/>
      <c r="D554" s="31"/>
      <c r="E554" s="34">
        <f t="shared" si="5"/>
        <v>-361988.82</v>
      </c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3.5" customHeight="1">
      <c r="A555" s="66"/>
      <c r="B555" s="36"/>
      <c r="C555" s="31"/>
      <c r="D555" s="31"/>
      <c r="E555" s="34">
        <f t="shared" si="5"/>
        <v>-361988.82</v>
      </c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3.5" customHeight="1">
      <c r="A556" s="66"/>
      <c r="B556" s="36"/>
      <c r="C556" s="31"/>
      <c r="D556" s="31"/>
      <c r="E556" s="34">
        <f t="shared" si="5"/>
        <v>-361988.82</v>
      </c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3.5" customHeight="1">
      <c r="A557" s="66"/>
      <c r="B557" s="36"/>
      <c r="C557" s="31"/>
      <c r="D557" s="31"/>
      <c r="E557" s="34">
        <f t="shared" si="5"/>
        <v>-361988.82</v>
      </c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3.5" customHeight="1">
      <c r="A558" s="66"/>
      <c r="B558" s="36"/>
      <c r="C558" s="31"/>
      <c r="D558" s="31"/>
      <c r="E558" s="34">
        <f t="shared" si="5"/>
        <v>-361988.82</v>
      </c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3.5" customHeight="1">
      <c r="A559" s="66"/>
      <c r="B559" s="36"/>
      <c r="C559" s="31"/>
      <c r="D559" s="31"/>
      <c r="E559" s="34">
        <f t="shared" si="5"/>
        <v>-361988.82</v>
      </c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3.5" customHeight="1">
      <c r="A560" s="66"/>
      <c r="B560" s="36"/>
      <c r="C560" s="31"/>
      <c r="D560" s="31"/>
      <c r="E560" s="34">
        <f t="shared" si="5"/>
        <v>-361988.82</v>
      </c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3.5" customHeight="1">
      <c r="A561" s="66"/>
      <c r="B561" s="36"/>
      <c r="C561" s="31"/>
      <c r="D561" s="31"/>
      <c r="E561" s="34">
        <f t="shared" si="5"/>
        <v>-361988.82</v>
      </c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3.5" customHeight="1">
      <c r="A562" s="66"/>
      <c r="B562" s="36"/>
      <c r="C562" s="31"/>
      <c r="D562" s="31"/>
      <c r="E562" s="34">
        <f t="shared" si="5"/>
        <v>-361988.82</v>
      </c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3.5" customHeight="1">
      <c r="A563" s="66"/>
      <c r="B563" s="36"/>
      <c r="C563" s="31"/>
      <c r="D563" s="31"/>
      <c r="E563" s="34">
        <f t="shared" si="5"/>
        <v>-361988.82</v>
      </c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3.5" customHeight="1">
      <c r="A564" s="66"/>
      <c r="B564" s="36"/>
      <c r="C564" s="31"/>
      <c r="D564" s="31"/>
      <c r="E564" s="34">
        <f t="shared" si="5"/>
        <v>-361988.82</v>
      </c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3.5" customHeight="1">
      <c r="A565" s="66"/>
      <c r="B565" s="36"/>
      <c r="C565" s="31"/>
      <c r="D565" s="31"/>
      <c r="E565" s="34">
        <f t="shared" si="5"/>
        <v>-361988.82</v>
      </c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3.5" customHeight="1">
      <c r="A566" s="66"/>
      <c r="B566" s="36"/>
      <c r="C566" s="31"/>
      <c r="D566" s="31"/>
      <c r="E566" s="34">
        <f t="shared" si="5"/>
        <v>-361988.82</v>
      </c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3.5" customHeight="1">
      <c r="A567" s="66"/>
      <c r="B567" s="36"/>
      <c r="C567" s="31"/>
      <c r="D567" s="31"/>
      <c r="E567" s="34">
        <f t="shared" si="5"/>
        <v>-361988.82</v>
      </c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3.5" customHeight="1">
      <c r="A568" s="66"/>
      <c r="B568" s="36"/>
      <c r="C568" s="31"/>
      <c r="D568" s="31"/>
      <c r="E568" s="34">
        <f t="shared" si="5"/>
        <v>-361988.82</v>
      </c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3.5" customHeight="1">
      <c r="A569" s="66"/>
      <c r="B569" s="36"/>
      <c r="C569" s="31"/>
      <c r="D569" s="31"/>
      <c r="E569" s="34">
        <f t="shared" si="5"/>
        <v>-361988.82</v>
      </c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3.5" customHeight="1">
      <c r="A570" s="66"/>
      <c r="B570" s="36"/>
      <c r="C570" s="31"/>
      <c r="D570" s="31"/>
      <c r="E570" s="34">
        <f t="shared" si="5"/>
        <v>-361988.82</v>
      </c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3.5" customHeight="1">
      <c r="A571" s="66"/>
      <c r="B571" s="36"/>
      <c r="C571" s="31"/>
      <c r="D571" s="31"/>
      <c r="E571" s="34">
        <f t="shared" si="5"/>
        <v>-361988.82</v>
      </c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3.5" customHeight="1">
      <c r="A572" s="66"/>
      <c r="B572" s="36"/>
      <c r="C572" s="31"/>
      <c r="D572" s="31"/>
      <c r="E572" s="34">
        <f t="shared" si="5"/>
        <v>-361988.82</v>
      </c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3.5" customHeight="1">
      <c r="A573" s="66"/>
      <c r="B573" s="36"/>
      <c r="C573" s="31"/>
      <c r="D573" s="31"/>
      <c r="E573" s="34">
        <f t="shared" si="5"/>
        <v>-361988.82</v>
      </c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3.5" customHeight="1">
      <c r="A574" s="66"/>
      <c r="B574" s="36"/>
      <c r="C574" s="31"/>
      <c r="D574" s="31"/>
      <c r="E574" s="34">
        <f t="shared" si="5"/>
        <v>-361988.82</v>
      </c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3.5" customHeight="1">
      <c r="A575" s="66"/>
      <c r="B575" s="36"/>
      <c r="C575" s="31"/>
      <c r="D575" s="31"/>
      <c r="E575" s="34">
        <f t="shared" si="5"/>
        <v>-361988.82</v>
      </c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3.5" customHeight="1">
      <c r="A576" s="66"/>
      <c r="B576" s="36"/>
      <c r="C576" s="31"/>
      <c r="D576" s="31"/>
      <c r="E576" s="34">
        <f t="shared" si="5"/>
        <v>-361988.82</v>
      </c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3.5" customHeight="1">
      <c r="A577" s="66"/>
      <c r="B577" s="36"/>
      <c r="C577" s="31"/>
      <c r="D577" s="31"/>
      <c r="E577" s="34">
        <f t="shared" si="5"/>
        <v>-361988.82</v>
      </c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3.5" customHeight="1">
      <c r="A578" s="66"/>
      <c r="B578" s="36"/>
      <c r="C578" s="31"/>
      <c r="D578" s="31"/>
      <c r="E578" s="34">
        <f t="shared" si="5"/>
        <v>-361988.82</v>
      </c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3.5" customHeight="1">
      <c r="A579" s="66"/>
      <c r="B579" s="36"/>
      <c r="C579" s="31"/>
      <c r="D579" s="31"/>
      <c r="E579" s="34">
        <f t="shared" si="5"/>
        <v>-361988.82</v>
      </c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3.5" customHeight="1">
      <c r="A580" s="66"/>
      <c r="B580" s="36"/>
      <c r="C580" s="31"/>
      <c r="D580" s="31"/>
      <c r="E580" s="34">
        <f t="shared" si="5"/>
        <v>-361988.82</v>
      </c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3.5" customHeight="1">
      <c r="A581" s="66"/>
      <c r="B581" s="36"/>
      <c r="C581" s="31"/>
      <c r="D581" s="31"/>
      <c r="E581" s="34">
        <f t="shared" si="5"/>
        <v>-361988.82</v>
      </c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3.5" customHeight="1">
      <c r="A582" s="66"/>
      <c r="B582" s="36"/>
      <c r="C582" s="31"/>
      <c r="D582" s="31"/>
      <c r="E582" s="34">
        <f t="shared" si="5"/>
        <v>-361988.82</v>
      </c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3.5" customHeight="1">
      <c r="A583" s="66"/>
      <c r="B583" s="36"/>
      <c r="C583" s="31"/>
      <c r="D583" s="31"/>
      <c r="E583" s="34">
        <f t="shared" si="5"/>
        <v>-361988.82</v>
      </c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3.5" customHeight="1">
      <c r="A584" s="66"/>
      <c r="B584" s="36"/>
      <c r="C584" s="31"/>
      <c r="D584" s="31"/>
      <c r="E584" s="34">
        <f t="shared" si="5"/>
        <v>-361988.82</v>
      </c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3.5" customHeight="1">
      <c r="A585" s="66"/>
      <c r="B585" s="36"/>
      <c r="C585" s="31"/>
      <c r="D585" s="31"/>
      <c r="E585" s="34">
        <f t="shared" si="5"/>
        <v>-361988.82</v>
      </c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3.5" customHeight="1">
      <c r="A586" s="66"/>
      <c r="B586" s="36"/>
      <c r="C586" s="31"/>
      <c r="D586" s="31"/>
      <c r="E586" s="34">
        <f t="shared" si="5"/>
        <v>-361988.82</v>
      </c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3.5" customHeight="1">
      <c r="A587" s="66"/>
      <c r="B587" s="36"/>
      <c r="C587" s="31"/>
      <c r="D587" s="31"/>
      <c r="E587" s="34">
        <f t="shared" si="5"/>
        <v>-361988.82</v>
      </c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3.5" customHeight="1">
      <c r="A588" s="66"/>
      <c r="B588" s="36"/>
      <c r="C588" s="31"/>
      <c r="D588" s="31"/>
      <c r="E588" s="34">
        <f t="shared" si="5"/>
        <v>-361988.82</v>
      </c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3.5" customHeight="1">
      <c r="A589" s="66"/>
      <c r="B589" s="36"/>
      <c r="C589" s="31"/>
      <c r="D589" s="31"/>
      <c r="E589" s="34">
        <f t="shared" si="5"/>
        <v>-361988.82</v>
      </c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3.5" customHeight="1">
      <c r="A590" s="66"/>
      <c r="B590" s="36"/>
      <c r="C590" s="31"/>
      <c r="D590" s="31"/>
      <c r="E590" s="34">
        <f t="shared" si="5"/>
        <v>-361988.82</v>
      </c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3.5" customHeight="1">
      <c r="A591" s="66"/>
      <c r="B591" s="36"/>
      <c r="C591" s="31"/>
      <c r="D591" s="31"/>
      <c r="E591" s="34">
        <f t="shared" si="5"/>
        <v>-361988.82</v>
      </c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3.5" customHeight="1">
      <c r="A592" s="66"/>
      <c r="B592" s="36"/>
      <c r="C592" s="31"/>
      <c r="D592" s="31"/>
      <c r="E592" s="34">
        <f t="shared" si="5"/>
        <v>-361988.82</v>
      </c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3.5" customHeight="1">
      <c r="A593" s="66"/>
      <c r="B593" s="36"/>
      <c r="C593" s="31"/>
      <c r="D593" s="31"/>
      <c r="E593" s="34">
        <f t="shared" si="5"/>
        <v>-361988.82</v>
      </c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3.5" customHeight="1">
      <c r="A594" s="66"/>
      <c r="B594" s="36"/>
      <c r="C594" s="31"/>
      <c r="D594" s="31"/>
      <c r="E594" s="34">
        <f t="shared" si="5"/>
        <v>-361988.82</v>
      </c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3.5" customHeight="1">
      <c r="A595" s="66"/>
      <c r="B595" s="36"/>
      <c r="C595" s="31"/>
      <c r="D595" s="31"/>
      <c r="E595" s="34">
        <f t="shared" si="5"/>
        <v>-361988.82</v>
      </c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3.5" customHeight="1">
      <c r="A596" s="66"/>
      <c r="B596" s="36"/>
      <c r="C596" s="31"/>
      <c r="D596" s="31"/>
      <c r="E596" s="34">
        <f t="shared" si="5"/>
        <v>-361988.82</v>
      </c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3.5" customHeight="1">
      <c r="A597" s="66"/>
      <c r="B597" s="36"/>
      <c r="C597" s="31"/>
      <c r="D597" s="31"/>
      <c r="E597" s="34">
        <f t="shared" si="5"/>
        <v>-361988.82</v>
      </c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3.5" customHeight="1">
      <c r="A598" s="66"/>
      <c r="B598" s="36"/>
      <c r="C598" s="31"/>
      <c r="D598" s="31"/>
      <c r="E598" s="34">
        <f t="shared" si="5"/>
        <v>-361988.82</v>
      </c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3.5" customHeight="1">
      <c r="A599" s="66"/>
      <c r="B599" s="36"/>
      <c r="C599" s="31"/>
      <c r="D599" s="31"/>
      <c r="E599" s="34">
        <f t="shared" si="5"/>
        <v>-361988.82</v>
      </c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3.5" customHeight="1">
      <c r="A600" s="66"/>
      <c r="B600" s="36"/>
      <c r="C600" s="31"/>
      <c r="D600" s="31"/>
      <c r="E600" s="34">
        <f t="shared" si="5"/>
        <v>-361988.82</v>
      </c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3.5" customHeight="1">
      <c r="A601" s="66"/>
      <c r="B601" s="36"/>
      <c r="C601" s="31"/>
      <c r="D601" s="31"/>
      <c r="E601" s="34">
        <f t="shared" si="5"/>
        <v>-361988.82</v>
      </c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3.5" customHeight="1">
      <c r="A602" s="66"/>
      <c r="B602" s="36"/>
      <c r="C602" s="31"/>
      <c r="D602" s="31"/>
      <c r="E602" s="34">
        <f t="shared" si="5"/>
        <v>-361988.82</v>
      </c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3.5" customHeight="1">
      <c r="A603" s="66"/>
      <c r="B603" s="36"/>
      <c r="C603" s="31"/>
      <c r="D603" s="31"/>
      <c r="E603" s="34">
        <f t="shared" si="5"/>
        <v>-361988.82</v>
      </c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3.5" customHeight="1">
      <c r="A604" s="66"/>
      <c r="B604" s="36"/>
      <c r="C604" s="31"/>
      <c r="D604" s="31"/>
      <c r="E604" s="34">
        <f t="shared" si="5"/>
        <v>-361988.82</v>
      </c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3.5" customHeight="1">
      <c r="A605" s="66"/>
      <c r="B605" s="36"/>
      <c r="C605" s="31"/>
      <c r="D605" s="31"/>
      <c r="E605" s="34">
        <f t="shared" si="5"/>
        <v>-361988.82</v>
      </c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3.5" customHeight="1">
      <c r="A606" s="66"/>
      <c r="B606" s="36"/>
      <c r="C606" s="31"/>
      <c r="D606" s="31"/>
      <c r="E606" s="34">
        <f t="shared" si="5"/>
        <v>-361988.82</v>
      </c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3.5" customHeight="1">
      <c r="A607" s="66"/>
      <c r="B607" s="36"/>
      <c r="C607" s="31"/>
      <c r="D607" s="31"/>
      <c r="E607" s="34">
        <f t="shared" si="5"/>
        <v>-361988.82</v>
      </c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3.5" customHeight="1">
      <c r="A608" s="66"/>
      <c r="B608" s="36"/>
      <c r="C608" s="31"/>
      <c r="D608" s="31"/>
      <c r="E608" s="34">
        <f t="shared" si="5"/>
        <v>-361988.82</v>
      </c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3.5" customHeight="1">
      <c r="A609" s="66"/>
      <c r="B609" s="36"/>
      <c r="C609" s="31"/>
      <c r="D609" s="31"/>
      <c r="E609" s="34">
        <f t="shared" si="5"/>
        <v>-361988.82</v>
      </c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3.5" customHeight="1">
      <c r="A610" s="66"/>
      <c r="B610" s="36"/>
      <c r="C610" s="31"/>
      <c r="D610" s="31"/>
      <c r="E610" s="34">
        <f t="shared" si="5"/>
        <v>-361988.82</v>
      </c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3.5" customHeight="1">
      <c r="A611" s="66"/>
      <c r="B611" s="36"/>
      <c r="C611" s="31"/>
      <c r="D611" s="31"/>
      <c r="E611" s="34">
        <f t="shared" si="5"/>
        <v>-361988.82</v>
      </c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3.5" customHeight="1">
      <c r="A612" s="66"/>
      <c r="B612" s="36"/>
      <c r="C612" s="31"/>
      <c r="D612" s="31"/>
      <c r="E612" s="34">
        <f t="shared" si="5"/>
        <v>-361988.82</v>
      </c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3.5" customHeight="1">
      <c r="A613" s="66"/>
      <c r="B613" s="36"/>
      <c r="C613" s="31"/>
      <c r="D613" s="31"/>
      <c r="E613" s="34">
        <f t="shared" si="5"/>
        <v>-361988.82</v>
      </c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3.5" customHeight="1">
      <c r="A614" s="66"/>
      <c r="B614" s="36"/>
      <c r="C614" s="31"/>
      <c r="D614" s="31"/>
      <c r="E614" s="34">
        <f t="shared" si="5"/>
        <v>-361988.82</v>
      </c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3.5" customHeight="1">
      <c r="A615" s="66"/>
      <c r="B615" s="36"/>
      <c r="C615" s="31"/>
      <c r="D615" s="31"/>
      <c r="E615" s="34">
        <f t="shared" si="5"/>
        <v>-361988.82</v>
      </c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3.5" customHeight="1">
      <c r="A616" s="66"/>
      <c r="B616" s="36"/>
      <c r="C616" s="31"/>
      <c r="D616" s="31"/>
      <c r="E616" s="34">
        <f t="shared" si="5"/>
        <v>-361988.82</v>
      </c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3.5" customHeight="1">
      <c r="A617" s="66"/>
      <c r="B617" s="36"/>
      <c r="C617" s="31"/>
      <c r="D617" s="31"/>
      <c r="E617" s="34">
        <f t="shared" si="5"/>
        <v>-361988.82</v>
      </c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3.5" customHeight="1">
      <c r="A618" s="66"/>
      <c r="B618" s="36"/>
      <c r="C618" s="31"/>
      <c r="D618" s="31"/>
      <c r="E618" s="34">
        <f t="shared" si="5"/>
        <v>-361988.82</v>
      </c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3.5" customHeight="1">
      <c r="A619" s="66"/>
      <c r="B619" s="36"/>
      <c r="C619" s="31"/>
      <c r="D619" s="31"/>
      <c r="E619" s="34">
        <f t="shared" si="5"/>
        <v>-361988.82</v>
      </c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3.5" customHeight="1">
      <c r="A620" s="66"/>
      <c r="B620" s="36"/>
      <c r="C620" s="31"/>
      <c r="D620" s="31"/>
      <c r="E620" s="34">
        <f t="shared" si="5"/>
        <v>-361988.82</v>
      </c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3.5" customHeight="1">
      <c r="A621" s="66"/>
      <c r="B621" s="36"/>
      <c r="C621" s="31"/>
      <c r="D621" s="31"/>
      <c r="E621" s="34">
        <f t="shared" si="5"/>
        <v>-361988.82</v>
      </c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3.5" customHeight="1">
      <c r="A622" s="66"/>
      <c r="B622" s="36"/>
      <c r="C622" s="31"/>
      <c r="D622" s="31"/>
      <c r="E622" s="34">
        <f t="shared" si="5"/>
        <v>-361988.82</v>
      </c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3.5" customHeight="1">
      <c r="A623" s="66"/>
      <c r="B623" s="36"/>
      <c r="C623" s="31"/>
      <c r="D623" s="31"/>
      <c r="E623" s="34">
        <f t="shared" si="5"/>
        <v>-361988.82</v>
      </c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3.5" customHeight="1">
      <c r="A624" s="66"/>
      <c r="B624" s="36"/>
      <c r="C624" s="31"/>
      <c r="D624" s="31"/>
      <c r="E624" s="34">
        <f t="shared" si="5"/>
        <v>-361988.82</v>
      </c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3.5" customHeight="1">
      <c r="A625" s="66"/>
      <c r="B625" s="36"/>
      <c r="C625" s="31"/>
      <c r="D625" s="31"/>
      <c r="E625" s="34">
        <f t="shared" si="5"/>
        <v>-361988.82</v>
      </c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3.5" customHeight="1">
      <c r="A626" s="66"/>
      <c r="B626" s="36"/>
      <c r="C626" s="31"/>
      <c r="D626" s="31"/>
      <c r="E626" s="34">
        <f t="shared" si="5"/>
        <v>-361988.82</v>
      </c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3.5" customHeight="1">
      <c r="A627" s="66"/>
      <c r="B627" s="36"/>
      <c r="C627" s="31"/>
      <c r="D627" s="31"/>
      <c r="E627" s="34">
        <f t="shared" si="5"/>
        <v>-361988.82</v>
      </c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3.5" customHeight="1">
      <c r="A628" s="66"/>
      <c r="B628" s="36"/>
      <c r="C628" s="31"/>
      <c r="D628" s="31"/>
      <c r="E628" s="34">
        <f t="shared" si="5"/>
        <v>-361988.82</v>
      </c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3.5" customHeight="1">
      <c r="A629" s="66"/>
      <c r="B629" s="36"/>
      <c r="C629" s="31"/>
      <c r="D629" s="31"/>
      <c r="E629" s="34">
        <f t="shared" si="5"/>
        <v>-361988.82</v>
      </c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3.5" customHeight="1">
      <c r="A630" s="66"/>
      <c r="B630" s="36"/>
      <c r="C630" s="31"/>
      <c r="D630" s="31"/>
      <c r="E630" s="34">
        <f t="shared" si="5"/>
        <v>-361988.82</v>
      </c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3.5" customHeight="1">
      <c r="A631" s="66"/>
      <c r="B631" s="36"/>
      <c r="C631" s="31"/>
      <c r="D631" s="31"/>
      <c r="E631" s="34">
        <f t="shared" si="5"/>
        <v>-361988.82</v>
      </c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3.5" customHeight="1">
      <c r="A632" s="66"/>
      <c r="B632" s="36"/>
      <c r="C632" s="31"/>
      <c r="D632" s="31"/>
      <c r="E632" s="34">
        <f t="shared" si="5"/>
        <v>-361988.82</v>
      </c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3.5" customHeight="1">
      <c r="A633" s="66"/>
      <c r="B633" s="36"/>
      <c r="C633" s="31"/>
      <c r="D633" s="31"/>
      <c r="E633" s="34">
        <f t="shared" si="5"/>
        <v>-361988.82</v>
      </c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3.5" customHeight="1">
      <c r="A634" s="66"/>
      <c r="B634" s="36"/>
      <c r="C634" s="31"/>
      <c r="D634" s="31"/>
      <c r="E634" s="34">
        <f t="shared" si="5"/>
        <v>-361988.82</v>
      </c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3.5" customHeight="1">
      <c r="A635" s="66"/>
      <c r="B635" s="36"/>
      <c r="C635" s="31"/>
      <c r="D635" s="31"/>
      <c r="E635" s="34">
        <f t="shared" si="5"/>
        <v>-361988.82</v>
      </c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3.5" customHeight="1">
      <c r="A636" s="66"/>
      <c r="B636" s="36"/>
      <c r="C636" s="31"/>
      <c r="D636" s="31"/>
      <c r="E636" s="34">
        <f t="shared" si="5"/>
        <v>-361988.82</v>
      </c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3.5" customHeight="1">
      <c r="A637" s="66"/>
      <c r="B637" s="36"/>
      <c r="C637" s="31"/>
      <c r="D637" s="31"/>
      <c r="E637" s="34">
        <f t="shared" si="5"/>
        <v>-361988.82</v>
      </c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3.5" customHeight="1">
      <c r="A638" s="66"/>
      <c r="B638" s="36"/>
      <c r="C638" s="31"/>
      <c r="D638" s="31"/>
      <c r="E638" s="34">
        <f t="shared" si="5"/>
        <v>-361988.82</v>
      </c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3.5" customHeight="1">
      <c r="A639" s="66"/>
      <c r="B639" s="36"/>
      <c r="C639" s="31"/>
      <c r="D639" s="31"/>
      <c r="E639" s="34">
        <f t="shared" si="5"/>
        <v>-361988.82</v>
      </c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3.5" customHeight="1">
      <c r="A640" s="66"/>
      <c r="B640" s="36"/>
      <c r="C640" s="31"/>
      <c r="D640" s="31"/>
      <c r="E640" s="34">
        <f t="shared" si="5"/>
        <v>-361988.82</v>
      </c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3.5" customHeight="1">
      <c r="A641" s="66"/>
      <c r="B641" s="36"/>
      <c r="C641" s="31"/>
      <c r="D641" s="31"/>
      <c r="E641" s="34">
        <f t="shared" si="5"/>
        <v>-361988.82</v>
      </c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3.5" customHeight="1">
      <c r="A642" s="66"/>
      <c r="B642" s="36"/>
      <c r="C642" s="31"/>
      <c r="D642" s="31"/>
      <c r="E642" s="34">
        <f t="shared" si="5"/>
        <v>-361988.82</v>
      </c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3.5" customHeight="1">
      <c r="A643" s="66"/>
      <c r="B643" s="36"/>
      <c r="C643" s="31"/>
      <c r="D643" s="31"/>
      <c r="E643" s="34">
        <f t="shared" si="5"/>
        <v>-361988.82</v>
      </c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3.5" customHeight="1">
      <c r="A644" s="66"/>
      <c r="B644" s="36"/>
      <c r="C644" s="31"/>
      <c r="D644" s="31"/>
      <c r="E644" s="34">
        <f t="shared" si="5"/>
        <v>-361988.82</v>
      </c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3.5" customHeight="1">
      <c r="A645" s="66"/>
      <c r="B645" s="36"/>
      <c r="C645" s="31"/>
      <c r="D645" s="31"/>
      <c r="E645" s="34">
        <f t="shared" si="5"/>
        <v>-361988.82</v>
      </c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3.5" customHeight="1">
      <c r="A646" s="66"/>
      <c r="B646" s="36"/>
      <c r="C646" s="31"/>
      <c r="D646" s="31"/>
      <c r="E646" s="34">
        <f t="shared" si="5"/>
        <v>-361988.82</v>
      </c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3.5" customHeight="1">
      <c r="A647" s="66"/>
      <c r="B647" s="36"/>
      <c r="C647" s="31"/>
      <c r="D647" s="31"/>
      <c r="E647" s="34">
        <f t="shared" si="5"/>
        <v>-361988.82</v>
      </c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3.5" customHeight="1">
      <c r="A648" s="66"/>
      <c r="B648" s="36"/>
      <c r="C648" s="31"/>
      <c r="D648" s="31"/>
      <c r="E648" s="34">
        <f t="shared" si="5"/>
        <v>-361988.82</v>
      </c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3.5" customHeight="1">
      <c r="A649" s="66"/>
      <c r="B649" s="36"/>
      <c r="C649" s="31"/>
      <c r="D649" s="31"/>
      <c r="E649" s="34">
        <f t="shared" si="5"/>
        <v>-361988.82</v>
      </c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3.5" customHeight="1">
      <c r="A650" s="66"/>
      <c r="B650" s="36"/>
      <c r="C650" s="31"/>
      <c r="D650" s="31"/>
      <c r="E650" s="34">
        <f t="shared" si="5"/>
        <v>-361988.82</v>
      </c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3.5" customHeight="1">
      <c r="A651" s="66"/>
      <c r="B651" s="36"/>
      <c r="C651" s="31"/>
      <c r="D651" s="31"/>
      <c r="E651" s="34">
        <f t="shared" si="5"/>
        <v>-361988.82</v>
      </c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3.5" customHeight="1">
      <c r="A652" s="66"/>
      <c r="B652" s="36"/>
      <c r="C652" s="31"/>
      <c r="D652" s="31"/>
      <c r="E652" s="34">
        <f t="shared" si="5"/>
        <v>-361988.82</v>
      </c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3.5" customHeight="1">
      <c r="A653" s="66"/>
      <c r="B653" s="36"/>
      <c r="C653" s="31"/>
      <c r="D653" s="31"/>
      <c r="E653" s="34">
        <f t="shared" si="5"/>
        <v>-361988.82</v>
      </c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3.5" customHeight="1">
      <c r="A654" s="66"/>
      <c r="B654" s="36"/>
      <c r="C654" s="31"/>
      <c r="D654" s="31"/>
      <c r="E654" s="34">
        <f t="shared" si="5"/>
        <v>-361988.82</v>
      </c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3.5" customHeight="1">
      <c r="A655" s="66"/>
      <c r="B655" s="36"/>
      <c r="C655" s="31"/>
      <c r="D655" s="31"/>
      <c r="E655" s="34">
        <f t="shared" si="5"/>
        <v>-361988.82</v>
      </c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3.5" customHeight="1">
      <c r="A656" s="66"/>
      <c r="B656" s="36"/>
      <c r="C656" s="31"/>
      <c r="D656" s="31"/>
      <c r="E656" s="34">
        <f t="shared" si="5"/>
        <v>-361988.82</v>
      </c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3.5" customHeight="1">
      <c r="A657" s="66"/>
      <c r="B657" s="36"/>
      <c r="C657" s="31"/>
      <c r="D657" s="31"/>
      <c r="E657" s="34">
        <f t="shared" si="5"/>
        <v>-361988.82</v>
      </c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3.5" customHeight="1">
      <c r="A658" s="66"/>
      <c r="B658" s="36"/>
      <c r="C658" s="31"/>
      <c r="D658" s="31"/>
      <c r="E658" s="34">
        <f t="shared" si="5"/>
        <v>-361988.82</v>
      </c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3.5" customHeight="1">
      <c r="A659" s="66"/>
      <c r="B659" s="36"/>
      <c r="C659" s="31"/>
      <c r="D659" s="31"/>
      <c r="E659" s="34">
        <f t="shared" si="5"/>
        <v>-361988.82</v>
      </c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3.5" customHeight="1">
      <c r="A660" s="66"/>
      <c r="B660" s="36"/>
      <c r="C660" s="31"/>
      <c r="D660" s="31"/>
      <c r="E660" s="34">
        <f t="shared" si="5"/>
        <v>-361988.82</v>
      </c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3.5" customHeight="1">
      <c r="A661" s="66"/>
      <c r="B661" s="36"/>
      <c r="C661" s="31"/>
      <c r="D661" s="31"/>
      <c r="E661" s="34">
        <f t="shared" si="5"/>
        <v>-361988.82</v>
      </c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3.5" customHeight="1">
      <c r="A662" s="66"/>
      <c r="B662" s="36"/>
      <c r="C662" s="31"/>
      <c r="D662" s="31"/>
      <c r="E662" s="34">
        <f t="shared" si="5"/>
        <v>-361988.82</v>
      </c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3.5" customHeight="1">
      <c r="A663" s="66"/>
      <c r="B663" s="36"/>
      <c r="C663" s="31"/>
      <c r="D663" s="31"/>
      <c r="E663" s="34">
        <f t="shared" si="5"/>
        <v>-361988.82</v>
      </c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3.5" customHeight="1">
      <c r="A664" s="66"/>
      <c r="B664" s="36"/>
      <c r="C664" s="31"/>
      <c r="D664" s="31"/>
      <c r="E664" s="34">
        <f t="shared" si="5"/>
        <v>-361988.82</v>
      </c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3.5" customHeight="1">
      <c r="A665" s="66"/>
      <c r="B665" s="36"/>
      <c r="C665" s="31"/>
      <c r="D665" s="31"/>
      <c r="E665" s="34">
        <f t="shared" si="5"/>
        <v>-361988.82</v>
      </c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3.5" customHeight="1">
      <c r="A666" s="66"/>
      <c r="B666" s="36"/>
      <c r="C666" s="31"/>
      <c r="D666" s="31"/>
      <c r="E666" s="34">
        <f t="shared" si="5"/>
        <v>-361988.82</v>
      </c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3.5" customHeight="1">
      <c r="A667" s="66"/>
      <c r="B667" s="36"/>
      <c r="C667" s="31"/>
      <c r="D667" s="31"/>
      <c r="E667" s="34">
        <f t="shared" si="5"/>
        <v>-361988.82</v>
      </c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3.5" customHeight="1">
      <c r="A668" s="66"/>
      <c r="B668" s="36"/>
      <c r="C668" s="31"/>
      <c r="D668" s="31"/>
      <c r="E668" s="34">
        <f t="shared" si="5"/>
        <v>-361988.82</v>
      </c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3.5" customHeight="1">
      <c r="A669" s="66"/>
      <c r="B669" s="36"/>
      <c r="C669" s="31"/>
      <c r="D669" s="31"/>
      <c r="E669" s="34">
        <f t="shared" si="5"/>
        <v>-361988.82</v>
      </c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3.5" customHeight="1">
      <c r="A670" s="66"/>
      <c r="B670" s="36"/>
      <c r="C670" s="31"/>
      <c r="D670" s="31"/>
      <c r="E670" s="34">
        <f t="shared" si="5"/>
        <v>-361988.82</v>
      </c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3.5" customHeight="1">
      <c r="A671" s="66"/>
      <c r="B671" s="36"/>
      <c r="C671" s="31"/>
      <c r="D671" s="31"/>
      <c r="E671" s="34">
        <f t="shared" si="5"/>
        <v>-361988.82</v>
      </c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3.5" customHeight="1">
      <c r="A672" s="66"/>
      <c r="B672" s="36"/>
      <c r="C672" s="31"/>
      <c r="D672" s="31"/>
      <c r="E672" s="34">
        <f t="shared" si="5"/>
        <v>-361988.82</v>
      </c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3.5" customHeight="1">
      <c r="A673" s="66"/>
      <c r="B673" s="36"/>
      <c r="C673" s="31"/>
      <c r="D673" s="31"/>
      <c r="E673" s="34">
        <f t="shared" si="5"/>
        <v>-361988.82</v>
      </c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3.5" customHeight="1">
      <c r="A674" s="66"/>
      <c r="B674" s="36"/>
      <c r="C674" s="31"/>
      <c r="D674" s="31"/>
      <c r="E674" s="34">
        <f t="shared" si="5"/>
        <v>-361988.82</v>
      </c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3.5" customHeight="1">
      <c r="A675" s="66"/>
      <c r="B675" s="36"/>
      <c r="C675" s="31"/>
      <c r="D675" s="31"/>
      <c r="E675" s="34">
        <f t="shared" si="5"/>
        <v>-361988.82</v>
      </c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3.5" customHeight="1">
      <c r="A676" s="66"/>
      <c r="B676" s="36"/>
      <c r="C676" s="31"/>
      <c r="D676" s="31"/>
      <c r="E676" s="34">
        <f t="shared" si="5"/>
        <v>-361988.82</v>
      </c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3.5" customHeight="1">
      <c r="A677" s="66"/>
      <c r="B677" s="36"/>
      <c r="C677" s="31"/>
      <c r="D677" s="31"/>
      <c r="E677" s="34">
        <f t="shared" si="5"/>
        <v>-361988.82</v>
      </c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3.5" customHeight="1">
      <c r="A678" s="66"/>
      <c r="B678" s="36"/>
      <c r="C678" s="31"/>
      <c r="D678" s="31"/>
      <c r="E678" s="34">
        <f t="shared" si="5"/>
        <v>-361988.82</v>
      </c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3.5" customHeight="1">
      <c r="A679" s="66"/>
      <c r="B679" s="36"/>
      <c r="C679" s="31"/>
      <c r="D679" s="31"/>
      <c r="E679" s="34">
        <f t="shared" si="5"/>
        <v>-361988.82</v>
      </c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3.5" customHeight="1">
      <c r="A680" s="66"/>
      <c r="B680" s="36"/>
      <c r="C680" s="31"/>
      <c r="D680" s="31"/>
      <c r="E680" s="34">
        <f t="shared" si="5"/>
        <v>-361988.82</v>
      </c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3.5" customHeight="1">
      <c r="A681" s="66"/>
      <c r="B681" s="36"/>
      <c r="C681" s="31"/>
      <c r="D681" s="31"/>
      <c r="E681" s="34">
        <f t="shared" si="5"/>
        <v>-361988.82</v>
      </c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3.5" customHeight="1">
      <c r="A682" s="66"/>
      <c r="B682" s="36"/>
      <c r="C682" s="31"/>
      <c r="D682" s="31"/>
      <c r="E682" s="34">
        <f t="shared" si="5"/>
        <v>-361988.82</v>
      </c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3.5" customHeight="1">
      <c r="A683" s="66"/>
      <c r="B683" s="36"/>
      <c r="C683" s="31"/>
      <c r="D683" s="31"/>
      <c r="E683" s="34">
        <f t="shared" si="5"/>
        <v>-361988.82</v>
      </c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3.5" customHeight="1">
      <c r="A684" s="66"/>
      <c r="B684" s="36"/>
      <c r="C684" s="31"/>
      <c r="D684" s="31"/>
      <c r="E684" s="34">
        <f t="shared" si="5"/>
        <v>-361988.82</v>
      </c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3.5" customHeight="1">
      <c r="A685" s="66"/>
      <c r="B685" s="36"/>
      <c r="C685" s="31"/>
      <c r="D685" s="31"/>
      <c r="E685" s="34">
        <f t="shared" si="5"/>
        <v>-361988.82</v>
      </c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3.5" customHeight="1">
      <c r="A686" s="66"/>
      <c r="B686" s="36"/>
      <c r="C686" s="31"/>
      <c r="D686" s="31"/>
      <c r="E686" s="34">
        <f t="shared" si="5"/>
        <v>-361988.82</v>
      </c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3.5" customHeight="1">
      <c r="A687" s="66"/>
      <c r="B687" s="36"/>
      <c r="C687" s="31"/>
      <c r="D687" s="31"/>
      <c r="E687" s="34">
        <f t="shared" si="5"/>
        <v>-361988.82</v>
      </c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3.5" customHeight="1">
      <c r="A688" s="66"/>
      <c r="B688" s="36"/>
      <c r="C688" s="31"/>
      <c r="D688" s="31"/>
      <c r="E688" s="34">
        <f t="shared" si="5"/>
        <v>-361988.82</v>
      </c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3.5" customHeight="1">
      <c r="A689" s="66"/>
      <c r="B689" s="36"/>
      <c r="C689" s="31"/>
      <c r="D689" s="31"/>
      <c r="E689" s="34">
        <f t="shared" si="5"/>
        <v>-361988.82</v>
      </c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3.5" customHeight="1">
      <c r="A690" s="66"/>
      <c r="B690" s="36"/>
      <c r="C690" s="31"/>
      <c r="D690" s="31"/>
      <c r="E690" s="34">
        <f t="shared" si="5"/>
        <v>-361988.82</v>
      </c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3.5" customHeight="1">
      <c r="A691" s="66"/>
      <c r="B691" s="36"/>
      <c r="C691" s="31"/>
      <c r="D691" s="31"/>
      <c r="E691" s="34">
        <f t="shared" si="5"/>
        <v>-361988.82</v>
      </c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3.5" customHeight="1">
      <c r="A692" s="66"/>
      <c r="B692" s="36"/>
      <c r="C692" s="31"/>
      <c r="D692" s="31"/>
      <c r="E692" s="34">
        <f t="shared" si="5"/>
        <v>-361988.82</v>
      </c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3.5" customHeight="1">
      <c r="A693" s="66"/>
      <c r="B693" s="36"/>
      <c r="C693" s="31"/>
      <c r="D693" s="31"/>
      <c r="E693" s="34">
        <f t="shared" si="5"/>
        <v>-361988.82</v>
      </c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3.5" customHeight="1">
      <c r="A694" s="66"/>
      <c r="B694" s="36"/>
      <c r="C694" s="31"/>
      <c r="D694" s="31"/>
      <c r="E694" s="34">
        <f t="shared" si="5"/>
        <v>-361988.82</v>
      </c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3.5" customHeight="1">
      <c r="A695" s="66"/>
      <c r="B695" s="36"/>
      <c r="C695" s="31"/>
      <c r="D695" s="31"/>
      <c r="E695" s="34">
        <f t="shared" si="5"/>
        <v>-361988.82</v>
      </c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3.5" customHeight="1">
      <c r="A696" s="66"/>
      <c r="B696" s="36"/>
      <c r="C696" s="31"/>
      <c r="D696" s="31"/>
      <c r="E696" s="34">
        <f t="shared" si="5"/>
        <v>-361988.82</v>
      </c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3.5" customHeight="1">
      <c r="A697" s="66"/>
      <c r="B697" s="36"/>
      <c r="C697" s="31"/>
      <c r="D697" s="31"/>
      <c r="E697" s="34">
        <f t="shared" si="5"/>
        <v>-361988.82</v>
      </c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3.5" customHeight="1">
      <c r="A698" s="66"/>
      <c r="B698" s="36"/>
      <c r="C698" s="31"/>
      <c r="D698" s="31"/>
      <c r="E698" s="34">
        <f t="shared" si="5"/>
        <v>-361988.82</v>
      </c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3.5" customHeight="1">
      <c r="A699" s="66"/>
      <c r="B699" s="36"/>
      <c r="C699" s="31"/>
      <c r="D699" s="31"/>
      <c r="E699" s="34">
        <f t="shared" si="5"/>
        <v>-361988.82</v>
      </c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3.5" customHeight="1">
      <c r="A700" s="66"/>
      <c r="B700" s="36"/>
      <c r="C700" s="31"/>
      <c r="D700" s="31"/>
      <c r="E700" s="34">
        <f t="shared" si="5"/>
        <v>-361988.82</v>
      </c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3.5" customHeight="1">
      <c r="A701" s="66"/>
      <c r="B701" s="36"/>
      <c r="C701" s="31"/>
      <c r="D701" s="31"/>
      <c r="E701" s="34">
        <f t="shared" si="5"/>
        <v>-361988.82</v>
      </c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3.5" customHeight="1">
      <c r="A702" s="66"/>
      <c r="B702" s="36"/>
      <c r="C702" s="31"/>
      <c r="D702" s="31"/>
      <c r="E702" s="34">
        <f t="shared" si="5"/>
        <v>-361988.82</v>
      </c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3.5" customHeight="1">
      <c r="A703" s="66"/>
      <c r="B703" s="36"/>
      <c r="C703" s="31"/>
      <c r="D703" s="31"/>
      <c r="E703" s="34">
        <f t="shared" si="5"/>
        <v>-361988.82</v>
      </c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3.5" customHeight="1">
      <c r="A704" s="66"/>
      <c r="B704" s="36"/>
      <c r="C704" s="31"/>
      <c r="D704" s="31"/>
      <c r="E704" s="34">
        <f t="shared" si="5"/>
        <v>-361988.82</v>
      </c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3.5" customHeight="1">
      <c r="A705" s="66"/>
      <c r="B705" s="36"/>
      <c r="C705" s="31"/>
      <c r="D705" s="31"/>
      <c r="E705" s="34">
        <f t="shared" si="5"/>
        <v>-361988.82</v>
      </c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3.5" customHeight="1">
      <c r="A706" s="66"/>
      <c r="B706" s="36"/>
      <c r="C706" s="31"/>
      <c r="D706" s="31"/>
      <c r="E706" s="34">
        <f t="shared" si="5"/>
        <v>-361988.82</v>
      </c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3.5" customHeight="1">
      <c r="A707" s="66"/>
      <c r="B707" s="36"/>
      <c r="C707" s="31"/>
      <c r="D707" s="31"/>
      <c r="E707" s="34">
        <f t="shared" si="5"/>
        <v>-361988.82</v>
      </c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3.5" customHeight="1">
      <c r="A708" s="66"/>
      <c r="B708" s="36"/>
      <c r="C708" s="31"/>
      <c r="D708" s="31"/>
      <c r="E708" s="34">
        <f t="shared" si="5"/>
        <v>-361988.82</v>
      </c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3.5" customHeight="1">
      <c r="A709" s="66"/>
      <c r="B709" s="36"/>
      <c r="C709" s="31"/>
      <c r="D709" s="31"/>
      <c r="E709" s="34">
        <f t="shared" si="5"/>
        <v>-361988.82</v>
      </c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3.5" customHeight="1">
      <c r="A710" s="66"/>
      <c r="B710" s="36"/>
      <c r="C710" s="31"/>
      <c r="D710" s="31"/>
      <c r="E710" s="34">
        <f t="shared" si="5"/>
        <v>-361988.82</v>
      </c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3.5" customHeight="1">
      <c r="A711" s="66"/>
      <c r="B711" s="36"/>
      <c r="C711" s="31"/>
      <c r="D711" s="31"/>
      <c r="E711" s="34">
        <f t="shared" si="5"/>
        <v>-361988.82</v>
      </c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3.5" customHeight="1">
      <c r="A712" s="66"/>
      <c r="B712" s="36"/>
      <c r="C712" s="31"/>
      <c r="D712" s="31"/>
      <c r="E712" s="34">
        <f t="shared" si="5"/>
        <v>-361988.82</v>
      </c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3.5" customHeight="1">
      <c r="A713" s="66"/>
      <c r="B713" s="36"/>
      <c r="C713" s="31"/>
      <c r="D713" s="31"/>
      <c r="E713" s="34">
        <f t="shared" si="5"/>
        <v>-361988.82</v>
      </c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3.5" customHeight="1">
      <c r="A714" s="66"/>
      <c r="B714" s="36"/>
      <c r="C714" s="31"/>
      <c r="D714" s="31"/>
      <c r="E714" s="34">
        <f t="shared" si="5"/>
        <v>-361988.82</v>
      </c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3.5" customHeight="1">
      <c r="A715" s="66"/>
      <c r="B715" s="36"/>
      <c r="C715" s="31"/>
      <c r="D715" s="31"/>
      <c r="E715" s="34">
        <f t="shared" si="5"/>
        <v>-361988.82</v>
      </c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3.5" customHeight="1">
      <c r="A716" s="66"/>
      <c r="B716" s="36"/>
      <c r="C716" s="31"/>
      <c r="D716" s="31"/>
      <c r="E716" s="34">
        <f t="shared" si="5"/>
        <v>-361988.82</v>
      </c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3.5" customHeight="1">
      <c r="A717" s="66"/>
      <c r="B717" s="36"/>
      <c r="C717" s="31"/>
      <c r="D717" s="31"/>
      <c r="E717" s="34">
        <f t="shared" si="5"/>
        <v>-361988.82</v>
      </c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3.5" customHeight="1">
      <c r="A718" s="66"/>
      <c r="B718" s="36"/>
      <c r="C718" s="31"/>
      <c r="D718" s="31"/>
      <c r="E718" s="34">
        <f t="shared" si="5"/>
        <v>-361988.82</v>
      </c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3.5" customHeight="1">
      <c r="A719" s="66"/>
      <c r="B719" s="36"/>
      <c r="C719" s="31"/>
      <c r="D719" s="31"/>
      <c r="E719" s="34">
        <f t="shared" si="5"/>
        <v>-361988.82</v>
      </c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3.5" customHeight="1">
      <c r="A720" s="66"/>
      <c r="B720" s="36"/>
      <c r="C720" s="31"/>
      <c r="D720" s="31"/>
      <c r="E720" s="34">
        <f t="shared" si="5"/>
        <v>-361988.82</v>
      </c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3.5" customHeight="1">
      <c r="A721" s="66"/>
      <c r="B721" s="36"/>
      <c r="C721" s="31"/>
      <c r="D721" s="31"/>
      <c r="E721" s="34">
        <f t="shared" si="5"/>
        <v>-361988.82</v>
      </c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3.5" customHeight="1">
      <c r="A722" s="66"/>
      <c r="B722" s="36"/>
      <c r="C722" s="31"/>
      <c r="D722" s="31"/>
      <c r="E722" s="34">
        <f t="shared" si="5"/>
        <v>-361988.82</v>
      </c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3.5" customHeight="1">
      <c r="A723" s="66"/>
      <c r="B723" s="36"/>
      <c r="C723" s="31"/>
      <c r="D723" s="31"/>
      <c r="E723" s="34">
        <f t="shared" si="5"/>
        <v>-361988.82</v>
      </c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3.5" customHeight="1">
      <c r="A724" s="66"/>
      <c r="B724" s="36"/>
      <c r="C724" s="31"/>
      <c r="D724" s="31"/>
      <c r="E724" s="34">
        <f t="shared" si="5"/>
        <v>-361988.82</v>
      </c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3.5" customHeight="1">
      <c r="A725" s="66"/>
      <c r="B725" s="36"/>
      <c r="C725" s="31"/>
      <c r="D725" s="31"/>
      <c r="E725" s="34">
        <f t="shared" si="5"/>
        <v>-361988.82</v>
      </c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3.5" customHeight="1">
      <c r="A726" s="66"/>
      <c r="B726" s="36"/>
      <c r="C726" s="31"/>
      <c r="D726" s="31"/>
      <c r="E726" s="34">
        <f t="shared" si="5"/>
        <v>-361988.82</v>
      </c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3.5" customHeight="1">
      <c r="A727" s="66"/>
      <c r="B727" s="36"/>
      <c r="C727" s="31"/>
      <c r="D727" s="31"/>
      <c r="E727" s="34">
        <f t="shared" si="5"/>
        <v>-361988.82</v>
      </c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3.5" customHeight="1">
      <c r="A728" s="66"/>
      <c r="B728" s="36"/>
      <c r="C728" s="31"/>
      <c r="D728" s="31"/>
      <c r="E728" s="34">
        <f t="shared" si="5"/>
        <v>-361988.82</v>
      </c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3.5" customHeight="1">
      <c r="A729" s="66"/>
      <c r="B729" s="36"/>
      <c r="C729" s="31"/>
      <c r="D729" s="31"/>
      <c r="E729" s="34">
        <f t="shared" si="5"/>
        <v>-361988.82</v>
      </c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3.5" customHeight="1">
      <c r="A730" s="66"/>
      <c r="B730" s="36"/>
      <c r="C730" s="31"/>
      <c r="D730" s="31"/>
      <c r="E730" s="34">
        <f t="shared" si="5"/>
        <v>-361988.82</v>
      </c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3.5" customHeight="1">
      <c r="A731" s="66"/>
      <c r="B731" s="36"/>
      <c r="C731" s="31"/>
      <c r="D731" s="31"/>
      <c r="E731" s="34">
        <f t="shared" si="5"/>
        <v>-361988.82</v>
      </c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3.5" customHeight="1">
      <c r="A732" s="66"/>
      <c r="B732" s="36"/>
      <c r="C732" s="31"/>
      <c r="D732" s="31"/>
      <c r="E732" s="34">
        <f t="shared" si="5"/>
        <v>-361988.82</v>
      </c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3.5" customHeight="1">
      <c r="A733" s="66"/>
      <c r="B733" s="36"/>
      <c r="C733" s="31"/>
      <c r="D733" s="31"/>
      <c r="E733" s="34">
        <f t="shared" si="5"/>
        <v>-361988.82</v>
      </c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3.5" customHeight="1">
      <c r="A734" s="66"/>
      <c r="B734" s="36"/>
      <c r="C734" s="31"/>
      <c r="D734" s="31"/>
      <c r="E734" s="34">
        <f t="shared" si="5"/>
        <v>-361988.82</v>
      </c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3.5" customHeight="1">
      <c r="A735" s="66"/>
      <c r="B735" s="36"/>
      <c r="C735" s="31"/>
      <c r="D735" s="31"/>
      <c r="E735" s="34">
        <f t="shared" si="5"/>
        <v>-361988.82</v>
      </c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3.5" customHeight="1">
      <c r="A736" s="66"/>
      <c r="B736" s="36"/>
      <c r="C736" s="31"/>
      <c r="D736" s="31"/>
      <c r="E736" s="34">
        <f t="shared" si="5"/>
        <v>-361988.82</v>
      </c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3.5" customHeight="1">
      <c r="A737" s="66"/>
      <c r="B737" s="36"/>
      <c r="C737" s="31"/>
      <c r="D737" s="31"/>
      <c r="E737" s="34">
        <f t="shared" si="5"/>
        <v>-361988.82</v>
      </c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3.5" customHeight="1">
      <c r="A738" s="66"/>
      <c r="B738" s="36"/>
      <c r="C738" s="31"/>
      <c r="D738" s="31"/>
      <c r="E738" s="34">
        <f t="shared" si="5"/>
        <v>-361988.82</v>
      </c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3.5" customHeight="1">
      <c r="A739" s="66"/>
      <c r="B739" s="36"/>
      <c r="C739" s="31"/>
      <c r="D739" s="31"/>
      <c r="E739" s="34">
        <f t="shared" si="5"/>
        <v>-361988.82</v>
      </c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3.5" customHeight="1">
      <c r="A740" s="66"/>
      <c r="B740" s="36"/>
      <c r="C740" s="31"/>
      <c r="D740" s="31"/>
      <c r="E740" s="34">
        <f t="shared" si="5"/>
        <v>-361988.82</v>
      </c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3.5" customHeight="1">
      <c r="A741" s="66"/>
      <c r="B741" s="36"/>
      <c r="C741" s="31"/>
      <c r="D741" s="31"/>
      <c r="E741" s="34">
        <f t="shared" si="5"/>
        <v>-361988.82</v>
      </c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3.5" customHeight="1">
      <c r="A742" s="66"/>
      <c r="B742" s="36"/>
      <c r="C742" s="31"/>
      <c r="D742" s="31"/>
      <c r="E742" s="34">
        <f t="shared" si="5"/>
        <v>-361988.82</v>
      </c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3.5" customHeight="1">
      <c r="A743" s="66"/>
      <c r="B743" s="36"/>
      <c r="C743" s="31"/>
      <c r="D743" s="31"/>
      <c r="E743" s="34">
        <f t="shared" si="5"/>
        <v>-361988.82</v>
      </c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3.5" customHeight="1">
      <c r="A744" s="66"/>
      <c r="B744" s="36"/>
      <c r="C744" s="31"/>
      <c r="D744" s="31"/>
      <c r="E744" s="34">
        <f t="shared" si="5"/>
        <v>-361988.82</v>
      </c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3.5" customHeight="1">
      <c r="A745" s="66"/>
      <c r="B745" s="36"/>
      <c r="C745" s="31"/>
      <c r="D745" s="31"/>
      <c r="E745" s="34">
        <f t="shared" si="5"/>
        <v>-361988.82</v>
      </c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3.5" customHeight="1">
      <c r="A746" s="66"/>
      <c r="B746" s="36"/>
      <c r="C746" s="31"/>
      <c r="D746" s="31"/>
      <c r="E746" s="34">
        <f t="shared" si="5"/>
        <v>-361988.82</v>
      </c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3.5" customHeight="1">
      <c r="A747" s="66"/>
      <c r="B747" s="36"/>
      <c r="C747" s="31"/>
      <c r="D747" s="31"/>
      <c r="E747" s="34">
        <f t="shared" si="5"/>
        <v>-361988.82</v>
      </c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3.5" customHeight="1">
      <c r="A748" s="66"/>
      <c r="B748" s="36"/>
      <c r="C748" s="31"/>
      <c r="D748" s="31"/>
      <c r="E748" s="34">
        <f t="shared" si="5"/>
        <v>-361988.82</v>
      </c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3.5" customHeight="1">
      <c r="A749" s="66"/>
      <c r="B749" s="36"/>
      <c r="C749" s="31"/>
      <c r="D749" s="31"/>
      <c r="E749" s="34">
        <f t="shared" si="5"/>
        <v>-361988.82</v>
      </c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3.5" customHeight="1">
      <c r="A750" s="66"/>
      <c r="B750" s="36"/>
      <c r="C750" s="31"/>
      <c r="D750" s="31"/>
      <c r="E750" s="34">
        <f t="shared" si="5"/>
        <v>-361988.82</v>
      </c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3.5" customHeight="1">
      <c r="A751" s="66"/>
      <c r="B751" s="36"/>
      <c r="C751" s="31"/>
      <c r="D751" s="31"/>
      <c r="E751" s="34">
        <f t="shared" si="5"/>
        <v>-361988.82</v>
      </c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3.5" customHeight="1">
      <c r="A752" s="66"/>
      <c r="B752" s="36"/>
      <c r="C752" s="31"/>
      <c r="D752" s="31"/>
      <c r="E752" s="34">
        <f t="shared" si="5"/>
        <v>-361988.82</v>
      </c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3.5" customHeight="1">
      <c r="A753" s="66"/>
      <c r="B753" s="36"/>
      <c r="C753" s="31"/>
      <c r="D753" s="31"/>
      <c r="E753" s="34">
        <f t="shared" si="5"/>
        <v>-361988.82</v>
      </c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3.5" customHeight="1">
      <c r="A754" s="66"/>
      <c r="B754" s="36"/>
      <c r="C754" s="31"/>
      <c r="D754" s="31"/>
      <c r="E754" s="34">
        <f t="shared" si="5"/>
        <v>-361988.82</v>
      </c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3.5" customHeight="1">
      <c r="A755" s="66"/>
      <c r="B755" s="36"/>
      <c r="C755" s="31"/>
      <c r="D755" s="31"/>
      <c r="E755" s="34">
        <f t="shared" si="5"/>
        <v>-361988.82</v>
      </c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3.5" customHeight="1">
      <c r="A756" s="66"/>
      <c r="B756" s="36"/>
      <c r="C756" s="31"/>
      <c r="D756" s="31"/>
      <c r="E756" s="34">
        <f t="shared" si="5"/>
        <v>-361988.82</v>
      </c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3.5" customHeight="1">
      <c r="A757" s="66"/>
      <c r="B757" s="36"/>
      <c r="C757" s="31"/>
      <c r="D757" s="31"/>
      <c r="E757" s="34">
        <f t="shared" si="5"/>
        <v>-361988.82</v>
      </c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3.5" customHeight="1">
      <c r="A758" s="66"/>
      <c r="B758" s="36"/>
      <c r="C758" s="31"/>
      <c r="D758" s="31"/>
      <c r="E758" s="34">
        <f t="shared" si="5"/>
        <v>-361988.82</v>
      </c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3.5" customHeight="1">
      <c r="A759" s="66"/>
      <c r="B759" s="36"/>
      <c r="C759" s="31"/>
      <c r="D759" s="31"/>
      <c r="E759" s="34">
        <f t="shared" si="5"/>
        <v>-361988.82</v>
      </c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3.5" customHeight="1">
      <c r="A760" s="66"/>
      <c r="B760" s="36"/>
      <c r="C760" s="31"/>
      <c r="D760" s="31"/>
      <c r="E760" s="34">
        <f t="shared" si="5"/>
        <v>-361988.82</v>
      </c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3.5" customHeight="1">
      <c r="A761" s="66"/>
      <c r="B761" s="36"/>
      <c r="C761" s="31"/>
      <c r="D761" s="31"/>
      <c r="E761" s="34">
        <f t="shared" si="5"/>
        <v>-361988.82</v>
      </c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3.5" customHeight="1">
      <c r="A762" s="66"/>
      <c r="B762" s="36"/>
      <c r="C762" s="31"/>
      <c r="D762" s="31"/>
      <c r="E762" s="34">
        <f t="shared" si="5"/>
        <v>-361988.82</v>
      </c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3.5" customHeight="1">
      <c r="A763" s="66"/>
      <c r="B763" s="36"/>
      <c r="C763" s="31"/>
      <c r="D763" s="31"/>
      <c r="E763" s="34">
        <f t="shared" si="5"/>
        <v>-361988.82</v>
      </c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3.5" customHeight="1">
      <c r="A764" s="66"/>
      <c r="B764" s="36"/>
      <c r="C764" s="31"/>
      <c r="D764" s="31"/>
      <c r="E764" s="34">
        <f t="shared" si="5"/>
        <v>-361988.82</v>
      </c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3.5" customHeight="1">
      <c r="A765" s="66"/>
      <c r="B765" s="36"/>
      <c r="C765" s="31"/>
      <c r="D765" s="31"/>
      <c r="E765" s="34">
        <f t="shared" si="5"/>
        <v>-361988.82</v>
      </c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3.5" customHeight="1">
      <c r="A766" s="66"/>
      <c r="B766" s="36"/>
      <c r="C766" s="31"/>
      <c r="D766" s="31"/>
      <c r="E766" s="34">
        <f t="shared" si="5"/>
        <v>-361988.82</v>
      </c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3.5" customHeight="1">
      <c r="A767" s="66"/>
      <c r="B767" s="36"/>
      <c r="C767" s="31"/>
      <c r="D767" s="31"/>
      <c r="E767" s="34">
        <f t="shared" si="5"/>
        <v>-361988.82</v>
      </c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3.5" customHeight="1">
      <c r="A768" s="66"/>
      <c r="B768" s="36"/>
      <c r="C768" s="31"/>
      <c r="D768" s="31"/>
      <c r="E768" s="34">
        <f t="shared" si="5"/>
        <v>-361988.82</v>
      </c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3.5" customHeight="1">
      <c r="A769" s="66"/>
      <c r="B769" s="36"/>
      <c r="C769" s="31"/>
      <c r="D769" s="31"/>
      <c r="E769" s="34">
        <f t="shared" si="5"/>
        <v>-361988.82</v>
      </c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3.5" customHeight="1">
      <c r="A770" s="66"/>
      <c r="B770" s="36"/>
      <c r="C770" s="31"/>
      <c r="D770" s="31"/>
      <c r="E770" s="34">
        <f t="shared" si="5"/>
        <v>-361988.82</v>
      </c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3.5" customHeight="1">
      <c r="A771" s="66"/>
      <c r="B771" s="36"/>
      <c r="C771" s="31"/>
      <c r="D771" s="31"/>
      <c r="E771" s="34">
        <f t="shared" si="5"/>
        <v>-361988.82</v>
      </c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3.5" customHeight="1">
      <c r="A772" s="66"/>
      <c r="B772" s="36"/>
      <c r="C772" s="31"/>
      <c r="D772" s="31"/>
      <c r="E772" s="34">
        <f t="shared" si="5"/>
        <v>-361988.82</v>
      </c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3.5" customHeight="1">
      <c r="A773" s="66"/>
      <c r="B773" s="36"/>
      <c r="C773" s="31"/>
      <c r="D773" s="31"/>
      <c r="E773" s="34">
        <f t="shared" si="5"/>
        <v>-361988.82</v>
      </c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3.5" customHeight="1">
      <c r="A774" s="66"/>
      <c r="B774" s="36"/>
      <c r="C774" s="31"/>
      <c r="D774" s="31"/>
      <c r="E774" s="34">
        <f t="shared" si="5"/>
        <v>-361988.82</v>
      </c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3.5" customHeight="1">
      <c r="A775" s="66"/>
      <c r="B775" s="36"/>
      <c r="C775" s="31"/>
      <c r="D775" s="31"/>
      <c r="E775" s="34">
        <f t="shared" si="5"/>
        <v>-361988.82</v>
      </c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3.5" customHeight="1">
      <c r="A776" s="66"/>
      <c r="B776" s="36"/>
      <c r="C776" s="31"/>
      <c r="D776" s="31"/>
      <c r="E776" s="34">
        <f t="shared" si="5"/>
        <v>-361988.82</v>
      </c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3.5" customHeight="1">
      <c r="A777" s="66"/>
      <c r="B777" s="36"/>
      <c r="C777" s="31"/>
      <c r="D777" s="31"/>
      <c r="E777" s="34">
        <f t="shared" si="5"/>
        <v>-361988.82</v>
      </c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3.5" customHeight="1">
      <c r="A778" s="66"/>
      <c r="B778" s="36"/>
      <c r="C778" s="31"/>
      <c r="D778" s="31"/>
      <c r="E778" s="34">
        <f t="shared" si="5"/>
        <v>-361988.82</v>
      </c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3.5" customHeight="1">
      <c r="A779" s="66"/>
      <c r="B779" s="36"/>
      <c r="C779" s="31"/>
      <c r="D779" s="31"/>
      <c r="E779" s="34">
        <f t="shared" si="5"/>
        <v>-361988.82</v>
      </c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3.5" customHeight="1">
      <c r="A780" s="66"/>
      <c r="B780" s="36"/>
      <c r="C780" s="31"/>
      <c r="D780" s="31"/>
      <c r="E780" s="34">
        <f t="shared" si="5"/>
        <v>-361988.82</v>
      </c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3.5" customHeight="1">
      <c r="A781" s="66"/>
      <c r="B781" s="36"/>
      <c r="C781" s="31"/>
      <c r="D781" s="31"/>
      <c r="E781" s="34">
        <f t="shared" si="5"/>
        <v>-361988.82</v>
      </c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3.5" customHeight="1">
      <c r="A782" s="66"/>
      <c r="B782" s="36"/>
      <c r="C782" s="31"/>
      <c r="D782" s="31"/>
      <c r="E782" s="34">
        <f t="shared" si="5"/>
        <v>-361988.82</v>
      </c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3.5" customHeight="1">
      <c r="A783" s="66"/>
      <c r="B783" s="36"/>
      <c r="C783" s="31"/>
      <c r="D783" s="31"/>
      <c r="E783" s="34">
        <f t="shared" si="5"/>
        <v>-361988.82</v>
      </c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3.5" customHeight="1">
      <c r="A784" s="66"/>
      <c r="B784" s="36"/>
      <c r="C784" s="31"/>
      <c r="D784" s="31"/>
      <c r="E784" s="34">
        <f t="shared" si="5"/>
        <v>-361988.82</v>
      </c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3.5" customHeight="1">
      <c r="A785" s="66"/>
      <c r="B785" s="36"/>
      <c r="C785" s="31"/>
      <c r="D785" s="31"/>
      <c r="E785" s="34">
        <f t="shared" si="5"/>
        <v>-361988.82</v>
      </c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3.5" customHeight="1">
      <c r="A786" s="66"/>
      <c r="B786" s="36"/>
      <c r="C786" s="31"/>
      <c r="D786" s="31"/>
      <c r="E786" s="34">
        <f t="shared" si="5"/>
        <v>-361988.82</v>
      </c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3.5" customHeight="1">
      <c r="A787" s="66"/>
      <c r="B787" s="36"/>
      <c r="C787" s="31"/>
      <c r="D787" s="31"/>
      <c r="E787" s="34">
        <f t="shared" si="5"/>
        <v>-361988.82</v>
      </c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3.5" customHeight="1">
      <c r="A788" s="66"/>
      <c r="B788" s="36"/>
      <c r="C788" s="31"/>
      <c r="D788" s="31"/>
      <c r="E788" s="34">
        <f t="shared" si="5"/>
        <v>-361988.82</v>
      </c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3.5" customHeight="1">
      <c r="A789" s="66"/>
      <c r="B789" s="36"/>
      <c r="C789" s="31"/>
      <c r="D789" s="31"/>
      <c r="E789" s="34">
        <f t="shared" si="5"/>
        <v>-361988.82</v>
      </c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3.5" customHeight="1">
      <c r="A790" s="66"/>
      <c r="B790" s="36"/>
      <c r="C790" s="31"/>
      <c r="D790" s="31"/>
      <c r="E790" s="34">
        <f t="shared" si="5"/>
        <v>-361988.82</v>
      </c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3.5" customHeight="1">
      <c r="A791" s="66"/>
      <c r="B791" s="36"/>
      <c r="C791" s="31"/>
      <c r="D791" s="31"/>
      <c r="E791" s="34">
        <f t="shared" si="5"/>
        <v>-361988.82</v>
      </c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3.5" customHeight="1">
      <c r="A792" s="66"/>
      <c r="B792" s="36"/>
      <c r="C792" s="31"/>
      <c r="D792" s="31"/>
      <c r="E792" s="34">
        <f t="shared" si="5"/>
        <v>-361988.82</v>
      </c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3.5" customHeight="1">
      <c r="A793" s="66"/>
      <c r="B793" s="36"/>
      <c r="C793" s="31"/>
      <c r="D793" s="31"/>
      <c r="E793" s="34">
        <f t="shared" si="5"/>
        <v>-361988.82</v>
      </c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3.5" customHeight="1">
      <c r="A794" s="66"/>
      <c r="B794" s="36"/>
      <c r="C794" s="31"/>
      <c r="D794" s="31"/>
      <c r="E794" s="34">
        <f t="shared" si="5"/>
        <v>-361988.82</v>
      </c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3.5" customHeight="1">
      <c r="A795" s="66"/>
      <c r="B795" s="36"/>
      <c r="C795" s="31"/>
      <c r="D795" s="31"/>
      <c r="E795" s="34">
        <f t="shared" si="5"/>
        <v>-361988.82</v>
      </c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3.5" customHeight="1">
      <c r="A796" s="66"/>
      <c r="B796" s="36"/>
      <c r="C796" s="31"/>
      <c r="D796" s="31"/>
      <c r="E796" s="34">
        <f t="shared" si="5"/>
        <v>-361988.82</v>
      </c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3.5" customHeight="1">
      <c r="A797" s="66"/>
      <c r="B797" s="36"/>
      <c r="C797" s="31"/>
      <c r="D797" s="31"/>
      <c r="E797" s="34">
        <f t="shared" si="5"/>
        <v>-361988.82</v>
      </c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3.5" customHeight="1">
      <c r="A798" s="66"/>
      <c r="B798" s="36"/>
      <c r="C798" s="31"/>
      <c r="D798" s="31"/>
      <c r="E798" s="34">
        <f t="shared" si="5"/>
        <v>-361988.82</v>
      </c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3.5" customHeight="1">
      <c r="A799" s="66"/>
      <c r="B799" s="36"/>
      <c r="C799" s="31"/>
      <c r="D799" s="31"/>
      <c r="E799" s="34">
        <f t="shared" si="5"/>
        <v>-361988.82</v>
      </c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3.5" customHeight="1">
      <c r="A800" s="66"/>
      <c r="B800" s="36"/>
      <c r="C800" s="31"/>
      <c r="D800" s="31"/>
      <c r="E800" s="34">
        <f t="shared" si="5"/>
        <v>-361988.82</v>
      </c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3.5" customHeight="1">
      <c r="A801" s="66"/>
      <c r="B801" s="36"/>
      <c r="C801" s="31"/>
      <c r="D801" s="31"/>
      <c r="E801" s="34">
        <f t="shared" si="5"/>
        <v>-361988.82</v>
      </c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3.5" customHeight="1">
      <c r="A802" s="66"/>
      <c r="B802" s="36"/>
      <c r="C802" s="31"/>
      <c r="D802" s="31"/>
      <c r="E802" s="34">
        <f t="shared" si="5"/>
        <v>-361988.82</v>
      </c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3.5" customHeight="1">
      <c r="A803" s="66"/>
      <c r="B803" s="36"/>
      <c r="C803" s="31"/>
      <c r="D803" s="31"/>
      <c r="E803" s="34">
        <f t="shared" si="5"/>
        <v>-361988.82</v>
      </c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3.5" customHeight="1">
      <c r="A804" s="66"/>
      <c r="B804" s="36"/>
      <c r="C804" s="31"/>
      <c r="D804" s="31"/>
      <c r="E804" s="34">
        <f t="shared" si="5"/>
        <v>-361988.82</v>
      </c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3.5" customHeight="1">
      <c r="A805" s="66"/>
      <c r="B805" s="36"/>
      <c r="C805" s="31"/>
      <c r="D805" s="31"/>
      <c r="E805" s="34">
        <f t="shared" si="5"/>
        <v>-361988.82</v>
      </c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3.5" customHeight="1">
      <c r="A806" s="66"/>
      <c r="B806" s="36"/>
      <c r="C806" s="31"/>
      <c r="D806" s="31"/>
      <c r="E806" s="34">
        <f t="shared" si="5"/>
        <v>-361988.82</v>
      </c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3.5" customHeight="1">
      <c r="A807" s="66"/>
      <c r="B807" s="36"/>
      <c r="C807" s="31"/>
      <c r="D807" s="31"/>
      <c r="E807" s="34">
        <f t="shared" si="5"/>
        <v>-361988.82</v>
      </c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3.5" customHeight="1">
      <c r="A808" s="66"/>
      <c r="B808" s="36"/>
      <c r="C808" s="31"/>
      <c r="D808" s="31"/>
      <c r="E808" s="34">
        <f t="shared" si="5"/>
        <v>-361988.82</v>
      </c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3.5" customHeight="1">
      <c r="A809" s="66"/>
      <c r="B809" s="36"/>
      <c r="C809" s="31"/>
      <c r="D809" s="31"/>
      <c r="E809" s="34">
        <f t="shared" si="5"/>
        <v>-361988.82</v>
      </c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3.5" customHeight="1">
      <c r="A810" s="66"/>
      <c r="B810" s="36"/>
      <c r="C810" s="31"/>
      <c r="D810" s="31"/>
      <c r="E810" s="34">
        <f t="shared" si="5"/>
        <v>-361988.82</v>
      </c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3.5" customHeight="1">
      <c r="A811" s="66"/>
      <c r="B811" s="36"/>
      <c r="C811" s="31"/>
      <c r="D811" s="31"/>
      <c r="E811" s="34">
        <f t="shared" si="5"/>
        <v>-361988.82</v>
      </c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3.5" customHeight="1">
      <c r="A812" s="66"/>
      <c r="B812" s="36"/>
      <c r="C812" s="31"/>
      <c r="D812" s="31"/>
      <c r="E812" s="34">
        <f t="shared" si="5"/>
        <v>-361988.82</v>
      </c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3.5" customHeight="1">
      <c r="A813" s="66"/>
      <c r="B813" s="36"/>
      <c r="C813" s="31"/>
      <c r="D813" s="31"/>
      <c r="E813" s="34">
        <f t="shared" si="5"/>
        <v>-361988.82</v>
      </c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3.5" customHeight="1">
      <c r="A814" s="66"/>
      <c r="B814" s="36"/>
      <c r="C814" s="31"/>
      <c r="D814" s="31"/>
      <c r="E814" s="34">
        <f t="shared" si="5"/>
        <v>-361988.82</v>
      </c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3.5" customHeight="1">
      <c r="A815" s="66"/>
      <c r="B815" s="36"/>
      <c r="C815" s="31"/>
      <c r="D815" s="31"/>
      <c r="E815" s="34">
        <f t="shared" si="5"/>
        <v>-361988.82</v>
      </c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3.5" customHeight="1">
      <c r="A816" s="66"/>
      <c r="B816" s="36"/>
      <c r="C816" s="31"/>
      <c r="D816" s="31"/>
      <c r="E816" s="34">
        <f t="shared" si="5"/>
        <v>-361988.82</v>
      </c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3.5" customHeight="1">
      <c r="A817" s="66"/>
      <c r="B817" s="36"/>
      <c r="C817" s="31"/>
      <c r="D817" s="31"/>
      <c r="E817" s="34">
        <f t="shared" si="5"/>
        <v>-361988.82</v>
      </c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3.5" customHeight="1">
      <c r="A818" s="66"/>
      <c r="B818" s="36"/>
      <c r="C818" s="31"/>
      <c r="D818" s="31"/>
      <c r="E818" s="34">
        <f t="shared" si="5"/>
        <v>-361988.82</v>
      </c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3.5" customHeight="1">
      <c r="A819" s="66"/>
      <c r="B819" s="36"/>
      <c r="C819" s="31"/>
      <c r="D819" s="31"/>
      <c r="E819" s="34">
        <f t="shared" si="5"/>
        <v>-361988.82</v>
      </c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3.5" customHeight="1">
      <c r="A820" s="66"/>
      <c r="B820" s="36"/>
      <c r="C820" s="31"/>
      <c r="D820" s="31"/>
      <c r="E820" s="34">
        <f t="shared" si="5"/>
        <v>-361988.82</v>
      </c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3.5" customHeight="1">
      <c r="A821" s="66"/>
      <c r="B821" s="36"/>
      <c r="C821" s="31"/>
      <c r="D821" s="31"/>
      <c r="E821" s="34">
        <f t="shared" si="5"/>
        <v>-361988.82</v>
      </c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3.5" customHeight="1">
      <c r="A822" s="66"/>
      <c r="B822" s="36"/>
      <c r="C822" s="31"/>
      <c r="D822" s="31"/>
      <c r="E822" s="34">
        <f t="shared" si="5"/>
        <v>-361988.82</v>
      </c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3.5" customHeight="1">
      <c r="A823" s="66"/>
      <c r="B823" s="36"/>
      <c r="C823" s="31"/>
      <c r="D823" s="31"/>
      <c r="E823" s="34">
        <f t="shared" si="5"/>
        <v>-361988.82</v>
      </c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3.5" customHeight="1">
      <c r="A824" s="66"/>
      <c r="B824" s="36"/>
      <c r="C824" s="31"/>
      <c r="D824" s="31"/>
      <c r="E824" s="34">
        <f t="shared" si="5"/>
        <v>-361988.82</v>
      </c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3.5" customHeight="1">
      <c r="A825" s="66"/>
      <c r="B825" s="36"/>
      <c r="C825" s="31"/>
      <c r="D825" s="31"/>
      <c r="E825" s="34">
        <f t="shared" si="5"/>
        <v>-361988.82</v>
      </c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3.5" customHeight="1">
      <c r="A826" s="66"/>
      <c r="B826" s="36"/>
      <c r="C826" s="31"/>
      <c r="D826" s="31"/>
      <c r="E826" s="34">
        <f t="shared" si="5"/>
        <v>-361988.82</v>
      </c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3.5" customHeight="1">
      <c r="A827" s="66"/>
      <c r="B827" s="36"/>
      <c r="C827" s="31"/>
      <c r="D827" s="31"/>
      <c r="E827" s="34">
        <f t="shared" si="5"/>
        <v>-361988.82</v>
      </c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3.5" customHeight="1">
      <c r="A828" s="66"/>
      <c r="B828" s="36"/>
      <c r="C828" s="31"/>
      <c r="D828" s="31"/>
      <c r="E828" s="34">
        <f t="shared" si="5"/>
        <v>-361988.82</v>
      </c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3.5" customHeight="1">
      <c r="A829" s="66"/>
      <c r="B829" s="36"/>
      <c r="C829" s="31"/>
      <c r="D829" s="31"/>
      <c r="E829" s="34">
        <f t="shared" si="5"/>
        <v>-361988.82</v>
      </c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3.5" customHeight="1">
      <c r="A830" s="66"/>
      <c r="B830" s="36"/>
      <c r="C830" s="31"/>
      <c r="D830" s="31"/>
      <c r="E830" s="34">
        <f t="shared" si="5"/>
        <v>-361988.82</v>
      </c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3.5" customHeight="1">
      <c r="A831" s="66"/>
      <c r="B831" s="36"/>
      <c r="C831" s="31"/>
      <c r="D831" s="31"/>
      <c r="E831" s="34">
        <f t="shared" si="5"/>
        <v>-361988.82</v>
      </c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3.5" customHeight="1">
      <c r="A832" s="66"/>
      <c r="B832" s="36"/>
      <c r="C832" s="31"/>
      <c r="D832" s="31"/>
      <c r="E832" s="34">
        <f t="shared" si="5"/>
        <v>-361988.82</v>
      </c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3.5" customHeight="1">
      <c r="A833" s="66"/>
      <c r="B833" s="36"/>
      <c r="C833" s="31"/>
      <c r="D833" s="31"/>
      <c r="E833" s="34">
        <f t="shared" si="5"/>
        <v>-361988.82</v>
      </c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3.5" customHeight="1">
      <c r="A834" s="66"/>
      <c r="B834" s="36"/>
      <c r="C834" s="31"/>
      <c r="D834" s="31"/>
      <c r="E834" s="34">
        <f t="shared" si="5"/>
        <v>-361988.82</v>
      </c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3.5" customHeight="1">
      <c r="A835" s="66"/>
      <c r="B835" s="36"/>
      <c r="C835" s="31"/>
      <c r="D835" s="31"/>
      <c r="E835" s="34">
        <f t="shared" si="5"/>
        <v>-361988.82</v>
      </c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3.5" customHeight="1">
      <c r="A836" s="66"/>
      <c r="B836" s="36"/>
      <c r="C836" s="31"/>
      <c r="D836" s="31"/>
      <c r="E836" s="34">
        <f t="shared" si="5"/>
        <v>-361988.82</v>
      </c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3.5" customHeight="1">
      <c r="A837" s="66"/>
      <c r="B837" s="36"/>
      <c r="C837" s="31"/>
      <c r="D837" s="31"/>
      <c r="E837" s="34">
        <f t="shared" si="5"/>
        <v>-361988.82</v>
      </c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3.5" customHeight="1">
      <c r="A838" s="66"/>
      <c r="B838" s="36"/>
      <c r="C838" s="31"/>
      <c r="D838" s="31"/>
      <c r="E838" s="34">
        <f t="shared" si="5"/>
        <v>-361988.82</v>
      </c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3.5" customHeight="1">
      <c r="A839" s="66"/>
      <c r="B839" s="36"/>
      <c r="C839" s="31"/>
      <c r="D839" s="31"/>
      <c r="E839" s="34">
        <f t="shared" si="5"/>
        <v>-361988.82</v>
      </c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3.5" customHeight="1">
      <c r="A840" s="66"/>
      <c r="B840" s="36"/>
      <c r="C840" s="31"/>
      <c r="D840" s="31"/>
      <c r="E840" s="34">
        <f t="shared" si="5"/>
        <v>-361988.82</v>
      </c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3.5" customHeight="1">
      <c r="A841" s="66"/>
      <c r="B841" s="36"/>
      <c r="C841" s="31"/>
      <c r="D841" s="31"/>
      <c r="E841" s="34">
        <f t="shared" si="5"/>
        <v>-361988.82</v>
      </c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3.5" customHeight="1">
      <c r="A842" s="66"/>
      <c r="B842" s="36"/>
      <c r="C842" s="31"/>
      <c r="D842" s="31"/>
      <c r="E842" s="34">
        <f t="shared" si="5"/>
        <v>-361988.82</v>
      </c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3.5" customHeight="1">
      <c r="A843" s="66"/>
      <c r="B843" s="36"/>
      <c r="C843" s="31"/>
      <c r="D843" s="31"/>
      <c r="E843" s="34">
        <f t="shared" si="5"/>
        <v>-361988.82</v>
      </c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3.5" customHeight="1">
      <c r="A844" s="66"/>
      <c r="B844" s="36"/>
      <c r="C844" s="31"/>
      <c r="D844" s="31"/>
      <c r="E844" s="34">
        <f t="shared" si="5"/>
        <v>-361988.82</v>
      </c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3.5" customHeight="1">
      <c r="A845" s="66"/>
      <c r="B845" s="36"/>
      <c r="C845" s="31"/>
      <c r="D845" s="31"/>
      <c r="E845" s="34">
        <f t="shared" si="5"/>
        <v>-361988.82</v>
      </c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3.5" customHeight="1">
      <c r="A846" s="66"/>
      <c r="B846" s="36"/>
      <c r="C846" s="31"/>
      <c r="D846" s="31"/>
      <c r="E846" s="34">
        <f t="shared" si="5"/>
        <v>-361988.82</v>
      </c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3.5" customHeight="1">
      <c r="A847" s="66"/>
      <c r="B847" s="36"/>
      <c r="C847" s="31"/>
      <c r="D847" s="31"/>
      <c r="E847" s="34">
        <f t="shared" si="5"/>
        <v>-361988.82</v>
      </c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3.5" customHeight="1">
      <c r="A848" s="66"/>
      <c r="B848" s="36"/>
      <c r="C848" s="31"/>
      <c r="D848" s="31"/>
      <c r="E848" s="34">
        <f t="shared" si="5"/>
        <v>-361988.82</v>
      </c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3.5" customHeight="1">
      <c r="A849" s="66"/>
      <c r="B849" s="36"/>
      <c r="C849" s="31"/>
      <c r="D849" s="31"/>
      <c r="E849" s="34">
        <f t="shared" si="5"/>
        <v>-361988.82</v>
      </c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3.5" customHeight="1">
      <c r="A850" s="66"/>
      <c r="B850" s="36"/>
      <c r="C850" s="31"/>
      <c r="D850" s="31"/>
      <c r="E850" s="34">
        <f t="shared" si="5"/>
        <v>-361988.82</v>
      </c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3.5" customHeight="1">
      <c r="A851" s="66"/>
      <c r="B851" s="36"/>
      <c r="C851" s="31"/>
      <c r="D851" s="31"/>
      <c r="E851" s="34">
        <f t="shared" si="5"/>
        <v>-361988.82</v>
      </c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3.5" customHeight="1">
      <c r="A852" s="66"/>
      <c r="B852" s="36"/>
      <c r="C852" s="31"/>
      <c r="D852" s="31"/>
      <c r="E852" s="34">
        <f t="shared" si="5"/>
        <v>-361988.82</v>
      </c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3.5" customHeight="1">
      <c r="A853" s="66"/>
      <c r="B853" s="36"/>
      <c r="C853" s="31"/>
      <c r="D853" s="31"/>
      <c r="E853" s="34">
        <f t="shared" si="5"/>
        <v>-361988.82</v>
      </c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3.5" customHeight="1">
      <c r="A854" s="66"/>
      <c r="B854" s="36"/>
      <c r="C854" s="31"/>
      <c r="D854" s="31"/>
      <c r="E854" s="34">
        <f t="shared" si="5"/>
        <v>-361988.82</v>
      </c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3.5" customHeight="1">
      <c r="A855" s="66"/>
      <c r="B855" s="36"/>
      <c r="C855" s="31"/>
      <c r="D855" s="31"/>
      <c r="E855" s="34">
        <f t="shared" si="5"/>
        <v>-361988.82</v>
      </c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3.5" customHeight="1">
      <c r="A856" s="66"/>
      <c r="B856" s="36"/>
      <c r="C856" s="31"/>
      <c r="D856" s="31"/>
      <c r="E856" s="34">
        <f t="shared" si="5"/>
        <v>-361988.82</v>
      </c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3.5" customHeight="1">
      <c r="A857" s="66"/>
      <c r="B857" s="36"/>
      <c r="C857" s="31"/>
      <c r="D857" s="31"/>
      <c r="E857" s="34">
        <f t="shared" si="5"/>
        <v>-361988.82</v>
      </c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3.5" customHeight="1">
      <c r="A858" s="66"/>
      <c r="B858" s="36"/>
      <c r="C858" s="31"/>
      <c r="D858" s="31"/>
      <c r="E858" s="34">
        <f t="shared" si="5"/>
        <v>-361988.82</v>
      </c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3.5" customHeight="1">
      <c r="A859" s="66"/>
      <c r="B859" s="36"/>
      <c r="C859" s="31"/>
      <c r="D859" s="31"/>
      <c r="E859" s="34">
        <f t="shared" si="5"/>
        <v>-361988.82</v>
      </c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3.5" customHeight="1">
      <c r="A860" s="66"/>
      <c r="B860" s="36"/>
      <c r="C860" s="31"/>
      <c r="D860" s="31"/>
      <c r="E860" s="34">
        <f t="shared" si="5"/>
        <v>-361988.82</v>
      </c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3.5" customHeight="1">
      <c r="A861" s="66"/>
      <c r="B861" s="36"/>
      <c r="C861" s="31"/>
      <c r="D861" s="31"/>
      <c r="E861" s="34">
        <f t="shared" si="5"/>
        <v>-361988.82</v>
      </c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3.5" customHeight="1">
      <c r="A862" s="66"/>
      <c r="B862" s="36"/>
      <c r="C862" s="31"/>
      <c r="D862" s="31"/>
      <c r="E862" s="34">
        <f t="shared" si="5"/>
        <v>-361988.82</v>
      </c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3.5" customHeight="1">
      <c r="A863" s="66"/>
      <c r="B863" s="36"/>
      <c r="C863" s="31"/>
      <c r="D863" s="31"/>
      <c r="E863" s="34">
        <f t="shared" si="5"/>
        <v>-361988.82</v>
      </c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3.5" customHeight="1">
      <c r="A864" s="66"/>
      <c r="B864" s="36"/>
      <c r="C864" s="31"/>
      <c r="D864" s="31"/>
      <c r="E864" s="34">
        <f t="shared" si="5"/>
        <v>-361988.82</v>
      </c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3.5" customHeight="1">
      <c r="A865" s="66"/>
      <c r="B865" s="36"/>
      <c r="C865" s="31"/>
      <c r="D865" s="31"/>
      <c r="E865" s="34">
        <f t="shared" si="5"/>
        <v>-361988.82</v>
      </c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3.5" customHeight="1">
      <c r="A866" s="66"/>
      <c r="B866" s="36"/>
      <c r="C866" s="31"/>
      <c r="D866" s="31"/>
      <c r="E866" s="34">
        <f t="shared" si="5"/>
        <v>-361988.82</v>
      </c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3.5" customHeight="1">
      <c r="A867" s="66"/>
      <c r="B867" s="36"/>
      <c r="C867" s="31"/>
      <c r="D867" s="31"/>
      <c r="E867" s="34">
        <f t="shared" si="5"/>
        <v>-361988.82</v>
      </c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3.5" customHeight="1">
      <c r="A868" s="66"/>
      <c r="B868" s="36"/>
      <c r="C868" s="31"/>
      <c r="D868" s="31"/>
      <c r="E868" s="34">
        <f t="shared" si="5"/>
        <v>-361988.82</v>
      </c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3.5" customHeight="1">
      <c r="A869" s="66"/>
      <c r="B869" s="36"/>
      <c r="C869" s="31"/>
      <c r="D869" s="31"/>
      <c r="E869" s="34">
        <f t="shared" si="5"/>
        <v>-361988.82</v>
      </c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3.5" customHeight="1">
      <c r="A870" s="66"/>
      <c r="B870" s="36"/>
      <c r="C870" s="31"/>
      <c r="D870" s="31"/>
      <c r="E870" s="34">
        <f t="shared" si="5"/>
        <v>-361988.82</v>
      </c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3.5" customHeight="1">
      <c r="A871" s="66"/>
      <c r="B871" s="36"/>
      <c r="C871" s="31"/>
      <c r="D871" s="31"/>
      <c r="E871" s="34">
        <f t="shared" si="5"/>
        <v>-361988.82</v>
      </c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3.5" customHeight="1">
      <c r="A872" s="66"/>
      <c r="B872" s="36"/>
      <c r="C872" s="31"/>
      <c r="D872" s="31"/>
      <c r="E872" s="34">
        <f t="shared" si="5"/>
        <v>-361988.82</v>
      </c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3.5" customHeight="1">
      <c r="A873" s="66"/>
      <c r="B873" s="36"/>
      <c r="C873" s="31"/>
      <c r="D873" s="31"/>
      <c r="E873" s="34">
        <f t="shared" si="5"/>
        <v>-361988.82</v>
      </c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3.5" customHeight="1">
      <c r="A874" s="66"/>
      <c r="B874" s="36"/>
      <c r="C874" s="31"/>
      <c r="D874" s="31"/>
      <c r="E874" s="34">
        <f t="shared" si="5"/>
        <v>-361988.82</v>
      </c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3.5" customHeight="1">
      <c r="A875" s="66"/>
      <c r="B875" s="36"/>
      <c r="C875" s="31"/>
      <c r="D875" s="31"/>
      <c r="E875" s="34">
        <f t="shared" si="5"/>
        <v>-361988.82</v>
      </c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3.5" customHeight="1">
      <c r="A876" s="66"/>
      <c r="B876" s="36"/>
      <c r="C876" s="31"/>
      <c r="D876" s="31"/>
      <c r="E876" s="34">
        <f t="shared" si="5"/>
        <v>-361988.82</v>
      </c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3.5" customHeight="1">
      <c r="A877" s="66"/>
      <c r="B877" s="36"/>
      <c r="C877" s="31"/>
      <c r="D877" s="31"/>
      <c r="E877" s="34">
        <f t="shared" si="5"/>
        <v>-361988.82</v>
      </c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3.5" customHeight="1">
      <c r="A878" s="66"/>
      <c r="B878" s="36"/>
      <c r="C878" s="31"/>
      <c r="D878" s="31"/>
      <c r="E878" s="34">
        <f t="shared" si="5"/>
        <v>-361988.82</v>
      </c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3.5" customHeight="1">
      <c r="A879" s="66"/>
      <c r="B879" s="36"/>
      <c r="C879" s="31"/>
      <c r="D879" s="31"/>
      <c r="E879" s="34">
        <f t="shared" si="5"/>
        <v>-361988.82</v>
      </c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3.5" customHeight="1">
      <c r="A880" s="66"/>
      <c r="B880" s="36"/>
      <c r="C880" s="31"/>
      <c r="D880" s="31"/>
      <c r="E880" s="34">
        <f t="shared" si="5"/>
        <v>-361988.82</v>
      </c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3.5" customHeight="1">
      <c r="A881" s="66"/>
      <c r="B881" s="36"/>
      <c r="C881" s="31"/>
      <c r="D881" s="31"/>
      <c r="E881" s="34">
        <f t="shared" si="5"/>
        <v>-361988.82</v>
      </c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3.5" customHeight="1">
      <c r="A882" s="66"/>
      <c r="B882" s="36"/>
      <c r="C882" s="31"/>
      <c r="D882" s="31"/>
      <c r="E882" s="34">
        <f t="shared" si="5"/>
        <v>-361988.82</v>
      </c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3.5" customHeight="1">
      <c r="A883" s="66"/>
      <c r="B883" s="36"/>
      <c r="C883" s="31"/>
      <c r="D883" s="31"/>
      <c r="E883" s="34">
        <f t="shared" si="5"/>
        <v>-361988.82</v>
      </c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3.5" customHeight="1">
      <c r="A884" s="66"/>
      <c r="B884" s="36"/>
      <c r="C884" s="31"/>
      <c r="D884" s="31"/>
      <c r="E884" s="34">
        <f t="shared" si="5"/>
        <v>-361988.82</v>
      </c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3.5" customHeight="1">
      <c r="A885" s="66"/>
      <c r="B885" s="36"/>
      <c r="C885" s="31"/>
      <c r="D885" s="31"/>
      <c r="E885" s="34">
        <f t="shared" si="5"/>
        <v>-361988.82</v>
      </c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3.5" customHeight="1">
      <c r="A886" s="66"/>
      <c r="B886" s="36"/>
      <c r="C886" s="31"/>
      <c r="D886" s="31"/>
      <c r="E886" s="34">
        <f t="shared" si="5"/>
        <v>-361988.82</v>
      </c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3.5" customHeight="1">
      <c r="A887" s="66"/>
      <c r="B887" s="36"/>
      <c r="C887" s="31"/>
      <c r="D887" s="31"/>
      <c r="E887" s="34">
        <f t="shared" si="5"/>
        <v>-361988.82</v>
      </c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3.5" customHeight="1">
      <c r="A888" s="66"/>
      <c r="B888" s="36"/>
      <c r="C888" s="31"/>
      <c r="D888" s="31"/>
      <c r="E888" s="34">
        <f t="shared" si="5"/>
        <v>-361988.82</v>
      </c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3.5" customHeight="1">
      <c r="A889" s="66"/>
      <c r="B889" s="36"/>
      <c r="C889" s="31"/>
      <c r="D889" s="31"/>
      <c r="E889" s="34">
        <f t="shared" si="5"/>
        <v>-361988.82</v>
      </c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3.5" customHeight="1">
      <c r="A890" s="66"/>
      <c r="B890" s="36"/>
      <c r="C890" s="31"/>
      <c r="D890" s="31"/>
      <c r="E890" s="34">
        <f t="shared" si="5"/>
        <v>-361988.82</v>
      </c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3.5" customHeight="1">
      <c r="A891" s="66"/>
      <c r="B891" s="36"/>
      <c r="C891" s="31"/>
      <c r="D891" s="31"/>
      <c r="E891" s="34">
        <f t="shared" si="5"/>
        <v>-361988.82</v>
      </c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3.5" customHeight="1">
      <c r="A892" s="66"/>
      <c r="B892" s="36"/>
      <c r="C892" s="31"/>
      <c r="D892" s="31"/>
      <c r="E892" s="34">
        <f t="shared" si="5"/>
        <v>-361988.82</v>
      </c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3.5" customHeight="1">
      <c r="A893" s="66"/>
      <c r="B893" s="36"/>
      <c r="C893" s="31"/>
      <c r="D893" s="31"/>
      <c r="E893" s="34">
        <f t="shared" si="5"/>
        <v>-361988.82</v>
      </c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3.5" customHeight="1">
      <c r="A894" s="66"/>
      <c r="B894" s="36"/>
      <c r="C894" s="31"/>
      <c r="D894" s="31"/>
      <c r="E894" s="34">
        <f t="shared" si="5"/>
        <v>-361988.82</v>
      </c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3.5" customHeight="1">
      <c r="A895" s="66"/>
      <c r="B895" s="36"/>
      <c r="C895" s="31"/>
      <c r="D895" s="31"/>
      <c r="E895" s="34">
        <f t="shared" si="5"/>
        <v>-361988.82</v>
      </c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3.5" customHeight="1">
      <c r="A896" s="66"/>
      <c r="B896" s="36"/>
      <c r="C896" s="31"/>
      <c r="D896" s="31"/>
      <c r="E896" s="34">
        <f t="shared" si="5"/>
        <v>-361988.82</v>
      </c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3.5" customHeight="1">
      <c r="A897" s="66"/>
      <c r="B897" s="36"/>
      <c r="C897" s="31"/>
      <c r="D897" s="31"/>
      <c r="E897" s="34">
        <f t="shared" si="5"/>
        <v>-361988.82</v>
      </c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3.5" customHeight="1">
      <c r="A898" s="66"/>
      <c r="B898" s="36"/>
      <c r="C898" s="31"/>
      <c r="D898" s="31"/>
      <c r="E898" s="34">
        <f t="shared" si="5"/>
        <v>-361988.82</v>
      </c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3.5" customHeight="1">
      <c r="A899" s="66"/>
      <c r="B899" s="36"/>
      <c r="C899" s="31"/>
      <c r="D899" s="31"/>
      <c r="E899" s="34">
        <f t="shared" si="5"/>
        <v>-361988.82</v>
      </c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3.5" customHeight="1">
      <c r="A900" s="66"/>
      <c r="B900" s="36"/>
      <c r="C900" s="31"/>
      <c r="D900" s="31"/>
      <c r="E900" s="34">
        <f t="shared" si="5"/>
        <v>-361988.82</v>
      </c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3.5" customHeight="1">
      <c r="A901" s="66"/>
      <c r="B901" s="36"/>
      <c r="C901" s="31"/>
      <c r="D901" s="31"/>
      <c r="E901" s="34">
        <f t="shared" si="5"/>
        <v>-361988.82</v>
      </c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3.5" customHeight="1">
      <c r="A902" s="66"/>
      <c r="B902" s="36"/>
      <c r="C902" s="31"/>
      <c r="D902" s="31"/>
      <c r="E902" s="34">
        <f t="shared" si="5"/>
        <v>-361988.82</v>
      </c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3.5" customHeight="1">
      <c r="A903" s="66"/>
      <c r="B903" s="36"/>
      <c r="C903" s="31"/>
      <c r="D903" s="31"/>
      <c r="E903" s="34">
        <f t="shared" si="5"/>
        <v>-361988.82</v>
      </c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3.5" customHeight="1">
      <c r="A904" s="66"/>
      <c r="B904" s="36"/>
      <c r="C904" s="31"/>
      <c r="D904" s="31"/>
      <c r="E904" s="34">
        <f t="shared" si="5"/>
        <v>-361988.82</v>
      </c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3.5" customHeight="1">
      <c r="A905" s="66"/>
      <c r="B905" s="36"/>
      <c r="C905" s="31"/>
      <c r="D905" s="31"/>
      <c r="E905" s="34">
        <f t="shared" si="5"/>
        <v>-361988.82</v>
      </c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3.5" customHeight="1">
      <c r="A906" s="66"/>
      <c r="B906" s="36"/>
      <c r="C906" s="31"/>
      <c r="D906" s="31"/>
      <c r="E906" s="34">
        <f t="shared" si="5"/>
        <v>-361988.82</v>
      </c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3.5" customHeight="1">
      <c r="A907" s="66"/>
      <c r="B907" s="36"/>
      <c r="C907" s="31"/>
      <c r="D907" s="31"/>
      <c r="E907" s="34">
        <f t="shared" si="5"/>
        <v>-361988.82</v>
      </c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3.5" customHeight="1">
      <c r="A908" s="66"/>
      <c r="B908" s="36"/>
      <c r="C908" s="31"/>
      <c r="D908" s="31"/>
      <c r="E908" s="34">
        <f t="shared" si="5"/>
        <v>-361988.82</v>
      </c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3.5" customHeight="1">
      <c r="A909" s="66"/>
      <c r="B909" s="36"/>
      <c r="C909" s="31"/>
      <c r="D909" s="31"/>
      <c r="E909" s="34">
        <f t="shared" si="5"/>
        <v>-361988.82</v>
      </c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3.5" customHeight="1">
      <c r="A910" s="66"/>
      <c r="B910" s="36"/>
      <c r="C910" s="31"/>
      <c r="D910" s="31"/>
      <c r="E910" s="34">
        <f t="shared" si="5"/>
        <v>-361988.82</v>
      </c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3.5" customHeight="1">
      <c r="A911" s="66"/>
      <c r="B911" s="36"/>
      <c r="C911" s="31"/>
      <c r="D911" s="31"/>
      <c r="E911" s="34">
        <f t="shared" si="5"/>
        <v>-361988.82</v>
      </c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3.5" customHeight="1">
      <c r="A912" s="66"/>
      <c r="B912" s="36"/>
      <c r="C912" s="31"/>
      <c r="D912" s="31"/>
      <c r="E912" s="34">
        <f t="shared" si="5"/>
        <v>-361988.82</v>
      </c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3.5" customHeight="1">
      <c r="A913" s="66"/>
      <c r="B913" s="36"/>
      <c r="C913" s="31"/>
      <c r="D913" s="31"/>
      <c r="E913" s="34">
        <f t="shared" si="5"/>
        <v>-361988.82</v>
      </c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3.5" customHeight="1">
      <c r="A914" s="66"/>
      <c r="B914" s="36"/>
      <c r="C914" s="31"/>
      <c r="D914" s="31"/>
      <c r="E914" s="34">
        <f t="shared" si="5"/>
        <v>-361988.82</v>
      </c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3.5" customHeight="1">
      <c r="A915" s="66"/>
      <c r="B915" s="36"/>
      <c r="C915" s="31"/>
      <c r="D915" s="31"/>
      <c r="E915" s="34">
        <f t="shared" si="5"/>
        <v>-361988.82</v>
      </c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3.5" customHeight="1">
      <c r="A916" s="66"/>
      <c r="B916" s="36"/>
      <c r="C916" s="31"/>
      <c r="D916" s="31"/>
      <c r="E916" s="34">
        <f t="shared" si="5"/>
        <v>-361988.82</v>
      </c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3.5" customHeight="1">
      <c r="A917" s="66"/>
      <c r="B917" s="36"/>
      <c r="C917" s="31"/>
      <c r="D917" s="31"/>
      <c r="E917" s="34">
        <f t="shared" si="5"/>
        <v>-361988.82</v>
      </c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3.5" customHeight="1">
      <c r="A918" s="66"/>
      <c r="B918" s="36"/>
      <c r="C918" s="31"/>
      <c r="D918" s="31"/>
      <c r="E918" s="34">
        <f t="shared" si="5"/>
        <v>-361988.82</v>
      </c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3.5" customHeight="1">
      <c r="A919" s="66"/>
      <c r="B919" s="36"/>
      <c r="C919" s="31"/>
      <c r="D919" s="31"/>
      <c r="E919" s="34">
        <f t="shared" si="5"/>
        <v>-361988.82</v>
      </c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3.5" customHeight="1">
      <c r="A920" s="66"/>
      <c r="B920" s="36"/>
      <c r="C920" s="31"/>
      <c r="D920" s="31"/>
      <c r="E920" s="34">
        <f t="shared" si="5"/>
        <v>-361988.82</v>
      </c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3.5" customHeight="1">
      <c r="A921" s="66"/>
      <c r="B921" s="36"/>
      <c r="C921" s="31"/>
      <c r="D921" s="31"/>
      <c r="E921" s="34">
        <f t="shared" si="5"/>
        <v>-361988.82</v>
      </c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3.5" customHeight="1">
      <c r="A922" s="66"/>
      <c r="B922" s="36"/>
      <c r="C922" s="31"/>
      <c r="D922" s="31"/>
      <c r="E922" s="34">
        <f t="shared" si="5"/>
        <v>-361988.82</v>
      </c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3.5" customHeight="1">
      <c r="A923" s="66"/>
      <c r="B923" s="36"/>
      <c r="C923" s="31"/>
      <c r="D923" s="31"/>
      <c r="E923" s="34">
        <f t="shared" si="5"/>
        <v>-361988.82</v>
      </c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3.5" customHeight="1">
      <c r="A924" s="66"/>
      <c r="B924" s="36"/>
      <c r="C924" s="31"/>
      <c r="D924" s="31"/>
      <c r="E924" s="34">
        <f t="shared" si="5"/>
        <v>-361988.82</v>
      </c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3.5" customHeight="1">
      <c r="A925" s="66"/>
      <c r="B925" s="36"/>
      <c r="C925" s="31"/>
      <c r="D925" s="31"/>
      <c r="E925" s="34">
        <f t="shared" si="5"/>
        <v>-361988.82</v>
      </c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3.5" customHeight="1">
      <c r="A926" s="66"/>
      <c r="B926" s="36"/>
      <c r="C926" s="31"/>
      <c r="D926" s="31"/>
      <c r="E926" s="34">
        <f t="shared" si="5"/>
        <v>-361988.82</v>
      </c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3.5" customHeight="1">
      <c r="A927" s="66"/>
      <c r="B927" s="36"/>
      <c r="C927" s="31"/>
      <c r="D927" s="31"/>
      <c r="E927" s="34">
        <f t="shared" si="5"/>
        <v>-361988.82</v>
      </c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3.5" customHeight="1">
      <c r="A928" s="66"/>
      <c r="B928" s="36"/>
      <c r="C928" s="31"/>
      <c r="D928" s="31"/>
      <c r="E928" s="34">
        <f t="shared" si="5"/>
        <v>-361988.82</v>
      </c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3.5" customHeight="1">
      <c r="A929" s="66"/>
      <c r="B929" s="36"/>
      <c r="C929" s="31"/>
      <c r="D929" s="31"/>
      <c r="E929" s="34">
        <f t="shared" si="5"/>
        <v>-361988.82</v>
      </c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3.5" customHeight="1">
      <c r="A930" s="66"/>
      <c r="B930" s="36"/>
      <c r="C930" s="31"/>
      <c r="D930" s="31"/>
      <c r="E930" s="34">
        <f t="shared" si="5"/>
        <v>-361988.82</v>
      </c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3.5" customHeight="1">
      <c r="A931" s="66"/>
      <c r="B931" s="36"/>
      <c r="C931" s="31"/>
      <c r="D931" s="31"/>
      <c r="E931" s="34">
        <f t="shared" si="5"/>
        <v>-361988.82</v>
      </c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3.5" customHeight="1">
      <c r="A932" s="66"/>
      <c r="B932" s="36"/>
      <c r="C932" s="31"/>
      <c r="D932" s="31"/>
      <c r="E932" s="34">
        <f t="shared" si="5"/>
        <v>-361988.82</v>
      </c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3.5" customHeight="1">
      <c r="A933" s="66"/>
      <c r="B933" s="36"/>
      <c r="C933" s="31"/>
      <c r="D933" s="31"/>
      <c r="E933" s="34">
        <f t="shared" si="5"/>
        <v>-361988.82</v>
      </c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3.5" customHeight="1">
      <c r="A934" s="66"/>
      <c r="B934" s="36"/>
      <c r="C934" s="31"/>
      <c r="D934" s="31"/>
      <c r="E934" s="34">
        <f t="shared" si="5"/>
        <v>-361988.82</v>
      </c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3.5" customHeight="1">
      <c r="A935" s="66"/>
      <c r="B935" s="36"/>
      <c r="C935" s="31"/>
      <c r="D935" s="31"/>
      <c r="E935" s="34">
        <f t="shared" si="5"/>
        <v>-361988.82</v>
      </c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3.5" customHeight="1">
      <c r="A936" s="66"/>
      <c r="B936" s="36"/>
      <c r="C936" s="31"/>
      <c r="D936" s="31"/>
      <c r="E936" s="34">
        <f t="shared" si="5"/>
        <v>-361988.82</v>
      </c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3.5" customHeight="1">
      <c r="A937" s="66"/>
      <c r="B937" s="36"/>
      <c r="C937" s="31"/>
      <c r="D937" s="31"/>
      <c r="E937" s="34">
        <f t="shared" si="5"/>
        <v>-361988.82</v>
      </c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3.5" customHeight="1">
      <c r="A938" s="66"/>
      <c r="B938" s="36"/>
      <c r="C938" s="31"/>
      <c r="D938" s="31"/>
      <c r="E938" s="34">
        <f t="shared" si="5"/>
        <v>-361988.82</v>
      </c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3.5" customHeight="1">
      <c r="A939" s="66"/>
      <c r="B939" s="36"/>
      <c r="C939" s="31"/>
      <c r="D939" s="31"/>
      <c r="E939" s="34">
        <f t="shared" si="5"/>
        <v>-361988.82</v>
      </c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3.5" customHeight="1">
      <c r="A940" s="66"/>
      <c r="B940" s="36"/>
      <c r="C940" s="31"/>
      <c r="D940" s="31"/>
      <c r="E940" s="34">
        <f t="shared" si="5"/>
        <v>-361988.82</v>
      </c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3.5" customHeight="1">
      <c r="A941" s="66"/>
      <c r="B941" s="36"/>
      <c r="C941" s="31"/>
      <c r="D941" s="31"/>
      <c r="E941" s="34">
        <f t="shared" si="5"/>
        <v>-361988.82</v>
      </c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3.5" customHeight="1">
      <c r="A942" s="66"/>
      <c r="B942" s="36"/>
      <c r="C942" s="31"/>
      <c r="D942" s="31"/>
      <c r="E942" s="34">
        <f t="shared" si="5"/>
        <v>-361988.82</v>
      </c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3.5" customHeight="1">
      <c r="A943" s="66"/>
      <c r="B943" s="36"/>
      <c r="C943" s="31"/>
      <c r="D943" s="31"/>
      <c r="E943" s="34">
        <f t="shared" si="5"/>
        <v>-361988.82</v>
      </c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3.5" customHeight="1">
      <c r="A944" s="66"/>
      <c r="B944" s="36"/>
      <c r="C944" s="31"/>
      <c r="D944" s="31"/>
      <c r="E944" s="34">
        <f t="shared" si="5"/>
        <v>-361988.82</v>
      </c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3.5" customHeight="1">
      <c r="A945" s="66"/>
      <c r="B945" s="36"/>
      <c r="C945" s="31"/>
      <c r="D945" s="31"/>
      <c r="E945" s="34">
        <f t="shared" si="5"/>
        <v>-361988.82</v>
      </c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3.5" customHeight="1">
      <c r="A946" s="66"/>
      <c r="B946" s="36"/>
      <c r="C946" s="31"/>
      <c r="D946" s="31"/>
      <c r="E946" s="34">
        <f t="shared" si="5"/>
        <v>-361988.82</v>
      </c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3.5" customHeight="1">
      <c r="A947" s="66"/>
      <c r="B947" s="36"/>
      <c r="C947" s="31"/>
      <c r="D947" s="31"/>
      <c r="E947" s="34">
        <f t="shared" si="5"/>
        <v>-361988.82</v>
      </c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3.5" customHeight="1">
      <c r="A948" s="66"/>
      <c r="B948" s="36"/>
      <c r="C948" s="31"/>
      <c r="D948" s="31"/>
      <c r="E948" s="34">
        <f t="shared" si="5"/>
        <v>-361988.82</v>
      </c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3.5" customHeight="1">
      <c r="A949" s="66"/>
      <c r="B949" s="36"/>
      <c r="C949" s="31"/>
      <c r="D949" s="31"/>
      <c r="E949" s="34">
        <f t="shared" si="5"/>
        <v>-361988.82</v>
      </c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3.5" customHeight="1">
      <c r="A950" s="66"/>
      <c r="B950" s="36"/>
      <c r="C950" s="31"/>
      <c r="D950" s="31"/>
      <c r="E950" s="34">
        <f t="shared" si="5"/>
        <v>-361988.82</v>
      </c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3.5" customHeight="1">
      <c r="A951" s="66"/>
      <c r="B951" s="36"/>
      <c r="C951" s="31"/>
      <c r="D951" s="31"/>
      <c r="E951" s="34">
        <f t="shared" si="5"/>
        <v>-361988.82</v>
      </c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3.5" customHeight="1">
      <c r="A952" s="66"/>
      <c r="B952" s="36"/>
      <c r="C952" s="31"/>
      <c r="D952" s="31"/>
      <c r="E952" s="34">
        <f t="shared" si="5"/>
        <v>-361988.82</v>
      </c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3.5" customHeight="1">
      <c r="A953" s="66"/>
      <c r="B953" s="36"/>
      <c r="C953" s="31"/>
      <c r="D953" s="31"/>
      <c r="E953" s="34">
        <f t="shared" si="5"/>
        <v>-361988.82</v>
      </c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3.5" customHeight="1">
      <c r="A954" s="66"/>
      <c r="B954" s="36"/>
      <c r="C954" s="31"/>
      <c r="D954" s="31"/>
      <c r="E954" s="34">
        <f t="shared" si="5"/>
        <v>-361988.82</v>
      </c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3.5" customHeight="1">
      <c r="A955" s="66"/>
      <c r="B955" s="36"/>
      <c r="C955" s="31"/>
      <c r="D955" s="31"/>
      <c r="E955" s="34">
        <f t="shared" si="5"/>
        <v>-361988.82</v>
      </c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3.5" customHeight="1">
      <c r="A956" s="66"/>
      <c r="B956" s="36"/>
      <c r="C956" s="31"/>
      <c r="D956" s="31"/>
      <c r="E956" s="34">
        <f t="shared" si="5"/>
        <v>-361988.82</v>
      </c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3.5" customHeight="1">
      <c r="A957" s="66"/>
      <c r="B957" s="36"/>
      <c r="C957" s="31"/>
      <c r="D957" s="31"/>
      <c r="E957" s="34">
        <f t="shared" si="5"/>
        <v>-361988.82</v>
      </c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3.5" customHeight="1">
      <c r="A958" s="66"/>
      <c r="B958" s="36"/>
      <c r="C958" s="31"/>
      <c r="D958" s="31"/>
      <c r="E958" s="34">
        <f t="shared" si="5"/>
        <v>-361988.82</v>
      </c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3.5" customHeight="1">
      <c r="A959" s="66"/>
      <c r="B959" s="36"/>
      <c r="C959" s="31"/>
      <c r="D959" s="31"/>
      <c r="E959" s="34">
        <f t="shared" si="5"/>
        <v>-361988.82</v>
      </c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3.5" customHeight="1">
      <c r="A960" s="66"/>
      <c r="B960" s="36"/>
      <c r="C960" s="31"/>
      <c r="D960" s="31"/>
      <c r="E960" s="34">
        <f t="shared" si="5"/>
        <v>-361988.82</v>
      </c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3.5" customHeight="1">
      <c r="A961" s="66"/>
      <c r="B961" s="36"/>
      <c r="C961" s="31"/>
      <c r="D961" s="31"/>
      <c r="E961" s="34">
        <f t="shared" si="5"/>
        <v>-361988.82</v>
      </c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3.5" customHeight="1">
      <c r="A962" s="66"/>
      <c r="B962" s="36"/>
      <c r="C962" s="31"/>
      <c r="D962" s="31"/>
      <c r="E962" s="34">
        <f t="shared" si="5"/>
        <v>-361988.82</v>
      </c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3.5" customHeight="1">
      <c r="A963" s="66"/>
      <c r="B963" s="36"/>
      <c r="C963" s="31"/>
      <c r="D963" s="31"/>
      <c r="E963" s="34">
        <f t="shared" si="5"/>
        <v>-361988.82</v>
      </c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3.5" customHeight="1">
      <c r="A964" s="66"/>
      <c r="B964" s="36"/>
      <c r="C964" s="31"/>
      <c r="D964" s="31"/>
      <c r="E964" s="34">
        <f t="shared" si="5"/>
        <v>-361988.82</v>
      </c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3.5" customHeight="1">
      <c r="A965" s="66"/>
      <c r="B965" s="36"/>
      <c r="C965" s="31"/>
      <c r="D965" s="31"/>
      <c r="E965" s="34">
        <f t="shared" si="5"/>
        <v>-361988.82</v>
      </c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3.5" customHeight="1">
      <c r="A966" s="66"/>
      <c r="B966" s="36"/>
      <c r="C966" s="31"/>
      <c r="D966" s="31"/>
      <c r="E966" s="34">
        <f t="shared" si="5"/>
        <v>-361988.82</v>
      </c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3.5" customHeight="1">
      <c r="A967" s="66"/>
      <c r="B967" s="36"/>
      <c r="C967" s="31"/>
      <c r="D967" s="31"/>
      <c r="E967" s="34">
        <f t="shared" si="5"/>
        <v>-361988.82</v>
      </c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3.5" customHeight="1">
      <c r="A968" s="66"/>
      <c r="B968" s="36"/>
      <c r="C968" s="31"/>
      <c r="D968" s="31"/>
      <c r="E968" s="34">
        <f t="shared" si="5"/>
        <v>-361988.82</v>
      </c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3.5" customHeight="1">
      <c r="A969" s="66"/>
      <c r="B969" s="36"/>
      <c r="C969" s="31"/>
      <c r="D969" s="31"/>
      <c r="E969" s="34">
        <f t="shared" si="5"/>
        <v>-361988.82</v>
      </c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3.5" customHeight="1">
      <c r="A970" s="66"/>
      <c r="B970" s="36"/>
      <c r="C970" s="31"/>
      <c r="D970" s="31"/>
      <c r="E970" s="34">
        <f t="shared" si="5"/>
        <v>-361988.82</v>
      </c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3.5" customHeight="1">
      <c r="A971" s="66"/>
      <c r="B971" s="36"/>
      <c r="C971" s="31"/>
      <c r="D971" s="31"/>
      <c r="E971" s="34">
        <f t="shared" si="5"/>
        <v>-361988.82</v>
      </c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3.5" customHeight="1">
      <c r="A972" s="66"/>
      <c r="B972" s="36"/>
      <c r="C972" s="31"/>
      <c r="D972" s="31"/>
      <c r="E972" s="34">
        <f t="shared" si="5"/>
        <v>-361988.82</v>
      </c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3.5" customHeight="1">
      <c r="A973" s="66"/>
      <c r="B973" s="36"/>
      <c r="C973" s="31"/>
      <c r="D973" s="31"/>
      <c r="E973" s="34">
        <f t="shared" si="5"/>
        <v>-361988.82</v>
      </c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3.5" customHeight="1">
      <c r="A974" s="66"/>
      <c r="B974" s="36"/>
      <c r="C974" s="31"/>
      <c r="D974" s="31"/>
      <c r="E974" s="34">
        <f t="shared" si="5"/>
        <v>-361988.82</v>
      </c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3.5" customHeight="1">
      <c r="A975" s="66"/>
      <c r="B975" s="36"/>
      <c r="C975" s="31"/>
      <c r="D975" s="31"/>
      <c r="E975" s="34">
        <f t="shared" si="5"/>
        <v>-361988.82</v>
      </c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3.5" customHeight="1">
      <c r="A976" s="66"/>
      <c r="B976" s="36"/>
      <c r="C976" s="31"/>
      <c r="D976" s="31"/>
      <c r="E976" s="34">
        <f t="shared" si="5"/>
        <v>-361988.82</v>
      </c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3.5" customHeight="1">
      <c r="A977" s="66"/>
      <c r="B977" s="36"/>
      <c r="C977" s="31"/>
      <c r="D977" s="31"/>
      <c r="E977" s="34">
        <f t="shared" si="5"/>
        <v>-361988.82</v>
      </c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3.5" customHeight="1">
      <c r="A978" s="66"/>
      <c r="B978" s="36"/>
      <c r="C978" s="31"/>
      <c r="D978" s="31"/>
      <c r="E978" s="34">
        <f t="shared" si="5"/>
        <v>-361988.82</v>
      </c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3.5" customHeight="1">
      <c r="A979" s="66"/>
      <c r="B979" s="36"/>
      <c r="C979" s="31"/>
      <c r="D979" s="31"/>
      <c r="E979" s="34">
        <f t="shared" si="5"/>
        <v>-361988.82</v>
      </c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3.5" customHeight="1">
      <c r="A980" s="66"/>
      <c r="B980" s="36"/>
      <c r="C980" s="31"/>
      <c r="D980" s="31"/>
      <c r="E980" s="34">
        <f t="shared" si="5"/>
        <v>-361988.82</v>
      </c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3.5" customHeight="1">
      <c r="A981" s="66"/>
      <c r="B981" s="36"/>
      <c r="C981" s="31"/>
      <c r="D981" s="31"/>
      <c r="E981" s="34">
        <f t="shared" si="5"/>
        <v>-361988.82</v>
      </c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3.5" customHeight="1">
      <c r="A982" s="66"/>
      <c r="B982" s="36"/>
      <c r="C982" s="31"/>
      <c r="D982" s="31"/>
      <c r="E982" s="34">
        <f t="shared" si="5"/>
        <v>-361988.82</v>
      </c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3.5" customHeight="1">
      <c r="A983" s="66"/>
      <c r="B983" s="36"/>
      <c r="C983" s="31"/>
      <c r="D983" s="31"/>
      <c r="E983" s="34">
        <f t="shared" si="5"/>
        <v>-361988.82</v>
      </c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3.5" customHeight="1">
      <c r="A984" s="66"/>
      <c r="B984" s="36"/>
      <c r="C984" s="31"/>
      <c r="D984" s="31"/>
      <c r="E984" s="34">
        <f t="shared" si="5"/>
        <v>-361988.82</v>
      </c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3.5" customHeight="1">
      <c r="A985" s="66"/>
      <c r="B985" s="36"/>
      <c r="C985" s="31"/>
      <c r="D985" s="31"/>
      <c r="E985" s="34">
        <f t="shared" si="5"/>
        <v>-361988.82</v>
      </c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3.5" customHeight="1">
      <c r="A986" s="66"/>
      <c r="B986" s="36"/>
      <c r="C986" s="31"/>
      <c r="D986" s="31"/>
      <c r="E986" s="34">
        <f t="shared" si="5"/>
        <v>-361988.82</v>
      </c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3.5" customHeight="1">
      <c r="A987" s="66"/>
      <c r="B987" s="36"/>
      <c r="C987" s="31"/>
      <c r="D987" s="31"/>
      <c r="E987" s="34">
        <f t="shared" si="5"/>
        <v>-361988.82</v>
      </c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3.5" customHeight="1">
      <c r="A988" s="66"/>
      <c r="B988" s="36"/>
      <c r="C988" s="31"/>
      <c r="D988" s="31"/>
      <c r="E988" s="34">
        <f t="shared" si="5"/>
        <v>-361988.82</v>
      </c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3.5" customHeight="1">
      <c r="A989" s="66"/>
      <c r="B989" s="36"/>
      <c r="C989" s="31"/>
      <c r="D989" s="31"/>
      <c r="E989" s="34">
        <f t="shared" si="5"/>
        <v>-361988.82</v>
      </c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3.5" customHeight="1">
      <c r="A990" s="66"/>
      <c r="B990" s="36"/>
      <c r="C990" s="31"/>
      <c r="D990" s="31"/>
      <c r="E990" s="34">
        <f t="shared" si="5"/>
        <v>-361988.82</v>
      </c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3.5" customHeight="1">
      <c r="A991" s="66"/>
      <c r="B991" s="36"/>
      <c r="C991" s="31"/>
      <c r="D991" s="31"/>
      <c r="E991" s="34">
        <f t="shared" si="5"/>
        <v>-361988.82</v>
      </c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3.5" customHeight="1">
      <c r="A992" s="66"/>
      <c r="B992" s="36"/>
      <c r="C992" s="31"/>
      <c r="D992" s="31"/>
      <c r="E992" s="34">
        <f t="shared" si="5"/>
        <v>-361988.82</v>
      </c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3.5" customHeight="1">
      <c r="A993" s="66"/>
      <c r="B993" s="36"/>
      <c r="C993" s="31"/>
      <c r="D993" s="31"/>
      <c r="E993" s="34">
        <f t="shared" si="5"/>
        <v>-361988.82</v>
      </c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3.5" customHeight="1">
      <c r="A994" s="66"/>
      <c r="B994" s="36"/>
      <c r="C994" s="31"/>
      <c r="D994" s="31"/>
      <c r="E994" s="34">
        <f t="shared" si="5"/>
        <v>-361988.82</v>
      </c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3.5" customHeight="1">
      <c r="A995" s="66"/>
      <c r="B995" s="36"/>
      <c r="C995" s="31"/>
      <c r="D995" s="31"/>
      <c r="E995" s="34">
        <f t="shared" si="5"/>
        <v>-361988.82</v>
      </c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3.5" customHeight="1">
      <c r="A996" s="66"/>
      <c r="B996" s="36"/>
      <c r="C996" s="31"/>
      <c r="D996" s="31"/>
      <c r="E996" s="34">
        <f t="shared" si="5"/>
        <v>-361988.82</v>
      </c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3.5" customHeight="1">
      <c r="A997" s="66"/>
      <c r="B997" s="36"/>
      <c r="C997" s="31"/>
      <c r="D997" s="31"/>
      <c r="E997" s="34">
        <f t="shared" si="5"/>
        <v>-361988.82</v>
      </c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3.5" customHeight="1">
      <c r="A998" s="66"/>
      <c r="B998" s="36"/>
      <c r="C998" s="31"/>
      <c r="D998" s="31"/>
      <c r="E998" s="34">
        <f t="shared" si="5"/>
        <v>-361988.82</v>
      </c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3.5" customHeight="1">
      <c r="A999" s="66"/>
      <c r="B999" s="36"/>
      <c r="C999" s="31"/>
      <c r="D999" s="31"/>
      <c r="E999" s="34">
        <f t="shared" si="5"/>
        <v>-361988.82</v>
      </c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3.5" customHeight="1">
      <c r="A1000" s="66"/>
      <c r="B1000" s="36"/>
      <c r="C1000" s="31"/>
      <c r="D1000" s="31"/>
      <c r="E1000" s="34">
        <f t="shared" si="5"/>
        <v>-361988.82</v>
      </c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13.5" customHeight="1">
      <c r="A1001" s="66"/>
      <c r="B1001" s="36"/>
      <c r="C1001" s="31"/>
      <c r="D1001" s="31"/>
      <c r="E1001" s="34">
        <f t="shared" si="5"/>
        <v>-361988.82</v>
      </c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ht="13.5" customHeight="1">
      <c r="A1002" s="66"/>
      <c r="B1002" s="36"/>
      <c r="C1002" s="31"/>
      <c r="D1002" s="31"/>
      <c r="E1002" s="34">
        <f t="shared" si="5"/>
        <v>-361988.82</v>
      </c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 ht="13.5" customHeight="1">
      <c r="A1003" s="66"/>
      <c r="B1003" s="36"/>
      <c r="C1003" s="31"/>
      <c r="D1003" s="31"/>
      <c r="E1003" s="34">
        <f t="shared" si="5"/>
        <v>-361988.82</v>
      </c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 ht="13.5" customHeight="1">
      <c r="A1004" s="66"/>
      <c r="B1004" s="36"/>
      <c r="C1004" s="31"/>
      <c r="D1004" s="31"/>
      <c r="E1004" s="34">
        <f t="shared" si="5"/>
        <v>-361988.82</v>
      </c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 ht="13.5" customHeight="1">
      <c r="A1005" s="66"/>
      <c r="B1005" s="36"/>
      <c r="C1005" s="31"/>
      <c r="D1005" s="31"/>
      <c r="E1005" s="34">
        <f t="shared" si="5"/>
        <v>-361988.82</v>
      </c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 ht="13.5" customHeight="1">
      <c r="A1006" s="66"/>
      <c r="B1006" s="36"/>
      <c r="C1006" s="31"/>
      <c r="D1006" s="31"/>
      <c r="E1006" s="34">
        <f t="shared" si="5"/>
        <v>-361988.82</v>
      </c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 ht="13.5" customHeight="1">
      <c r="A1007" s="66"/>
      <c r="B1007" s="36"/>
      <c r="C1007" s="31"/>
      <c r="D1007" s="31"/>
      <c r="E1007" s="34">
        <f t="shared" si="5"/>
        <v>-361988.82</v>
      </c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 ht="13.5" customHeight="1">
      <c r="A1008" s="66"/>
      <c r="B1008" s="36"/>
      <c r="C1008" s="31"/>
      <c r="D1008" s="31"/>
      <c r="E1008" s="34">
        <f t="shared" si="5"/>
        <v>-361988.82</v>
      </c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 ht="13.5" customHeight="1">
      <c r="A1009" s="66"/>
      <c r="B1009" s="36"/>
      <c r="C1009" s="31"/>
      <c r="D1009" s="31"/>
      <c r="E1009" s="34">
        <f t="shared" si="5"/>
        <v>-361988.82</v>
      </c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  <row r="1010" ht="13.5" customHeight="1">
      <c r="A1010" s="66"/>
      <c r="B1010" s="36"/>
      <c r="C1010" s="31"/>
      <c r="D1010" s="31"/>
      <c r="E1010" s="34">
        <f t="shared" si="5"/>
        <v>-361988.82</v>
      </c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</row>
    <row r="1011" ht="13.5" customHeight="1">
      <c r="A1011" s="66"/>
      <c r="B1011" s="36"/>
      <c r="C1011" s="31"/>
      <c r="D1011" s="31"/>
      <c r="E1011" s="34">
        <f t="shared" si="5"/>
        <v>-361988.82</v>
      </c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</row>
    <row r="1012" ht="13.5" customHeight="1">
      <c r="A1012" s="66"/>
      <c r="B1012" s="36"/>
      <c r="C1012" s="31"/>
      <c r="D1012" s="31"/>
      <c r="E1012" s="34">
        <f t="shared" si="5"/>
        <v>-361988.82</v>
      </c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</row>
    <row r="1013" ht="13.5" customHeight="1">
      <c r="A1013" s="66"/>
      <c r="B1013" s="36"/>
      <c r="C1013" s="31"/>
      <c r="D1013" s="31"/>
      <c r="E1013" s="34">
        <f t="shared" si="5"/>
        <v>-361988.82</v>
      </c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</row>
    <row r="1014" ht="13.5" customHeight="1">
      <c r="A1014" s="66"/>
      <c r="B1014" s="36"/>
      <c r="C1014" s="31"/>
      <c r="D1014" s="31"/>
      <c r="E1014" s="34">
        <f t="shared" si="5"/>
        <v>-361988.82</v>
      </c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</row>
    <row r="1015" ht="13.5" customHeight="1">
      <c r="A1015" s="66"/>
      <c r="B1015" s="36"/>
      <c r="C1015" s="31"/>
      <c r="D1015" s="31"/>
      <c r="E1015" s="34">
        <f t="shared" si="5"/>
        <v>-361988.82</v>
      </c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</row>
    <row r="1016" ht="13.5" customHeight="1">
      <c r="A1016" s="66"/>
      <c r="B1016" s="36"/>
      <c r="C1016" s="31"/>
      <c r="D1016" s="31"/>
      <c r="E1016" s="34">
        <f t="shared" si="5"/>
        <v>-361988.82</v>
      </c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</row>
    <row r="1017" ht="13.5" customHeight="1">
      <c r="A1017" s="66"/>
      <c r="B1017" s="36"/>
      <c r="C1017" s="31"/>
      <c r="D1017" s="31"/>
      <c r="E1017" s="34">
        <f t="shared" si="5"/>
        <v>-361988.82</v>
      </c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</row>
    <row r="1018" ht="13.5" customHeight="1">
      <c r="A1018" s="66"/>
      <c r="B1018" s="36"/>
      <c r="C1018" s="31"/>
      <c r="D1018" s="31"/>
      <c r="E1018" s="34">
        <f t="shared" si="5"/>
        <v>-361988.82</v>
      </c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</row>
    <row r="1019" ht="13.5" customHeight="1">
      <c r="A1019" s="66"/>
      <c r="B1019" s="36"/>
      <c r="C1019" s="31"/>
      <c r="D1019" s="31"/>
      <c r="E1019" s="34">
        <f t="shared" si="5"/>
        <v>-361988.82</v>
      </c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</row>
    <row r="1020" ht="13.5" customHeight="1">
      <c r="A1020" s="66"/>
      <c r="B1020" s="36"/>
      <c r="C1020" s="31"/>
      <c r="D1020" s="31"/>
      <c r="E1020" s="34">
        <f t="shared" si="5"/>
        <v>-361988.82</v>
      </c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</row>
    <row r="1021" ht="13.5" customHeight="1">
      <c r="A1021" s="66"/>
      <c r="B1021" s="36"/>
      <c r="C1021" s="31"/>
      <c r="D1021" s="31"/>
      <c r="E1021" s="34">
        <f t="shared" si="5"/>
        <v>-361988.82</v>
      </c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</row>
    <row r="1022" ht="13.5" customHeight="1">
      <c r="A1022" s="66"/>
      <c r="B1022" s="36"/>
      <c r="C1022" s="31"/>
      <c r="D1022" s="31"/>
      <c r="E1022" s="34">
        <f t="shared" si="5"/>
        <v>-361988.82</v>
      </c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</row>
    <row r="1023" ht="13.5" customHeight="1">
      <c r="A1023" s="66"/>
      <c r="B1023" s="36"/>
      <c r="C1023" s="31"/>
      <c r="D1023" s="31"/>
      <c r="E1023" s="34">
        <f t="shared" si="5"/>
        <v>-361988.82</v>
      </c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</row>
    <row r="1024" ht="13.5" customHeight="1">
      <c r="A1024" s="66"/>
      <c r="B1024" s="36"/>
      <c r="C1024" s="31"/>
      <c r="D1024" s="31"/>
      <c r="E1024" s="34">
        <f t="shared" si="5"/>
        <v>-361988.82</v>
      </c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</row>
    <row r="1025" ht="13.5" customHeight="1">
      <c r="A1025" s="66"/>
      <c r="B1025" s="36"/>
      <c r="C1025" s="31"/>
      <c r="D1025" s="31"/>
      <c r="E1025" s="34">
        <f t="shared" si="5"/>
        <v>-361988.82</v>
      </c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</row>
    <row r="1026" ht="13.5" customHeight="1">
      <c r="A1026" s="66"/>
      <c r="B1026" s="36"/>
      <c r="C1026" s="31"/>
      <c r="D1026" s="31"/>
      <c r="E1026" s="34">
        <f t="shared" si="5"/>
        <v>-361988.82</v>
      </c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</row>
    <row r="1027" ht="13.5" customHeight="1">
      <c r="A1027" s="66"/>
      <c r="B1027" s="36"/>
      <c r="C1027" s="31"/>
      <c r="D1027" s="31"/>
      <c r="E1027" s="34">
        <f t="shared" si="5"/>
        <v>-361988.82</v>
      </c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</row>
    <row r="1028" ht="13.5" customHeight="1">
      <c r="A1028" s="66"/>
      <c r="B1028" s="36"/>
      <c r="C1028" s="31"/>
      <c r="D1028" s="31"/>
      <c r="E1028" s="34">
        <f t="shared" si="5"/>
        <v>-361988.82</v>
      </c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</row>
    <row r="1029" ht="13.5" customHeight="1">
      <c r="A1029" s="66"/>
      <c r="B1029" s="36"/>
      <c r="C1029" s="31"/>
      <c r="D1029" s="31"/>
      <c r="E1029" s="34">
        <f t="shared" si="5"/>
        <v>-361988.82</v>
      </c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</row>
    <row r="1030" ht="13.5" customHeight="1">
      <c r="A1030" s="66"/>
      <c r="B1030" s="36"/>
      <c r="C1030" s="31"/>
      <c r="D1030" s="31"/>
      <c r="E1030" s="34">
        <f t="shared" si="5"/>
        <v>-361988.82</v>
      </c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</row>
    <row r="1031" ht="13.5" customHeight="1">
      <c r="A1031" s="66"/>
      <c r="B1031" s="36"/>
      <c r="C1031" s="31"/>
      <c r="D1031" s="31"/>
      <c r="E1031" s="34">
        <f t="shared" si="5"/>
        <v>-361988.82</v>
      </c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</row>
    <row r="1032" ht="13.5" customHeight="1">
      <c r="A1032" s="66"/>
      <c r="B1032" s="36"/>
      <c r="C1032" s="31"/>
      <c r="D1032" s="31"/>
      <c r="E1032" s="34">
        <f t="shared" si="5"/>
        <v>-361988.82</v>
      </c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</row>
    <row r="1033" ht="13.5" customHeight="1">
      <c r="A1033" s="66"/>
      <c r="B1033" s="36"/>
      <c r="C1033" s="31"/>
      <c r="D1033" s="31"/>
      <c r="E1033" s="34">
        <f t="shared" si="5"/>
        <v>-361988.82</v>
      </c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</row>
    <row r="1034" ht="13.5" customHeight="1">
      <c r="A1034" s="66"/>
      <c r="B1034" s="36"/>
      <c r="C1034" s="31"/>
      <c r="D1034" s="31"/>
      <c r="E1034" s="34">
        <f t="shared" si="5"/>
        <v>-361988.82</v>
      </c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</row>
    <row r="1035" ht="13.5" customHeight="1">
      <c r="A1035" s="66"/>
      <c r="B1035" s="36"/>
      <c r="C1035" s="31"/>
      <c r="D1035" s="31"/>
      <c r="E1035" s="34">
        <f t="shared" si="5"/>
        <v>-361988.82</v>
      </c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</row>
    <row r="1036" ht="13.5" customHeight="1">
      <c r="A1036" s="66"/>
      <c r="B1036" s="36"/>
      <c r="C1036" s="31"/>
      <c r="D1036" s="31"/>
      <c r="E1036" s="34">
        <f t="shared" si="5"/>
        <v>-361988.82</v>
      </c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</row>
    <row r="1037" ht="13.5" customHeight="1">
      <c r="A1037" s="66"/>
      <c r="B1037" s="36"/>
      <c r="C1037" s="31"/>
      <c r="D1037" s="31"/>
      <c r="E1037" s="34">
        <f t="shared" si="5"/>
        <v>-361988.82</v>
      </c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</row>
    <row r="1038" ht="13.5" customHeight="1">
      <c r="A1038" s="66"/>
      <c r="B1038" s="36"/>
      <c r="C1038" s="31"/>
      <c r="D1038" s="31"/>
      <c r="E1038" s="34">
        <f t="shared" si="5"/>
        <v>-361988.82</v>
      </c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</row>
    <row r="1039" ht="13.5" customHeight="1">
      <c r="A1039" s="66"/>
      <c r="B1039" s="36"/>
      <c r="C1039" s="31"/>
      <c r="D1039" s="31"/>
      <c r="E1039" s="34">
        <f t="shared" si="5"/>
        <v>-361988.82</v>
      </c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</row>
    <row r="1040" ht="13.5" customHeight="1">
      <c r="A1040" s="66"/>
      <c r="B1040" s="36"/>
      <c r="C1040" s="31"/>
      <c r="D1040" s="31"/>
      <c r="E1040" s="34">
        <f t="shared" si="5"/>
        <v>-361988.82</v>
      </c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</row>
    <row r="1041" ht="13.5" customHeight="1">
      <c r="A1041" s="66"/>
      <c r="B1041" s="36"/>
      <c r="C1041" s="31"/>
      <c r="D1041" s="31"/>
      <c r="E1041" s="34">
        <f t="shared" si="5"/>
        <v>-361988.82</v>
      </c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</row>
    <row r="1042" ht="13.5" customHeight="1">
      <c r="A1042" s="66"/>
      <c r="B1042" s="36"/>
      <c r="C1042" s="31"/>
      <c r="D1042" s="31"/>
      <c r="E1042" s="34">
        <f t="shared" si="5"/>
        <v>-361988.82</v>
      </c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</row>
    <row r="1043" ht="13.5" customHeight="1">
      <c r="A1043" s="66"/>
      <c r="B1043" s="36"/>
      <c r="C1043" s="31"/>
      <c r="D1043" s="31"/>
      <c r="E1043" s="34">
        <f t="shared" si="5"/>
        <v>-361988.82</v>
      </c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</row>
    <row r="1044" ht="13.5" customHeight="1">
      <c r="A1044" s="66"/>
      <c r="B1044" s="36"/>
      <c r="C1044" s="31"/>
      <c r="D1044" s="31"/>
      <c r="E1044" s="34">
        <f t="shared" si="5"/>
        <v>-361988.82</v>
      </c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</row>
    <row r="1045" ht="13.5" customHeight="1">
      <c r="A1045" s="66"/>
      <c r="B1045" s="36"/>
      <c r="C1045" s="31"/>
      <c r="D1045" s="31"/>
      <c r="E1045" s="34">
        <f t="shared" si="5"/>
        <v>-361988.82</v>
      </c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</row>
    <row r="1046" ht="13.5" customHeight="1">
      <c r="A1046" s="66"/>
      <c r="B1046" s="36"/>
      <c r="C1046" s="31"/>
      <c r="D1046" s="31"/>
      <c r="E1046" s="34">
        <f t="shared" si="5"/>
        <v>-361988.82</v>
      </c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</row>
    <row r="1047" ht="13.5" customHeight="1">
      <c r="A1047" s="66"/>
      <c r="B1047" s="36"/>
      <c r="C1047" s="31"/>
      <c r="D1047" s="31"/>
      <c r="E1047" s="34">
        <f t="shared" si="5"/>
        <v>-361988.82</v>
      </c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</row>
    <row r="1048" ht="13.5" customHeight="1">
      <c r="A1048" s="66"/>
      <c r="B1048" s="36"/>
      <c r="C1048" s="31"/>
      <c r="D1048" s="31"/>
      <c r="E1048" s="34">
        <f t="shared" si="5"/>
        <v>-361988.82</v>
      </c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</row>
    <row r="1049" ht="13.5" customHeight="1">
      <c r="A1049" s="66"/>
      <c r="B1049" s="36"/>
      <c r="C1049" s="31"/>
      <c r="D1049" s="31"/>
      <c r="E1049" s="34">
        <f t="shared" si="5"/>
        <v>-361988.82</v>
      </c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</row>
    <row r="1050" ht="13.5" customHeight="1">
      <c r="A1050" s="66"/>
      <c r="B1050" s="36"/>
      <c r="C1050" s="31"/>
      <c r="D1050" s="31"/>
      <c r="E1050" s="34">
        <f t="shared" si="5"/>
        <v>-361988.82</v>
      </c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</row>
    <row r="1051" ht="13.5" customHeight="1">
      <c r="A1051" s="66"/>
      <c r="B1051" s="36"/>
      <c r="C1051" s="31"/>
      <c r="D1051" s="31"/>
      <c r="E1051" s="34">
        <f t="shared" si="5"/>
        <v>-361988.82</v>
      </c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</row>
    <row r="1052" ht="13.5" customHeight="1">
      <c r="A1052" s="66"/>
      <c r="B1052" s="36"/>
      <c r="C1052" s="31"/>
      <c r="D1052" s="31"/>
      <c r="E1052" s="34">
        <f t="shared" si="5"/>
        <v>-361988.82</v>
      </c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</row>
    <row r="1053" ht="13.5" customHeight="1">
      <c r="A1053" s="66"/>
      <c r="B1053" s="36"/>
      <c r="C1053" s="31"/>
      <c r="D1053" s="31"/>
      <c r="E1053" s="34">
        <f t="shared" si="5"/>
        <v>-361988.82</v>
      </c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</row>
    <row r="1054" ht="13.5" customHeight="1">
      <c r="A1054" s="66"/>
      <c r="B1054" s="36"/>
      <c r="C1054" s="31"/>
      <c r="D1054" s="31"/>
      <c r="E1054" s="34">
        <f t="shared" si="5"/>
        <v>-361988.82</v>
      </c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</row>
    <row r="1055" ht="13.5" customHeight="1">
      <c r="A1055" s="66"/>
      <c r="B1055" s="36"/>
      <c r="C1055" s="31"/>
      <c r="D1055" s="31"/>
      <c r="E1055" s="34">
        <f t="shared" si="5"/>
        <v>-361988.82</v>
      </c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</row>
    <row r="1056" ht="13.5" customHeight="1">
      <c r="A1056" s="66"/>
      <c r="B1056" s="36"/>
      <c r="C1056" s="31"/>
      <c r="D1056" s="31"/>
      <c r="E1056" s="34">
        <f t="shared" si="5"/>
        <v>-361988.82</v>
      </c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</row>
    <row r="1057" ht="13.5" customHeight="1">
      <c r="A1057" s="66"/>
      <c r="B1057" s="36"/>
      <c r="C1057" s="31"/>
      <c r="D1057" s="31"/>
      <c r="E1057" s="34">
        <f t="shared" si="5"/>
        <v>-361988.82</v>
      </c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</row>
    <row r="1058" ht="13.5" customHeight="1">
      <c r="A1058" s="66"/>
      <c r="B1058" s="36"/>
      <c r="C1058" s="31"/>
      <c r="D1058" s="31"/>
      <c r="E1058" s="34">
        <f t="shared" si="5"/>
        <v>-361988.82</v>
      </c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</row>
    <row r="1059" ht="13.5" customHeight="1">
      <c r="A1059" s="66"/>
      <c r="B1059" s="36"/>
      <c r="C1059" s="31"/>
      <c r="D1059" s="31"/>
      <c r="E1059" s="34">
        <f t="shared" si="5"/>
        <v>-361988.82</v>
      </c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</row>
    <row r="1060" ht="13.5" customHeight="1">
      <c r="A1060" s="66"/>
      <c r="B1060" s="36"/>
      <c r="C1060" s="31"/>
      <c r="D1060" s="31"/>
      <c r="E1060" s="34">
        <f t="shared" si="5"/>
        <v>-361988.82</v>
      </c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</row>
    <row r="1061" ht="13.5" customHeight="1">
      <c r="A1061" s="66"/>
      <c r="B1061" s="36"/>
      <c r="C1061" s="31"/>
      <c r="D1061" s="31"/>
      <c r="E1061" s="34">
        <f t="shared" si="5"/>
        <v>-361988.82</v>
      </c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</row>
    <row r="1062" ht="13.5" customHeight="1">
      <c r="A1062" s="66"/>
      <c r="B1062" s="36"/>
      <c r="C1062" s="31"/>
      <c r="D1062" s="31"/>
      <c r="E1062" s="34">
        <f t="shared" si="5"/>
        <v>-361988.82</v>
      </c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</row>
    <row r="1063" ht="13.5" customHeight="1">
      <c r="A1063" s="66"/>
      <c r="B1063" s="36"/>
      <c r="C1063" s="31"/>
      <c r="D1063" s="31"/>
      <c r="E1063" s="34">
        <f t="shared" si="5"/>
        <v>-361988.82</v>
      </c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</row>
    <row r="1064" ht="13.5" customHeight="1">
      <c r="A1064" s="66"/>
      <c r="B1064" s="36"/>
      <c r="C1064" s="31"/>
      <c r="D1064" s="31"/>
      <c r="E1064" s="34">
        <f t="shared" si="5"/>
        <v>-361988.82</v>
      </c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</row>
    <row r="1065" ht="13.5" customHeight="1">
      <c r="A1065" s="66"/>
      <c r="B1065" s="36"/>
      <c r="C1065" s="31"/>
      <c r="D1065" s="31"/>
      <c r="E1065" s="34">
        <f t="shared" si="5"/>
        <v>-361988.82</v>
      </c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</row>
    <row r="1066" ht="13.5" customHeight="1">
      <c r="A1066" s="66"/>
      <c r="B1066" s="36"/>
      <c r="C1066" s="31"/>
      <c r="D1066" s="31"/>
      <c r="E1066" s="34">
        <f t="shared" si="5"/>
        <v>-361988.82</v>
      </c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</row>
    <row r="1067" ht="13.5" customHeight="1">
      <c r="A1067" s="66"/>
      <c r="B1067" s="36"/>
      <c r="C1067" s="31"/>
      <c r="D1067" s="31"/>
      <c r="E1067" s="34">
        <f t="shared" si="5"/>
        <v>-361988.82</v>
      </c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</row>
    <row r="1068" ht="13.5" customHeight="1">
      <c r="A1068" s="66"/>
      <c r="B1068" s="36"/>
      <c r="C1068" s="31"/>
      <c r="D1068" s="31"/>
      <c r="E1068" s="34">
        <f t="shared" si="5"/>
        <v>-361988.82</v>
      </c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</row>
    <row r="1069" ht="13.5" customHeight="1">
      <c r="A1069" s="66"/>
      <c r="B1069" s="36"/>
      <c r="C1069" s="31"/>
      <c r="D1069" s="31"/>
      <c r="E1069" s="34">
        <f t="shared" si="5"/>
        <v>-361988.82</v>
      </c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</row>
    <row r="1070" ht="13.5" customHeight="1">
      <c r="A1070" s="66"/>
      <c r="B1070" s="36"/>
      <c r="C1070" s="31"/>
      <c r="D1070" s="31"/>
      <c r="E1070" s="34">
        <f t="shared" si="5"/>
        <v>-361988.82</v>
      </c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</row>
    <row r="1071" ht="13.5" customHeight="1">
      <c r="A1071" s="66"/>
      <c r="B1071" s="36"/>
      <c r="C1071" s="31"/>
      <c r="D1071" s="31"/>
      <c r="E1071" s="34">
        <f t="shared" si="5"/>
        <v>-361988.82</v>
      </c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</row>
    <row r="1072" ht="13.5" customHeight="1">
      <c r="A1072" s="66"/>
      <c r="B1072" s="36"/>
      <c r="C1072" s="31"/>
      <c r="D1072" s="31"/>
      <c r="E1072" s="34">
        <f t="shared" si="5"/>
        <v>-361988.82</v>
      </c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</row>
    <row r="1073" ht="13.5" customHeight="1">
      <c r="A1073" s="66"/>
      <c r="B1073" s="36"/>
      <c r="C1073" s="31"/>
      <c r="D1073" s="31"/>
      <c r="E1073" s="34">
        <f t="shared" si="5"/>
        <v>-361988.82</v>
      </c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</row>
    <row r="1074" ht="13.5" customHeight="1">
      <c r="A1074" s="66"/>
      <c r="B1074" s="36"/>
      <c r="C1074" s="31"/>
      <c r="D1074" s="31"/>
      <c r="E1074" s="34">
        <f t="shared" si="5"/>
        <v>-361988.82</v>
      </c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</row>
    <row r="1075" ht="13.5" customHeight="1">
      <c r="A1075" s="66"/>
      <c r="B1075" s="36"/>
      <c r="C1075" s="31"/>
      <c r="D1075" s="31"/>
      <c r="E1075" s="34">
        <f t="shared" si="5"/>
        <v>-361988.82</v>
      </c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</row>
    <row r="1076" ht="13.5" customHeight="1">
      <c r="A1076" s="66"/>
      <c r="B1076" s="36"/>
      <c r="C1076" s="31"/>
      <c r="D1076" s="31"/>
      <c r="E1076" s="34">
        <f t="shared" si="5"/>
        <v>-361988.82</v>
      </c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</row>
    <row r="1077" ht="13.5" customHeight="1">
      <c r="A1077" s="66"/>
      <c r="B1077" s="36"/>
      <c r="C1077" s="31"/>
      <c r="D1077" s="31"/>
      <c r="E1077" s="34">
        <f t="shared" si="5"/>
        <v>-361988.82</v>
      </c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</row>
    <row r="1078" ht="13.5" customHeight="1">
      <c r="A1078" s="66"/>
      <c r="B1078" s="36"/>
      <c r="C1078" s="31"/>
      <c r="D1078" s="31"/>
      <c r="E1078" s="34">
        <f t="shared" si="5"/>
        <v>-361988.82</v>
      </c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</row>
    <row r="1079" ht="13.5" customHeight="1">
      <c r="A1079" s="66"/>
      <c r="B1079" s="36"/>
      <c r="C1079" s="31"/>
      <c r="D1079" s="31"/>
      <c r="E1079" s="34">
        <f t="shared" si="5"/>
        <v>-361988.82</v>
      </c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</row>
    <row r="1080" ht="13.5" customHeight="1">
      <c r="A1080" s="66"/>
      <c r="B1080" s="36"/>
      <c r="C1080" s="31"/>
      <c r="D1080" s="31"/>
      <c r="E1080" s="34">
        <f t="shared" si="5"/>
        <v>-361988.82</v>
      </c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</row>
    <row r="1081" ht="13.5" customHeight="1">
      <c r="A1081" s="66"/>
      <c r="B1081" s="36"/>
      <c r="C1081" s="31"/>
      <c r="D1081" s="31"/>
      <c r="E1081" s="34">
        <f t="shared" si="5"/>
        <v>-361988.82</v>
      </c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</row>
    <row r="1082" ht="13.5" customHeight="1">
      <c r="A1082" s="66"/>
      <c r="B1082" s="36"/>
      <c r="C1082" s="31"/>
      <c r="D1082" s="31"/>
      <c r="E1082" s="34">
        <f t="shared" si="5"/>
        <v>-361988.82</v>
      </c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</row>
    <row r="1083" ht="13.5" customHeight="1">
      <c r="A1083" s="66"/>
      <c r="B1083" s="36"/>
      <c r="C1083" s="31"/>
      <c r="D1083" s="31"/>
      <c r="E1083" s="34">
        <f t="shared" si="5"/>
        <v>-361988.82</v>
      </c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</row>
    <row r="1084" ht="13.5" customHeight="1">
      <c r="A1084" s="66"/>
      <c r="B1084" s="36"/>
      <c r="C1084" s="31"/>
      <c r="D1084" s="31"/>
      <c r="E1084" s="34">
        <f t="shared" si="5"/>
        <v>-361988.82</v>
      </c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</row>
    <row r="1085" ht="13.5" customHeight="1">
      <c r="A1085" s="66"/>
      <c r="B1085" s="36"/>
      <c r="C1085" s="31"/>
      <c r="D1085" s="31"/>
      <c r="E1085" s="34">
        <f t="shared" si="5"/>
        <v>-361988.82</v>
      </c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</row>
    <row r="1086" ht="13.5" customHeight="1">
      <c r="A1086" s="66"/>
      <c r="B1086" s="36"/>
      <c r="C1086" s="31"/>
      <c r="D1086" s="31"/>
      <c r="E1086" s="34">
        <f t="shared" si="5"/>
        <v>-361988.82</v>
      </c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</row>
    <row r="1087" ht="13.5" customHeight="1">
      <c r="A1087" s="66"/>
      <c r="B1087" s="36"/>
      <c r="C1087" s="31"/>
      <c r="D1087" s="31"/>
      <c r="E1087" s="34">
        <f t="shared" si="5"/>
        <v>-361988.82</v>
      </c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</row>
    <row r="1088" ht="13.5" customHeight="1">
      <c r="A1088" s="66"/>
      <c r="B1088" s="36"/>
      <c r="C1088" s="31"/>
      <c r="D1088" s="31"/>
      <c r="E1088" s="34">
        <f t="shared" si="5"/>
        <v>-361988.82</v>
      </c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</row>
    <row r="1089" ht="13.5" customHeight="1">
      <c r="A1089" s="66"/>
      <c r="B1089" s="36"/>
      <c r="C1089" s="31"/>
      <c r="D1089" s="31"/>
      <c r="E1089" s="34">
        <f t="shared" si="5"/>
        <v>-361988.82</v>
      </c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</row>
    <row r="1090" ht="13.5" customHeight="1">
      <c r="A1090" s="66"/>
      <c r="B1090" s="36"/>
      <c r="C1090" s="31"/>
      <c r="D1090" s="31"/>
      <c r="E1090" s="34">
        <f t="shared" si="5"/>
        <v>-361988.82</v>
      </c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</row>
    <row r="1091" ht="13.5" customHeight="1">
      <c r="A1091" s="66"/>
      <c r="B1091" s="36"/>
      <c r="C1091" s="31"/>
      <c r="D1091" s="31"/>
      <c r="E1091" s="34">
        <f t="shared" si="5"/>
        <v>-361988.82</v>
      </c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</row>
    <row r="1092" ht="13.5" customHeight="1">
      <c r="A1092" s="66"/>
      <c r="B1092" s="36"/>
      <c r="C1092" s="31"/>
      <c r="D1092" s="31"/>
      <c r="E1092" s="34">
        <f t="shared" si="5"/>
        <v>-361988.82</v>
      </c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</row>
    <row r="1093" ht="13.5" customHeight="1">
      <c r="A1093" s="66"/>
      <c r="B1093" s="36"/>
      <c r="C1093" s="31"/>
      <c r="D1093" s="31"/>
      <c r="E1093" s="34">
        <f t="shared" si="5"/>
        <v>-361988.82</v>
      </c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</row>
    <row r="1094" ht="13.5" customHeight="1">
      <c r="A1094" s="66"/>
      <c r="B1094" s="36"/>
      <c r="C1094" s="31"/>
      <c r="D1094" s="31"/>
      <c r="E1094" s="34">
        <f t="shared" si="5"/>
        <v>-361988.82</v>
      </c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</row>
    <row r="1095" ht="13.5" customHeight="1">
      <c r="A1095" s="66"/>
      <c r="B1095" s="36"/>
      <c r="C1095" s="31"/>
      <c r="D1095" s="31"/>
      <c r="E1095" s="34">
        <f t="shared" si="5"/>
        <v>-361988.82</v>
      </c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</row>
    <row r="1096" ht="13.5" customHeight="1">
      <c r="A1096" s="66"/>
      <c r="B1096" s="36"/>
      <c r="C1096" s="31"/>
      <c r="D1096" s="31"/>
      <c r="E1096" s="34">
        <f t="shared" si="5"/>
        <v>-361988.82</v>
      </c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</row>
    <row r="1097" ht="13.5" customHeight="1">
      <c r="A1097" s="66"/>
      <c r="B1097" s="36"/>
      <c r="C1097" s="31"/>
      <c r="D1097" s="31"/>
      <c r="E1097" s="34">
        <f t="shared" si="5"/>
        <v>-361988.82</v>
      </c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</row>
    <row r="1098" ht="13.5" customHeight="1">
      <c r="A1098" s="66"/>
      <c r="B1098" s="36"/>
      <c r="C1098" s="31"/>
      <c r="D1098" s="31"/>
      <c r="E1098" s="34">
        <f t="shared" si="5"/>
        <v>-361988.82</v>
      </c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</row>
    <row r="1099" ht="13.5" customHeight="1">
      <c r="A1099" s="66"/>
      <c r="B1099" s="36"/>
      <c r="C1099" s="31"/>
      <c r="D1099" s="31"/>
      <c r="E1099" s="34">
        <f t="shared" si="5"/>
        <v>-361988.82</v>
      </c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</row>
    <row r="1100" ht="13.5" customHeight="1">
      <c r="A1100" s="66"/>
      <c r="B1100" s="36"/>
      <c r="C1100" s="31"/>
      <c r="D1100" s="31"/>
      <c r="E1100" s="34">
        <f t="shared" si="5"/>
        <v>-361988.82</v>
      </c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</row>
    <row r="1101" ht="13.5" customHeight="1">
      <c r="A1101" s="66"/>
      <c r="B1101" s="36"/>
      <c r="C1101" s="31"/>
      <c r="D1101" s="31"/>
      <c r="E1101" s="34">
        <f t="shared" si="5"/>
        <v>-361988.82</v>
      </c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</row>
    <row r="1102" ht="13.5" customHeight="1">
      <c r="A1102" s="66"/>
      <c r="B1102" s="36"/>
      <c r="C1102" s="31"/>
      <c r="D1102" s="31"/>
      <c r="E1102" s="34">
        <f t="shared" si="5"/>
        <v>-361988.82</v>
      </c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</row>
    <row r="1103" ht="13.5" customHeight="1">
      <c r="A1103" s="66"/>
      <c r="B1103" s="36"/>
      <c r="C1103" s="31"/>
      <c r="D1103" s="31"/>
      <c r="E1103" s="34">
        <f t="shared" si="5"/>
        <v>-361988.82</v>
      </c>
      <c r="F1103" s="36"/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</row>
    <row r="1104" ht="13.5" customHeight="1">
      <c r="A1104" s="66"/>
      <c r="B1104" s="36"/>
      <c r="C1104" s="31"/>
      <c r="D1104" s="31"/>
      <c r="E1104" s="34">
        <f t="shared" si="5"/>
        <v>-361988.82</v>
      </c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</row>
    <row r="1105" ht="13.5" customHeight="1">
      <c r="A1105" s="66"/>
      <c r="B1105" s="36"/>
      <c r="C1105" s="31"/>
      <c r="D1105" s="31"/>
      <c r="E1105" s="34">
        <f t="shared" si="5"/>
        <v>-361988.82</v>
      </c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</row>
    <row r="1106" ht="13.5" customHeight="1">
      <c r="A1106" s="66"/>
      <c r="B1106" s="36"/>
      <c r="C1106" s="31"/>
      <c r="D1106" s="31"/>
      <c r="E1106" s="34">
        <f t="shared" si="5"/>
        <v>-361988.82</v>
      </c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</row>
    <row r="1107" ht="13.5" customHeight="1">
      <c r="A1107" s="66"/>
      <c r="B1107" s="36"/>
      <c r="C1107" s="31"/>
      <c r="D1107" s="31"/>
      <c r="E1107" s="34">
        <f t="shared" si="5"/>
        <v>-361988.82</v>
      </c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</row>
    <row r="1108" ht="13.5" customHeight="1">
      <c r="A1108" s="66"/>
      <c r="B1108" s="36"/>
      <c r="C1108" s="31"/>
      <c r="D1108" s="31"/>
      <c r="E1108" s="34">
        <f t="shared" si="5"/>
        <v>-361988.82</v>
      </c>
      <c r="F1108" s="36"/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</row>
    <row r="1109" ht="13.5" customHeight="1">
      <c r="A1109" s="66"/>
      <c r="B1109" s="36"/>
      <c r="C1109" s="31"/>
      <c r="D1109" s="31"/>
      <c r="E1109" s="34">
        <f t="shared" si="5"/>
        <v>-361988.82</v>
      </c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</row>
    <row r="1110" ht="13.5" customHeight="1">
      <c r="A1110" s="66"/>
      <c r="B1110" s="36"/>
      <c r="C1110" s="31"/>
      <c r="D1110" s="31"/>
      <c r="E1110" s="34">
        <f t="shared" si="5"/>
        <v>-361988.82</v>
      </c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</row>
    <row r="1111" ht="13.5" customHeight="1">
      <c r="A1111" s="66"/>
      <c r="B1111" s="36"/>
      <c r="C1111" s="31"/>
      <c r="D1111" s="31"/>
      <c r="E1111" s="34">
        <f t="shared" si="5"/>
        <v>-361988.82</v>
      </c>
      <c r="F1111" s="36"/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</row>
    <row r="1112" ht="13.5" customHeight="1">
      <c r="A1112" s="66"/>
      <c r="B1112" s="36"/>
      <c r="C1112" s="31"/>
      <c r="D1112" s="31"/>
      <c r="E1112" s="34">
        <f t="shared" si="5"/>
        <v>-361988.82</v>
      </c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</row>
    <row r="1113" ht="13.5" customHeight="1">
      <c r="A1113" s="66"/>
      <c r="B1113" s="36"/>
      <c r="C1113" s="31"/>
      <c r="D1113" s="31"/>
      <c r="E1113" s="34">
        <f t="shared" si="5"/>
        <v>-361988.82</v>
      </c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</row>
    <row r="1114" ht="13.5" customHeight="1">
      <c r="A1114" s="66"/>
      <c r="B1114" s="36"/>
      <c r="C1114" s="31"/>
      <c r="D1114" s="31"/>
      <c r="E1114" s="34">
        <f t="shared" si="5"/>
        <v>-361988.82</v>
      </c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</row>
    <row r="1115" ht="13.5" customHeight="1">
      <c r="A1115" s="66"/>
      <c r="B1115" s="36"/>
      <c r="C1115" s="31"/>
      <c r="D1115" s="31"/>
      <c r="E1115" s="34">
        <f t="shared" si="5"/>
        <v>-361988.82</v>
      </c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</row>
    <row r="1116" ht="13.5" customHeight="1">
      <c r="A1116" s="66"/>
      <c r="B1116" s="36"/>
      <c r="C1116" s="31"/>
      <c r="D1116" s="31"/>
      <c r="E1116" s="34">
        <f t="shared" si="5"/>
        <v>-361988.82</v>
      </c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</row>
    <row r="1117" ht="13.5" customHeight="1">
      <c r="A1117" s="66"/>
      <c r="B1117" s="36"/>
      <c r="C1117" s="31"/>
      <c r="D1117" s="31"/>
      <c r="E1117" s="34">
        <f t="shared" si="5"/>
        <v>-361988.82</v>
      </c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</row>
    <row r="1118" ht="13.5" customHeight="1">
      <c r="A1118" s="66"/>
      <c r="B1118" s="36"/>
      <c r="C1118" s="31"/>
      <c r="D1118" s="31"/>
      <c r="E1118" s="34">
        <f t="shared" si="5"/>
        <v>-361988.82</v>
      </c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</row>
    <row r="1119" ht="13.5" customHeight="1">
      <c r="A1119" s="66"/>
      <c r="B1119" s="36"/>
      <c r="C1119" s="31"/>
      <c r="D1119" s="31"/>
      <c r="E1119" s="34">
        <f t="shared" si="5"/>
        <v>-361988.82</v>
      </c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</row>
    <row r="1120" ht="13.5" customHeight="1">
      <c r="A1120" s="66"/>
      <c r="B1120" s="36"/>
      <c r="C1120" s="31"/>
      <c r="D1120" s="31"/>
      <c r="E1120" s="34">
        <f t="shared" si="5"/>
        <v>-361988.82</v>
      </c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</row>
    <row r="1121" ht="13.5" customHeight="1">
      <c r="A1121" s="66"/>
      <c r="B1121" s="36"/>
      <c r="C1121" s="31"/>
      <c r="D1121" s="31"/>
      <c r="E1121" s="34">
        <f t="shared" si="5"/>
        <v>-361988.82</v>
      </c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</row>
    <row r="1122" ht="13.5" customHeight="1">
      <c r="A1122" s="66"/>
      <c r="B1122" s="36"/>
      <c r="C1122" s="31"/>
      <c r="D1122" s="31"/>
      <c r="E1122" s="34">
        <f t="shared" si="5"/>
        <v>-361988.82</v>
      </c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</row>
    <row r="1123" ht="13.5" customHeight="1">
      <c r="A1123" s="66"/>
      <c r="B1123" s="36"/>
      <c r="C1123" s="31"/>
      <c r="D1123" s="31"/>
      <c r="E1123" s="34">
        <f t="shared" si="5"/>
        <v>-361988.82</v>
      </c>
      <c r="F1123" s="36"/>
      <c r="G1123" s="36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</row>
    <row r="1124" ht="13.5" customHeight="1">
      <c r="A1124" s="66"/>
      <c r="B1124" s="36"/>
      <c r="C1124" s="31"/>
      <c r="D1124" s="31"/>
      <c r="E1124" s="34">
        <f t="shared" si="5"/>
        <v>-361988.82</v>
      </c>
      <c r="F1124" s="36"/>
      <c r="G1124" s="36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</row>
    <row r="1125" ht="13.5" customHeight="1">
      <c r="A1125" s="66"/>
      <c r="B1125" s="36"/>
      <c r="C1125" s="31"/>
      <c r="D1125" s="31"/>
      <c r="E1125" s="34">
        <f t="shared" si="5"/>
        <v>-361988.82</v>
      </c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</row>
    <row r="1126" ht="13.5" customHeight="1">
      <c r="A1126" s="66"/>
      <c r="B1126" s="36"/>
      <c r="C1126" s="31"/>
      <c r="D1126" s="31"/>
      <c r="E1126" s="34">
        <f t="shared" si="5"/>
        <v>-361988.82</v>
      </c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</row>
    <row r="1127" ht="13.5" customHeight="1">
      <c r="A1127" s="66"/>
      <c r="B1127" s="36"/>
      <c r="C1127" s="31"/>
      <c r="D1127" s="31"/>
      <c r="E1127" s="34">
        <f t="shared" si="5"/>
        <v>-361988.82</v>
      </c>
      <c r="F1127" s="36"/>
      <c r="G1127" s="36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</row>
    <row r="1128" ht="13.5" customHeight="1">
      <c r="A1128" s="66"/>
      <c r="B1128" s="36"/>
      <c r="C1128" s="31"/>
      <c r="D1128" s="31"/>
      <c r="E1128" s="34">
        <f t="shared" si="5"/>
        <v>-361988.82</v>
      </c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</row>
    <row r="1129" ht="13.5" customHeight="1">
      <c r="A1129" s="66"/>
      <c r="B1129" s="36"/>
      <c r="C1129" s="31"/>
      <c r="D1129" s="31"/>
      <c r="E1129" s="34">
        <f t="shared" si="5"/>
        <v>-361988.82</v>
      </c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</row>
    <row r="1130" ht="13.5" customHeight="1">
      <c r="A1130" s="66"/>
      <c r="B1130" s="36"/>
      <c r="C1130" s="31"/>
      <c r="D1130" s="31"/>
      <c r="E1130" s="34">
        <f t="shared" si="5"/>
        <v>-361988.82</v>
      </c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</row>
    <row r="1131" ht="13.5" customHeight="1">
      <c r="A1131" s="66"/>
      <c r="B1131" s="36"/>
      <c r="C1131" s="31"/>
      <c r="D1131" s="31"/>
      <c r="E1131" s="34">
        <f t="shared" si="5"/>
        <v>-361988.82</v>
      </c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</row>
    <row r="1132" ht="13.5" customHeight="1">
      <c r="A1132" s="66"/>
      <c r="B1132" s="36"/>
      <c r="C1132" s="31"/>
      <c r="D1132" s="31"/>
      <c r="E1132" s="34">
        <f t="shared" si="5"/>
        <v>-361988.82</v>
      </c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</row>
    <row r="1133" ht="13.5" customHeight="1">
      <c r="A1133" s="66"/>
      <c r="B1133" s="36"/>
      <c r="C1133" s="31"/>
      <c r="D1133" s="31"/>
      <c r="E1133" s="34">
        <f t="shared" si="5"/>
        <v>-361988.82</v>
      </c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</row>
    <row r="1134" ht="13.5" customHeight="1">
      <c r="A1134" s="66"/>
      <c r="B1134" s="36"/>
      <c r="C1134" s="31"/>
      <c r="D1134" s="31"/>
      <c r="E1134" s="34">
        <f t="shared" si="5"/>
        <v>-361988.82</v>
      </c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</row>
    <row r="1135" ht="13.5" customHeight="1">
      <c r="A1135" s="66"/>
      <c r="B1135" s="36"/>
      <c r="C1135" s="31"/>
      <c r="D1135" s="31"/>
      <c r="E1135" s="34">
        <f t="shared" si="5"/>
        <v>-361988.82</v>
      </c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</row>
    <row r="1136" ht="13.5" customHeight="1">
      <c r="A1136" s="66"/>
      <c r="B1136" s="36"/>
      <c r="C1136" s="31"/>
      <c r="D1136" s="31"/>
      <c r="E1136" s="34">
        <f t="shared" si="5"/>
        <v>-361988.82</v>
      </c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</row>
    <row r="1137" ht="13.5" customHeight="1">
      <c r="A1137" s="66"/>
      <c r="B1137" s="36"/>
      <c r="C1137" s="31"/>
      <c r="D1137" s="31"/>
      <c r="E1137" s="34">
        <f t="shared" si="5"/>
        <v>-361988.82</v>
      </c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</row>
    <row r="1138" ht="13.5" customHeight="1">
      <c r="A1138" s="66"/>
      <c r="B1138" s="36"/>
      <c r="C1138" s="31"/>
      <c r="D1138" s="31"/>
      <c r="E1138" s="34">
        <f t="shared" si="5"/>
        <v>-361988.82</v>
      </c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</row>
    <row r="1139" ht="13.5" customHeight="1">
      <c r="A1139" s="66"/>
      <c r="B1139" s="36"/>
      <c r="C1139" s="31"/>
      <c r="D1139" s="31"/>
      <c r="E1139" s="34">
        <f t="shared" si="5"/>
        <v>-361988.82</v>
      </c>
      <c r="F1139" s="36"/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</row>
    <row r="1140" ht="13.5" customHeight="1">
      <c r="A1140" s="66"/>
      <c r="B1140" s="36"/>
      <c r="C1140" s="31"/>
      <c r="D1140" s="31"/>
      <c r="E1140" s="34">
        <f t="shared" si="5"/>
        <v>-361988.82</v>
      </c>
      <c r="F1140" s="36"/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</row>
    <row r="1141" ht="13.5" customHeight="1">
      <c r="A1141" s="66"/>
      <c r="B1141" s="36"/>
      <c r="C1141" s="31"/>
      <c r="D1141" s="31"/>
      <c r="E1141" s="34">
        <f t="shared" si="5"/>
        <v>-361988.82</v>
      </c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</row>
    <row r="1142" ht="13.5" customHeight="1">
      <c r="A1142" s="66"/>
      <c r="B1142" s="36"/>
      <c r="C1142" s="31"/>
      <c r="D1142" s="31"/>
      <c r="E1142" s="34">
        <f t="shared" si="5"/>
        <v>-361988.82</v>
      </c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</row>
    <row r="1143" ht="13.5" customHeight="1">
      <c r="A1143" s="66"/>
      <c r="B1143" s="36"/>
      <c r="C1143" s="31"/>
      <c r="D1143" s="31"/>
      <c r="E1143" s="34">
        <f t="shared" si="5"/>
        <v>-361988.82</v>
      </c>
      <c r="F1143" s="36"/>
      <c r="G1143" s="36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</row>
    <row r="1144" ht="13.5" customHeight="1">
      <c r="A1144" s="66"/>
      <c r="B1144" s="36"/>
      <c r="C1144" s="31"/>
      <c r="D1144" s="31"/>
      <c r="E1144" s="34">
        <f t="shared" si="5"/>
        <v>-361988.82</v>
      </c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</row>
    <row r="1145" ht="13.5" customHeight="1">
      <c r="A1145" s="66"/>
      <c r="B1145" s="36"/>
      <c r="C1145" s="31"/>
      <c r="D1145" s="31"/>
      <c r="E1145" s="34">
        <f t="shared" si="5"/>
        <v>-361988.82</v>
      </c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</row>
    <row r="1146" ht="13.5" customHeight="1">
      <c r="A1146" s="66"/>
      <c r="B1146" s="36"/>
      <c r="C1146" s="31"/>
      <c r="D1146" s="31"/>
      <c r="E1146" s="34">
        <f t="shared" si="5"/>
        <v>-361988.82</v>
      </c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</row>
    <row r="1147" ht="13.5" customHeight="1">
      <c r="A1147" s="66"/>
      <c r="B1147" s="36"/>
      <c r="C1147" s="31"/>
      <c r="D1147" s="31"/>
      <c r="E1147" s="34">
        <f t="shared" si="5"/>
        <v>-361988.82</v>
      </c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</row>
    <row r="1148" ht="13.5" customHeight="1">
      <c r="A1148" s="66"/>
      <c r="B1148" s="36"/>
      <c r="C1148" s="31"/>
      <c r="D1148" s="31"/>
      <c r="E1148" s="34">
        <f t="shared" si="5"/>
        <v>-361988.82</v>
      </c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</row>
    <row r="1149" ht="13.5" customHeight="1">
      <c r="A1149" s="66"/>
      <c r="B1149" s="36"/>
      <c r="C1149" s="31"/>
      <c r="D1149" s="31"/>
      <c r="E1149" s="34">
        <f t="shared" si="5"/>
        <v>-361988.82</v>
      </c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</row>
    <row r="1150" ht="13.5" customHeight="1">
      <c r="A1150" s="66"/>
      <c r="B1150" s="36"/>
      <c r="C1150" s="31"/>
      <c r="D1150" s="31"/>
      <c r="E1150" s="34">
        <f t="shared" si="5"/>
        <v>-361988.82</v>
      </c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</row>
    <row r="1151" ht="13.5" customHeight="1">
      <c r="A1151" s="66"/>
      <c r="B1151" s="36"/>
      <c r="C1151" s="31"/>
      <c r="D1151" s="31"/>
      <c r="E1151" s="34">
        <f t="shared" si="5"/>
        <v>-361988.82</v>
      </c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</row>
    <row r="1152" ht="13.5" customHeight="1">
      <c r="A1152" s="66"/>
      <c r="B1152" s="36"/>
      <c r="C1152" s="31"/>
      <c r="D1152" s="31"/>
      <c r="E1152" s="34">
        <f t="shared" si="5"/>
        <v>-361988.82</v>
      </c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</row>
    <row r="1153" ht="13.5" customHeight="1">
      <c r="A1153" s="66"/>
      <c r="B1153" s="36"/>
      <c r="C1153" s="31"/>
      <c r="D1153" s="31"/>
      <c r="E1153" s="34">
        <f t="shared" si="5"/>
        <v>-361988.82</v>
      </c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</row>
    <row r="1154" ht="13.5" customHeight="1">
      <c r="A1154" s="66"/>
      <c r="B1154" s="36"/>
      <c r="C1154" s="31"/>
      <c r="D1154" s="31"/>
      <c r="E1154" s="34">
        <f t="shared" si="5"/>
        <v>-361988.82</v>
      </c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</row>
    <row r="1155" ht="13.5" customHeight="1">
      <c r="A1155" s="66"/>
      <c r="B1155" s="36"/>
      <c r="C1155" s="31"/>
      <c r="D1155" s="31"/>
      <c r="E1155" s="34">
        <f t="shared" si="5"/>
        <v>-361988.82</v>
      </c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</row>
    <row r="1156" ht="13.5" customHeight="1">
      <c r="A1156" s="66"/>
      <c r="B1156" s="36"/>
      <c r="C1156" s="31"/>
      <c r="D1156" s="31"/>
      <c r="E1156" s="34">
        <f t="shared" si="5"/>
        <v>-361988.82</v>
      </c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</row>
    <row r="1157" ht="13.5" customHeight="1">
      <c r="A1157" s="66"/>
      <c r="B1157" s="36"/>
      <c r="C1157" s="31"/>
      <c r="D1157" s="31"/>
      <c r="E1157" s="34">
        <f t="shared" si="5"/>
        <v>-361988.82</v>
      </c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</row>
    <row r="1158" ht="13.5" customHeight="1">
      <c r="A1158" s="66"/>
      <c r="B1158" s="36"/>
      <c r="C1158" s="31"/>
      <c r="D1158" s="31"/>
      <c r="E1158" s="34">
        <f t="shared" si="5"/>
        <v>-361988.82</v>
      </c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</row>
    <row r="1159" ht="13.5" customHeight="1">
      <c r="A1159" s="66"/>
      <c r="B1159" s="36"/>
      <c r="C1159" s="31"/>
      <c r="D1159" s="31"/>
      <c r="E1159" s="34">
        <f t="shared" si="5"/>
        <v>-361988.82</v>
      </c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</row>
    <row r="1160" ht="13.5" customHeight="1">
      <c r="A1160" s="66"/>
      <c r="B1160" s="36"/>
      <c r="C1160" s="31"/>
      <c r="D1160" s="31"/>
      <c r="E1160" s="34">
        <f t="shared" si="5"/>
        <v>-361988.82</v>
      </c>
      <c r="F1160" s="36"/>
      <c r="G1160" s="36"/>
      <c r="H1160" s="36"/>
      <c r="I1160" s="36"/>
      <c r="J1160" s="36"/>
      <c r="K1160" s="36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</row>
    <row r="1161" ht="13.5" customHeight="1">
      <c r="A1161" s="66"/>
      <c r="B1161" s="36"/>
      <c r="C1161" s="31"/>
      <c r="D1161" s="31"/>
      <c r="E1161" s="34">
        <f t="shared" si="5"/>
        <v>-361988.82</v>
      </c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</row>
    <row r="1162" ht="13.5" customHeight="1">
      <c r="A1162" s="66"/>
      <c r="B1162" s="36"/>
      <c r="C1162" s="31"/>
      <c r="D1162" s="31"/>
      <c r="E1162" s="34">
        <f t="shared" si="5"/>
        <v>-361988.82</v>
      </c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</row>
    <row r="1163" ht="13.5" customHeight="1">
      <c r="A1163" s="66"/>
      <c r="B1163" s="36"/>
      <c r="C1163" s="31"/>
      <c r="D1163" s="31"/>
      <c r="E1163" s="34">
        <f t="shared" si="5"/>
        <v>-361988.82</v>
      </c>
      <c r="F1163" s="36"/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</row>
    <row r="1164" ht="13.5" customHeight="1">
      <c r="A1164" s="66"/>
      <c r="B1164" s="36"/>
      <c r="C1164" s="31"/>
      <c r="D1164" s="31"/>
      <c r="E1164" s="34">
        <f t="shared" si="5"/>
        <v>-361988.82</v>
      </c>
      <c r="F1164" s="36"/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</row>
    <row r="1165" ht="13.5" customHeight="1">
      <c r="A1165" s="66"/>
      <c r="B1165" s="36"/>
      <c r="C1165" s="31"/>
      <c r="D1165" s="31"/>
      <c r="E1165" s="34">
        <f t="shared" si="5"/>
        <v>-361988.82</v>
      </c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</row>
    <row r="1166" ht="13.5" customHeight="1">
      <c r="A1166" s="66"/>
      <c r="B1166" s="36"/>
      <c r="C1166" s="31"/>
      <c r="D1166" s="31"/>
      <c r="E1166" s="34">
        <f t="shared" si="5"/>
        <v>-361988.82</v>
      </c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</row>
    <row r="1167" ht="13.5" customHeight="1">
      <c r="A1167" s="66"/>
      <c r="B1167" s="36"/>
      <c r="C1167" s="31"/>
      <c r="D1167" s="31"/>
      <c r="E1167" s="34">
        <f t="shared" si="5"/>
        <v>-361988.82</v>
      </c>
      <c r="F1167" s="36"/>
      <c r="G1167" s="36"/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</row>
    <row r="1168" ht="13.5" customHeight="1">
      <c r="A1168" s="66"/>
      <c r="B1168" s="36"/>
      <c r="C1168" s="31"/>
      <c r="D1168" s="31"/>
      <c r="E1168" s="34">
        <f t="shared" si="5"/>
        <v>-361988.82</v>
      </c>
      <c r="F1168" s="36"/>
      <c r="G1168" s="36"/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</row>
    <row r="1169" ht="13.5" customHeight="1">
      <c r="A1169" s="66"/>
      <c r="B1169" s="36"/>
      <c r="C1169" s="31"/>
      <c r="D1169" s="31"/>
      <c r="E1169" s="34">
        <f t="shared" si="5"/>
        <v>-361988.82</v>
      </c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</row>
    <row r="1170" ht="13.5" customHeight="1">
      <c r="A1170" s="66"/>
      <c r="B1170" s="36"/>
      <c r="C1170" s="31"/>
      <c r="D1170" s="31"/>
      <c r="E1170" s="34">
        <f t="shared" si="5"/>
        <v>-361988.82</v>
      </c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</row>
    <row r="1171" ht="13.5" customHeight="1">
      <c r="A1171" s="66"/>
      <c r="B1171" s="36"/>
      <c r="C1171" s="31"/>
      <c r="D1171" s="31"/>
      <c r="E1171" s="34">
        <f t="shared" si="5"/>
        <v>-361988.82</v>
      </c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</row>
    <row r="1172" ht="13.5" customHeight="1">
      <c r="A1172" s="66"/>
      <c r="B1172" s="36"/>
      <c r="C1172" s="31"/>
      <c r="D1172" s="31"/>
      <c r="E1172" s="34">
        <f t="shared" si="5"/>
        <v>-361988.82</v>
      </c>
      <c r="F1172" s="36"/>
      <c r="G1172" s="36"/>
      <c r="H1172" s="36"/>
      <c r="I1172" s="36"/>
      <c r="J1172" s="36"/>
      <c r="K1172" s="36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</row>
    <row r="1173" ht="13.5" customHeight="1">
      <c r="A1173" s="66"/>
      <c r="B1173" s="36"/>
      <c r="C1173" s="31"/>
      <c r="D1173" s="31"/>
      <c r="E1173" s="34">
        <f t="shared" si="5"/>
        <v>-361988.82</v>
      </c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</row>
    <row r="1174" ht="13.5" customHeight="1">
      <c r="A1174" s="66"/>
      <c r="B1174" s="36"/>
      <c r="C1174" s="31"/>
      <c r="D1174" s="31"/>
      <c r="E1174" s="34">
        <f t="shared" si="5"/>
        <v>-361988.82</v>
      </c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</row>
    <row r="1175" ht="13.5" customHeight="1">
      <c r="A1175" s="66"/>
      <c r="B1175" s="36"/>
      <c r="C1175" s="31"/>
      <c r="D1175" s="31"/>
      <c r="E1175" s="34">
        <f t="shared" si="5"/>
        <v>-361988.82</v>
      </c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</row>
    <row r="1176" ht="13.5" customHeight="1">
      <c r="A1176" s="66"/>
      <c r="B1176" s="36"/>
      <c r="C1176" s="31"/>
      <c r="D1176" s="31"/>
      <c r="E1176" s="34">
        <f t="shared" si="5"/>
        <v>-361988.82</v>
      </c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</row>
    <row r="1177" ht="13.5" customHeight="1">
      <c r="A1177" s="66"/>
      <c r="B1177" s="36"/>
      <c r="C1177" s="31"/>
      <c r="D1177" s="31"/>
      <c r="E1177" s="34">
        <f t="shared" si="5"/>
        <v>-361988.82</v>
      </c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</row>
    <row r="1178" ht="13.5" customHeight="1">
      <c r="A1178" s="66"/>
      <c r="B1178" s="36"/>
      <c r="C1178" s="31"/>
      <c r="D1178" s="31"/>
      <c r="E1178" s="34">
        <f t="shared" si="5"/>
        <v>-361988.82</v>
      </c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</row>
    <row r="1179" ht="13.5" customHeight="1">
      <c r="A1179" s="66"/>
      <c r="B1179" s="36"/>
      <c r="C1179" s="31"/>
      <c r="D1179" s="31"/>
      <c r="E1179" s="34">
        <f t="shared" si="5"/>
        <v>-361988.82</v>
      </c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</row>
    <row r="1180" ht="13.5" customHeight="1">
      <c r="A1180" s="66"/>
      <c r="B1180" s="36"/>
      <c r="C1180" s="31"/>
      <c r="D1180" s="31"/>
      <c r="E1180" s="34">
        <f t="shared" si="5"/>
        <v>-361988.82</v>
      </c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</row>
    <row r="1181" ht="13.5" customHeight="1">
      <c r="A1181" s="66"/>
      <c r="B1181" s="36"/>
      <c r="C1181" s="31"/>
      <c r="D1181" s="31"/>
      <c r="E1181" s="34">
        <f t="shared" si="5"/>
        <v>-361988.82</v>
      </c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</row>
    <row r="1182" ht="13.5" customHeight="1">
      <c r="A1182" s="66"/>
      <c r="B1182" s="36"/>
      <c r="C1182" s="31"/>
      <c r="D1182" s="31"/>
      <c r="E1182" s="34">
        <f t="shared" si="5"/>
        <v>-361988.82</v>
      </c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</row>
    <row r="1183" ht="13.5" customHeight="1">
      <c r="A1183" s="66"/>
      <c r="B1183" s="36"/>
      <c r="C1183" s="31"/>
      <c r="D1183" s="31"/>
      <c r="E1183" s="34">
        <f t="shared" si="5"/>
        <v>-361988.82</v>
      </c>
      <c r="F1183" s="36"/>
      <c r="G1183" s="36"/>
      <c r="H1183" s="36"/>
      <c r="I1183" s="36"/>
      <c r="J1183" s="36"/>
      <c r="K1183" s="36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</row>
    <row r="1184" ht="13.5" customHeight="1">
      <c r="A1184" s="66"/>
      <c r="B1184" s="36"/>
      <c r="C1184" s="31"/>
      <c r="D1184" s="31"/>
      <c r="E1184" s="34">
        <f t="shared" si="5"/>
        <v>-361988.82</v>
      </c>
      <c r="F1184" s="36"/>
      <c r="G1184" s="36"/>
      <c r="H1184" s="36"/>
      <c r="I1184" s="36"/>
      <c r="J1184" s="36"/>
      <c r="K1184" s="36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</row>
    <row r="1185" ht="13.5" customHeight="1">
      <c r="A1185" s="66"/>
      <c r="B1185" s="36"/>
      <c r="C1185" s="31"/>
      <c r="D1185" s="31"/>
      <c r="E1185" s="34">
        <f t="shared" si="5"/>
        <v>-361988.82</v>
      </c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</row>
    <row r="1186" ht="13.5" customHeight="1">
      <c r="A1186" s="66"/>
      <c r="B1186" s="36"/>
      <c r="C1186" s="31"/>
      <c r="D1186" s="31"/>
      <c r="E1186" s="34">
        <f t="shared" si="5"/>
        <v>-361988.82</v>
      </c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</row>
  </sheetData>
  <conditionalFormatting sqref="E1:E1186">
    <cfRule type="cellIs" dxfId="0" priority="1" operator="lessThan">
      <formula>0</formula>
    </cfRule>
  </conditionalFormatting>
  <conditionalFormatting sqref="B1:B1186">
    <cfRule type="containsText" dxfId="1" priority="2" operator="containsText" text="check cleared">
      <formula>NOT(ISERROR(SEARCH(("check cleared"),(B1))))</formula>
    </cfRule>
  </conditionalFormatting>
  <conditionalFormatting sqref="B1:B1186">
    <cfRule type="containsText" dxfId="1" priority="3" operator="containsText" text="Payment">
      <formula>NOT(ISERROR(SEARCH(("Payment"),(B1))))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57"/>
    <col customWidth="1" min="2" max="2" width="24.14"/>
    <col customWidth="1" min="3" max="15" width="13.29"/>
    <col customWidth="1" min="16" max="26" width="8.86"/>
  </cols>
  <sheetData>
    <row r="1" ht="12.75" customHeight="1">
      <c r="A1" s="4" t="s">
        <v>0</v>
      </c>
      <c r="B1" s="4"/>
      <c r="C1" s="8"/>
      <c r="D1" s="8"/>
      <c r="E1" s="8"/>
      <c r="F1" s="8"/>
      <c r="G1" s="8"/>
      <c r="H1" s="8"/>
      <c r="I1" s="9"/>
      <c r="J1" s="8"/>
      <c r="K1" s="8"/>
      <c r="L1" s="8"/>
      <c r="M1" s="8"/>
      <c r="N1" s="8"/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4" t="s">
        <v>11</v>
      </c>
      <c r="B2" s="4"/>
      <c r="C2" s="8"/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 t="s">
        <v>13</v>
      </c>
      <c r="B3" s="4"/>
      <c r="C3" s="8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9"/>
      <c r="B4" s="19"/>
      <c r="C4" s="20" t="s">
        <v>4</v>
      </c>
      <c r="D4" s="20" t="s">
        <v>5</v>
      </c>
      <c r="E4" s="20" t="s">
        <v>6</v>
      </c>
      <c r="F4" s="20" t="s">
        <v>8</v>
      </c>
      <c r="G4" s="20" t="s">
        <v>15</v>
      </c>
      <c r="H4" s="20" t="s">
        <v>16</v>
      </c>
      <c r="I4" s="21" t="s">
        <v>17</v>
      </c>
      <c r="J4" s="20" t="s">
        <v>18</v>
      </c>
      <c r="K4" s="20" t="s">
        <v>19</v>
      </c>
      <c r="L4" s="20" t="s">
        <v>20</v>
      </c>
      <c r="M4" s="20" t="s">
        <v>21</v>
      </c>
      <c r="N4" s="20" t="s">
        <v>22</v>
      </c>
      <c r="O4" s="20" t="s">
        <v>23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24"/>
      <c r="B5" s="24" t="s">
        <v>14</v>
      </c>
      <c r="C5" s="26">
        <f>'2026 DS'!$F$3</f>
        <v>405325.97</v>
      </c>
      <c r="D5" s="26">
        <f>'2026 DS'!F44</f>
        <v>314994.6</v>
      </c>
      <c r="E5" s="26">
        <f>'2026 DS'!F103</f>
        <v>676068</v>
      </c>
      <c r="F5" s="26">
        <f>'2026 DS'!F170</f>
        <v>664972.26</v>
      </c>
      <c r="G5" s="26">
        <f>'2026 DS'!F239</f>
        <v>341484.6</v>
      </c>
      <c r="H5" s="26">
        <f>'2026 DS'!F291</f>
        <v>461234</v>
      </c>
      <c r="I5" s="39">
        <f>'2026 DS'!F358</f>
        <v>799834.6</v>
      </c>
      <c r="J5" s="26"/>
      <c r="K5" s="26"/>
      <c r="L5" s="26"/>
      <c r="M5" s="26"/>
      <c r="N5" s="26"/>
      <c r="O5" s="26">
        <f t="shared" ref="O5:O7" si="1">SUM(C5:N5)</f>
        <v>3663914.03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4"/>
      <c r="B6" s="24" t="s">
        <v>25</v>
      </c>
      <c r="C6" s="35">
        <f>-'2026 DS'!$G$3</f>
        <v>-280718.4</v>
      </c>
      <c r="D6" s="35">
        <f>-'2026 DS'!G44</f>
        <v>-206326.08</v>
      </c>
      <c r="E6" s="35">
        <f>-'2026 DS'!G103</f>
        <v>-521692.8</v>
      </c>
      <c r="F6" s="35">
        <f>-'2026 DS'!G170</f>
        <v>-500048.32</v>
      </c>
      <c r="G6" s="35">
        <f>-'2026 DS'!G239</f>
        <v>-222972</v>
      </c>
      <c r="H6" s="35">
        <f>-'2026 DS'!G291</f>
        <v>-319265.8</v>
      </c>
      <c r="I6" s="39">
        <f>-'2026 DS'!G358</f>
        <v>-593187</v>
      </c>
      <c r="J6" s="35"/>
      <c r="K6" s="35"/>
      <c r="L6" s="35"/>
      <c r="M6" s="35"/>
      <c r="N6" s="35"/>
      <c r="O6" s="35">
        <f t="shared" si="1"/>
        <v>-2644210.4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s="24"/>
      <c r="B7" s="24" t="s">
        <v>45</v>
      </c>
      <c r="C7" s="35">
        <f>-'2026 DS'!$H$3</f>
        <v>0</v>
      </c>
      <c r="D7" s="35">
        <f>-'2026 DS'!H44</f>
        <v>0</v>
      </c>
      <c r="E7" s="35">
        <f>-'2026 DS'!H103</f>
        <v>-5500</v>
      </c>
      <c r="F7" s="35">
        <f>-'2026 DS'!H170</f>
        <v>0</v>
      </c>
      <c r="G7" s="35">
        <f>-'2026 DS'!H239</f>
        <v>0</v>
      </c>
      <c r="H7" s="35">
        <f>-'2026 DS'!H291</f>
        <v>0</v>
      </c>
      <c r="I7" s="39">
        <f>-'2026 DS'!H358</f>
        <v>0</v>
      </c>
      <c r="J7" s="35"/>
      <c r="K7" s="35"/>
      <c r="L7" s="35"/>
      <c r="M7" s="35"/>
      <c r="N7" s="35"/>
      <c r="O7" s="35">
        <f t="shared" si="1"/>
        <v>-5500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s="4"/>
      <c r="B8" s="4" t="s">
        <v>29</v>
      </c>
      <c r="C8" s="48">
        <f t="shared" ref="C8:O8" si="2">SUM(C5:C7)</f>
        <v>124607.57</v>
      </c>
      <c r="D8" s="48">
        <f t="shared" si="2"/>
        <v>108668.52</v>
      </c>
      <c r="E8" s="48">
        <f t="shared" si="2"/>
        <v>148875.2</v>
      </c>
      <c r="F8" s="48">
        <f t="shared" si="2"/>
        <v>164923.94</v>
      </c>
      <c r="G8" s="48">
        <f t="shared" si="2"/>
        <v>118512.6</v>
      </c>
      <c r="H8" s="48">
        <f t="shared" si="2"/>
        <v>141968.2</v>
      </c>
      <c r="I8" s="50">
        <f t="shared" si="2"/>
        <v>206647.6</v>
      </c>
      <c r="J8" s="48">
        <f t="shared" si="2"/>
        <v>0</v>
      </c>
      <c r="K8" s="48">
        <f t="shared" si="2"/>
        <v>0</v>
      </c>
      <c r="L8" s="48">
        <f t="shared" si="2"/>
        <v>0</v>
      </c>
      <c r="M8" s="48">
        <f t="shared" si="2"/>
        <v>0</v>
      </c>
      <c r="N8" s="48">
        <f t="shared" si="2"/>
        <v>0</v>
      </c>
      <c r="O8" s="48">
        <f t="shared" si="2"/>
        <v>1014203.63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1"/>
      <c r="B9" s="51" t="s">
        <v>63</v>
      </c>
      <c r="C9" s="53">
        <f t="shared" ref="C9:O9" si="3">C8/C5</f>
        <v>0.3074255765</v>
      </c>
      <c r="D9" s="53">
        <f t="shared" si="3"/>
        <v>0.3449853426</v>
      </c>
      <c r="E9" s="53">
        <f t="shared" si="3"/>
        <v>0.2202074348</v>
      </c>
      <c r="F9" s="53">
        <f t="shared" si="3"/>
        <v>0.2480162706</v>
      </c>
      <c r="G9" s="53">
        <f t="shared" si="3"/>
        <v>0.3470510822</v>
      </c>
      <c r="H9" s="53">
        <f t="shared" si="3"/>
        <v>0.3078008126</v>
      </c>
      <c r="I9" s="54">
        <f t="shared" si="3"/>
        <v>0.2583629165</v>
      </c>
      <c r="J9" s="53" t="str">
        <f t="shared" si="3"/>
        <v>#DIV/0!</v>
      </c>
      <c r="K9" s="53" t="str">
        <f t="shared" si="3"/>
        <v>#DIV/0!</v>
      </c>
      <c r="L9" s="53" t="str">
        <f t="shared" si="3"/>
        <v>#DIV/0!</v>
      </c>
      <c r="M9" s="53" t="str">
        <f t="shared" si="3"/>
        <v>#DIV/0!</v>
      </c>
      <c r="N9" s="55" t="str">
        <f t="shared" si="3"/>
        <v>#DIV/0!</v>
      </c>
      <c r="O9" s="53">
        <f t="shared" si="3"/>
        <v>0.2768087956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2.75" customHeight="1">
      <c r="A10" s="24"/>
      <c r="B10" s="24"/>
      <c r="C10" s="26"/>
      <c r="D10" s="26"/>
      <c r="E10" s="26"/>
      <c r="F10" s="26"/>
      <c r="G10" s="26"/>
      <c r="H10" s="26"/>
      <c r="I10" s="39"/>
      <c r="J10" s="26"/>
      <c r="K10" s="26"/>
      <c r="L10" s="26"/>
      <c r="M10" s="26"/>
      <c r="N10" s="26"/>
      <c r="O10" s="26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4"/>
      <c r="B11" s="4" t="s">
        <v>74</v>
      </c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4"/>
      <c r="B12" s="45"/>
      <c r="C12" s="26"/>
      <c r="D12" s="26"/>
      <c r="E12" s="26"/>
      <c r="F12" s="26"/>
      <c r="G12" s="26"/>
      <c r="H12" s="26"/>
      <c r="I12" s="39"/>
      <c r="J12" s="26"/>
      <c r="K12" s="26"/>
      <c r="L12" s="26"/>
      <c r="M12" s="26"/>
      <c r="N12" s="26"/>
      <c r="O12" s="26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s="24"/>
      <c r="B13" s="45" t="s">
        <v>57</v>
      </c>
      <c r="C13" s="26">
        <f>'2026 Exp'!C6</f>
        <v>33200</v>
      </c>
      <c r="D13" s="26">
        <f>'2026 Exp'!C29</f>
        <v>36500</v>
      </c>
      <c r="E13" s="26">
        <f>'2026 Exp'!C52</f>
        <v>37700</v>
      </c>
      <c r="F13" s="26">
        <f>'2026 Exp'!C76</f>
        <v>40000</v>
      </c>
      <c r="G13" s="26">
        <f>'2026 Exp'!C100</f>
        <v>41000</v>
      </c>
      <c r="H13" s="26">
        <f>'2026 Exp'!C124</f>
        <v>40489.62</v>
      </c>
      <c r="I13" s="39">
        <f>'2026 Exp'!C148</f>
        <v>43250</v>
      </c>
      <c r="J13" s="26"/>
      <c r="K13" s="26"/>
      <c r="L13" s="26"/>
      <c r="M13" s="26"/>
      <c r="N13" s="26"/>
      <c r="O13" s="35">
        <f t="shared" ref="O13:O33" si="4">SUM(C13:N13)</f>
        <v>272139.62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45" t="s">
        <v>61</v>
      </c>
      <c r="C14" s="26">
        <f>'2026 Exp'!C7</f>
        <v>3000</v>
      </c>
      <c r="D14" s="26">
        <f>'2026 Exp'!C30</f>
        <v>3000</v>
      </c>
      <c r="E14" s="26">
        <f>'2026 Exp'!C53</f>
        <v>3000</v>
      </c>
      <c r="F14" s="26">
        <f>'2026 Exp'!C77</f>
        <v>3000</v>
      </c>
      <c r="G14" s="26">
        <f>'2026 Exp'!C101</f>
        <v>3000</v>
      </c>
      <c r="H14" s="26">
        <f>'2026 Exp'!C125</f>
        <v>3000</v>
      </c>
      <c r="I14" s="39">
        <f>'2026 Exp'!C149</f>
        <v>3000</v>
      </c>
      <c r="J14" s="26"/>
      <c r="K14" s="26"/>
      <c r="L14" s="26"/>
      <c r="M14" s="26"/>
      <c r="N14" s="26"/>
      <c r="O14" s="35">
        <f t="shared" si="4"/>
        <v>21000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s="24"/>
      <c r="B15" s="45" t="s">
        <v>67</v>
      </c>
      <c r="C15" s="26">
        <f>'2026 Exp'!C8</f>
        <v>2000</v>
      </c>
      <c r="D15" s="26">
        <f>'2026 Exp'!C31</f>
        <v>2000</v>
      </c>
      <c r="E15" s="26">
        <f>'2026 Exp'!C54</f>
        <v>2000</v>
      </c>
      <c r="F15" s="26">
        <f>'2026 Exp'!C78</f>
        <v>2000</v>
      </c>
      <c r="G15" s="26">
        <f>'2026 Exp'!C102</f>
        <v>2000</v>
      </c>
      <c r="H15" s="26">
        <f>'2026 Exp'!C126</f>
        <v>2000</v>
      </c>
      <c r="I15" s="39">
        <f>'2026 Exp'!C150</f>
        <v>2000</v>
      </c>
      <c r="J15" s="26"/>
      <c r="K15" s="26"/>
      <c r="L15" s="26"/>
      <c r="M15" s="26"/>
      <c r="N15" s="26"/>
      <c r="O15" s="35">
        <f t="shared" si="4"/>
        <v>14000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45" t="s">
        <v>70</v>
      </c>
      <c r="C16" s="26">
        <f>'2026 Exp'!C9</f>
        <v>2833.333333</v>
      </c>
      <c r="D16" s="26">
        <f>'2026 Exp'!C32</f>
        <v>2833.333333</v>
      </c>
      <c r="E16" s="26">
        <f>'2026 Exp'!C55</f>
        <v>2833.333333</v>
      </c>
      <c r="F16" s="26">
        <f>'2026 Exp'!C79</f>
        <v>2833.333333</v>
      </c>
      <c r="G16" s="26">
        <f>'2026 Exp'!C103</f>
        <v>2833.333333</v>
      </c>
      <c r="H16" s="26">
        <f>'2026 Exp'!C127</f>
        <v>2833.333333</v>
      </c>
      <c r="I16" s="39">
        <f>'2026 Exp'!C151</f>
        <v>2833.333333</v>
      </c>
      <c r="J16" s="26"/>
      <c r="K16" s="26"/>
      <c r="L16" s="26"/>
      <c r="M16" s="26"/>
      <c r="N16" s="26"/>
      <c r="O16" s="35">
        <f t="shared" si="4"/>
        <v>19833.33333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45" t="s">
        <v>75</v>
      </c>
      <c r="C17" s="26">
        <f>'2026 Exp'!C10</f>
        <v>13548.1491</v>
      </c>
      <c r="D17" s="26">
        <f>'2026 Exp'!C33</f>
        <v>1855.5</v>
      </c>
      <c r="E17" s="26">
        <f>'2026 Exp'!C56</f>
        <v>11692.65</v>
      </c>
      <c r="F17" s="26">
        <f>'2026 Exp'!C80</f>
        <v>5000</v>
      </c>
      <c r="G17" s="26">
        <f>'2026 Exp'!C104</f>
        <v>5000</v>
      </c>
      <c r="H17" s="26">
        <f>'2026 Exp'!C128</f>
        <v>5000</v>
      </c>
      <c r="I17" s="39">
        <f>'2026 Exp'!C152</f>
        <v>5000</v>
      </c>
      <c r="J17" s="26"/>
      <c r="K17" s="26"/>
      <c r="L17" s="26"/>
      <c r="M17" s="26"/>
      <c r="N17" s="26"/>
      <c r="O17" s="35">
        <f t="shared" si="4"/>
        <v>47096.2991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s="24"/>
      <c r="B18" s="45" t="s">
        <v>78</v>
      </c>
      <c r="C18" s="26">
        <f>'2026 Exp'!C11</f>
        <v>5000</v>
      </c>
      <c r="D18" s="26">
        <f>'2026 Exp'!C34</f>
        <v>5000</v>
      </c>
      <c r="E18" s="26">
        <f>'2026 Exp'!C57</f>
        <v>5000</v>
      </c>
      <c r="F18" s="26">
        <f>'2026 Exp'!C81</f>
        <v>5000</v>
      </c>
      <c r="G18" s="26">
        <f>'2026 Exp'!C105</f>
        <v>5000</v>
      </c>
      <c r="H18" s="26">
        <f>'2026 Exp'!C129</f>
        <v>5000</v>
      </c>
      <c r="I18" s="39">
        <f>'2026 Exp'!C153</f>
        <v>5000</v>
      </c>
      <c r="J18" s="26"/>
      <c r="K18" s="26"/>
      <c r="L18" s="26"/>
      <c r="M18" s="26"/>
      <c r="N18" s="26"/>
      <c r="O18" s="35">
        <f t="shared" si="4"/>
        <v>35000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56" t="s">
        <v>81</v>
      </c>
      <c r="C19" s="26">
        <f>'2026 Exp'!C12</f>
        <v>0</v>
      </c>
      <c r="D19" s="26">
        <f>'2026 Exp'!C35</f>
        <v>9000</v>
      </c>
      <c r="E19" s="26">
        <f>'2026 Exp'!C58</f>
        <v>0</v>
      </c>
      <c r="F19" s="26">
        <f>'2026 Exp'!C82</f>
        <v>0</v>
      </c>
      <c r="G19" s="26">
        <f>'2026 Exp'!C106</f>
        <v>0</v>
      </c>
      <c r="H19" s="26">
        <f>'2026 Exp'!C130</f>
        <v>0</v>
      </c>
      <c r="I19" s="39">
        <f>'2026 Exp'!C154</f>
        <v>0</v>
      </c>
      <c r="J19" s="26"/>
      <c r="K19" s="26"/>
      <c r="L19" s="26"/>
      <c r="M19" s="26"/>
      <c r="N19" s="26"/>
      <c r="O19" s="35">
        <f t="shared" si="4"/>
        <v>9000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45" t="s">
        <v>82</v>
      </c>
      <c r="C20" s="26">
        <f>'2026 Exp'!C13</f>
        <v>0</v>
      </c>
      <c r="D20" s="26">
        <f>'2026 Exp'!C36</f>
        <v>0</v>
      </c>
      <c r="E20" s="26">
        <f>'2026 Exp'!C59</f>
        <v>0</v>
      </c>
      <c r="F20" s="26">
        <f>'2026 Exp'!C83</f>
        <v>0</v>
      </c>
      <c r="G20" s="26">
        <f>'2026 Exp'!C107</f>
        <v>0</v>
      </c>
      <c r="H20" s="26">
        <f>'2026 Exp'!C131</f>
        <v>0</v>
      </c>
      <c r="I20" s="39">
        <f>'2026 Exp'!C155</f>
        <v>0</v>
      </c>
      <c r="J20" s="26"/>
      <c r="K20" s="26"/>
      <c r="L20" s="26"/>
      <c r="M20" s="26"/>
      <c r="N20" s="26"/>
      <c r="O20" s="35">
        <f t="shared" si="4"/>
        <v>0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24"/>
      <c r="B21" s="45" t="s">
        <v>83</v>
      </c>
      <c r="C21" s="26">
        <f>'2026 Exp'!C14</f>
        <v>2500</v>
      </c>
      <c r="D21" s="26">
        <f>'2026 Exp'!C37</f>
        <v>2500</v>
      </c>
      <c r="E21" s="26">
        <f>'2026 Exp'!C60</f>
        <v>2500</v>
      </c>
      <c r="F21" s="26">
        <f>'2026 Exp'!C84</f>
        <v>2500</v>
      </c>
      <c r="G21" s="26">
        <f>'2026 Exp'!C108</f>
        <v>2500</v>
      </c>
      <c r="H21" s="26">
        <f>'2026 Exp'!C132</f>
        <v>2500</v>
      </c>
      <c r="I21" s="39">
        <f>'2026 Exp'!C156</f>
        <v>2500</v>
      </c>
      <c r="J21" s="26"/>
      <c r="K21" s="26"/>
      <c r="L21" s="26"/>
      <c r="M21" s="26"/>
      <c r="N21" s="26"/>
      <c r="O21" s="35">
        <f t="shared" si="4"/>
        <v>17500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45" t="s">
        <v>86</v>
      </c>
      <c r="C22" s="26">
        <f>'2026 Exp'!C15</f>
        <v>1210</v>
      </c>
      <c r="D22" s="26">
        <f>'2026 Exp'!C38</f>
        <v>1210</v>
      </c>
      <c r="E22" s="26">
        <f>'2026 Exp'!C61</f>
        <v>1210</v>
      </c>
      <c r="F22" s="26">
        <f>'2026 Exp'!C85</f>
        <v>1210</v>
      </c>
      <c r="G22" s="26">
        <f>'2026 Exp'!C109</f>
        <v>1210</v>
      </c>
      <c r="H22" s="26">
        <f>'2026 Exp'!C133</f>
        <v>1210</v>
      </c>
      <c r="I22" s="39">
        <f>'2026 Exp'!C157</f>
        <v>1210</v>
      </c>
      <c r="J22" s="26"/>
      <c r="K22" s="26"/>
      <c r="L22" s="26"/>
      <c r="M22" s="26"/>
      <c r="N22" s="26"/>
      <c r="O22" s="35">
        <f t="shared" si="4"/>
        <v>8470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45" t="s">
        <v>89</v>
      </c>
      <c r="C23" s="26">
        <f>'2026 Exp'!C16</f>
        <v>300</v>
      </c>
      <c r="D23" s="26">
        <f>'2026 Exp'!C39</f>
        <v>300</v>
      </c>
      <c r="E23" s="26">
        <f>'2026 Exp'!C62</f>
        <v>300</v>
      </c>
      <c r="F23" s="26">
        <f>'2026 Exp'!C86</f>
        <v>300</v>
      </c>
      <c r="G23" s="26">
        <f>'2026 Exp'!C110</f>
        <v>300</v>
      </c>
      <c r="H23" s="26">
        <f>'2026 Exp'!C134</f>
        <v>300</v>
      </c>
      <c r="I23" s="39">
        <f>'2026 Exp'!C158</f>
        <v>300</v>
      </c>
      <c r="J23" s="26"/>
      <c r="K23" s="26"/>
      <c r="L23" s="26"/>
      <c r="M23" s="26"/>
      <c r="N23" s="26"/>
      <c r="O23" s="35">
        <f t="shared" si="4"/>
        <v>2100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4"/>
      <c r="B24" s="45" t="s">
        <v>93</v>
      </c>
      <c r="C24" s="26">
        <f>'2026 Exp'!C17</f>
        <v>200</v>
      </c>
      <c r="D24" s="26">
        <f>'2026 Exp'!C40</f>
        <v>200</v>
      </c>
      <c r="E24" s="26">
        <f>'2026 Exp'!C63</f>
        <v>200</v>
      </c>
      <c r="F24" s="26">
        <f>'2026 Exp'!C87</f>
        <v>200</v>
      </c>
      <c r="G24" s="26">
        <f>'2026 Exp'!C111</f>
        <v>200</v>
      </c>
      <c r="H24" s="26">
        <f>'2026 Exp'!C135</f>
        <v>200</v>
      </c>
      <c r="I24" s="39">
        <f>'2026 Exp'!C159</f>
        <v>200</v>
      </c>
      <c r="J24" s="26"/>
      <c r="K24" s="26"/>
      <c r="L24" s="26"/>
      <c r="M24" s="26"/>
      <c r="N24" s="26"/>
      <c r="O24" s="35">
        <f t="shared" si="4"/>
        <v>1400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45" t="s">
        <v>96</v>
      </c>
      <c r="C25" s="26">
        <f>'2026 Exp'!C18</f>
        <v>0</v>
      </c>
      <c r="D25" s="26">
        <f>'2026 Exp'!C41</f>
        <v>0</v>
      </c>
      <c r="E25" s="26">
        <f>'2026 Exp'!C64</f>
        <v>0</v>
      </c>
      <c r="F25" s="26">
        <f>'2026 Exp'!C88</f>
        <v>0</v>
      </c>
      <c r="G25" s="26">
        <f>'2026 Exp'!C112</f>
        <v>0</v>
      </c>
      <c r="H25" s="26">
        <f>'2026 Exp'!C136</f>
        <v>132</v>
      </c>
      <c r="I25" s="39">
        <f>'2026 Exp'!C160</f>
        <v>0</v>
      </c>
      <c r="J25" s="26"/>
      <c r="K25" s="26"/>
      <c r="L25" s="26"/>
      <c r="M25" s="26"/>
      <c r="N25" s="26"/>
      <c r="O25" s="35">
        <f t="shared" si="4"/>
        <v>132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45" t="s">
        <v>98</v>
      </c>
      <c r="C26" s="26">
        <f>'2026 Exp'!C19</f>
        <v>0</v>
      </c>
      <c r="D26" s="26">
        <f>'2026 Exp'!C42</f>
        <v>0</v>
      </c>
      <c r="E26" s="26">
        <f>'2026 Exp'!C65</f>
        <v>500</v>
      </c>
      <c r="F26" s="26">
        <f>'2026 Exp'!C89</f>
        <v>500</v>
      </c>
      <c r="G26" s="26">
        <f>'2026 Exp'!C113</f>
        <v>200</v>
      </c>
      <c r="H26" s="26">
        <f>'2026 Exp'!C137</f>
        <v>0</v>
      </c>
      <c r="I26" s="39">
        <f>'2026 Exp'!C161</f>
        <v>0</v>
      </c>
      <c r="J26" s="26"/>
      <c r="K26" s="26"/>
      <c r="L26" s="26"/>
      <c r="M26" s="26"/>
      <c r="N26" s="26"/>
      <c r="O26" s="35">
        <f t="shared" si="4"/>
        <v>1200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56" t="s">
        <v>100</v>
      </c>
      <c r="C27" s="26">
        <f>'2026 Exp'!C20</f>
        <v>5040</v>
      </c>
      <c r="D27" s="26">
        <f>'2026 Exp'!C43</f>
        <v>10230</v>
      </c>
      <c r="E27" s="26">
        <f>'2026 Exp'!C66</f>
        <v>5880</v>
      </c>
      <c r="F27" s="26">
        <f>'2026 Exp'!C90</f>
        <v>780</v>
      </c>
      <c r="G27" s="26">
        <f>'2026 Exp'!C114</f>
        <v>160</v>
      </c>
      <c r="H27" s="26">
        <f>'2026 Exp'!C138</f>
        <v>2300</v>
      </c>
      <c r="I27" s="39">
        <f>'2026 Exp'!C162</f>
        <v>5030</v>
      </c>
      <c r="J27" s="26"/>
      <c r="K27" s="26"/>
      <c r="L27" s="26"/>
      <c r="M27" s="26"/>
      <c r="N27" s="26"/>
      <c r="O27" s="35">
        <f t="shared" si="4"/>
        <v>29420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45" t="s">
        <v>103</v>
      </c>
      <c r="C28" s="26">
        <f>'2026 Exp'!C21</f>
        <v>35</v>
      </c>
      <c r="D28" s="26">
        <f>'2026 Exp'!C44</f>
        <v>0</v>
      </c>
      <c r="E28" s="26">
        <f>'2026 Exp'!C67</f>
        <v>0</v>
      </c>
      <c r="F28" s="26">
        <f>'2026 Exp'!C91</f>
        <v>0</v>
      </c>
      <c r="G28" s="26">
        <f>'2026 Exp'!C115</f>
        <v>0</v>
      </c>
      <c r="H28" s="26">
        <f>'2026 Exp'!C139</f>
        <v>0</v>
      </c>
      <c r="I28" s="39">
        <f>'2026 Exp'!C163</f>
        <v>0</v>
      </c>
      <c r="J28" s="26"/>
      <c r="K28" s="26"/>
      <c r="L28" s="26"/>
      <c r="M28" s="26"/>
      <c r="N28" s="26"/>
      <c r="O28" s="35">
        <f t="shared" si="4"/>
        <v>35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45" t="s">
        <v>104</v>
      </c>
      <c r="C29" s="26">
        <f>'2026 Exp'!C22</f>
        <v>1700</v>
      </c>
      <c r="D29" s="26">
        <f>'2026 Exp'!C45</f>
        <v>2400</v>
      </c>
      <c r="E29" s="26">
        <f>'2026 Exp'!C68</f>
        <v>710</v>
      </c>
      <c r="F29" s="26">
        <f>'2026 Exp'!C92</f>
        <v>2910</v>
      </c>
      <c r="G29" s="26">
        <f>'2026 Exp'!C116</f>
        <v>3000</v>
      </c>
      <c r="H29" s="26">
        <f>'2026 Exp'!C140</f>
        <v>3700</v>
      </c>
      <c r="I29" s="39">
        <f>'2026 Exp'!C164</f>
        <v>4700</v>
      </c>
      <c r="J29" s="26"/>
      <c r="K29" s="26"/>
      <c r="L29" s="26"/>
      <c r="M29" s="26"/>
      <c r="N29" s="26"/>
      <c r="O29" s="35">
        <f t="shared" si="4"/>
        <v>19120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4"/>
      <c r="B30" s="45" t="s">
        <v>107</v>
      </c>
      <c r="C30" s="26">
        <f>'2026 Exp'!C23</f>
        <v>4200</v>
      </c>
      <c r="D30" s="26">
        <f>'2026 Exp'!C46</f>
        <v>5700</v>
      </c>
      <c r="E30" s="26">
        <f>'2026 Exp'!C69</f>
        <v>3650</v>
      </c>
      <c r="F30" s="26">
        <f>'2026 Exp'!C93</f>
        <v>7900</v>
      </c>
      <c r="G30" s="26">
        <f>'2026 Exp'!C117</f>
        <v>7100</v>
      </c>
      <c r="H30" s="26">
        <f>'2026 Exp'!C141</f>
        <v>8700</v>
      </c>
      <c r="I30" s="39">
        <f>'2026 Exp'!C165</f>
        <v>11300</v>
      </c>
      <c r="J30" s="26"/>
      <c r="K30" s="26"/>
      <c r="L30" s="26"/>
      <c r="M30" s="26"/>
      <c r="N30" s="26"/>
      <c r="O30" s="35">
        <f t="shared" si="4"/>
        <v>48550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45" t="s">
        <v>108</v>
      </c>
      <c r="C31" s="26">
        <f>'2026 Exp'!C24</f>
        <v>4563</v>
      </c>
      <c r="D31" s="26">
        <f>'2026 Exp'!C47</f>
        <v>4270</v>
      </c>
      <c r="E31" s="26">
        <f>'2026 Exp'!C70</f>
        <v>9545</v>
      </c>
      <c r="F31" s="26">
        <f>'2026 Exp'!C94</f>
        <v>6150</v>
      </c>
      <c r="G31" s="26">
        <f>'2026 Exp'!C118</f>
        <v>4200</v>
      </c>
      <c r="H31" s="26">
        <f>'2026 Exp'!C142</f>
        <v>6128</v>
      </c>
      <c r="I31" s="39">
        <f>'2026 Exp'!C166</f>
        <v>10260</v>
      </c>
      <c r="J31" s="26"/>
      <c r="K31" s="26"/>
      <c r="L31" s="26"/>
      <c r="M31" s="26"/>
      <c r="N31" s="26"/>
      <c r="O31" s="35">
        <f t="shared" si="4"/>
        <v>45116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 t="s">
        <v>112</v>
      </c>
      <c r="C32" s="26">
        <f>'2026 Exp'!C25</f>
        <v>7449.12</v>
      </c>
      <c r="D32" s="26">
        <f>'2026 Exp'!C48</f>
        <v>8046.984</v>
      </c>
      <c r="E32" s="26">
        <f>'2026 Exp'!C71</f>
        <v>3061.1</v>
      </c>
      <c r="F32" s="26">
        <f>'2026 Exp'!C95</f>
        <v>6234.4</v>
      </c>
      <c r="G32" s="26">
        <f>'2026 Exp'!C119</f>
        <v>6360.22</v>
      </c>
      <c r="H32" s="26">
        <f>'2026 Exp'!C143</f>
        <v>11371.94</v>
      </c>
      <c r="I32" s="39">
        <f>'2026 Exp'!C167</f>
        <v>11635.78</v>
      </c>
      <c r="J32" s="26"/>
      <c r="K32" s="26"/>
      <c r="L32" s="26"/>
      <c r="M32" s="26"/>
      <c r="N32" s="26"/>
      <c r="O32" s="35">
        <f t="shared" si="4"/>
        <v>54159.544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56" t="s">
        <v>172</v>
      </c>
      <c r="C33" s="26"/>
      <c r="D33" s="26"/>
      <c r="E33" s="26">
        <f>'2026 Exp'!C72</f>
        <v>60000</v>
      </c>
      <c r="F33" s="26">
        <f>'2026 Exp'!C96</f>
        <v>0</v>
      </c>
      <c r="G33" s="26">
        <f>'2026 Exp'!C120</f>
        <v>0</v>
      </c>
      <c r="H33" s="26">
        <f>'2026 Exp'!C144</f>
        <v>0</v>
      </c>
      <c r="I33" s="39">
        <f>'2026 Exp'!C168</f>
        <v>45224.44</v>
      </c>
      <c r="J33" s="26"/>
      <c r="K33" s="26"/>
      <c r="L33" s="26"/>
      <c r="M33" s="26"/>
      <c r="N33" s="26"/>
      <c r="O33" s="35">
        <f t="shared" si="4"/>
        <v>105224.44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6"/>
      <c r="D34" s="26"/>
      <c r="E34" s="26"/>
      <c r="F34" s="26"/>
      <c r="G34" s="26"/>
      <c r="H34" s="26"/>
      <c r="I34" s="39"/>
      <c r="J34" s="26"/>
      <c r="K34" s="26"/>
      <c r="L34" s="26"/>
      <c r="M34" s="26"/>
      <c r="N34" s="26"/>
      <c r="O34" s="26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4"/>
      <c r="B35" s="4" t="s">
        <v>175</v>
      </c>
      <c r="C35" s="8">
        <f t="shared" ref="C35:O35" si="5">SUM(C12:C34)</f>
        <v>86778.60243</v>
      </c>
      <c r="D35" s="8">
        <f t="shared" si="5"/>
        <v>95045.81733</v>
      </c>
      <c r="E35" s="8">
        <f t="shared" si="5"/>
        <v>149782.0833</v>
      </c>
      <c r="F35" s="8">
        <f t="shared" si="5"/>
        <v>86517.73333</v>
      </c>
      <c r="G35" s="8">
        <f t="shared" si="5"/>
        <v>84063.55333</v>
      </c>
      <c r="H35" s="8">
        <f t="shared" si="5"/>
        <v>94864.89333</v>
      </c>
      <c r="I35" s="9">
        <f t="shared" si="5"/>
        <v>153443.5533</v>
      </c>
      <c r="J35" s="8">
        <f t="shared" si="5"/>
        <v>0</v>
      </c>
      <c r="K35" s="8">
        <f t="shared" si="5"/>
        <v>0</v>
      </c>
      <c r="L35" s="8">
        <f t="shared" si="5"/>
        <v>0</v>
      </c>
      <c r="M35" s="8">
        <f t="shared" si="5"/>
        <v>0</v>
      </c>
      <c r="N35" s="8">
        <f t="shared" si="5"/>
        <v>0</v>
      </c>
      <c r="O35" s="8">
        <f t="shared" si="5"/>
        <v>750496.2364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70"/>
      <c r="B36" s="70" t="s">
        <v>178</v>
      </c>
      <c r="C36" s="71">
        <f t="shared" ref="C36:O36" si="6">C8-C35</f>
        <v>37828.96757</v>
      </c>
      <c r="D36" s="71">
        <f t="shared" si="6"/>
        <v>13622.70267</v>
      </c>
      <c r="E36" s="72">
        <f t="shared" si="6"/>
        <v>-906.8833333</v>
      </c>
      <c r="F36" s="71">
        <f t="shared" si="6"/>
        <v>78406.20667</v>
      </c>
      <c r="G36" s="71">
        <f t="shared" si="6"/>
        <v>34449.04667</v>
      </c>
      <c r="H36" s="71">
        <f t="shared" si="6"/>
        <v>47103.30667</v>
      </c>
      <c r="I36" s="73">
        <f t="shared" si="6"/>
        <v>53204.04667</v>
      </c>
      <c r="J36" s="71">
        <f t="shared" si="6"/>
        <v>0</v>
      </c>
      <c r="K36" s="71">
        <f t="shared" si="6"/>
        <v>0</v>
      </c>
      <c r="L36" s="71">
        <f t="shared" si="6"/>
        <v>0</v>
      </c>
      <c r="M36" s="71">
        <f t="shared" si="6"/>
        <v>0</v>
      </c>
      <c r="N36" s="71">
        <f t="shared" si="6"/>
        <v>0</v>
      </c>
      <c r="O36" s="71">
        <f t="shared" si="6"/>
        <v>263707.3936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2.75" customHeight="1">
      <c r="A37" s="24"/>
      <c r="B37" s="24" t="s">
        <v>180</v>
      </c>
      <c r="C37" s="26"/>
      <c r="D37" s="26"/>
      <c r="E37" s="35"/>
      <c r="F37" s="26"/>
      <c r="G37" s="26"/>
      <c r="H37" s="26"/>
      <c r="I37" s="39"/>
      <c r="J37" s="26"/>
      <c r="K37" s="26"/>
      <c r="L37" s="26"/>
      <c r="M37" s="26"/>
      <c r="N37" s="26"/>
      <c r="O37" s="26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 t="s">
        <v>181</v>
      </c>
      <c r="C38" s="26">
        <f t="shared" ref="C38:D38" si="7">(C36-C37)*0.2</f>
        <v>7565.793513</v>
      </c>
      <c r="D38" s="26">
        <f t="shared" si="7"/>
        <v>2724.540533</v>
      </c>
      <c r="E38" s="33">
        <v>0.0</v>
      </c>
      <c r="F38" s="26">
        <f t="shared" ref="F38:O38" si="8">(F36-F37)*0.2</f>
        <v>15681.24133</v>
      </c>
      <c r="G38" s="26">
        <f t="shared" si="8"/>
        <v>6889.809333</v>
      </c>
      <c r="H38" s="26">
        <f t="shared" si="8"/>
        <v>9420.661333</v>
      </c>
      <c r="I38" s="39">
        <f t="shared" si="8"/>
        <v>10640.80933</v>
      </c>
      <c r="J38" s="26">
        <f t="shared" si="8"/>
        <v>0</v>
      </c>
      <c r="K38" s="26">
        <f t="shared" si="8"/>
        <v>0</v>
      </c>
      <c r="L38" s="26">
        <f t="shared" si="8"/>
        <v>0</v>
      </c>
      <c r="M38" s="26">
        <f t="shared" si="8"/>
        <v>0</v>
      </c>
      <c r="N38" s="26">
        <f t="shared" si="8"/>
        <v>0</v>
      </c>
      <c r="O38" s="26">
        <f t="shared" si="8"/>
        <v>52741.47871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74"/>
      <c r="B39" s="74" t="s">
        <v>188</v>
      </c>
      <c r="C39" s="75">
        <f t="shared" ref="C39:O39" si="9">C36-C37-C38</f>
        <v>30263.17405</v>
      </c>
      <c r="D39" s="75">
        <f t="shared" si="9"/>
        <v>10898.16213</v>
      </c>
      <c r="E39" s="76">
        <f t="shared" si="9"/>
        <v>-906.8833333</v>
      </c>
      <c r="F39" s="75">
        <f t="shared" si="9"/>
        <v>62724.96533</v>
      </c>
      <c r="G39" s="75">
        <f t="shared" si="9"/>
        <v>27559.23733</v>
      </c>
      <c r="H39" s="75">
        <f t="shared" si="9"/>
        <v>37682.64533</v>
      </c>
      <c r="I39" s="77">
        <f t="shared" si="9"/>
        <v>42563.23733</v>
      </c>
      <c r="J39" s="75">
        <f t="shared" si="9"/>
        <v>0</v>
      </c>
      <c r="K39" s="75">
        <f t="shared" si="9"/>
        <v>0</v>
      </c>
      <c r="L39" s="75">
        <f t="shared" si="9"/>
        <v>0</v>
      </c>
      <c r="M39" s="75">
        <f t="shared" si="9"/>
        <v>0</v>
      </c>
      <c r="N39" s="75">
        <f t="shared" si="9"/>
        <v>0</v>
      </c>
      <c r="O39" s="75">
        <f t="shared" si="9"/>
        <v>210965.9149</v>
      </c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2.75" customHeight="1">
      <c r="A40" s="24"/>
      <c r="B40" s="51" t="s">
        <v>189</v>
      </c>
      <c r="C40" s="26"/>
      <c r="D40" s="26"/>
      <c r="E40" s="26"/>
      <c r="F40" s="26"/>
      <c r="G40" s="26"/>
      <c r="H40" s="26"/>
      <c r="I40" s="39"/>
      <c r="J40" s="78"/>
      <c r="K40" s="78"/>
      <c r="L40" s="78"/>
      <c r="M40" s="78"/>
      <c r="N40" s="26"/>
      <c r="O40" s="26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6"/>
      <c r="D41" s="26"/>
      <c r="E41" s="26"/>
      <c r="F41" s="26"/>
      <c r="G41" s="26"/>
      <c r="H41" s="26"/>
      <c r="I41" s="39"/>
      <c r="J41" s="26"/>
      <c r="K41" s="26"/>
      <c r="L41" s="26"/>
      <c r="M41" s="26"/>
      <c r="N41" s="26"/>
      <c r="O41" s="26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6"/>
      <c r="D42" s="26"/>
      <c r="E42" s="26"/>
      <c r="F42" s="26"/>
      <c r="G42" s="26"/>
      <c r="H42" s="26"/>
      <c r="I42" s="39"/>
      <c r="J42" s="26"/>
      <c r="K42" s="26"/>
      <c r="L42" s="26"/>
      <c r="M42" s="26"/>
      <c r="N42" s="26"/>
      <c r="O42" s="26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6"/>
      <c r="D43" s="26"/>
      <c r="E43" s="26"/>
      <c r="F43" s="26"/>
      <c r="G43" s="26"/>
      <c r="H43" s="26"/>
      <c r="I43" s="39"/>
      <c r="J43" s="26"/>
      <c r="K43" s="26"/>
      <c r="L43" s="26"/>
      <c r="M43" s="26"/>
      <c r="N43" s="26"/>
      <c r="O43" s="26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6"/>
      <c r="D44" s="26"/>
      <c r="E44" s="26"/>
      <c r="F44" s="26"/>
      <c r="G44" s="26"/>
      <c r="H44" s="26"/>
      <c r="I44" s="39"/>
      <c r="J44" s="26"/>
      <c r="K44" s="26"/>
      <c r="L44" s="26"/>
      <c r="M44" s="26"/>
      <c r="N44" s="26"/>
      <c r="O44" s="26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6"/>
      <c r="D45" s="26"/>
      <c r="E45" s="26"/>
      <c r="F45" s="26"/>
      <c r="G45" s="26"/>
      <c r="H45" s="26"/>
      <c r="I45" s="39"/>
      <c r="J45" s="26"/>
      <c r="K45" s="26"/>
      <c r="L45" s="26"/>
      <c r="M45" s="26"/>
      <c r="N45" s="26"/>
      <c r="O45" s="26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6"/>
      <c r="D46" s="26"/>
      <c r="E46" s="26"/>
      <c r="F46" s="26"/>
      <c r="G46" s="26"/>
      <c r="H46" s="26"/>
      <c r="I46" s="39"/>
      <c r="J46" s="26"/>
      <c r="K46" s="26"/>
      <c r="L46" s="26"/>
      <c r="M46" s="26"/>
      <c r="N46" s="26"/>
      <c r="O46" s="26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6"/>
      <c r="D47" s="26"/>
      <c r="E47" s="26"/>
      <c r="F47" s="26"/>
      <c r="G47" s="26"/>
      <c r="H47" s="26"/>
      <c r="I47" s="39"/>
      <c r="J47" s="26"/>
      <c r="K47" s="26"/>
      <c r="L47" s="26"/>
      <c r="M47" s="26"/>
      <c r="N47" s="26"/>
      <c r="O47" s="26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6"/>
      <c r="D48" s="26"/>
      <c r="E48" s="26"/>
      <c r="F48" s="26"/>
      <c r="G48" s="26"/>
      <c r="H48" s="26"/>
      <c r="I48" s="39"/>
      <c r="J48" s="26"/>
      <c r="K48" s="26"/>
      <c r="L48" s="26"/>
      <c r="M48" s="26"/>
      <c r="N48" s="26"/>
      <c r="O48" s="26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6"/>
      <c r="D49" s="26"/>
      <c r="E49" s="26"/>
      <c r="F49" s="26"/>
      <c r="G49" s="26"/>
      <c r="H49" s="26"/>
      <c r="I49" s="39"/>
      <c r="J49" s="26"/>
      <c r="K49" s="26"/>
      <c r="L49" s="26"/>
      <c r="M49" s="26"/>
      <c r="N49" s="26"/>
      <c r="O49" s="26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6"/>
      <c r="D50" s="26"/>
      <c r="E50" s="26"/>
      <c r="F50" s="26"/>
      <c r="G50" s="26"/>
      <c r="H50" s="26"/>
      <c r="I50" s="39"/>
      <c r="J50" s="26"/>
      <c r="K50" s="26"/>
      <c r="L50" s="26"/>
      <c r="M50" s="26"/>
      <c r="N50" s="26"/>
      <c r="O50" s="26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6"/>
      <c r="D51" s="26"/>
      <c r="E51" s="26"/>
      <c r="F51" s="26"/>
      <c r="G51" s="26"/>
      <c r="H51" s="26"/>
      <c r="I51" s="39"/>
      <c r="J51" s="26"/>
      <c r="K51" s="26"/>
      <c r="L51" s="26"/>
      <c r="M51" s="26"/>
      <c r="N51" s="26"/>
      <c r="O51" s="26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6"/>
      <c r="D52" s="26"/>
      <c r="E52" s="26"/>
      <c r="F52" s="26"/>
      <c r="G52" s="26"/>
      <c r="H52" s="26"/>
      <c r="I52" s="39"/>
      <c r="J52" s="26"/>
      <c r="K52" s="26"/>
      <c r="L52" s="26"/>
      <c r="M52" s="26"/>
      <c r="N52" s="26"/>
      <c r="O52" s="26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6"/>
      <c r="D53" s="26"/>
      <c r="E53" s="26"/>
      <c r="F53" s="26"/>
      <c r="G53" s="26"/>
      <c r="H53" s="26"/>
      <c r="I53" s="39"/>
      <c r="J53" s="26"/>
      <c r="K53" s="26"/>
      <c r="L53" s="26"/>
      <c r="M53" s="26"/>
      <c r="N53" s="26"/>
      <c r="O53" s="2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6"/>
      <c r="D54" s="26"/>
      <c r="E54" s="26"/>
      <c r="F54" s="26"/>
      <c r="G54" s="26"/>
      <c r="H54" s="26"/>
      <c r="I54" s="39"/>
      <c r="J54" s="26"/>
      <c r="K54" s="26"/>
      <c r="L54" s="26"/>
      <c r="M54" s="26"/>
      <c r="N54" s="26"/>
      <c r="O54" s="26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6"/>
      <c r="D55" s="26"/>
      <c r="E55" s="26"/>
      <c r="F55" s="26"/>
      <c r="G55" s="26"/>
      <c r="H55" s="26"/>
      <c r="I55" s="39"/>
      <c r="J55" s="26"/>
      <c r="K55" s="26"/>
      <c r="L55" s="26"/>
      <c r="M55" s="26"/>
      <c r="N55" s="26"/>
      <c r="O55" s="26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6"/>
      <c r="D56" s="26"/>
      <c r="E56" s="26"/>
      <c r="F56" s="26"/>
      <c r="G56" s="26"/>
      <c r="H56" s="26"/>
      <c r="I56" s="39"/>
      <c r="J56" s="26"/>
      <c r="K56" s="26"/>
      <c r="L56" s="26"/>
      <c r="M56" s="26"/>
      <c r="N56" s="26"/>
      <c r="O56" s="26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6"/>
      <c r="D57" s="26"/>
      <c r="E57" s="26"/>
      <c r="F57" s="26"/>
      <c r="G57" s="26"/>
      <c r="H57" s="26"/>
      <c r="I57" s="39"/>
      <c r="J57" s="26"/>
      <c r="K57" s="26"/>
      <c r="L57" s="26"/>
      <c r="M57" s="26"/>
      <c r="N57" s="26"/>
      <c r="O57" s="26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6"/>
      <c r="D58" s="26"/>
      <c r="E58" s="26"/>
      <c r="F58" s="26"/>
      <c r="G58" s="26"/>
      <c r="H58" s="26"/>
      <c r="I58" s="39"/>
      <c r="J58" s="26"/>
      <c r="K58" s="26"/>
      <c r="L58" s="26"/>
      <c r="M58" s="26"/>
      <c r="N58" s="26"/>
      <c r="O58" s="26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6"/>
      <c r="D59" s="26"/>
      <c r="E59" s="26"/>
      <c r="F59" s="26"/>
      <c r="G59" s="26"/>
      <c r="H59" s="26"/>
      <c r="I59" s="39"/>
      <c r="J59" s="26"/>
      <c r="K59" s="26"/>
      <c r="L59" s="26"/>
      <c r="M59" s="26"/>
      <c r="N59" s="26"/>
      <c r="O59" s="26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6"/>
      <c r="D60" s="26"/>
      <c r="E60" s="26"/>
      <c r="F60" s="26"/>
      <c r="G60" s="26"/>
      <c r="H60" s="26"/>
      <c r="I60" s="39"/>
      <c r="J60" s="26"/>
      <c r="K60" s="26"/>
      <c r="L60" s="26"/>
      <c r="M60" s="26"/>
      <c r="N60" s="26"/>
      <c r="O60" s="26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6"/>
      <c r="D61" s="26"/>
      <c r="E61" s="26"/>
      <c r="F61" s="26"/>
      <c r="G61" s="26"/>
      <c r="H61" s="26"/>
      <c r="I61" s="39"/>
      <c r="J61" s="26"/>
      <c r="K61" s="26"/>
      <c r="L61" s="26"/>
      <c r="M61" s="26"/>
      <c r="N61" s="26"/>
      <c r="O61" s="2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6"/>
      <c r="D62" s="26"/>
      <c r="E62" s="26"/>
      <c r="F62" s="26"/>
      <c r="G62" s="26"/>
      <c r="H62" s="26"/>
      <c r="I62" s="39"/>
      <c r="J62" s="26"/>
      <c r="K62" s="26"/>
      <c r="L62" s="26"/>
      <c r="M62" s="26"/>
      <c r="N62" s="26"/>
      <c r="O62" s="26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6"/>
      <c r="D63" s="26"/>
      <c r="E63" s="26"/>
      <c r="F63" s="26"/>
      <c r="G63" s="26"/>
      <c r="H63" s="26"/>
      <c r="I63" s="39"/>
      <c r="J63" s="26"/>
      <c r="K63" s="26"/>
      <c r="L63" s="26"/>
      <c r="M63" s="26"/>
      <c r="N63" s="26"/>
      <c r="O63" s="26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6"/>
      <c r="D64" s="26"/>
      <c r="E64" s="26"/>
      <c r="F64" s="26"/>
      <c r="G64" s="26"/>
      <c r="H64" s="26"/>
      <c r="I64" s="39"/>
      <c r="J64" s="26"/>
      <c r="K64" s="26"/>
      <c r="L64" s="26"/>
      <c r="M64" s="26"/>
      <c r="N64" s="26"/>
      <c r="O64" s="26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6"/>
      <c r="D65" s="26"/>
      <c r="E65" s="26"/>
      <c r="F65" s="26"/>
      <c r="G65" s="26"/>
      <c r="H65" s="26"/>
      <c r="I65" s="39"/>
      <c r="J65" s="26"/>
      <c r="K65" s="26"/>
      <c r="L65" s="26"/>
      <c r="M65" s="26"/>
      <c r="N65" s="26"/>
      <c r="O65" s="26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6"/>
      <c r="D66" s="26"/>
      <c r="E66" s="26"/>
      <c r="F66" s="26"/>
      <c r="G66" s="26"/>
      <c r="H66" s="26"/>
      <c r="I66" s="39"/>
      <c r="J66" s="26"/>
      <c r="K66" s="26"/>
      <c r="L66" s="26"/>
      <c r="M66" s="26"/>
      <c r="N66" s="26"/>
      <c r="O66" s="26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6"/>
      <c r="D67" s="26"/>
      <c r="E67" s="26"/>
      <c r="F67" s="26"/>
      <c r="G67" s="26"/>
      <c r="H67" s="26"/>
      <c r="I67" s="39"/>
      <c r="J67" s="26"/>
      <c r="K67" s="26"/>
      <c r="L67" s="26"/>
      <c r="M67" s="26"/>
      <c r="N67" s="26"/>
      <c r="O67" s="26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6"/>
      <c r="D68" s="26"/>
      <c r="E68" s="26"/>
      <c r="F68" s="26"/>
      <c r="G68" s="26"/>
      <c r="H68" s="26"/>
      <c r="I68" s="39"/>
      <c r="J68" s="26"/>
      <c r="K68" s="26"/>
      <c r="L68" s="26"/>
      <c r="M68" s="26"/>
      <c r="N68" s="26"/>
      <c r="O68" s="26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6"/>
      <c r="D69" s="26"/>
      <c r="E69" s="26"/>
      <c r="F69" s="26"/>
      <c r="G69" s="26"/>
      <c r="H69" s="26"/>
      <c r="I69" s="39"/>
      <c r="J69" s="26"/>
      <c r="K69" s="26"/>
      <c r="L69" s="26"/>
      <c r="M69" s="26"/>
      <c r="N69" s="26"/>
      <c r="O69" s="26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6"/>
      <c r="D70" s="26"/>
      <c r="E70" s="26"/>
      <c r="F70" s="26"/>
      <c r="G70" s="26"/>
      <c r="H70" s="26"/>
      <c r="I70" s="39"/>
      <c r="J70" s="26"/>
      <c r="K70" s="26"/>
      <c r="L70" s="26"/>
      <c r="M70" s="26"/>
      <c r="N70" s="26"/>
      <c r="O70" s="26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6"/>
      <c r="D71" s="26"/>
      <c r="E71" s="26"/>
      <c r="F71" s="26"/>
      <c r="G71" s="26"/>
      <c r="H71" s="26"/>
      <c r="I71" s="39"/>
      <c r="J71" s="26"/>
      <c r="K71" s="26"/>
      <c r="L71" s="26"/>
      <c r="M71" s="26"/>
      <c r="N71" s="26"/>
      <c r="O71" s="26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6"/>
      <c r="D72" s="26"/>
      <c r="E72" s="26"/>
      <c r="F72" s="26"/>
      <c r="G72" s="26"/>
      <c r="H72" s="26"/>
      <c r="I72" s="39"/>
      <c r="J72" s="26"/>
      <c r="K72" s="26"/>
      <c r="L72" s="26"/>
      <c r="M72" s="26"/>
      <c r="N72" s="26"/>
      <c r="O72" s="26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6"/>
      <c r="D73" s="26"/>
      <c r="E73" s="26"/>
      <c r="F73" s="26"/>
      <c r="G73" s="26"/>
      <c r="H73" s="26"/>
      <c r="I73" s="39"/>
      <c r="J73" s="26"/>
      <c r="K73" s="26"/>
      <c r="L73" s="26"/>
      <c r="M73" s="26"/>
      <c r="N73" s="26"/>
      <c r="O73" s="26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6"/>
      <c r="D74" s="26"/>
      <c r="E74" s="26"/>
      <c r="F74" s="26"/>
      <c r="G74" s="26"/>
      <c r="H74" s="26"/>
      <c r="I74" s="39"/>
      <c r="J74" s="26"/>
      <c r="K74" s="26"/>
      <c r="L74" s="26"/>
      <c r="M74" s="26"/>
      <c r="N74" s="26"/>
      <c r="O74" s="26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6"/>
      <c r="D75" s="26"/>
      <c r="E75" s="26"/>
      <c r="F75" s="26"/>
      <c r="G75" s="26"/>
      <c r="H75" s="26"/>
      <c r="I75" s="39"/>
      <c r="J75" s="26"/>
      <c r="K75" s="26"/>
      <c r="L75" s="26"/>
      <c r="M75" s="26"/>
      <c r="N75" s="26"/>
      <c r="O75" s="26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6"/>
      <c r="D76" s="26"/>
      <c r="E76" s="26"/>
      <c r="F76" s="26"/>
      <c r="G76" s="26"/>
      <c r="H76" s="26"/>
      <c r="I76" s="39"/>
      <c r="J76" s="26"/>
      <c r="K76" s="26"/>
      <c r="L76" s="26"/>
      <c r="M76" s="26"/>
      <c r="N76" s="26"/>
      <c r="O76" s="26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6"/>
      <c r="D77" s="26"/>
      <c r="E77" s="26"/>
      <c r="F77" s="26"/>
      <c r="G77" s="26"/>
      <c r="H77" s="26"/>
      <c r="I77" s="39"/>
      <c r="J77" s="26"/>
      <c r="K77" s="26"/>
      <c r="L77" s="26"/>
      <c r="M77" s="26"/>
      <c r="N77" s="26"/>
      <c r="O77" s="26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6"/>
      <c r="D78" s="26"/>
      <c r="E78" s="26"/>
      <c r="F78" s="26"/>
      <c r="G78" s="26"/>
      <c r="H78" s="26"/>
      <c r="I78" s="39"/>
      <c r="J78" s="26"/>
      <c r="K78" s="26"/>
      <c r="L78" s="26"/>
      <c r="M78" s="26"/>
      <c r="N78" s="26"/>
      <c r="O78" s="26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6"/>
      <c r="D79" s="26"/>
      <c r="E79" s="26"/>
      <c r="F79" s="26"/>
      <c r="G79" s="26"/>
      <c r="H79" s="26"/>
      <c r="I79" s="39"/>
      <c r="J79" s="26"/>
      <c r="K79" s="26"/>
      <c r="L79" s="26"/>
      <c r="M79" s="26"/>
      <c r="N79" s="26"/>
      <c r="O79" s="26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6"/>
      <c r="D80" s="26"/>
      <c r="E80" s="26"/>
      <c r="F80" s="26"/>
      <c r="G80" s="26"/>
      <c r="H80" s="26"/>
      <c r="I80" s="39"/>
      <c r="J80" s="26"/>
      <c r="K80" s="26"/>
      <c r="L80" s="26"/>
      <c r="M80" s="26"/>
      <c r="N80" s="26"/>
      <c r="O80" s="26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6"/>
      <c r="D81" s="26"/>
      <c r="E81" s="26"/>
      <c r="F81" s="26"/>
      <c r="G81" s="26"/>
      <c r="H81" s="26"/>
      <c r="I81" s="39"/>
      <c r="J81" s="26"/>
      <c r="K81" s="26"/>
      <c r="L81" s="26"/>
      <c r="M81" s="26"/>
      <c r="N81" s="26"/>
      <c r="O81" s="26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6"/>
      <c r="D82" s="26"/>
      <c r="E82" s="26"/>
      <c r="F82" s="26"/>
      <c r="G82" s="26"/>
      <c r="H82" s="26"/>
      <c r="I82" s="39"/>
      <c r="J82" s="26"/>
      <c r="K82" s="26"/>
      <c r="L82" s="26"/>
      <c r="M82" s="26"/>
      <c r="N82" s="26"/>
      <c r="O82" s="26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6"/>
      <c r="D83" s="26"/>
      <c r="E83" s="26"/>
      <c r="F83" s="26"/>
      <c r="G83" s="26"/>
      <c r="H83" s="26"/>
      <c r="I83" s="39"/>
      <c r="J83" s="26"/>
      <c r="K83" s="26"/>
      <c r="L83" s="26"/>
      <c r="M83" s="26"/>
      <c r="N83" s="26"/>
      <c r="O83" s="26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6"/>
      <c r="D84" s="26"/>
      <c r="E84" s="26"/>
      <c r="F84" s="26"/>
      <c r="G84" s="26"/>
      <c r="H84" s="26"/>
      <c r="I84" s="39"/>
      <c r="J84" s="26"/>
      <c r="K84" s="26"/>
      <c r="L84" s="26"/>
      <c r="M84" s="26"/>
      <c r="N84" s="26"/>
      <c r="O84" s="26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6"/>
      <c r="D85" s="26"/>
      <c r="E85" s="26"/>
      <c r="F85" s="26"/>
      <c r="G85" s="26"/>
      <c r="H85" s="26"/>
      <c r="I85" s="39"/>
      <c r="J85" s="26"/>
      <c r="K85" s="26"/>
      <c r="L85" s="26"/>
      <c r="M85" s="26"/>
      <c r="N85" s="26"/>
      <c r="O85" s="26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6"/>
      <c r="D86" s="26"/>
      <c r="E86" s="26"/>
      <c r="F86" s="26"/>
      <c r="G86" s="26"/>
      <c r="H86" s="26"/>
      <c r="I86" s="39"/>
      <c r="J86" s="26"/>
      <c r="K86" s="26"/>
      <c r="L86" s="26"/>
      <c r="M86" s="26"/>
      <c r="N86" s="26"/>
      <c r="O86" s="26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6"/>
      <c r="D87" s="26"/>
      <c r="E87" s="26"/>
      <c r="F87" s="26"/>
      <c r="G87" s="26"/>
      <c r="H87" s="26"/>
      <c r="I87" s="39"/>
      <c r="J87" s="26"/>
      <c r="K87" s="26"/>
      <c r="L87" s="26"/>
      <c r="M87" s="26"/>
      <c r="N87" s="26"/>
      <c r="O87" s="26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6"/>
      <c r="D88" s="26"/>
      <c r="E88" s="26"/>
      <c r="F88" s="26"/>
      <c r="G88" s="26"/>
      <c r="H88" s="26"/>
      <c r="I88" s="39"/>
      <c r="J88" s="26"/>
      <c r="K88" s="26"/>
      <c r="L88" s="26"/>
      <c r="M88" s="26"/>
      <c r="N88" s="26"/>
      <c r="O88" s="26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6"/>
      <c r="D89" s="26"/>
      <c r="E89" s="26"/>
      <c r="F89" s="26"/>
      <c r="G89" s="26"/>
      <c r="H89" s="26"/>
      <c r="I89" s="39"/>
      <c r="J89" s="26"/>
      <c r="K89" s="26"/>
      <c r="L89" s="26"/>
      <c r="M89" s="26"/>
      <c r="N89" s="26"/>
      <c r="O89" s="26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6"/>
      <c r="D90" s="26"/>
      <c r="E90" s="26"/>
      <c r="F90" s="26"/>
      <c r="G90" s="26"/>
      <c r="H90" s="26"/>
      <c r="I90" s="39"/>
      <c r="J90" s="26"/>
      <c r="K90" s="26"/>
      <c r="L90" s="26"/>
      <c r="M90" s="26"/>
      <c r="N90" s="26"/>
      <c r="O90" s="26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6"/>
      <c r="D91" s="26"/>
      <c r="E91" s="26"/>
      <c r="F91" s="26"/>
      <c r="G91" s="26"/>
      <c r="H91" s="26"/>
      <c r="I91" s="39"/>
      <c r="J91" s="26"/>
      <c r="K91" s="26"/>
      <c r="L91" s="26"/>
      <c r="M91" s="26"/>
      <c r="N91" s="26"/>
      <c r="O91" s="26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6"/>
      <c r="D92" s="26"/>
      <c r="E92" s="26"/>
      <c r="F92" s="26"/>
      <c r="G92" s="26"/>
      <c r="H92" s="26"/>
      <c r="I92" s="39"/>
      <c r="J92" s="26"/>
      <c r="K92" s="26"/>
      <c r="L92" s="26"/>
      <c r="M92" s="26"/>
      <c r="N92" s="26"/>
      <c r="O92" s="26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6"/>
      <c r="D93" s="26"/>
      <c r="E93" s="26"/>
      <c r="F93" s="26"/>
      <c r="G93" s="26"/>
      <c r="H93" s="26"/>
      <c r="I93" s="39"/>
      <c r="J93" s="26"/>
      <c r="K93" s="26"/>
      <c r="L93" s="26"/>
      <c r="M93" s="26"/>
      <c r="N93" s="26"/>
      <c r="O93" s="26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6"/>
      <c r="D94" s="26"/>
      <c r="E94" s="26"/>
      <c r="F94" s="26"/>
      <c r="G94" s="26"/>
      <c r="H94" s="26"/>
      <c r="I94" s="39"/>
      <c r="J94" s="26"/>
      <c r="K94" s="26"/>
      <c r="L94" s="26"/>
      <c r="M94" s="26"/>
      <c r="N94" s="26"/>
      <c r="O94" s="26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6"/>
      <c r="D95" s="26"/>
      <c r="E95" s="26"/>
      <c r="F95" s="26"/>
      <c r="G95" s="26"/>
      <c r="H95" s="26"/>
      <c r="I95" s="39"/>
      <c r="J95" s="26"/>
      <c r="K95" s="26"/>
      <c r="L95" s="26"/>
      <c r="M95" s="26"/>
      <c r="N95" s="26"/>
      <c r="O95" s="26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6"/>
      <c r="D96" s="26"/>
      <c r="E96" s="26"/>
      <c r="F96" s="26"/>
      <c r="G96" s="26"/>
      <c r="H96" s="26"/>
      <c r="I96" s="39"/>
      <c r="J96" s="26"/>
      <c r="K96" s="26"/>
      <c r="L96" s="26"/>
      <c r="M96" s="26"/>
      <c r="N96" s="26"/>
      <c r="O96" s="26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6"/>
      <c r="D97" s="26"/>
      <c r="E97" s="26"/>
      <c r="F97" s="26"/>
      <c r="G97" s="26"/>
      <c r="H97" s="26"/>
      <c r="I97" s="39"/>
      <c r="J97" s="26"/>
      <c r="K97" s="26"/>
      <c r="L97" s="26"/>
      <c r="M97" s="26"/>
      <c r="N97" s="26"/>
      <c r="O97" s="26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6"/>
      <c r="D98" s="26"/>
      <c r="E98" s="26"/>
      <c r="F98" s="26"/>
      <c r="G98" s="26"/>
      <c r="H98" s="26"/>
      <c r="I98" s="39"/>
      <c r="J98" s="26"/>
      <c r="K98" s="26"/>
      <c r="L98" s="26"/>
      <c r="M98" s="26"/>
      <c r="N98" s="26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6"/>
      <c r="D99" s="26"/>
      <c r="E99" s="26"/>
      <c r="F99" s="26"/>
      <c r="G99" s="26"/>
      <c r="H99" s="26"/>
      <c r="I99" s="39"/>
      <c r="J99" s="26"/>
      <c r="K99" s="26"/>
      <c r="L99" s="26"/>
      <c r="M99" s="26"/>
      <c r="N99" s="26"/>
      <c r="O99" s="26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6"/>
      <c r="D100" s="26"/>
      <c r="E100" s="26"/>
      <c r="F100" s="26"/>
      <c r="G100" s="26"/>
      <c r="H100" s="26"/>
      <c r="I100" s="39"/>
      <c r="J100" s="26"/>
      <c r="K100" s="26"/>
      <c r="L100" s="26"/>
      <c r="M100" s="26"/>
      <c r="N100" s="26"/>
      <c r="O100" s="26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6"/>
      <c r="D101" s="26"/>
      <c r="E101" s="26"/>
      <c r="F101" s="26"/>
      <c r="G101" s="26"/>
      <c r="H101" s="26"/>
      <c r="I101" s="39"/>
      <c r="J101" s="26"/>
      <c r="K101" s="26"/>
      <c r="L101" s="26"/>
      <c r="M101" s="26"/>
      <c r="N101" s="26"/>
      <c r="O101" s="26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6"/>
      <c r="D102" s="26"/>
      <c r="E102" s="26"/>
      <c r="F102" s="26"/>
      <c r="G102" s="26"/>
      <c r="H102" s="26"/>
      <c r="I102" s="39"/>
      <c r="J102" s="26"/>
      <c r="K102" s="26"/>
      <c r="L102" s="26"/>
      <c r="M102" s="26"/>
      <c r="N102" s="26"/>
      <c r="O102" s="26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6"/>
      <c r="D103" s="26"/>
      <c r="E103" s="26"/>
      <c r="F103" s="26"/>
      <c r="G103" s="26"/>
      <c r="H103" s="26"/>
      <c r="I103" s="39"/>
      <c r="J103" s="26"/>
      <c r="K103" s="26"/>
      <c r="L103" s="26"/>
      <c r="M103" s="26"/>
      <c r="N103" s="26"/>
      <c r="O103" s="26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6"/>
      <c r="D104" s="26"/>
      <c r="E104" s="26"/>
      <c r="F104" s="26"/>
      <c r="G104" s="26"/>
      <c r="H104" s="26"/>
      <c r="I104" s="39"/>
      <c r="J104" s="26"/>
      <c r="K104" s="26"/>
      <c r="L104" s="26"/>
      <c r="M104" s="26"/>
      <c r="N104" s="26"/>
      <c r="O104" s="26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6"/>
      <c r="D105" s="26"/>
      <c r="E105" s="26"/>
      <c r="F105" s="26"/>
      <c r="G105" s="26"/>
      <c r="H105" s="26"/>
      <c r="I105" s="39"/>
      <c r="J105" s="26"/>
      <c r="K105" s="26"/>
      <c r="L105" s="26"/>
      <c r="M105" s="26"/>
      <c r="N105" s="26"/>
      <c r="O105" s="26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6"/>
      <c r="D106" s="26"/>
      <c r="E106" s="26"/>
      <c r="F106" s="26"/>
      <c r="G106" s="26"/>
      <c r="H106" s="26"/>
      <c r="I106" s="39"/>
      <c r="J106" s="26"/>
      <c r="K106" s="26"/>
      <c r="L106" s="26"/>
      <c r="M106" s="26"/>
      <c r="N106" s="26"/>
      <c r="O106" s="26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6"/>
      <c r="D107" s="26"/>
      <c r="E107" s="26"/>
      <c r="F107" s="26"/>
      <c r="G107" s="26"/>
      <c r="H107" s="26"/>
      <c r="I107" s="39"/>
      <c r="J107" s="26"/>
      <c r="K107" s="26"/>
      <c r="L107" s="26"/>
      <c r="M107" s="26"/>
      <c r="N107" s="26"/>
      <c r="O107" s="26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6"/>
      <c r="D108" s="26"/>
      <c r="E108" s="26"/>
      <c r="F108" s="26"/>
      <c r="G108" s="26"/>
      <c r="H108" s="26"/>
      <c r="I108" s="39"/>
      <c r="J108" s="26"/>
      <c r="K108" s="26"/>
      <c r="L108" s="26"/>
      <c r="M108" s="26"/>
      <c r="N108" s="26"/>
      <c r="O108" s="26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6"/>
      <c r="D109" s="26"/>
      <c r="E109" s="26"/>
      <c r="F109" s="26"/>
      <c r="G109" s="26"/>
      <c r="H109" s="26"/>
      <c r="I109" s="39"/>
      <c r="J109" s="26"/>
      <c r="K109" s="26"/>
      <c r="L109" s="26"/>
      <c r="M109" s="26"/>
      <c r="N109" s="26"/>
      <c r="O109" s="26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6"/>
      <c r="D110" s="26"/>
      <c r="E110" s="26"/>
      <c r="F110" s="26"/>
      <c r="G110" s="26"/>
      <c r="H110" s="26"/>
      <c r="I110" s="39"/>
      <c r="J110" s="26"/>
      <c r="K110" s="26"/>
      <c r="L110" s="26"/>
      <c r="M110" s="26"/>
      <c r="N110" s="26"/>
      <c r="O110" s="26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6"/>
      <c r="D111" s="26"/>
      <c r="E111" s="26"/>
      <c r="F111" s="26"/>
      <c r="G111" s="26"/>
      <c r="H111" s="26"/>
      <c r="I111" s="39"/>
      <c r="J111" s="26"/>
      <c r="K111" s="26"/>
      <c r="L111" s="26"/>
      <c r="M111" s="26"/>
      <c r="N111" s="26"/>
      <c r="O111" s="26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6"/>
      <c r="D112" s="26"/>
      <c r="E112" s="26"/>
      <c r="F112" s="26"/>
      <c r="G112" s="26"/>
      <c r="H112" s="26"/>
      <c r="I112" s="39"/>
      <c r="J112" s="26"/>
      <c r="K112" s="26"/>
      <c r="L112" s="26"/>
      <c r="M112" s="26"/>
      <c r="N112" s="26"/>
      <c r="O112" s="26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6"/>
      <c r="D113" s="26"/>
      <c r="E113" s="26"/>
      <c r="F113" s="26"/>
      <c r="G113" s="26"/>
      <c r="H113" s="26"/>
      <c r="I113" s="39"/>
      <c r="J113" s="26"/>
      <c r="K113" s="26"/>
      <c r="L113" s="26"/>
      <c r="M113" s="26"/>
      <c r="N113" s="26"/>
      <c r="O113" s="26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6"/>
      <c r="D114" s="26"/>
      <c r="E114" s="26"/>
      <c r="F114" s="26"/>
      <c r="G114" s="26"/>
      <c r="H114" s="26"/>
      <c r="I114" s="39"/>
      <c r="J114" s="26"/>
      <c r="K114" s="26"/>
      <c r="L114" s="26"/>
      <c r="M114" s="26"/>
      <c r="N114" s="26"/>
      <c r="O114" s="26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6"/>
      <c r="D115" s="26"/>
      <c r="E115" s="26"/>
      <c r="F115" s="26"/>
      <c r="G115" s="26"/>
      <c r="H115" s="26"/>
      <c r="I115" s="39"/>
      <c r="J115" s="26"/>
      <c r="K115" s="26"/>
      <c r="L115" s="26"/>
      <c r="M115" s="26"/>
      <c r="N115" s="26"/>
      <c r="O115" s="26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6"/>
      <c r="D116" s="26"/>
      <c r="E116" s="26"/>
      <c r="F116" s="26"/>
      <c r="G116" s="26"/>
      <c r="H116" s="26"/>
      <c r="I116" s="39"/>
      <c r="J116" s="26"/>
      <c r="K116" s="26"/>
      <c r="L116" s="26"/>
      <c r="M116" s="26"/>
      <c r="N116" s="26"/>
      <c r="O116" s="26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6"/>
      <c r="D117" s="26"/>
      <c r="E117" s="26"/>
      <c r="F117" s="26"/>
      <c r="G117" s="26"/>
      <c r="H117" s="26"/>
      <c r="I117" s="39"/>
      <c r="J117" s="26"/>
      <c r="K117" s="26"/>
      <c r="L117" s="26"/>
      <c r="M117" s="26"/>
      <c r="N117" s="26"/>
      <c r="O117" s="26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6"/>
      <c r="D118" s="26"/>
      <c r="E118" s="26"/>
      <c r="F118" s="26"/>
      <c r="G118" s="26"/>
      <c r="H118" s="26"/>
      <c r="I118" s="39"/>
      <c r="J118" s="26"/>
      <c r="K118" s="26"/>
      <c r="L118" s="26"/>
      <c r="M118" s="26"/>
      <c r="N118" s="26"/>
      <c r="O118" s="26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6"/>
      <c r="D119" s="26"/>
      <c r="E119" s="26"/>
      <c r="F119" s="26"/>
      <c r="G119" s="26"/>
      <c r="H119" s="26"/>
      <c r="I119" s="39"/>
      <c r="J119" s="26"/>
      <c r="K119" s="26"/>
      <c r="L119" s="26"/>
      <c r="M119" s="26"/>
      <c r="N119" s="26"/>
      <c r="O119" s="26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6"/>
      <c r="D120" s="26"/>
      <c r="E120" s="26"/>
      <c r="F120" s="26"/>
      <c r="G120" s="26"/>
      <c r="H120" s="26"/>
      <c r="I120" s="39"/>
      <c r="J120" s="26"/>
      <c r="K120" s="26"/>
      <c r="L120" s="26"/>
      <c r="M120" s="26"/>
      <c r="N120" s="26"/>
      <c r="O120" s="26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6"/>
      <c r="D121" s="26"/>
      <c r="E121" s="26"/>
      <c r="F121" s="26"/>
      <c r="G121" s="26"/>
      <c r="H121" s="26"/>
      <c r="I121" s="39"/>
      <c r="J121" s="26"/>
      <c r="K121" s="26"/>
      <c r="L121" s="26"/>
      <c r="M121" s="26"/>
      <c r="N121" s="26"/>
      <c r="O121" s="26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6"/>
      <c r="D122" s="26"/>
      <c r="E122" s="26"/>
      <c r="F122" s="26"/>
      <c r="G122" s="26"/>
      <c r="H122" s="26"/>
      <c r="I122" s="39"/>
      <c r="J122" s="26"/>
      <c r="K122" s="26"/>
      <c r="L122" s="26"/>
      <c r="M122" s="26"/>
      <c r="N122" s="26"/>
      <c r="O122" s="26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6"/>
      <c r="D123" s="26"/>
      <c r="E123" s="26"/>
      <c r="F123" s="26"/>
      <c r="G123" s="26"/>
      <c r="H123" s="26"/>
      <c r="I123" s="39"/>
      <c r="J123" s="26"/>
      <c r="K123" s="26"/>
      <c r="L123" s="26"/>
      <c r="M123" s="26"/>
      <c r="N123" s="26"/>
      <c r="O123" s="26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6"/>
      <c r="D124" s="26"/>
      <c r="E124" s="26"/>
      <c r="F124" s="26"/>
      <c r="G124" s="26"/>
      <c r="H124" s="26"/>
      <c r="I124" s="39"/>
      <c r="J124" s="26"/>
      <c r="K124" s="26"/>
      <c r="L124" s="26"/>
      <c r="M124" s="26"/>
      <c r="N124" s="26"/>
      <c r="O124" s="26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6"/>
      <c r="D125" s="26"/>
      <c r="E125" s="26"/>
      <c r="F125" s="26"/>
      <c r="G125" s="26"/>
      <c r="H125" s="26"/>
      <c r="I125" s="39"/>
      <c r="J125" s="26"/>
      <c r="K125" s="26"/>
      <c r="L125" s="26"/>
      <c r="M125" s="26"/>
      <c r="N125" s="26"/>
      <c r="O125" s="26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6"/>
      <c r="D126" s="26"/>
      <c r="E126" s="26"/>
      <c r="F126" s="26"/>
      <c r="G126" s="26"/>
      <c r="H126" s="26"/>
      <c r="I126" s="39"/>
      <c r="J126" s="26"/>
      <c r="K126" s="26"/>
      <c r="L126" s="26"/>
      <c r="M126" s="26"/>
      <c r="N126" s="26"/>
      <c r="O126" s="26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6"/>
      <c r="D127" s="26"/>
      <c r="E127" s="26"/>
      <c r="F127" s="26"/>
      <c r="G127" s="26"/>
      <c r="H127" s="26"/>
      <c r="I127" s="39"/>
      <c r="J127" s="26"/>
      <c r="K127" s="26"/>
      <c r="L127" s="26"/>
      <c r="M127" s="26"/>
      <c r="N127" s="26"/>
      <c r="O127" s="26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6"/>
      <c r="D128" s="26"/>
      <c r="E128" s="26"/>
      <c r="F128" s="26"/>
      <c r="G128" s="26"/>
      <c r="H128" s="26"/>
      <c r="I128" s="39"/>
      <c r="J128" s="26"/>
      <c r="K128" s="26"/>
      <c r="L128" s="26"/>
      <c r="M128" s="26"/>
      <c r="N128" s="26"/>
      <c r="O128" s="26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6"/>
      <c r="D129" s="26"/>
      <c r="E129" s="26"/>
      <c r="F129" s="26"/>
      <c r="G129" s="26"/>
      <c r="H129" s="26"/>
      <c r="I129" s="39"/>
      <c r="J129" s="26"/>
      <c r="K129" s="26"/>
      <c r="L129" s="26"/>
      <c r="M129" s="26"/>
      <c r="N129" s="26"/>
      <c r="O129" s="26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6"/>
      <c r="D130" s="26"/>
      <c r="E130" s="26"/>
      <c r="F130" s="26"/>
      <c r="G130" s="26"/>
      <c r="H130" s="26"/>
      <c r="I130" s="39"/>
      <c r="J130" s="26"/>
      <c r="K130" s="26"/>
      <c r="L130" s="26"/>
      <c r="M130" s="26"/>
      <c r="N130" s="26"/>
      <c r="O130" s="26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6"/>
      <c r="D131" s="26"/>
      <c r="E131" s="26"/>
      <c r="F131" s="26"/>
      <c r="G131" s="26"/>
      <c r="H131" s="26"/>
      <c r="I131" s="39"/>
      <c r="J131" s="26"/>
      <c r="K131" s="26"/>
      <c r="L131" s="26"/>
      <c r="M131" s="26"/>
      <c r="N131" s="26"/>
      <c r="O131" s="26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6"/>
      <c r="D132" s="26"/>
      <c r="E132" s="26"/>
      <c r="F132" s="26"/>
      <c r="G132" s="26"/>
      <c r="H132" s="26"/>
      <c r="I132" s="39"/>
      <c r="J132" s="26"/>
      <c r="K132" s="26"/>
      <c r="L132" s="26"/>
      <c r="M132" s="26"/>
      <c r="N132" s="26"/>
      <c r="O132" s="26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6"/>
      <c r="D133" s="26"/>
      <c r="E133" s="26"/>
      <c r="F133" s="26"/>
      <c r="G133" s="26"/>
      <c r="H133" s="26"/>
      <c r="I133" s="39"/>
      <c r="J133" s="26"/>
      <c r="K133" s="26"/>
      <c r="L133" s="26"/>
      <c r="M133" s="26"/>
      <c r="N133" s="26"/>
      <c r="O133" s="26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6"/>
      <c r="D134" s="26"/>
      <c r="E134" s="26"/>
      <c r="F134" s="26"/>
      <c r="G134" s="26"/>
      <c r="H134" s="26"/>
      <c r="I134" s="39"/>
      <c r="J134" s="26"/>
      <c r="K134" s="26"/>
      <c r="L134" s="26"/>
      <c r="M134" s="26"/>
      <c r="N134" s="26"/>
      <c r="O134" s="26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6"/>
      <c r="D135" s="26"/>
      <c r="E135" s="26"/>
      <c r="F135" s="26"/>
      <c r="G135" s="26"/>
      <c r="H135" s="26"/>
      <c r="I135" s="39"/>
      <c r="J135" s="26"/>
      <c r="K135" s="26"/>
      <c r="L135" s="26"/>
      <c r="M135" s="26"/>
      <c r="N135" s="26"/>
      <c r="O135" s="26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6"/>
      <c r="D136" s="26"/>
      <c r="E136" s="26"/>
      <c r="F136" s="26"/>
      <c r="G136" s="26"/>
      <c r="H136" s="26"/>
      <c r="I136" s="39"/>
      <c r="J136" s="26"/>
      <c r="K136" s="26"/>
      <c r="L136" s="26"/>
      <c r="M136" s="26"/>
      <c r="N136" s="26"/>
      <c r="O136" s="26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6"/>
      <c r="D137" s="26"/>
      <c r="E137" s="26"/>
      <c r="F137" s="26"/>
      <c r="G137" s="26"/>
      <c r="H137" s="26"/>
      <c r="I137" s="39"/>
      <c r="J137" s="26"/>
      <c r="K137" s="26"/>
      <c r="L137" s="26"/>
      <c r="M137" s="26"/>
      <c r="N137" s="26"/>
      <c r="O137" s="26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6"/>
      <c r="D138" s="26"/>
      <c r="E138" s="26"/>
      <c r="F138" s="26"/>
      <c r="G138" s="26"/>
      <c r="H138" s="26"/>
      <c r="I138" s="39"/>
      <c r="J138" s="26"/>
      <c r="K138" s="26"/>
      <c r="L138" s="26"/>
      <c r="M138" s="26"/>
      <c r="N138" s="26"/>
      <c r="O138" s="26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6"/>
      <c r="D139" s="26"/>
      <c r="E139" s="26"/>
      <c r="F139" s="26"/>
      <c r="G139" s="26"/>
      <c r="H139" s="26"/>
      <c r="I139" s="39"/>
      <c r="J139" s="26"/>
      <c r="K139" s="26"/>
      <c r="L139" s="26"/>
      <c r="M139" s="26"/>
      <c r="N139" s="26"/>
      <c r="O139" s="26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6"/>
      <c r="D140" s="26"/>
      <c r="E140" s="26"/>
      <c r="F140" s="26"/>
      <c r="G140" s="26"/>
      <c r="H140" s="26"/>
      <c r="I140" s="39"/>
      <c r="J140" s="26"/>
      <c r="K140" s="26"/>
      <c r="L140" s="26"/>
      <c r="M140" s="26"/>
      <c r="N140" s="26"/>
      <c r="O140" s="26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6"/>
      <c r="D141" s="26"/>
      <c r="E141" s="26"/>
      <c r="F141" s="26"/>
      <c r="G141" s="26"/>
      <c r="H141" s="26"/>
      <c r="I141" s="39"/>
      <c r="J141" s="26"/>
      <c r="K141" s="26"/>
      <c r="L141" s="26"/>
      <c r="M141" s="26"/>
      <c r="N141" s="26"/>
      <c r="O141" s="26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6"/>
      <c r="D142" s="26"/>
      <c r="E142" s="26"/>
      <c r="F142" s="26"/>
      <c r="G142" s="26"/>
      <c r="H142" s="26"/>
      <c r="I142" s="39"/>
      <c r="J142" s="26"/>
      <c r="K142" s="26"/>
      <c r="L142" s="26"/>
      <c r="M142" s="26"/>
      <c r="N142" s="26"/>
      <c r="O142" s="26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6"/>
      <c r="D143" s="26"/>
      <c r="E143" s="26"/>
      <c r="F143" s="26"/>
      <c r="G143" s="26"/>
      <c r="H143" s="26"/>
      <c r="I143" s="39"/>
      <c r="J143" s="26"/>
      <c r="K143" s="26"/>
      <c r="L143" s="26"/>
      <c r="M143" s="26"/>
      <c r="N143" s="26"/>
      <c r="O143" s="26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6"/>
      <c r="D144" s="26"/>
      <c r="E144" s="26"/>
      <c r="F144" s="26"/>
      <c r="G144" s="26"/>
      <c r="H144" s="26"/>
      <c r="I144" s="39"/>
      <c r="J144" s="26"/>
      <c r="K144" s="26"/>
      <c r="L144" s="26"/>
      <c r="M144" s="26"/>
      <c r="N144" s="26"/>
      <c r="O144" s="26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6"/>
      <c r="D145" s="26"/>
      <c r="E145" s="26"/>
      <c r="F145" s="26"/>
      <c r="G145" s="26"/>
      <c r="H145" s="26"/>
      <c r="I145" s="39"/>
      <c r="J145" s="26"/>
      <c r="K145" s="26"/>
      <c r="L145" s="26"/>
      <c r="M145" s="26"/>
      <c r="N145" s="26"/>
      <c r="O145" s="26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6"/>
      <c r="D146" s="26"/>
      <c r="E146" s="26"/>
      <c r="F146" s="26"/>
      <c r="G146" s="26"/>
      <c r="H146" s="26"/>
      <c r="I146" s="39"/>
      <c r="J146" s="26"/>
      <c r="K146" s="26"/>
      <c r="L146" s="26"/>
      <c r="M146" s="26"/>
      <c r="N146" s="26"/>
      <c r="O146" s="26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6"/>
      <c r="D147" s="26"/>
      <c r="E147" s="26"/>
      <c r="F147" s="26"/>
      <c r="G147" s="26"/>
      <c r="H147" s="26"/>
      <c r="I147" s="39"/>
      <c r="J147" s="26"/>
      <c r="K147" s="26"/>
      <c r="L147" s="26"/>
      <c r="M147" s="26"/>
      <c r="N147" s="26"/>
      <c r="O147" s="26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6"/>
      <c r="D148" s="26"/>
      <c r="E148" s="26"/>
      <c r="F148" s="26"/>
      <c r="G148" s="26"/>
      <c r="H148" s="26"/>
      <c r="I148" s="39"/>
      <c r="J148" s="26"/>
      <c r="K148" s="26"/>
      <c r="L148" s="26"/>
      <c r="M148" s="26"/>
      <c r="N148" s="26"/>
      <c r="O148" s="26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6"/>
      <c r="D149" s="26"/>
      <c r="E149" s="26"/>
      <c r="F149" s="26"/>
      <c r="G149" s="26"/>
      <c r="H149" s="26"/>
      <c r="I149" s="39"/>
      <c r="J149" s="26"/>
      <c r="K149" s="26"/>
      <c r="L149" s="26"/>
      <c r="M149" s="26"/>
      <c r="N149" s="26"/>
      <c r="O149" s="26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6"/>
      <c r="D150" s="26"/>
      <c r="E150" s="26"/>
      <c r="F150" s="26"/>
      <c r="G150" s="26"/>
      <c r="H150" s="26"/>
      <c r="I150" s="39"/>
      <c r="J150" s="26"/>
      <c r="K150" s="26"/>
      <c r="L150" s="26"/>
      <c r="M150" s="26"/>
      <c r="N150" s="26"/>
      <c r="O150" s="26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6"/>
      <c r="D151" s="26"/>
      <c r="E151" s="26"/>
      <c r="F151" s="26"/>
      <c r="G151" s="26"/>
      <c r="H151" s="26"/>
      <c r="I151" s="39"/>
      <c r="J151" s="26"/>
      <c r="K151" s="26"/>
      <c r="L151" s="26"/>
      <c r="M151" s="26"/>
      <c r="N151" s="26"/>
      <c r="O151" s="26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6"/>
      <c r="D152" s="26"/>
      <c r="E152" s="26"/>
      <c r="F152" s="26"/>
      <c r="G152" s="26"/>
      <c r="H152" s="26"/>
      <c r="I152" s="39"/>
      <c r="J152" s="26"/>
      <c r="K152" s="26"/>
      <c r="L152" s="26"/>
      <c r="M152" s="26"/>
      <c r="N152" s="26"/>
      <c r="O152" s="26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6"/>
      <c r="D153" s="26"/>
      <c r="E153" s="26"/>
      <c r="F153" s="26"/>
      <c r="G153" s="26"/>
      <c r="H153" s="26"/>
      <c r="I153" s="39"/>
      <c r="J153" s="26"/>
      <c r="K153" s="26"/>
      <c r="L153" s="26"/>
      <c r="M153" s="26"/>
      <c r="N153" s="26"/>
      <c r="O153" s="26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6"/>
      <c r="D154" s="26"/>
      <c r="E154" s="26"/>
      <c r="F154" s="26"/>
      <c r="G154" s="26"/>
      <c r="H154" s="26"/>
      <c r="I154" s="39"/>
      <c r="J154" s="26"/>
      <c r="K154" s="26"/>
      <c r="L154" s="26"/>
      <c r="M154" s="26"/>
      <c r="N154" s="26"/>
      <c r="O154" s="26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6"/>
      <c r="D155" s="26"/>
      <c r="E155" s="26"/>
      <c r="F155" s="26"/>
      <c r="G155" s="26"/>
      <c r="H155" s="26"/>
      <c r="I155" s="39"/>
      <c r="J155" s="26"/>
      <c r="K155" s="26"/>
      <c r="L155" s="26"/>
      <c r="M155" s="26"/>
      <c r="N155" s="26"/>
      <c r="O155" s="26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6"/>
      <c r="D156" s="26"/>
      <c r="E156" s="26"/>
      <c r="F156" s="26"/>
      <c r="G156" s="26"/>
      <c r="H156" s="26"/>
      <c r="I156" s="39"/>
      <c r="J156" s="26"/>
      <c r="K156" s="26"/>
      <c r="L156" s="26"/>
      <c r="M156" s="26"/>
      <c r="N156" s="26"/>
      <c r="O156" s="26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6"/>
      <c r="D157" s="26"/>
      <c r="E157" s="26"/>
      <c r="F157" s="26"/>
      <c r="G157" s="26"/>
      <c r="H157" s="26"/>
      <c r="I157" s="39"/>
      <c r="J157" s="26"/>
      <c r="K157" s="26"/>
      <c r="L157" s="26"/>
      <c r="M157" s="26"/>
      <c r="N157" s="26"/>
      <c r="O157" s="26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6"/>
      <c r="D158" s="26"/>
      <c r="E158" s="26"/>
      <c r="F158" s="26"/>
      <c r="G158" s="26"/>
      <c r="H158" s="26"/>
      <c r="I158" s="39"/>
      <c r="J158" s="26"/>
      <c r="K158" s="26"/>
      <c r="L158" s="26"/>
      <c r="M158" s="26"/>
      <c r="N158" s="26"/>
      <c r="O158" s="26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6"/>
      <c r="D159" s="26"/>
      <c r="E159" s="26"/>
      <c r="F159" s="26"/>
      <c r="G159" s="26"/>
      <c r="H159" s="26"/>
      <c r="I159" s="39"/>
      <c r="J159" s="26"/>
      <c r="K159" s="26"/>
      <c r="L159" s="26"/>
      <c r="M159" s="26"/>
      <c r="N159" s="26"/>
      <c r="O159" s="26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6"/>
      <c r="D160" s="26"/>
      <c r="E160" s="26"/>
      <c r="F160" s="26"/>
      <c r="G160" s="26"/>
      <c r="H160" s="26"/>
      <c r="I160" s="39"/>
      <c r="J160" s="26"/>
      <c r="K160" s="26"/>
      <c r="L160" s="26"/>
      <c r="M160" s="26"/>
      <c r="N160" s="26"/>
      <c r="O160" s="26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6"/>
      <c r="D161" s="26"/>
      <c r="E161" s="26"/>
      <c r="F161" s="26"/>
      <c r="G161" s="26"/>
      <c r="H161" s="26"/>
      <c r="I161" s="39"/>
      <c r="J161" s="26"/>
      <c r="K161" s="26"/>
      <c r="L161" s="26"/>
      <c r="M161" s="26"/>
      <c r="N161" s="26"/>
      <c r="O161" s="26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6"/>
      <c r="D162" s="26"/>
      <c r="E162" s="26"/>
      <c r="F162" s="26"/>
      <c r="G162" s="26"/>
      <c r="H162" s="26"/>
      <c r="I162" s="39"/>
      <c r="J162" s="26"/>
      <c r="K162" s="26"/>
      <c r="L162" s="26"/>
      <c r="M162" s="26"/>
      <c r="N162" s="26"/>
      <c r="O162" s="26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6"/>
      <c r="D163" s="26"/>
      <c r="E163" s="26"/>
      <c r="F163" s="26"/>
      <c r="G163" s="26"/>
      <c r="H163" s="26"/>
      <c r="I163" s="39"/>
      <c r="J163" s="26"/>
      <c r="K163" s="26"/>
      <c r="L163" s="26"/>
      <c r="M163" s="26"/>
      <c r="N163" s="26"/>
      <c r="O163" s="26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6"/>
      <c r="D164" s="26"/>
      <c r="E164" s="26"/>
      <c r="F164" s="26"/>
      <c r="G164" s="26"/>
      <c r="H164" s="26"/>
      <c r="I164" s="39"/>
      <c r="J164" s="26"/>
      <c r="K164" s="26"/>
      <c r="L164" s="26"/>
      <c r="M164" s="26"/>
      <c r="N164" s="26"/>
      <c r="O164" s="26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6"/>
      <c r="D165" s="26"/>
      <c r="E165" s="26"/>
      <c r="F165" s="26"/>
      <c r="G165" s="26"/>
      <c r="H165" s="26"/>
      <c r="I165" s="39"/>
      <c r="J165" s="26"/>
      <c r="K165" s="26"/>
      <c r="L165" s="26"/>
      <c r="M165" s="26"/>
      <c r="N165" s="26"/>
      <c r="O165" s="26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6"/>
      <c r="D166" s="26"/>
      <c r="E166" s="26"/>
      <c r="F166" s="26"/>
      <c r="G166" s="26"/>
      <c r="H166" s="26"/>
      <c r="I166" s="39"/>
      <c r="J166" s="26"/>
      <c r="K166" s="26"/>
      <c r="L166" s="26"/>
      <c r="M166" s="26"/>
      <c r="N166" s="26"/>
      <c r="O166" s="26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6"/>
      <c r="D167" s="26"/>
      <c r="E167" s="26"/>
      <c r="F167" s="26"/>
      <c r="G167" s="26"/>
      <c r="H167" s="26"/>
      <c r="I167" s="39"/>
      <c r="J167" s="26"/>
      <c r="K167" s="26"/>
      <c r="L167" s="26"/>
      <c r="M167" s="26"/>
      <c r="N167" s="26"/>
      <c r="O167" s="26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6"/>
      <c r="D168" s="26"/>
      <c r="E168" s="26"/>
      <c r="F168" s="26"/>
      <c r="G168" s="26"/>
      <c r="H168" s="26"/>
      <c r="I168" s="39"/>
      <c r="J168" s="26"/>
      <c r="K168" s="26"/>
      <c r="L168" s="26"/>
      <c r="M168" s="26"/>
      <c r="N168" s="26"/>
      <c r="O168" s="26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6"/>
      <c r="D169" s="26"/>
      <c r="E169" s="26"/>
      <c r="F169" s="26"/>
      <c r="G169" s="26"/>
      <c r="H169" s="26"/>
      <c r="I169" s="39"/>
      <c r="J169" s="26"/>
      <c r="K169" s="26"/>
      <c r="L169" s="26"/>
      <c r="M169" s="26"/>
      <c r="N169" s="26"/>
      <c r="O169" s="26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6"/>
      <c r="D170" s="26"/>
      <c r="E170" s="26"/>
      <c r="F170" s="26"/>
      <c r="G170" s="26"/>
      <c r="H170" s="26"/>
      <c r="I170" s="39"/>
      <c r="J170" s="26"/>
      <c r="K170" s="26"/>
      <c r="L170" s="26"/>
      <c r="M170" s="26"/>
      <c r="N170" s="26"/>
      <c r="O170" s="26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6"/>
      <c r="D171" s="26"/>
      <c r="E171" s="26"/>
      <c r="F171" s="26"/>
      <c r="G171" s="26"/>
      <c r="H171" s="26"/>
      <c r="I171" s="39"/>
      <c r="J171" s="26"/>
      <c r="K171" s="26"/>
      <c r="L171" s="26"/>
      <c r="M171" s="26"/>
      <c r="N171" s="26"/>
      <c r="O171" s="26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6"/>
      <c r="D172" s="26"/>
      <c r="E172" s="26"/>
      <c r="F172" s="26"/>
      <c r="G172" s="26"/>
      <c r="H172" s="26"/>
      <c r="I172" s="39"/>
      <c r="J172" s="26"/>
      <c r="K172" s="26"/>
      <c r="L172" s="26"/>
      <c r="M172" s="26"/>
      <c r="N172" s="26"/>
      <c r="O172" s="26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6"/>
      <c r="D173" s="26"/>
      <c r="E173" s="26"/>
      <c r="F173" s="26"/>
      <c r="G173" s="26"/>
      <c r="H173" s="26"/>
      <c r="I173" s="39"/>
      <c r="J173" s="26"/>
      <c r="K173" s="26"/>
      <c r="L173" s="26"/>
      <c r="M173" s="26"/>
      <c r="N173" s="26"/>
      <c r="O173" s="26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6"/>
      <c r="D174" s="26"/>
      <c r="E174" s="26"/>
      <c r="F174" s="26"/>
      <c r="G174" s="26"/>
      <c r="H174" s="26"/>
      <c r="I174" s="39"/>
      <c r="J174" s="26"/>
      <c r="K174" s="26"/>
      <c r="L174" s="26"/>
      <c r="M174" s="26"/>
      <c r="N174" s="26"/>
      <c r="O174" s="26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6"/>
      <c r="D175" s="26"/>
      <c r="E175" s="26"/>
      <c r="F175" s="26"/>
      <c r="G175" s="26"/>
      <c r="H175" s="26"/>
      <c r="I175" s="39"/>
      <c r="J175" s="26"/>
      <c r="K175" s="26"/>
      <c r="L175" s="26"/>
      <c r="M175" s="26"/>
      <c r="N175" s="26"/>
      <c r="O175" s="26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6"/>
      <c r="D176" s="26"/>
      <c r="E176" s="26"/>
      <c r="F176" s="26"/>
      <c r="G176" s="26"/>
      <c r="H176" s="26"/>
      <c r="I176" s="39"/>
      <c r="J176" s="26"/>
      <c r="K176" s="26"/>
      <c r="L176" s="26"/>
      <c r="M176" s="26"/>
      <c r="N176" s="26"/>
      <c r="O176" s="26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6"/>
      <c r="D177" s="26"/>
      <c r="E177" s="26"/>
      <c r="F177" s="26"/>
      <c r="G177" s="26"/>
      <c r="H177" s="26"/>
      <c r="I177" s="39"/>
      <c r="J177" s="26"/>
      <c r="K177" s="26"/>
      <c r="L177" s="26"/>
      <c r="M177" s="26"/>
      <c r="N177" s="26"/>
      <c r="O177" s="26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6"/>
      <c r="D178" s="26"/>
      <c r="E178" s="26"/>
      <c r="F178" s="26"/>
      <c r="G178" s="26"/>
      <c r="H178" s="26"/>
      <c r="I178" s="39"/>
      <c r="J178" s="26"/>
      <c r="K178" s="26"/>
      <c r="L178" s="26"/>
      <c r="M178" s="26"/>
      <c r="N178" s="26"/>
      <c r="O178" s="26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6"/>
      <c r="D179" s="26"/>
      <c r="E179" s="26"/>
      <c r="F179" s="26"/>
      <c r="G179" s="26"/>
      <c r="H179" s="26"/>
      <c r="I179" s="39"/>
      <c r="J179" s="26"/>
      <c r="K179" s="26"/>
      <c r="L179" s="26"/>
      <c r="M179" s="26"/>
      <c r="N179" s="26"/>
      <c r="O179" s="26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6"/>
      <c r="D180" s="26"/>
      <c r="E180" s="26"/>
      <c r="F180" s="26"/>
      <c r="G180" s="26"/>
      <c r="H180" s="26"/>
      <c r="I180" s="39"/>
      <c r="J180" s="26"/>
      <c r="K180" s="26"/>
      <c r="L180" s="26"/>
      <c r="M180" s="26"/>
      <c r="N180" s="26"/>
      <c r="O180" s="26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6"/>
      <c r="D181" s="26"/>
      <c r="E181" s="26"/>
      <c r="F181" s="26"/>
      <c r="G181" s="26"/>
      <c r="H181" s="26"/>
      <c r="I181" s="39"/>
      <c r="J181" s="26"/>
      <c r="K181" s="26"/>
      <c r="L181" s="26"/>
      <c r="M181" s="26"/>
      <c r="N181" s="26"/>
      <c r="O181" s="26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6"/>
      <c r="D182" s="26"/>
      <c r="E182" s="26"/>
      <c r="F182" s="26"/>
      <c r="G182" s="26"/>
      <c r="H182" s="26"/>
      <c r="I182" s="39"/>
      <c r="J182" s="26"/>
      <c r="K182" s="26"/>
      <c r="L182" s="26"/>
      <c r="M182" s="26"/>
      <c r="N182" s="26"/>
      <c r="O182" s="26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6"/>
      <c r="D183" s="26"/>
      <c r="E183" s="26"/>
      <c r="F183" s="26"/>
      <c r="G183" s="26"/>
      <c r="H183" s="26"/>
      <c r="I183" s="39"/>
      <c r="J183" s="26"/>
      <c r="K183" s="26"/>
      <c r="L183" s="26"/>
      <c r="M183" s="26"/>
      <c r="N183" s="26"/>
      <c r="O183" s="26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6"/>
      <c r="D184" s="26"/>
      <c r="E184" s="26"/>
      <c r="F184" s="26"/>
      <c r="G184" s="26"/>
      <c r="H184" s="26"/>
      <c r="I184" s="39"/>
      <c r="J184" s="26"/>
      <c r="K184" s="26"/>
      <c r="L184" s="26"/>
      <c r="M184" s="26"/>
      <c r="N184" s="26"/>
      <c r="O184" s="26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6"/>
      <c r="D185" s="26"/>
      <c r="E185" s="26"/>
      <c r="F185" s="26"/>
      <c r="G185" s="26"/>
      <c r="H185" s="26"/>
      <c r="I185" s="39"/>
      <c r="J185" s="26"/>
      <c r="K185" s="26"/>
      <c r="L185" s="26"/>
      <c r="M185" s="26"/>
      <c r="N185" s="26"/>
      <c r="O185" s="26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6"/>
      <c r="D186" s="26"/>
      <c r="E186" s="26"/>
      <c r="F186" s="26"/>
      <c r="G186" s="26"/>
      <c r="H186" s="26"/>
      <c r="I186" s="39"/>
      <c r="J186" s="26"/>
      <c r="K186" s="26"/>
      <c r="L186" s="26"/>
      <c r="M186" s="26"/>
      <c r="N186" s="26"/>
      <c r="O186" s="26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6"/>
      <c r="D187" s="26"/>
      <c r="E187" s="26"/>
      <c r="F187" s="26"/>
      <c r="G187" s="26"/>
      <c r="H187" s="26"/>
      <c r="I187" s="39"/>
      <c r="J187" s="26"/>
      <c r="K187" s="26"/>
      <c r="L187" s="26"/>
      <c r="M187" s="26"/>
      <c r="N187" s="26"/>
      <c r="O187" s="26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6"/>
      <c r="D188" s="26"/>
      <c r="E188" s="26"/>
      <c r="F188" s="26"/>
      <c r="G188" s="26"/>
      <c r="H188" s="26"/>
      <c r="I188" s="39"/>
      <c r="J188" s="26"/>
      <c r="K188" s="26"/>
      <c r="L188" s="26"/>
      <c r="M188" s="26"/>
      <c r="N188" s="26"/>
      <c r="O188" s="26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6"/>
      <c r="D189" s="26"/>
      <c r="E189" s="26"/>
      <c r="F189" s="26"/>
      <c r="G189" s="26"/>
      <c r="H189" s="26"/>
      <c r="I189" s="39"/>
      <c r="J189" s="26"/>
      <c r="K189" s="26"/>
      <c r="L189" s="26"/>
      <c r="M189" s="26"/>
      <c r="N189" s="26"/>
      <c r="O189" s="26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6"/>
      <c r="D190" s="26"/>
      <c r="E190" s="26"/>
      <c r="F190" s="26"/>
      <c r="G190" s="26"/>
      <c r="H190" s="26"/>
      <c r="I190" s="39"/>
      <c r="J190" s="26"/>
      <c r="K190" s="26"/>
      <c r="L190" s="26"/>
      <c r="M190" s="26"/>
      <c r="N190" s="26"/>
      <c r="O190" s="26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6"/>
      <c r="D191" s="26"/>
      <c r="E191" s="26"/>
      <c r="F191" s="26"/>
      <c r="G191" s="26"/>
      <c r="H191" s="26"/>
      <c r="I191" s="39"/>
      <c r="J191" s="26"/>
      <c r="K191" s="26"/>
      <c r="L191" s="26"/>
      <c r="M191" s="26"/>
      <c r="N191" s="26"/>
      <c r="O191" s="26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6"/>
      <c r="D192" s="26"/>
      <c r="E192" s="26"/>
      <c r="F192" s="26"/>
      <c r="G192" s="26"/>
      <c r="H192" s="26"/>
      <c r="I192" s="39"/>
      <c r="J192" s="26"/>
      <c r="K192" s="26"/>
      <c r="L192" s="26"/>
      <c r="M192" s="26"/>
      <c r="N192" s="26"/>
      <c r="O192" s="26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6"/>
      <c r="D193" s="26"/>
      <c r="E193" s="26"/>
      <c r="F193" s="26"/>
      <c r="G193" s="26"/>
      <c r="H193" s="26"/>
      <c r="I193" s="39"/>
      <c r="J193" s="26"/>
      <c r="K193" s="26"/>
      <c r="L193" s="26"/>
      <c r="M193" s="26"/>
      <c r="N193" s="26"/>
      <c r="O193" s="26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6"/>
      <c r="D194" s="26"/>
      <c r="E194" s="26"/>
      <c r="F194" s="26"/>
      <c r="G194" s="26"/>
      <c r="H194" s="26"/>
      <c r="I194" s="39"/>
      <c r="J194" s="26"/>
      <c r="K194" s="26"/>
      <c r="L194" s="26"/>
      <c r="M194" s="26"/>
      <c r="N194" s="26"/>
      <c r="O194" s="26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6"/>
      <c r="D195" s="26"/>
      <c r="E195" s="26"/>
      <c r="F195" s="26"/>
      <c r="G195" s="26"/>
      <c r="H195" s="26"/>
      <c r="I195" s="39"/>
      <c r="J195" s="26"/>
      <c r="K195" s="26"/>
      <c r="L195" s="26"/>
      <c r="M195" s="26"/>
      <c r="N195" s="26"/>
      <c r="O195" s="26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6"/>
      <c r="D196" s="26"/>
      <c r="E196" s="26"/>
      <c r="F196" s="26"/>
      <c r="G196" s="26"/>
      <c r="H196" s="26"/>
      <c r="I196" s="39"/>
      <c r="J196" s="26"/>
      <c r="K196" s="26"/>
      <c r="L196" s="26"/>
      <c r="M196" s="26"/>
      <c r="N196" s="26"/>
      <c r="O196" s="26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6"/>
      <c r="D197" s="26"/>
      <c r="E197" s="26"/>
      <c r="F197" s="26"/>
      <c r="G197" s="26"/>
      <c r="H197" s="26"/>
      <c r="I197" s="39"/>
      <c r="J197" s="26"/>
      <c r="K197" s="26"/>
      <c r="L197" s="26"/>
      <c r="M197" s="26"/>
      <c r="N197" s="26"/>
      <c r="O197" s="26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6"/>
      <c r="D198" s="26"/>
      <c r="E198" s="26"/>
      <c r="F198" s="26"/>
      <c r="G198" s="26"/>
      <c r="H198" s="26"/>
      <c r="I198" s="39"/>
      <c r="J198" s="26"/>
      <c r="K198" s="26"/>
      <c r="L198" s="26"/>
      <c r="M198" s="26"/>
      <c r="N198" s="26"/>
      <c r="O198" s="26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6"/>
      <c r="D199" s="26"/>
      <c r="E199" s="26"/>
      <c r="F199" s="26"/>
      <c r="G199" s="26"/>
      <c r="H199" s="26"/>
      <c r="I199" s="39"/>
      <c r="J199" s="26"/>
      <c r="K199" s="26"/>
      <c r="L199" s="26"/>
      <c r="M199" s="26"/>
      <c r="N199" s="26"/>
      <c r="O199" s="26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6"/>
      <c r="D200" s="26"/>
      <c r="E200" s="26"/>
      <c r="F200" s="26"/>
      <c r="G200" s="26"/>
      <c r="H200" s="26"/>
      <c r="I200" s="39"/>
      <c r="J200" s="26"/>
      <c r="K200" s="26"/>
      <c r="L200" s="26"/>
      <c r="M200" s="26"/>
      <c r="N200" s="26"/>
      <c r="O200" s="26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6"/>
      <c r="D201" s="26"/>
      <c r="E201" s="26"/>
      <c r="F201" s="26"/>
      <c r="G201" s="26"/>
      <c r="H201" s="26"/>
      <c r="I201" s="39"/>
      <c r="J201" s="26"/>
      <c r="K201" s="26"/>
      <c r="L201" s="26"/>
      <c r="M201" s="26"/>
      <c r="N201" s="26"/>
      <c r="O201" s="26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6"/>
      <c r="D202" s="26"/>
      <c r="E202" s="26"/>
      <c r="F202" s="26"/>
      <c r="G202" s="26"/>
      <c r="H202" s="26"/>
      <c r="I202" s="39"/>
      <c r="J202" s="26"/>
      <c r="K202" s="26"/>
      <c r="L202" s="26"/>
      <c r="M202" s="26"/>
      <c r="N202" s="26"/>
      <c r="O202" s="26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6"/>
      <c r="D203" s="26"/>
      <c r="E203" s="26"/>
      <c r="F203" s="26"/>
      <c r="G203" s="26"/>
      <c r="H203" s="26"/>
      <c r="I203" s="39"/>
      <c r="J203" s="26"/>
      <c r="K203" s="26"/>
      <c r="L203" s="26"/>
      <c r="M203" s="26"/>
      <c r="N203" s="26"/>
      <c r="O203" s="26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6"/>
      <c r="D204" s="26"/>
      <c r="E204" s="26"/>
      <c r="F204" s="26"/>
      <c r="G204" s="26"/>
      <c r="H204" s="26"/>
      <c r="I204" s="39"/>
      <c r="J204" s="26"/>
      <c r="K204" s="26"/>
      <c r="L204" s="26"/>
      <c r="M204" s="26"/>
      <c r="N204" s="26"/>
      <c r="O204" s="26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6"/>
      <c r="D205" s="26"/>
      <c r="E205" s="26"/>
      <c r="F205" s="26"/>
      <c r="G205" s="26"/>
      <c r="H205" s="26"/>
      <c r="I205" s="39"/>
      <c r="J205" s="26"/>
      <c r="K205" s="26"/>
      <c r="L205" s="26"/>
      <c r="M205" s="26"/>
      <c r="N205" s="26"/>
      <c r="O205" s="26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6"/>
      <c r="D206" s="26"/>
      <c r="E206" s="26"/>
      <c r="F206" s="26"/>
      <c r="G206" s="26"/>
      <c r="H206" s="26"/>
      <c r="I206" s="39"/>
      <c r="J206" s="26"/>
      <c r="K206" s="26"/>
      <c r="L206" s="26"/>
      <c r="M206" s="26"/>
      <c r="N206" s="26"/>
      <c r="O206" s="26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6"/>
      <c r="D207" s="26"/>
      <c r="E207" s="26"/>
      <c r="F207" s="26"/>
      <c r="G207" s="26"/>
      <c r="H207" s="26"/>
      <c r="I207" s="39"/>
      <c r="J207" s="26"/>
      <c r="K207" s="26"/>
      <c r="L207" s="26"/>
      <c r="M207" s="26"/>
      <c r="N207" s="26"/>
      <c r="O207" s="26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6"/>
      <c r="D208" s="26"/>
      <c r="E208" s="26"/>
      <c r="F208" s="26"/>
      <c r="G208" s="26"/>
      <c r="H208" s="26"/>
      <c r="I208" s="39"/>
      <c r="J208" s="26"/>
      <c r="K208" s="26"/>
      <c r="L208" s="26"/>
      <c r="M208" s="26"/>
      <c r="N208" s="26"/>
      <c r="O208" s="26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6"/>
      <c r="D209" s="26"/>
      <c r="E209" s="26"/>
      <c r="F209" s="26"/>
      <c r="G209" s="26"/>
      <c r="H209" s="26"/>
      <c r="I209" s="39"/>
      <c r="J209" s="26"/>
      <c r="K209" s="26"/>
      <c r="L209" s="26"/>
      <c r="M209" s="26"/>
      <c r="N209" s="26"/>
      <c r="O209" s="26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6"/>
      <c r="D210" s="26"/>
      <c r="E210" s="26"/>
      <c r="F210" s="26"/>
      <c r="G210" s="26"/>
      <c r="H210" s="26"/>
      <c r="I210" s="39"/>
      <c r="J210" s="26"/>
      <c r="K210" s="26"/>
      <c r="L210" s="26"/>
      <c r="M210" s="26"/>
      <c r="N210" s="26"/>
      <c r="O210" s="26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6"/>
      <c r="D211" s="26"/>
      <c r="E211" s="26"/>
      <c r="F211" s="26"/>
      <c r="G211" s="26"/>
      <c r="H211" s="26"/>
      <c r="I211" s="39"/>
      <c r="J211" s="26"/>
      <c r="K211" s="26"/>
      <c r="L211" s="26"/>
      <c r="M211" s="26"/>
      <c r="N211" s="26"/>
      <c r="O211" s="26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6"/>
      <c r="D212" s="26"/>
      <c r="E212" s="26"/>
      <c r="F212" s="26"/>
      <c r="G212" s="26"/>
      <c r="H212" s="26"/>
      <c r="I212" s="39"/>
      <c r="J212" s="26"/>
      <c r="K212" s="26"/>
      <c r="L212" s="26"/>
      <c r="M212" s="26"/>
      <c r="N212" s="26"/>
      <c r="O212" s="26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6"/>
      <c r="D213" s="26"/>
      <c r="E213" s="26"/>
      <c r="F213" s="26"/>
      <c r="G213" s="26"/>
      <c r="H213" s="26"/>
      <c r="I213" s="39"/>
      <c r="J213" s="26"/>
      <c r="K213" s="26"/>
      <c r="L213" s="26"/>
      <c r="M213" s="26"/>
      <c r="N213" s="26"/>
      <c r="O213" s="26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6"/>
      <c r="D214" s="26"/>
      <c r="E214" s="26"/>
      <c r="F214" s="26"/>
      <c r="G214" s="26"/>
      <c r="H214" s="26"/>
      <c r="I214" s="39"/>
      <c r="J214" s="26"/>
      <c r="K214" s="26"/>
      <c r="L214" s="26"/>
      <c r="M214" s="26"/>
      <c r="N214" s="26"/>
      <c r="O214" s="26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6"/>
      <c r="D215" s="26"/>
      <c r="E215" s="26"/>
      <c r="F215" s="26"/>
      <c r="G215" s="26"/>
      <c r="H215" s="26"/>
      <c r="I215" s="39"/>
      <c r="J215" s="26"/>
      <c r="K215" s="26"/>
      <c r="L215" s="26"/>
      <c r="M215" s="26"/>
      <c r="N215" s="26"/>
      <c r="O215" s="26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6"/>
      <c r="D216" s="26"/>
      <c r="E216" s="26"/>
      <c r="F216" s="26"/>
      <c r="G216" s="26"/>
      <c r="H216" s="26"/>
      <c r="I216" s="39"/>
      <c r="J216" s="26"/>
      <c r="K216" s="26"/>
      <c r="L216" s="26"/>
      <c r="M216" s="26"/>
      <c r="N216" s="26"/>
      <c r="O216" s="26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6"/>
      <c r="D217" s="26"/>
      <c r="E217" s="26"/>
      <c r="F217" s="26"/>
      <c r="G217" s="26"/>
      <c r="H217" s="26"/>
      <c r="I217" s="39"/>
      <c r="J217" s="26"/>
      <c r="K217" s="26"/>
      <c r="L217" s="26"/>
      <c r="M217" s="26"/>
      <c r="N217" s="26"/>
      <c r="O217" s="26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6"/>
      <c r="D218" s="26"/>
      <c r="E218" s="26"/>
      <c r="F218" s="26"/>
      <c r="G218" s="26"/>
      <c r="H218" s="26"/>
      <c r="I218" s="39"/>
      <c r="J218" s="26"/>
      <c r="K218" s="26"/>
      <c r="L218" s="26"/>
      <c r="M218" s="26"/>
      <c r="N218" s="26"/>
      <c r="O218" s="26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6"/>
      <c r="D219" s="26"/>
      <c r="E219" s="26"/>
      <c r="F219" s="26"/>
      <c r="G219" s="26"/>
      <c r="H219" s="26"/>
      <c r="I219" s="39"/>
      <c r="J219" s="26"/>
      <c r="K219" s="26"/>
      <c r="L219" s="26"/>
      <c r="M219" s="26"/>
      <c r="N219" s="26"/>
      <c r="O219" s="26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6"/>
      <c r="D220" s="26"/>
      <c r="E220" s="26"/>
      <c r="F220" s="26"/>
      <c r="G220" s="26"/>
      <c r="H220" s="26"/>
      <c r="I220" s="39"/>
      <c r="J220" s="26"/>
      <c r="K220" s="26"/>
      <c r="L220" s="26"/>
      <c r="M220" s="26"/>
      <c r="N220" s="26"/>
      <c r="O220" s="26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6"/>
      <c r="D221" s="26"/>
      <c r="E221" s="26"/>
      <c r="F221" s="26"/>
      <c r="G221" s="26"/>
      <c r="H221" s="26"/>
      <c r="I221" s="39"/>
      <c r="J221" s="26"/>
      <c r="K221" s="26"/>
      <c r="L221" s="26"/>
      <c r="M221" s="26"/>
      <c r="N221" s="26"/>
      <c r="O221" s="26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6"/>
      <c r="D222" s="26"/>
      <c r="E222" s="26"/>
      <c r="F222" s="26"/>
      <c r="G222" s="26"/>
      <c r="H222" s="26"/>
      <c r="I222" s="39"/>
      <c r="J222" s="26"/>
      <c r="K222" s="26"/>
      <c r="L222" s="26"/>
      <c r="M222" s="26"/>
      <c r="N222" s="26"/>
      <c r="O222" s="26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6"/>
      <c r="D223" s="26"/>
      <c r="E223" s="26"/>
      <c r="F223" s="26"/>
      <c r="G223" s="26"/>
      <c r="H223" s="26"/>
      <c r="I223" s="39"/>
      <c r="J223" s="26"/>
      <c r="K223" s="26"/>
      <c r="L223" s="26"/>
      <c r="M223" s="26"/>
      <c r="N223" s="26"/>
      <c r="O223" s="26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6"/>
      <c r="D224" s="26"/>
      <c r="E224" s="26"/>
      <c r="F224" s="26"/>
      <c r="G224" s="26"/>
      <c r="H224" s="26"/>
      <c r="I224" s="39"/>
      <c r="J224" s="26"/>
      <c r="K224" s="26"/>
      <c r="L224" s="26"/>
      <c r="M224" s="26"/>
      <c r="N224" s="26"/>
      <c r="O224" s="26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6"/>
      <c r="D225" s="26"/>
      <c r="E225" s="26"/>
      <c r="F225" s="26"/>
      <c r="G225" s="26"/>
      <c r="H225" s="26"/>
      <c r="I225" s="39"/>
      <c r="J225" s="26"/>
      <c r="K225" s="26"/>
      <c r="L225" s="26"/>
      <c r="M225" s="26"/>
      <c r="N225" s="26"/>
      <c r="O225" s="26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6"/>
      <c r="D226" s="26"/>
      <c r="E226" s="26"/>
      <c r="F226" s="26"/>
      <c r="G226" s="26"/>
      <c r="H226" s="26"/>
      <c r="I226" s="39"/>
      <c r="J226" s="26"/>
      <c r="K226" s="26"/>
      <c r="L226" s="26"/>
      <c r="M226" s="26"/>
      <c r="N226" s="26"/>
      <c r="O226" s="26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6"/>
      <c r="D227" s="26"/>
      <c r="E227" s="26"/>
      <c r="F227" s="26"/>
      <c r="G227" s="26"/>
      <c r="H227" s="26"/>
      <c r="I227" s="39"/>
      <c r="J227" s="26"/>
      <c r="K227" s="26"/>
      <c r="L227" s="26"/>
      <c r="M227" s="26"/>
      <c r="N227" s="26"/>
      <c r="O227" s="26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6"/>
      <c r="D228" s="26"/>
      <c r="E228" s="26"/>
      <c r="F228" s="26"/>
      <c r="G228" s="26"/>
      <c r="H228" s="26"/>
      <c r="I228" s="39"/>
      <c r="J228" s="26"/>
      <c r="K228" s="26"/>
      <c r="L228" s="26"/>
      <c r="M228" s="26"/>
      <c r="N228" s="26"/>
      <c r="O228" s="26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6"/>
      <c r="D229" s="26"/>
      <c r="E229" s="26"/>
      <c r="F229" s="26"/>
      <c r="G229" s="26"/>
      <c r="H229" s="26"/>
      <c r="I229" s="39"/>
      <c r="J229" s="26"/>
      <c r="K229" s="26"/>
      <c r="L229" s="26"/>
      <c r="M229" s="26"/>
      <c r="N229" s="26"/>
      <c r="O229" s="26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6"/>
      <c r="D230" s="26"/>
      <c r="E230" s="26"/>
      <c r="F230" s="26"/>
      <c r="G230" s="26"/>
      <c r="H230" s="26"/>
      <c r="I230" s="39"/>
      <c r="J230" s="26"/>
      <c r="K230" s="26"/>
      <c r="L230" s="26"/>
      <c r="M230" s="26"/>
      <c r="N230" s="26"/>
      <c r="O230" s="26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6"/>
      <c r="D231" s="26"/>
      <c r="E231" s="26"/>
      <c r="F231" s="26"/>
      <c r="G231" s="26"/>
      <c r="H231" s="26"/>
      <c r="I231" s="39"/>
      <c r="J231" s="26"/>
      <c r="K231" s="26"/>
      <c r="L231" s="26"/>
      <c r="M231" s="26"/>
      <c r="N231" s="26"/>
      <c r="O231" s="26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6"/>
      <c r="D232" s="26"/>
      <c r="E232" s="26"/>
      <c r="F232" s="26"/>
      <c r="G232" s="26"/>
      <c r="H232" s="26"/>
      <c r="I232" s="39"/>
      <c r="J232" s="26"/>
      <c r="K232" s="26"/>
      <c r="L232" s="26"/>
      <c r="M232" s="26"/>
      <c r="N232" s="26"/>
      <c r="O232" s="26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6"/>
      <c r="D233" s="26"/>
      <c r="E233" s="26"/>
      <c r="F233" s="26"/>
      <c r="G233" s="26"/>
      <c r="H233" s="26"/>
      <c r="I233" s="39"/>
      <c r="J233" s="26"/>
      <c r="K233" s="26"/>
      <c r="L233" s="26"/>
      <c r="M233" s="26"/>
      <c r="N233" s="26"/>
      <c r="O233" s="26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6"/>
      <c r="D234" s="26"/>
      <c r="E234" s="26"/>
      <c r="F234" s="26"/>
      <c r="G234" s="26"/>
      <c r="H234" s="26"/>
      <c r="I234" s="39"/>
      <c r="J234" s="26"/>
      <c r="K234" s="26"/>
      <c r="L234" s="26"/>
      <c r="M234" s="26"/>
      <c r="N234" s="26"/>
      <c r="O234" s="26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6"/>
      <c r="D235" s="26"/>
      <c r="E235" s="26"/>
      <c r="F235" s="26"/>
      <c r="G235" s="26"/>
      <c r="H235" s="26"/>
      <c r="I235" s="39"/>
      <c r="J235" s="26"/>
      <c r="K235" s="26"/>
      <c r="L235" s="26"/>
      <c r="M235" s="26"/>
      <c r="N235" s="26"/>
      <c r="O235" s="26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6"/>
      <c r="D236" s="26"/>
      <c r="E236" s="26"/>
      <c r="F236" s="26"/>
      <c r="G236" s="26"/>
      <c r="H236" s="26"/>
      <c r="I236" s="39"/>
      <c r="J236" s="26"/>
      <c r="K236" s="26"/>
      <c r="L236" s="26"/>
      <c r="M236" s="26"/>
      <c r="N236" s="26"/>
      <c r="O236" s="26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6"/>
      <c r="D237" s="26"/>
      <c r="E237" s="26"/>
      <c r="F237" s="26"/>
      <c r="G237" s="26"/>
      <c r="H237" s="26"/>
      <c r="I237" s="39"/>
      <c r="J237" s="26"/>
      <c r="K237" s="26"/>
      <c r="L237" s="26"/>
      <c r="M237" s="26"/>
      <c r="N237" s="26"/>
      <c r="O237" s="26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6"/>
      <c r="D238" s="26"/>
      <c r="E238" s="26"/>
      <c r="F238" s="26"/>
      <c r="G238" s="26"/>
      <c r="H238" s="26"/>
      <c r="I238" s="39"/>
      <c r="J238" s="26"/>
      <c r="K238" s="26"/>
      <c r="L238" s="26"/>
      <c r="M238" s="26"/>
      <c r="N238" s="26"/>
      <c r="O238" s="26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6"/>
      <c r="D239" s="26"/>
      <c r="E239" s="26"/>
      <c r="F239" s="26"/>
      <c r="G239" s="26"/>
      <c r="H239" s="26"/>
      <c r="I239" s="39"/>
      <c r="J239" s="26"/>
      <c r="K239" s="26"/>
      <c r="L239" s="26"/>
      <c r="M239" s="26"/>
      <c r="N239" s="26"/>
      <c r="O239" s="26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6"/>
      <c r="D240" s="26"/>
      <c r="E240" s="26"/>
      <c r="F240" s="26"/>
      <c r="G240" s="26"/>
      <c r="H240" s="26"/>
      <c r="I240" s="39"/>
      <c r="J240" s="26"/>
      <c r="K240" s="26"/>
      <c r="L240" s="26"/>
      <c r="M240" s="26"/>
      <c r="N240" s="26"/>
      <c r="O240" s="26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6"/>
      <c r="D241" s="26"/>
      <c r="E241" s="26"/>
      <c r="F241" s="26"/>
      <c r="G241" s="26"/>
      <c r="H241" s="26"/>
      <c r="I241" s="39"/>
      <c r="J241" s="26"/>
      <c r="K241" s="26"/>
      <c r="L241" s="26"/>
      <c r="M241" s="26"/>
      <c r="N241" s="26"/>
      <c r="O241" s="26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6"/>
      <c r="D242" s="26"/>
      <c r="E242" s="26"/>
      <c r="F242" s="26"/>
      <c r="G242" s="26"/>
      <c r="H242" s="26"/>
      <c r="I242" s="39"/>
      <c r="J242" s="26"/>
      <c r="K242" s="26"/>
      <c r="L242" s="26"/>
      <c r="M242" s="26"/>
      <c r="N242" s="26"/>
      <c r="O242" s="26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6"/>
      <c r="D243" s="26"/>
      <c r="E243" s="26"/>
      <c r="F243" s="26"/>
      <c r="G243" s="26"/>
      <c r="H243" s="26"/>
      <c r="I243" s="39"/>
      <c r="J243" s="26"/>
      <c r="K243" s="26"/>
      <c r="L243" s="26"/>
      <c r="M243" s="26"/>
      <c r="N243" s="26"/>
      <c r="O243" s="26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6"/>
      <c r="D244" s="26"/>
      <c r="E244" s="26"/>
      <c r="F244" s="26"/>
      <c r="G244" s="26"/>
      <c r="H244" s="26"/>
      <c r="I244" s="39"/>
      <c r="J244" s="26"/>
      <c r="K244" s="26"/>
      <c r="L244" s="26"/>
      <c r="M244" s="26"/>
      <c r="N244" s="26"/>
      <c r="O244" s="26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6"/>
      <c r="D245" s="26"/>
      <c r="E245" s="26"/>
      <c r="F245" s="26"/>
      <c r="G245" s="26"/>
      <c r="H245" s="26"/>
      <c r="I245" s="39"/>
      <c r="J245" s="26"/>
      <c r="K245" s="26"/>
      <c r="L245" s="26"/>
      <c r="M245" s="26"/>
      <c r="N245" s="26"/>
      <c r="O245" s="26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6"/>
      <c r="D246" s="26"/>
      <c r="E246" s="26"/>
      <c r="F246" s="26"/>
      <c r="G246" s="26"/>
      <c r="H246" s="26"/>
      <c r="I246" s="39"/>
      <c r="J246" s="26"/>
      <c r="K246" s="26"/>
      <c r="L246" s="26"/>
      <c r="M246" s="26"/>
      <c r="N246" s="26"/>
      <c r="O246" s="26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6"/>
      <c r="D247" s="26"/>
      <c r="E247" s="26"/>
      <c r="F247" s="26"/>
      <c r="G247" s="26"/>
      <c r="H247" s="26"/>
      <c r="I247" s="39"/>
      <c r="J247" s="26"/>
      <c r="K247" s="26"/>
      <c r="L247" s="26"/>
      <c r="M247" s="26"/>
      <c r="N247" s="26"/>
      <c r="O247" s="26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6"/>
      <c r="D248" s="26"/>
      <c r="E248" s="26"/>
      <c r="F248" s="26"/>
      <c r="G248" s="26"/>
      <c r="H248" s="26"/>
      <c r="I248" s="39"/>
      <c r="J248" s="26"/>
      <c r="K248" s="26"/>
      <c r="L248" s="26"/>
      <c r="M248" s="26"/>
      <c r="N248" s="26"/>
      <c r="O248" s="26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6"/>
      <c r="D249" s="26"/>
      <c r="E249" s="26"/>
      <c r="F249" s="26"/>
      <c r="G249" s="26"/>
      <c r="H249" s="26"/>
      <c r="I249" s="39"/>
      <c r="J249" s="26"/>
      <c r="K249" s="26"/>
      <c r="L249" s="26"/>
      <c r="M249" s="26"/>
      <c r="N249" s="26"/>
      <c r="O249" s="26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6"/>
      <c r="D250" s="26"/>
      <c r="E250" s="26"/>
      <c r="F250" s="26"/>
      <c r="G250" s="26"/>
      <c r="H250" s="26"/>
      <c r="I250" s="39"/>
      <c r="J250" s="26"/>
      <c r="K250" s="26"/>
      <c r="L250" s="26"/>
      <c r="M250" s="26"/>
      <c r="N250" s="26"/>
      <c r="O250" s="26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6"/>
      <c r="D251" s="26"/>
      <c r="E251" s="26"/>
      <c r="F251" s="26"/>
      <c r="G251" s="26"/>
      <c r="H251" s="26"/>
      <c r="I251" s="39"/>
      <c r="J251" s="26"/>
      <c r="K251" s="26"/>
      <c r="L251" s="26"/>
      <c r="M251" s="26"/>
      <c r="N251" s="26"/>
      <c r="O251" s="26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6"/>
      <c r="D252" s="26"/>
      <c r="E252" s="26"/>
      <c r="F252" s="26"/>
      <c r="G252" s="26"/>
      <c r="H252" s="26"/>
      <c r="I252" s="39"/>
      <c r="J252" s="26"/>
      <c r="K252" s="26"/>
      <c r="L252" s="26"/>
      <c r="M252" s="26"/>
      <c r="N252" s="26"/>
      <c r="O252" s="26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6"/>
      <c r="D253" s="26"/>
      <c r="E253" s="26"/>
      <c r="F253" s="26"/>
      <c r="G253" s="26"/>
      <c r="H253" s="26"/>
      <c r="I253" s="39"/>
      <c r="J253" s="26"/>
      <c r="K253" s="26"/>
      <c r="L253" s="26"/>
      <c r="M253" s="26"/>
      <c r="N253" s="26"/>
      <c r="O253" s="26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6"/>
      <c r="D254" s="26"/>
      <c r="E254" s="26"/>
      <c r="F254" s="26"/>
      <c r="G254" s="26"/>
      <c r="H254" s="26"/>
      <c r="I254" s="39"/>
      <c r="J254" s="26"/>
      <c r="K254" s="26"/>
      <c r="L254" s="26"/>
      <c r="M254" s="26"/>
      <c r="N254" s="26"/>
      <c r="O254" s="26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6"/>
      <c r="D255" s="26"/>
      <c r="E255" s="26"/>
      <c r="F255" s="26"/>
      <c r="G255" s="26"/>
      <c r="H255" s="26"/>
      <c r="I255" s="39"/>
      <c r="J255" s="26"/>
      <c r="K255" s="26"/>
      <c r="L255" s="26"/>
      <c r="M255" s="26"/>
      <c r="N255" s="26"/>
      <c r="O255" s="26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6"/>
      <c r="D256" s="26"/>
      <c r="E256" s="26"/>
      <c r="F256" s="26"/>
      <c r="G256" s="26"/>
      <c r="H256" s="26"/>
      <c r="I256" s="39"/>
      <c r="J256" s="26"/>
      <c r="K256" s="26"/>
      <c r="L256" s="26"/>
      <c r="M256" s="26"/>
      <c r="N256" s="26"/>
      <c r="O256" s="26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6"/>
      <c r="D257" s="26"/>
      <c r="E257" s="26"/>
      <c r="F257" s="26"/>
      <c r="G257" s="26"/>
      <c r="H257" s="26"/>
      <c r="I257" s="39"/>
      <c r="J257" s="26"/>
      <c r="K257" s="26"/>
      <c r="L257" s="26"/>
      <c r="M257" s="26"/>
      <c r="N257" s="26"/>
      <c r="O257" s="26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6"/>
      <c r="D258" s="26"/>
      <c r="E258" s="26"/>
      <c r="F258" s="26"/>
      <c r="G258" s="26"/>
      <c r="H258" s="26"/>
      <c r="I258" s="39"/>
      <c r="J258" s="26"/>
      <c r="K258" s="26"/>
      <c r="L258" s="26"/>
      <c r="M258" s="26"/>
      <c r="N258" s="26"/>
      <c r="O258" s="26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6"/>
      <c r="D259" s="26"/>
      <c r="E259" s="26"/>
      <c r="F259" s="26"/>
      <c r="G259" s="26"/>
      <c r="H259" s="26"/>
      <c r="I259" s="39"/>
      <c r="J259" s="26"/>
      <c r="K259" s="26"/>
      <c r="L259" s="26"/>
      <c r="M259" s="26"/>
      <c r="N259" s="26"/>
      <c r="O259" s="26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6"/>
      <c r="D260" s="26"/>
      <c r="E260" s="26"/>
      <c r="F260" s="26"/>
      <c r="G260" s="26"/>
      <c r="H260" s="26"/>
      <c r="I260" s="39"/>
      <c r="J260" s="26"/>
      <c r="K260" s="26"/>
      <c r="L260" s="26"/>
      <c r="M260" s="26"/>
      <c r="N260" s="26"/>
      <c r="O260" s="26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6"/>
      <c r="D261" s="26"/>
      <c r="E261" s="26"/>
      <c r="F261" s="26"/>
      <c r="G261" s="26"/>
      <c r="H261" s="26"/>
      <c r="I261" s="39"/>
      <c r="J261" s="26"/>
      <c r="K261" s="26"/>
      <c r="L261" s="26"/>
      <c r="M261" s="26"/>
      <c r="N261" s="26"/>
      <c r="O261" s="26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6"/>
      <c r="D262" s="26"/>
      <c r="E262" s="26"/>
      <c r="F262" s="26"/>
      <c r="G262" s="26"/>
      <c r="H262" s="26"/>
      <c r="I262" s="39"/>
      <c r="J262" s="26"/>
      <c r="K262" s="26"/>
      <c r="L262" s="26"/>
      <c r="M262" s="26"/>
      <c r="N262" s="26"/>
      <c r="O262" s="26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6"/>
      <c r="D263" s="26"/>
      <c r="E263" s="26"/>
      <c r="F263" s="26"/>
      <c r="G263" s="26"/>
      <c r="H263" s="26"/>
      <c r="I263" s="39"/>
      <c r="J263" s="26"/>
      <c r="K263" s="26"/>
      <c r="L263" s="26"/>
      <c r="M263" s="26"/>
      <c r="N263" s="26"/>
      <c r="O263" s="26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6"/>
      <c r="D264" s="26"/>
      <c r="E264" s="26"/>
      <c r="F264" s="26"/>
      <c r="G264" s="26"/>
      <c r="H264" s="26"/>
      <c r="I264" s="39"/>
      <c r="J264" s="26"/>
      <c r="K264" s="26"/>
      <c r="L264" s="26"/>
      <c r="M264" s="26"/>
      <c r="N264" s="26"/>
      <c r="O264" s="26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6"/>
      <c r="D265" s="26"/>
      <c r="E265" s="26"/>
      <c r="F265" s="26"/>
      <c r="G265" s="26"/>
      <c r="H265" s="26"/>
      <c r="I265" s="39"/>
      <c r="J265" s="26"/>
      <c r="K265" s="26"/>
      <c r="L265" s="26"/>
      <c r="M265" s="26"/>
      <c r="N265" s="26"/>
      <c r="O265" s="26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6"/>
      <c r="D266" s="26"/>
      <c r="E266" s="26"/>
      <c r="F266" s="26"/>
      <c r="G266" s="26"/>
      <c r="H266" s="26"/>
      <c r="I266" s="39"/>
      <c r="J266" s="26"/>
      <c r="K266" s="26"/>
      <c r="L266" s="26"/>
      <c r="M266" s="26"/>
      <c r="N266" s="26"/>
      <c r="O266" s="26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6"/>
      <c r="D267" s="26"/>
      <c r="E267" s="26"/>
      <c r="F267" s="26"/>
      <c r="G267" s="26"/>
      <c r="H267" s="26"/>
      <c r="I267" s="39"/>
      <c r="J267" s="26"/>
      <c r="K267" s="26"/>
      <c r="L267" s="26"/>
      <c r="M267" s="26"/>
      <c r="N267" s="26"/>
      <c r="O267" s="26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6"/>
      <c r="D268" s="26"/>
      <c r="E268" s="26"/>
      <c r="F268" s="26"/>
      <c r="G268" s="26"/>
      <c r="H268" s="26"/>
      <c r="I268" s="39"/>
      <c r="J268" s="26"/>
      <c r="K268" s="26"/>
      <c r="L268" s="26"/>
      <c r="M268" s="26"/>
      <c r="N268" s="26"/>
      <c r="O268" s="26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6"/>
      <c r="D269" s="26"/>
      <c r="E269" s="26"/>
      <c r="F269" s="26"/>
      <c r="G269" s="26"/>
      <c r="H269" s="26"/>
      <c r="I269" s="39"/>
      <c r="J269" s="26"/>
      <c r="K269" s="26"/>
      <c r="L269" s="26"/>
      <c r="M269" s="26"/>
      <c r="N269" s="26"/>
      <c r="O269" s="26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6"/>
      <c r="D270" s="26"/>
      <c r="E270" s="26"/>
      <c r="F270" s="26"/>
      <c r="G270" s="26"/>
      <c r="H270" s="26"/>
      <c r="I270" s="39"/>
      <c r="J270" s="26"/>
      <c r="K270" s="26"/>
      <c r="L270" s="26"/>
      <c r="M270" s="26"/>
      <c r="N270" s="26"/>
      <c r="O270" s="26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6"/>
      <c r="D271" s="26"/>
      <c r="E271" s="26"/>
      <c r="F271" s="26"/>
      <c r="G271" s="26"/>
      <c r="H271" s="26"/>
      <c r="I271" s="39"/>
      <c r="J271" s="26"/>
      <c r="K271" s="26"/>
      <c r="L271" s="26"/>
      <c r="M271" s="26"/>
      <c r="N271" s="26"/>
      <c r="O271" s="26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6"/>
      <c r="D272" s="26"/>
      <c r="E272" s="26"/>
      <c r="F272" s="26"/>
      <c r="G272" s="26"/>
      <c r="H272" s="26"/>
      <c r="I272" s="39"/>
      <c r="J272" s="26"/>
      <c r="K272" s="26"/>
      <c r="L272" s="26"/>
      <c r="M272" s="26"/>
      <c r="N272" s="26"/>
      <c r="O272" s="26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6"/>
      <c r="D273" s="26"/>
      <c r="E273" s="26"/>
      <c r="F273" s="26"/>
      <c r="G273" s="26"/>
      <c r="H273" s="26"/>
      <c r="I273" s="39"/>
      <c r="J273" s="26"/>
      <c r="K273" s="26"/>
      <c r="L273" s="26"/>
      <c r="M273" s="26"/>
      <c r="N273" s="26"/>
      <c r="O273" s="26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6"/>
      <c r="D274" s="26"/>
      <c r="E274" s="26"/>
      <c r="F274" s="26"/>
      <c r="G274" s="26"/>
      <c r="H274" s="26"/>
      <c r="I274" s="39"/>
      <c r="J274" s="26"/>
      <c r="K274" s="26"/>
      <c r="L274" s="26"/>
      <c r="M274" s="26"/>
      <c r="N274" s="26"/>
      <c r="O274" s="26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6"/>
      <c r="D275" s="26"/>
      <c r="E275" s="26"/>
      <c r="F275" s="26"/>
      <c r="G275" s="26"/>
      <c r="H275" s="26"/>
      <c r="I275" s="39"/>
      <c r="J275" s="26"/>
      <c r="K275" s="26"/>
      <c r="L275" s="26"/>
      <c r="M275" s="26"/>
      <c r="N275" s="26"/>
      <c r="O275" s="26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6"/>
      <c r="D276" s="26"/>
      <c r="E276" s="26"/>
      <c r="F276" s="26"/>
      <c r="G276" s="26"/>
      <c r="H276" s="26"/>
      <c r="I276" s="39"/>
      <c r="J276" s="26"/>
      <c r="K276" s="26"/>
      <c r="L276" s="26"/>
      <c r="M276" s="26"/>
      <c r="N276" s="26"/>
      <c r="O276" s="26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6"/>
      <c r="D277" s="26"/>
      <c r="E277" s="26"/>
      <c r="F277" s="26"/>
      <c r="G277" s="26"/>
      <c r="H277" s="26"/>
      <c r="I277" s="39"/>
      <c r="J277" s="26"/>
      <c r="K277" s="26"/>
      <c r="L277" s="26"/>
      <c r="M277" s="26"/>
      <c r="N277" s="26"/>
      <c r="O277" s="26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6"/>
      <c r="D278" s="26"/>
      <c r="E278" s="26"/>
      <c r="F278" s="26"/>
      <c r="G278" s="26"/>
      <c r="H278" s="26"/>
      <c r="I278" s="39"/>
      <c r="J278" s="26"/>
      <c r="K278" s="26"/>
      <c r="L278" s="26"/>
      <c r="M278" s="26"/>
      <c r="N278" s="26"/>
      <c r="O278" s="26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6"/>
      <c r="D279" s="26"/>
      <c r="E279" s="26"/>
      <c r="F279" s="26"/>
      <c r="G279" s="26"/>
      <c r="H279" s="26"/>
      <c r="I279" s="39"/>
      <c r="J279" s="26"/>
      <c r="K279" s="26"/>
      <c r="L279" s="26"/>
      <c r="M279" s="26"/>
      <c r="N279" s="26"/>
      <c r="O279" s="26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6"/>
      <c r="D280" s="26"/>
      <c r="E280" s="26"/>
      <c r="F280" s="26"/>
      <c r="G280" s="26"/>
      <c r="H280" s="26"/>
      <c r="I280" s="39"/>
      <c r="J280" s="26"/>
      <c r="K280" s="26"/>
      <c r="L280" s="26"/>
      <c r="M280" s="26"/>
      <c r="N280" s="26"/>
      <c r="O280" s="26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6"/>
      <c r="D281" s="26"/>
      <c r="E281" s="26"/>
      <c r="F281" s="26"/>
      <c r="G281" s="26"/>
      <c r="H281" s="26"/>
      <c r="I281" s="39"/>
      <c r="J281" s="26"/>
      <c r="K281" s="26"/>
      <c r="L281" s="26"/>
      <c r="M281" s="26"/>
      <c r="N281" s="26"/>
      <c r="O281" s="26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6"/>
      <c r="D282" s="26"/>
      <c r="E282" s="26"/>
      <c r="F282" s="26"/>
      <c r="G282" s="26"/>
      <c r="H282" s="26"/>
      <c r="I282" s="39"/>
      <c r="J282" s="26"/>
      <c r="K282" s="26"/>
      <c r="L282" s="26"/>
      <c r="M282" s="26"/>
      <c r="N282" s="26"/>
      <c r="O282" s="26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6"/>
      <c r="D283" s="26"/>
      <c r="E283" s="26"/>
      <c r="F283" s="26"/>
      <c r="G283" s="26"/>
      <c r="H283" s="26"/>
      <c r="I283" s="39"/>
      <c r="J283" s="26"/>
      <c r="K283" s="26"/>
      <c r="L283" s="26"/>
      <c r="M283" s="26"/>
      <c r="N283" s="26"/>
      <c r="O283" s="26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6"/>
      <c r="D284" s="26"/>
      <c r="E284" s="26"/>
      <c r="F284" s="26"/>
      <c r="G284" s="26"/>
      <c r="H284" s="26"/>
      <c r="I284" s="39"/>
      <c r="J284" s="26"/>
      <c r="K284" s="26"/>
      <c r="L284" s="26"/>
      <c r="M284" s="26"/>
      <c r="N284" s="26"/>
      <c r="O284" s="26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6"/>
      <c r="D285" s="26"/>
      <c r="E285" s="26"/>
      <c r="F285" s="26"/>
      <c r="G285" s="26"/>
      <c r="H285" s="26"/>
      <c r="I285" s="39"/>
      <c r="J285" s="26"/>
      <c r="K285" s="26"/>
      <c r="L285" s="26"/>
      <c r="M285" s="26"/>
      <c r="N285" s="26"/>
      <c r="O285" s="26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6"/>
      <c r="D286" s="26"/>
      <c r="E286" s="26"/>
      <c r="F286" s="26"/>
      <c r="G286" s="26"/>
      <c r="H286" s="26"/>
      <c r="I286" s="39"/>
      <c r="J286" s="26"/>
      <c r="K286" s="26"/>
      <c r="L286" s="26"/>
      <c r="M286" s="26"/>
      <c r="N286" s="26"/>
      <c r="O286" s="26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6"/>
      <c r="D287" s="26"/>
      <c r="E287" s="26"/>
      <c r="F287" s="26"/>
      <c r="G287" s="26"/>
      <c r="H287" s="26"/>
      <c r="I287" s="39"/>
      <c r="J287" s="26"/>
      <c r="K287" s="26"/>
      <c r="L287" s="26"/>
      <c r="M287" s="26"/>
      <c r="N287" s="26"/>
      <c r="O287" s="26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6"/>
      <c r="D288" s="26"/>
      <c r="E288" s="26"/>
      <c r="F288" s="26"/>
      <c r="G288" s="26"/>
      <c r="H288" s="26"/>
      <c r="I288" s="39"/>
      <c r="J288" s="26"/>
      <c r="K288" s="26"/>
      <c r="L288" s="26"/>
      <c r="M288" s="26"/>
      <c r="N288" s="26"/>
      <c r="O288" s="26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6"/>
      <c r="D289" s="26"/>
      <c r="E289" s="26"/>
      <c r="F289" s="26"/>
      <c r="G289" s="26"/>
      <c r="H289" s="26"/>
      <c r="I289" s="39"/>
      <c r="J289" s="26"/>
      <c r="K289" s="26"/>
      <c r="L289" s="26"/>
      <c r="M289" s="26"/>
      <c r="N289" s="26"/>
      <c r="O289" s="26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6"/>
      <c r="D290" s="26"/>
      <c r="E290" s="26"/>
      <c r="F290" s="26"/>
      <c r="G290" s="26"/>
      <c r="H290" s="26"/>
      <c r="I290" s="39"/>
      <c r="J290" s="26"/>
      <c r="K290" s="26"/>
      <c r="L290" s="26"/>
      <c r="M290" s="26"/>
      <c r="N290" s="26"/>
      <c r="O290" s="26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6"/>
      <c r="D291" s="26"/>
      <c r="E291" s="26"/>
      <c r="F291" s="26"/>
      <c r="G291" s="26"/>
      <c r="H291" s="26"/>
      <c r="I291" s="39"/>
      <c r="J291" s="26"/>
      <c r="K291" s="26"/>
      <c r="L291" s="26"/>
      <c r="M291" s="26"/>
      <c r="N291" s="26"/>
      <c r="O291" s="26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6"/>
      <c r="D292" s="26"/>
      <c r="E292" s="26"/>
      <c r="F292" s="26"/>
      <c r="G292" s="26"/>
      <c r="H292" s="26"/>
      <c r="I292" s="39"/>
      <c r="J292" s="26"/>
      <c r="K292" s="26"/>
      <c r="L292" s="26"/>
      <c r="M292" s="26"/>
      <c r="N292" s="26"/>
      <c r="O292" s="26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6"/>
      <c r="D293" s="26"/>
      <c r="E293" s="26"/>
      <c r="F293" s="26"/>
      <c r="G293" s="26"/>
      <c r="H293" s="26"/>
      <c r="I293" s="39"/>
      <c r="J293" s="26"/>
      <c r="K293" s="26"/>
      <c r="L293" s="26"/>
      <c r="M293" s="26"/>
      <c r="N293" s="26"/>
      <c r="O293" s="26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6"/>
      <c r="D294" s="26"/>
      <c r="E294" s="26"/>
      <c r="F294" s="26"/>
      <c r="G294" s="26"/>
      <c r="H294" s="26"/>
      <c r="I294" s="39"/>
      <c r="J294" s="26"/>
      <c r="K294" s="26"/>
      <c r="L294" s="26"/>
      <c r="M294" s="26"/>
      <c r="N294" s="26"/>
      <c r="O294" s="26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6"/>
      <c r="D295" s="26"/>
      <c r="E295" s="26"/>
      <c r="F295" s="26"/>
      <c r="G295" s="26"/>
      <c r="H295" s="26"/>
      <c r="I295" s="39"/>
      <c r="J295" s="26"/>
      <c r="K295" s="26"/>
      <c r="L295" s="26"/>
      <c r="M295" s="26"/>
      <c r="N295" s="26"/>
      <c r="O295" s="26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6"/>
      <c r="D296" s="26"/>
      <c r="E296" s="26"/>
      <c r="F296" s="26"/>
      <c r="G296" s="26"/>
      <c r="H296" s="26"/>
      <c r="I296" s="39"/>
      <c r="J296" s="26"/>
      <c r="K296" s="26"/>
      <c r="L296" s="26"/>
      <c r="M296" s="26"/>
      <c r="N296" s="26"/>
      <c r="O296" s="26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6"/>
      <c r="D297" s="26"/>
      <c r="E297" s="26"/>
      <c r="F297" s="26"/>
      <c r="G297" s="26"/>
      <c r="H297" s="26"/>
      <c r="I297" s="39"/>
      <c r="J297" s="26"/>
      <c r="K297" s="26"/>
      <c r="L297" s="26"/>
      <c r="M297" s="26"/>
      <c r="N297" s="26"/>
      <c r="O297" s="26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6"/>
      <c r="D298" s="26"/>
      <c r="E298" s="26"/>
      <c r="F298" s="26"/>
      <c r="G298" s="26"/>
      <c r="H298" s="26"/>
      <c r="I298" s="39"/>
      <c r="J298" s="26"/>
      <c r="K298" s="26"/>
      <c r="L298" s="26"/>
      <c r="M298" s="26"/>
      <c r="N298" s="26"/>
      <c r="O298" s="26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6"/>
      <c r="D299" s="26"/>
      <c r="E299" s="26"/>
      <c r="F299" s="26"/>
      <c r="G299" s="26"/>
      <c r="H299" s="26"/>
      <c r="I299" s="39"/>
      <c r="J299" s="26"/>
      <c r="K299" s="26"/>
      <c r="L299" s="26"/>
      <c r="M299" s="26"/>
      <c r="N299" s="26"/>
      <c r="O299" s="26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6"/>
      <c r="D300" s="26"/>
      <c r="E300" s="26"/>
      <c r="F300" s="26"/>
      <c r="G300" s="26"/>
      <c r="H300" s="26"/>
      <c r="I300" s="39"/>
      <c r="J300" s="26"/>
      <c r="K300" s="26"/>
      <c r="L300" s="26"/>
      <c r="M300" s="26"/>
      <c r="N300" s="26"/>
      <c r="O300" s="26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6"/>
      <c r="D301" s="26"/>
      <c r="E301" s="26"/>
      <c r="F301" s="26"/>
      <c r="G301" s="26"/>
      <c r="H301" s="26"/>
      <c r="I301" s="39"/>
      <c r="J301" s="26"/>
      <c r="K301" s="26"/>
      <c r="L301" s="26"/>
      <c r="M301" s="26"/>
      <c r="N301" s="26"/>
      <c r="O301" s="26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6"/>
      <c r="D302" s="26"/>
      <c r="E302" s="26"/>
      <c r="F302" s="26"/>
      <c r="G302" s="26"/>
      <c r="H302" s="26"/>
      <c r="I302" s="39"/>
      <c r="J302" s="26"/>
      <c r="K302" s="26"/>
      <c r="L302" s="26"/>
      <c r="M302" s="26"/>
      <c r="N302" s="26"/>
      <c r="O302" s="26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6"/>
      <c r="D303" s="26"/>
      <c r="E303" s="26"/>
      <c r="F303" s="26"/>
      <c r="G303" s="26"/>
      <c r="H303" s="26"/>
      <c r="I303" s="39"/>
      <c r="J303" s="26"/>
      <c r="K303" s="26"/>
      <c r="L303" s="26"/>
      <c r="M303" s="26"/>
      <c r="N303" s="26"/>
      <c r="O303" s="26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6"/>
      <c r="D304" s="26"/>
      <c r="E304" s="26"/>
      <c r="F304" s="26"/>
      <c r="G304" s="26"/>
      <c r="H304" s="26"/>
      <c r="I304" s="39"/>
      <c r="J304" s="26"/>
      <c r="K304" s="26"/>
      <c r="L304" s="26"/>
      <c r="M304" s="26"/>
      <c r="N304" s="26"/>
      <c r="O304" s="26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6"/>
      <c r="D305" s="26"/>
      <c r="E305" s="26"/>
      <c r="F305" s="26"/>
      <c r="G305" s="26"/>
      <c r="H305" s="26"/>
      <c r="I305" s="39"/>
      <c r="J305" s="26"/>
      <c r="K305" s="26"/>
      <c r="L305" s="26"/>
      <c r="M305" s="26"/>
      <c r="N305" s="26"/>
      <c r="O305" s="26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6"/>
      <c r="D306" s="26"/>
      <c r="E306" s="26"/>
      <c r="F306" s="26"/>
      <c r="G306" s="26"/>
      <c r="H306" s="26"/>
      <c r="I306" s="39"/>
      <c r="J306" s="26"/>
      <c r="K306" s="26"/>
      <c r="L306" s="26"/>
      <c r="M306" s="26"/>
      <c r="N306" s="26"/>
      <c r="O306" s="26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6"/>
      <c r="D307" s="26"/>
      <c r="E307" s="26"/>
      <c r="F307" s="26"/>
      <c r="G307" s="26"/>
      <c r="H307" s="26"/>
      <c r="I307" s="39"/>
      <c r="J307" s="26"/>
      <c r="K307" s="26"/>
      <c r="L307" s="26"/>
      <c r="M307" s="26"/>
      <c r="N307" s="26"/>
      <c r="O307" s="26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6"/>
      <c r="D308" s="26"/>
      <c r="E308" s="26"/>
      <c r="F308" s="26"/>
      <c r="G308" s="26"/>
      <c r="H308" s="26"/>
      <c r="I308" s="39"/>
      <c r="J308" s="26"/>
      <c r="K308" s="26"/>
      <c r="L308" s="26"/>
      <c r="M308" s="26"/>
      <c r="N308" s="26"/>
      <c r="O308" s="26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6"/>
      <c r="D309" s="26"/>
      <c r="E309" s="26"/>
      <c r="F309" s="26"/>
      <c r="G309" s="26"/>
      <c r="H309" s="26"/>
      <c r="I309" s="39"/>
      <c r="J309" s="26"/>
      <c r="K309" s="26"/>
      <c r="L309" s="26"/>
      <c r="M309" s="26"/>
      <c r="N309" s="26"/>
      <c r="O309" s="26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6"/>
      <c r="D310" s="26"/>
      <c r="E310" s="26"/>
      <c r="F310" s="26"/>
      <c r="G310" s="26"/>
      <c r="H310" s="26"/>
      <c r="I310" s="39"/>
      <c r="J310" s="26"/>
      <c r="K310" s="26"/>
      <c r="L310" s="26"/>
      <c r="M310" s="26"/>
      <c r="N310" s="26"/>
      <c r="O310" s="26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6"/>
      <c r="D311" s="26"/>
      <c r="E311" s="26"/>
      <c r="F311" s="26"/>
      <c r="G311" s="26"/>
      <c r="H311" s="26"/>
      <c r="I311" s="39"/>
      <c r="J311" s="26"/>
      <c r="K311" s="26"/>
      <c r="L311" s="26"/>
      <c r="M311" s="26"/>
      <c r="N311" s="26"/>
      <c r="O311" s="26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6"/>
      <c r="D312" s="26"/>
      <c r="E312" s="26"/>
      <c r="F312" s="26"/>
      <c r="G312" s="26"/>
      <c r="H312" s="26"/>
      <c r="I312" s="39"/>
      <c r="J312" s="26"/>
      <c r="K312" s="26"/>
      <c r="L312" s="26"/>
      <c r="M312" s="26"/>
      <c r="N312" s="26"/>
      <c r="O312" s="26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6"/>
      <c r="D313" s="26"/>
      <c r="E313" s="26"/>
      <c r="F313" s="26"/>
      <c r="G313" s="26"/>
      <c r="H313" s="26"/>
      <c r="I313" s="39"/>
      <c r="J313" s="26"/>
      <c r="K313" s="26"/>
      <c r="L313" s="26"/>
      <c r="M313" s="26"/>
      <c r="N313" s="26"/>
      <c r="O313" s="26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6"/>
      <c r="D314" s="26"/>
      <c r="E314" s="26"/>
      <c r="F314" s="26"/>
      <c r="G314" s="26"/>
      <c r="H314" s="26"/>
      <c r="I314" s="39"/>
      <c r="J314" s="26"/>
      <c r="K314" s="26"/>
      <c r="L314" s="26"/>
      <c r="M314" s="26"/>
      <c r="N314" s="26"/>
      <c r="O314" s="26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6"/>
      <c r="D315" s="26"/>
      <c r="E315" s="26"/>
      <c r="F315" s="26"/>
      <c r="G315" s="26"/>
      <c r="H315" s="26"/>
      <c r="I315" s="39"/>
      <c r="J315" s="26"/>
      <c r="K315" s="26"/>
      <c r="L315" s="26"/>
      <c r="M315" s="26"/>
      <c r="N315" s="26"/>
      <c r="O315" s="26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6"/>
      <c r="D316" s="26"/>
      <c r="E316" s="26"/>
      <c r="F316" s="26"/>
      <c r="G316" s="26"/>
      <c r="H316" s="26"/>
      <c r="I316" s="39"/>
      <c r="J316" s="26"/>
      <c r="K316" s="26"/>
      <c r="L316" s="26"/>
      <c r="M316" s="26"/>
      <c r="N316" s="26"/>
      <c r="O316" s="26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6"/>
      <c r="D317" s="26"/>
      <c r="E317" s="26"/>
      <c r="F317" s="26"/>
      <c r="G317" s="26"/>
      <c r="H317" s="26"/>
      <c r="I317" s="39"/>
      <c r="J317" s="26"/>
      <c r="K317" s="26"/>
      <c r="L317" s="26"/>
      <c r="M317" s="26"/>
      <c r="N317" s="26"/>
      <c r="O317" s="26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6"/>
      <c r="D318" s="26"/>
      <c r="E318" s="26"/>
      <c r="F318" s="26"/>
      <c r="G318" s="26"/>
      <c r="H318" s="26"/>
      <c r="I318" s="39"/>
      <c r="J318" s="26"/>
      <c r="K318" s="26"/>
      <c r="L318" s="26"/>
      <c r="M318" s="26"/>
      <c r="N318" s="26"/>
      <c r="O318" s="26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6"/>
      <c r="D319" s="26"/>
      <c r="E319" s="26"/>
      <c r="F319" s="26"/>
      <c r="G319" s="26"/>
      <c r="H319" s="26"/>
      <c r="I319" s="39"/>
      <c r="J319" s="26"/>
      <c r="K319" s="26"/>
      <c r="L319" s="26"/>
      <c r="M319" s="26"/>
      <c r="N319" s="26"/>
      <c r="O319" s="26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6"/>
      <c r="D320" s="26"/>
      <c r="E320" s="26"/>
      <c r="F320" s="26"/>
      <c r="G320" s="26"/>
      <c r="H320" s="26"/>
      <c r="I320" s="39"/>
      <c r="J320" s="26"/>
      <c r="K320" s="26"/>
      <c r="L320" s="26"/>
      <c r="M320" s="26"/>
      <c r="N320" s="26"/>
      <c r="O320" s="26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6"/>
      <c r="D321" s="26"/>
      <c r="E321" s="26"/>
      <c r="F321" s="26"/>
      <c r="G321" s="26"/>
      <c r="H321" s="26"/>
      <c r="I321" s="39"/>
      <c r="J321" s="26"/>
      <c r="K321" s="26"/>
      <c r="L321" s="26"/>
      <c r="M321" s="26"/>
      <c r="N321" s="26"/>
      <c r="O321" s="26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6"/>
      <c r="D322" s="26"/>
      <c r="E322" s="26"/>
      <c r="F322" s="26"/>
      <c r="G322" s="26"/>
      <c r="H322" s="26"/>
      <c r="I322" s="39"/>
      <c r="J322" s="26"/>
      <c r="K322" s="26"/>
      <c r="L322" s="26"/>
      <c r="M322" s="26"/>
      <c r="N322" s="26"/>
      <c r="O322" s="26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6"/>
      <c r="D323" s="26"/>
      <c r="E323" s="26"/>
      <c r="F323" s="26"/>
      <c r="G323" s="26"/>
      <c r="H323" s="26"/>
      <c r="I323" s="39"/>
      <c r="J323" s="26"/>
      <c r="K323" s="26"/>
      <c r="L323" s="26"/>
      <c r="M323" s="26"/>
      <c r="N323" s="26"/>
      <c r="O323" s="26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6"/>
      <c r="D324" s="26"/>
      <c r="E324" s="26"/>
      <c r="F324" s="26"/>
      <c r="G324" s="26"/>
      <c r="H324" s="26"/>
      <c r="I324" s="39"/>
      <c r="J324" s="26"/>
      <c r="K324" s="26"/>
      <c r="L324" s="26"/>
      <c r="M324" s="26"/>
      <c r="N324" s="26"/>
      <c r="O324" s="26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6"/>
      <c r="D325" s="26"/>
      <c r="E325" s="26"/>
      <c r="F325" s="26"/>
      <c r="G325" s="26"/>
      <c r="H325" s="26"/>
      <c r="I325" s="39"/>
      <c r="J325" s="26"/>
      <c r="K325" s="26"/>
      <c r="L325" s="26"/>
      <c r="M325" s="26"/>
      <c r="N325" s="26"/>
      <c r="O325" s="26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6"/>
      <c r="D326" s="26"/>
      <c r="E326" s="26"/>
      <c r="F326" s="26"/>
      <c r="G326" s="26"/>
      <c r="H326" s="26"/>
      <c r="I326" s="39"/>
      <c r="J326" s="26"/>
      <c r="K326" s="26"/>
      <c r="L326" s="26"/>
      <c r="M326" s="26"/>
      <c r="N326" s="26"/>
      <c r="O326" s="26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6"/>
      <c r="D327" s="26"/>
      <c r="E327" s="26"/>
      <c r="F327" s="26"/>
      <c r="G327" s="26"/>
      <c r="H327" s="26"/>
      <c r="I327" s="39"/>
      <c r="J327" s="26"/>
      <c r="K327" s="26"/>
      <c r="L327" s="26"/>
      <c r="M327" s="26"/>
      <c r="N327" s="26"/>
      <c r="O327" s="26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6"/>
      <c r="D328" s="26"/>
      <c r="E328" s="26"/>
      <c r="F328" s="26"/>
      <c r="G328" s="26"/>
      <c r="H328" s="26"/>
      <c r="I328" s="39"/>
      <c r="J328" s="26"/>
      <c r="K328" s="26"/>
      <c r="L328" s="26"/>
      <c r="M328" s="26"/>
      <c r="N328" s="26"/>
      <c r="O328" s="26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6"/>
      <c r="D329" s="26"/>
      <c r="E329" s="26"/>
      <c r="F329" s="26"/>
      <c r="G329" s="26"/>
      <c r="H329" s="26"/>
      <c r="I329" s="39"/>
      <c r="J329" s="26"/>
      <c r="K329" s="26"/>
      <c r="L329" s="26"/>
      <c r="M329" s="26"/>
      <c r="N329" s="26"/>
      <c r="O329" s="26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6"/>
      <c r="D330" s="26"/>
      <c r="E330" s="26"/>
      <c r="F330" s="26"/>
      <c r="G330" s="26"/>
      <c r="H330" s="26"/>
      <c r="I330" s="39"/>
      <c r="J330" s="26"/>
      <c r="K330" s="26"/>
      <c r="L330" s="26"/>
      <c r="M330" s="26"/>
      <c r="N330" s="26"/>
      <c r="O330" s="26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6"/>
      <c r="D331" s="26"/>
      <c r="E331" s="26"/>
      <c r="F331" s="26"/>
      <c r="G331" s="26"/>
      <c r="H331" s="26"/>
      <c r="I331" s="39"/>
      <c r="J331" s="26"/>
      <c r="K331" s="26"/>
      <c r="L331" s="26"/>
      <c r="M331" s="26"/>
      <c r="N331" s="26"/>
      <c r="O331" s="26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6"/>
      <c r="D332" s="26"/>
      <c r="E332" s="26"/>
      <c r="F332" s="26"/>
      <c r="G332" s="26"/>
      <c r="H332" s="26"/>
      <c r="I332" s="39"/>
      <c r="J332" s="26"/>
      <c r="K332" s="26"/>
      <c r="L332" s="26"/>
      <c r="M332" s="26"/>
      <c r="N332" s="26"/>
      <c r="O332" s="26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6"/>
      <c r="D333" s="26"/>
      <c r="E333" s="26"/>
      <c r="F333" s="26"/>
      <c r="G333" s="26"/>
      <c r="H333" s="26"/>
      <c r="I333" s="39"/>
      <c r="J333" s="26"/>
      <c r="K333" s="26"/>
      <c r="L333" s="26"/>
      <c r="M333" s="26"/>
      <c r="N333" s="26"/>
      <c r="O333" s="26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6"/>
      <c r="D334" s="26"/>
      <c r="E334" s="26"/>
      <c r="F334" s="26"/>
      <c r="G334" s="26"/>
      <c r="H334" s="26"/>
      <c r="I334" s="39"/>
      <c r="J334" s="26"/>
      <c r="K334" s="26"/>
      <c r="L334" s="26"/>
      <c r="M334" s="26"/>
      <c r="N334" s="26"/>
      <c r="O334" s="26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6"/>
      <c r="D335" s="26"/>
      <c r="E335" s="26"/>
      <c r="F335" s="26"/>
      <c r="G335" s="26"/>
      <c r="H335" s="26"/>
      <c r="I335" s="39"/>
      <c r="J335" s="26"/>
      <c r="K335" s="26"/>
      <c r="L335" s="26"/>
      <c r="M335" s="26"/>
      <c r="N335" s="26"/>
      <c r="O335" s="26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6"/>
      <c r="D336" s="26"/>
      <c r="E336" s="26"/>
      <c r="F336" s="26"/>
      <c r="G336" s="26"/>
      <c r="H336" s="26"/>
      <c r="I336" s="39"/>
      <c r="J336" s="26"/>
      <c r="K336" s="26"/>
      <c r="L336" s="26"/>
      <c r="M336" s="26"/>
      <c r="N336" s="26"/>
      <c r="O336" s="26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6"/>
      <c r="D337" s="26"/>
      <c r="E337" s="26"/>
      <c r="F337" s="26"/>
      <c r="G337" s="26"/>
      <c r="H337" s="26"/>
      <c r="I337" s="39"/>
      <c r="J337" s="26"/>
      <c r="K337" s="26"/>
      <c r="L337" s="26"/>
      <c r="M337" s="26"/>
      <c r="N337" s="26"/>
      <c r="O337" s="26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6"/>
      <c r="D338" s="26"/>
      <c r="E338" s="26"/>
      <c r="F338" s="26"/>
      <c r="G338" s="26"/>
      <c r="H338" s="26"/>
      <c r="I338" s="39"/>
      <c r="J338" s="26"/>
      <c r="K338" s="26"/>
      <c r="L338" s="26"/>
      <c r="M338" s="26"/>
      <c r="N338" s="26"/>
      <c r="O338" s="26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6"/>
      <c r="D339" s="26"/>
      <c r="E339" s="26"/>
      <c r="F339" s="26"/>
      <c r="G339" s="26"/>
      <c r="H339" s="26"/>
      <c r="I339" s="39"/>
      <c r="J339" s="26"/>
      <c r="K339" s="26"/>
      <c r="L339" s="26"/>
      <c r="M339" s="26"/>
      <c r="N339" s="26"/>
      <c r="O339" s="26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6"/>
      <c r="D340" s="26"/>
      <c r="E340" s="26"/>
      <c r="F340" s="26"/>
      <c r="G340" s="26"/>
      <c r="H340" s="26"/>
      <c r="I340" s="39"/>
      <c r="J340" s="26"/>
      <c r="K340" s="26"/>
      <c r="L340" s="26"/>
      <c r="M340" s="26"/>
      <c r="N340" s="26"/>
      <c r="O340" s="26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6"/>
      <c r="D341" s="26"/>
      <c r="E341" s="26"/>
      <c r="F341" s="26"/>
      <c r="G341" s="26"/>
      <c r="H341" s="26"/>
      <c r="I341" s="39"/>
      <c r="J341" s="26"/>
      <c r="K341" s="26"/>
      <c r="L341" s="26"/>
      <c r="M341" s="26"/>
      <c r="N341" s="26"/>
      <c r="O341" s="26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6"/>
      <c r="D342" s="26"/>
      <c r="E342" s="26"/>
      <c r="F342" s="26"/>
      <c r="G342" s="26"/>
      <c r="H342" s="26"/>
      <c r="I342" s="39"/>
      <c r="J342" s="26"/>
      <c r="K342" s="26"/>
      <c r="L342" s="26"/>
      <c r="M342" s="26"/>
      <c r="N342" s="26"/>
      <c r="O342" s="26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6"/>
      <c r="D343" s="26"/>
      <c r="E343" s="26"/>
      <c r="F343" s="26"/>
      <c r="G343" s="26"/>
      <c r="H343" s="26"/>
      <c r="I343" s="39"/>
      <c r="J343" s="26"/>
      <c r="K343" s="26"/>
      <c r="L343" s="26"/>
      <c r="M343" s="26"/>
      <c r="N343" s="26"/>
      <c r="O343" s="26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6"/>
      <c r="D344" s="26"/>
      <c r="E344" s="26"/>
      <c r="F344" s="26"/>
      <c r="G344" s="26"/>
      <c r="H344" s="26"/>
      <c r="I344" s="39"/>
      <c r="J344" s="26"/>
      <c r="K344" s="26"/>
      <c r="L344" s="26"/>
      <c r="M344" s="26"/>
      <c r="N344" s="26"/>
      <c r="O344" s="26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6"/>
      <c r="D345" s="26"/>
      <c r="E345" s="26"/>
      <c r="F345" s="26"/>
      <c r="G345" s="26"/>
      <c r="H345" s="26"/>
      <c r="I345" s="39"/>
      <c r="J345" s="26"/>
      <c r="K345" s="26"/>
      <c r="L345" s="26"/>
      <c r="M345" s="26"/>
      <c r="N345" s="26"/>
      <c r="O345" s="26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6"/>
      <c r="D346" s="26"/>
      <c r="E346" s="26"/>
      <c r="F346" s="26"/>
      <c r="G346" s="26"/>
      <c r="H346" s="26"/>
      <c r="I346" s="39"/>
      <c r="J346" s="26"/>
      <c r="K346" s="26"/>
      <c r="L346" s="26"/>
      <c r="M346" s="26"/>
      <c r="N346" s="26"/>
      <c r="O346" s="26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6"/>
      <c r="D347" s="26"/>
      <c r="E347" s="26"/>
      <c r="F347" s="26"/>
      <c r="G347" s="26"/>
      <c r="H347" s="26"/>
      <c r="I347" s="39"/>
      <c r="J347" s="26"/>
      <c r="K347" s="26"/>
      <c r="L347" s="26"/>
      <c r="M347" s="26"/>
      <c r="N347" s="26"/>
      <c r="O347" s="26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6"/>
      <c r="D348" s="26"/>
      <c r="E348" s="26"/>
      <c r="F348" s="26"/>
      <c r="G348" s="26"/>
      <c r="H348" s="26"/>
      <c r="I348" s="39"/>
      <c r="J348" s="26"/>
      <c r="K348" s="26"/>
      <c r="L348" s="26"/>
      <c r="M348" s="26"/>
      <c r="N348" s="26"/>
      <c r="O348" s="26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6"/>
      <c r="D349" s="26"/>
      <c r="E349" s="26"/>
      <c r="F349" s="26"/>
      <c r="G349" s="26"/>
      <c r="H349" s="26"/>
      <c r="I349" s="39"/>
      <c r="J349" s="26"/>
      <c r="K349" s="26"/>
      <c r="L349" s="26"/>
      <c r="M349" s="26"/>
      <c r="N349" s="26"/>
      <c r="O349" s="26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6"/>
      <c r="D350" s="26"/>
      <c r="E350" s="26"/>
      <c r="F350" s="26"/>
      <c r="G350" s="26"/>
      <c r="H350" s="26"/>
      <c r="I350" s="39"/>
      <c r="J350" s="26"/>
      <c r="K350" s="26"/>
      <c r="L350" s="26"/>
      <c r="M350" s="26"/>
      <c r="N350" s="26"/>
      <c r="O350" s="26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6"/>
      <c r="D351" s="26"/>
      <c r="E351" s="26"/>
      <c r="F351" s="26"/>
      <c r="G351" s="26"/>
      <c r="H351" s="26"/>
      <c r="I351" s="39"/>
      <c r="J351" s="26"/>
      <c r="K351" s="26"/>
      <c r="L351" s="26"/>
      <c r="M351" s="26"/>
      <c r="N351" s="26"/>
      <c r="O351" s="26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6"/>
      <c r="D352" s="26"/>
      <c r="E352" s="26"/>
      <c r="F352" s="26"/>
      <c r="G352" s="26"/>
      <c r="H352" s="26"/>
      <c r="I352" s="39"/>
      <c r="J352" s="26"/>
      <c r="K352" s="26"/>
      <c r="L352" s="26"/>
      <c r="M352" s="26"/>
      <c r="N352" s="26"/>
      <c r="O352" s="26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6"/>
      <c r="D353" s="26"/>
      <c r="E353" s="26"/>
      <c r="F353" s="26"/>
      <c r="G353" s="26"/>
      <c r="H353" s="26"/>
      <c r="I353" s="39"/>
      <c r="J353" s="26"/>
      <c r="K353" s="26"/>
      <c r="L353" s="26"/>
      <c r="M353" s="26"/>
      <c r="N353" s="26"/>
      <c r="O353" s="26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6"/>
      <c r="D354" s="26"/>
      <c r="E354" s="26"/>
      <c r="F354" s="26"/>
      <c r="G354" s="26"/>
      <c r="H354" s="26"/>
      <c r="I354" s="39"/>
      <c r="J354" s="26"/>
      <c r="K354" s="26"/>
      <c r="L354" s="26"/>
      <c r="M354" s="26"/>
      <c r="N354" s="26"/>
      <c r="O354" s="26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6"/>
      <c r="D355" s="26"/>
      <c r="E355" s="26"/>
      <c r="F355" s="26"/>
      <c r="G355" s="26"/>
      <c r="H355" s="26"/>
      <c r="I355" s="39"/>
      <c r="J355" s="26"/>
      <c r="K355" s="26"/>
      <c r="L355" s="26"/>
      <c r="M355" s="26"/>
      <c r="N355" s="26"/>
      <c r="O355" s="26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6"/>
      <c r="D356" s="26"/>
      <c r="E356" s="26"/>
      <c r="F356" s="26"/>
      <c r="G356" s="26"/>
      <c r="H356" s="26"/>
      <c r="I356" s="39"/>
      <c r="J356" s="26"/>
      <c r="K356" s="26"/>
      <c r="L356" s="26"/>
      <c r="M356" s="26"/>
      <c r="N356" s="26"/>
      <c r="O356" s="26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6"/>
      <c r="D357" s="26"/>
      <c r="E357" s="26"/>
      <c r="F357" s="26"/>
      <c r="G357" s="26"/>
      <c r="H357" s="26"/>
      <c r="I357" s="39"/>
      <c r="J357" s="26"/>
      <c r="K357" s="26"/>
      <c r="L357" s="26"/>
      <c r="M357" s="26"/>
      <c r="N357" s="26"/>
      <c r="O357" s="26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6"/>
      <c r="D358" s="26"/>
      <c r="E358" s="26"/>
      <c r="F358" s="26"/>
      <c r="G358" s="26"/>
      <c r="H358" s="26"/>
      <c r="I358" s="39"/>
      <c r="J358" s="26"/>
      <c r="K358" s="26"/>
      <c r="L358" s="26"/>
      <c r="M358" s="26"/>
      <c r="N358" s="26"/>
      <c r="O358" s="26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6"/>
      <c r="D359" s="26"/>
      <c r="E359" s="26"/>
      <c r="F359" s="26"/>
      <c r="G359" s="26"/>
      <c r="H359" s="26"/>
      <c r="I359" s="39"/>
      <c r="J359" s="26"/>
      <c r="K359" s="26"/>
      <c r="L359" s="26"/>
      <c r="M359" s="26"/>
      <c r="N359" s="26"/>
      <c r="O359" s="26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6"/>
      <c r="D360" s="26"/>
      <c r="E360" s="26"/>
      <c r="F360" s="26"/>
      <c r="G360" s="26"/>
      <c r="H360" s="26"/>
      <c r="I360" s="39"/>
      <c r="J360" s="26"/>
      <c r="K360" s="26"/>
      <c r="L360" s="26"/>
      <c r="M360" s="26"/>
      <c r="N360" s="26"/>
      <c r="O360" s="26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6"/>
      <c r="D361" s="26"/>
      <c r="E361" s="26"/>
      <c r="F361" s="26"/>
      <c r="G361" s="26"/>
      <c r="H361" s="26"/>
      <c r="I361" s="39"/>
      <c r="J361" s="26"/>
      <c r="K361" s="26"/>
      <c r="L361" s="26"/>
      <c r="M361" s="26"/>
      <c r="N361" s="26"/>
      <c r="O361" s="26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6"/>
      <c r="D362" s="26"/>
      <c r="E362" s="26"/>
      <c r="F362" s="26"/>
      <c r="G362" s="26"/>
      <c r="H362" s="26"/>
      <c r="I362" s="39"/>
      <c r="J362" s="26"/>
      <c r="K362" s="26"/>
      <c r="L362" s="26"/>
      <c r="M362" s="26"/>
      <c r="N362" s="26"/>
      <c r="O362" s="26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6"/>
      <c r="D363" s="26"/>
      <c r="E363" s="26"/>
      <c r="F363" s="26"/>
      <c r="G363" s="26"/>
      <c r="H363" s="26"/>
      <c r="I363" s="39"/>
      <c r="J363" s="26"/>
      <c r="K363" s="26"/>
      <c r="L363" s="26"/>
      <c r="M363" s="26"/>
      <c r="N363" s="26"/>
      <c r="O363" s="26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6"/>
      <c r="D364" s="26"/>
      <c r="E364" s="26"/>
      <c r="F364" s="26"/>
      <c r="G364" s="26"/>
      <c r="H364" s="26"/>
      <c r="I364" s="39"/>
      <c r="J364" s="26"/>
      <c r="K364" s="26"/>
      <c r="L364" s="26"/>
      <c r="M364" s="26"/>
      <c r="N364" s="26"/>
      <c r="O364" s="26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6"/>
      <c r="D365" s="26"/>
      <c r="E365" s="26"/>
      <c r="F365" s="26"/>
      <c r="G365" s="26"/>
      <c r="H365" s="26"/>
      <c r="I365" s="39"/>
      <c r="J365" s="26"/>
      <c r="K365" s="26"/>
      <c r="L365" s="26"/>
      <c r="M365" s="26"/>
      <c r="N365" s="26"/>
      <c r="O365" s="26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6"/>
      <c r="D366" s="26"/>
      <c r="E366" s="26"/>
      <c r="F366" s="26"/>
      <c r="G366" s="26"/>
      <c r="H366" s="26"/>
      <c r="I366" s="39"/>
      <c r="J366" s="26"/>
      <c r="K366" s="26"/>
      <c r="L366" s="26"/>
      <c r="M366" s="26"/>
      <c r="N366" s="26"/>
      <c r="O366" s="26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6"/>
      <c r="D367" s="26"/>
      <c r="E367" s="26"/>
      <c r="F367" s="26"/>
      <c r="G367" s="26"/>
      <c r="H367" s="26"/>
      <c r="I367" s="39"/>
      <c r="J367" s="26"/>
      <c r="K367" s="26"/>
      <c r="L367" s="26"/>
      <c r="M367" s="26"/>
      <c r="N367" s="26"/>
      <c r="O367" s="26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6"/>
      <c r="D368" s="26"/>
      <c r="E368" s="26"/>
      <c r="F368" s="26"/>
      <c r="G368" s="26"/>
      <c r="H368" s="26"/>
      <c r="I368" s="39"/>
      <c r="J368" s="26"/>
      <c r="K368" s="26"/>
      <c r="L368" s="26"/>
      <c r="M368" s="26"/>
      <c r="N368" s="26"/>
      <c r="O368" s="26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6"/>
      <c r="D369" s="26"/>
      <c r="E369" s="26"/>
      <c r="F369" s="26"/>
      <c r="G369" s="26"/>
      <c r="H369" s="26"/>
      <c r="I369" s="39"/>
      <c r="J369" s="26"/>
      <c r="K369" s="26"/>
      <c r="L369" s="26"/>
      <c r="M369" s="26"/>
      <c r="N369" s="26"/>
      <c r="O369" s="26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6"/>
      <c r="D370" s="26"/>
      <c r="E370" s="26"/>
      <c r="F370" s="26"/>
      <c r="G370" s="26"/>
      <c r="H370" s="26"/>
      <c r="I370" s="39"/>
      <c r="J370" s="26"/>
      <c r="K370" s="26"/>
      <c r="L370" s="26"/>
      <c r="M370" s="26"/>
      <c r="N370" s="26"/>
      <c r="O370" s="26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6"/>
      <c r="D371" s="26"/>
      <c r="E371" s="26"/>
      <c r="F371" s="26"/>
      <c r="G371" s="26"/>
      <c r="H371" s="26"/>
      <c r="I371" s="39"/>
      <c r="J371" s="26"/>
      <c r="K371" s="26"/>
      <c r="L371" s="26"/>
      <c r="M371" s="26"/>
      <c r="N371" s="26"/>
      <c r="O371" s="26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6"/>
      <c r="D372" s="26"/>
      <c r="E372" s="26"/>
      <c r="F372" s="26"/>
      <c r="G372" s="26"/>
      <c r="H372" s="26"/>
      <c r="I372" s="39"/>
      <c r="J372" s="26"/>
      <c r="K372" s="26"/>
      <c r="L372" s="26"/>
      <c r="M372" s="26"/>
      <c r="N372" s="26"/>
      <c r="O372" s="26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6"/>
      <c r="D373" s="26"/>
      <c r="E373" s="26"/>
      <c r="F373" s="26"/>
      <c r="G373" s="26"/>
      <c r="H373" s="26"/>
      <c r="I373" s="39"/>
      <c r="J373" s="26"/>
      <c r="K373" s="26"/>
      <c r="L373" s="26"/>
      <c r="M373" s="26"/>
      <c r="N373" s="26"/>
      <c r="O373" s="26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6"/>
      <c r="D374" s="26"/>
      <c r="E374" s="26"/>
      <c r="F374" s="26"/>
      <c r="G374" s="26"/>
      <c r="H374" s="26"/>
      <c r="I374" s="39"/>
      <c r="J374" s="26"/>
      <c r="K374" s="26"/>
      <c r="L374" s="26"/>
      <c r="M374" s="26"/>
      <c r="N374" s="26"/>
      <c r="O374" s="26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6"/>
      <c r="D375" s="26"/>
      <c r="E375" s="26"/>
      <c r="F375" s="26"/>
      <c r="G375" s="26"/>
      <c r="H375" s="26"/>
      <c r="I375" s="39"/>
      <c r="J375" s="26"/>
      <c r="K375" s="26"/>
      <c r="L375" s="26"/>
      <c r="M375" s="26"/>
      <c r="N375" s="26"/>
      <c r="O375" s="26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6"/>
      <c r="D376" s="26"/>
      <c r="E376" s="26"/>
      <c r="F376" s="26"/>
      <c r="G376" s="26"/>
      <c r="H376" s="26"/>
      <c r="I376" s="39"/>
      <c r="J376" s="26"/>
      <c r="K376" s="26"/>
      <c r="L376" s="26"/>
      <c r="M376" s="26"/>
      <c r="N376" s="26"/>
      <c r="O376" s="26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6"/>
      <c r="D377" s="26"/>
      <c r="E377" s="26"/>
      <c r="F377" s="26"/>
      <c r="G377" s="26"/>
      <c r="H377" s="26"/>
      <c r="I377" s="39"/>
      <c r="J377" s="26"/>
      <c r="K377" s="26"/>
      <c r="L377" s="26"/>
      <c r="M377" s="26"/>
      <c r="N377" s="26"/>
      <c r="O377" s="26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6"/>
      <c r="D378" s="26"/>
      <c r="E378" s="26"/>
      <c r="F378" s="26"/>
      <c r="G378" s="26"/>
      <c r="H378" s="26"/>
      <c r="I378" s="39"/>
      <c r="J378" s="26"/>
      <c r="K378" s="26"/>
      <c r="L378" s="26"/>
      <c r="M378" s="26"/>
      <c r="N378" s="26"/>
      <c r="O378" s="26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6"/>
      <c r="D379" s="26"/>
      <c r="E379" s="26"/>
      <c r="F379" s="26"/>
      <c r="G379" s="26"/>
      <c r="H379" s="26"/>
      <c r="I379" s="39"/>
      <c r="J379" s="26"/>
      <c r="K379" s="26"/>
      <c r="L379" s="26"/>
      <c r="M379" s="26"/>
      <c r="N379" s="26"/>
      <c r="O379" s="26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6"/>
      <c r="D380" s="26"/>
      <c r="E380" s="26"/>
      <c r="F380" s="26"/>
      <c r="G380" s="26"/>
      <c r="H380" s="26"/>
      <c r="I380" s="39"/>
      <c r="J380" s="26"/>
      <c r="K380" s="26"/>
      <c r="L380" s="26"/>
      <c r="M380" s="26"/>
      <c r="N380" s="26"/>
      <c r="O380" s="26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6"/>
      <c r="D381" s="26"/>
      <c r="E381" s="26"/>
      <c r="F381" s="26"/>
      <c r="G381" s="26"/>
      <c r="H381" s="26"/>
      <c r="I381" s="39"/>
      <c r="J381" s="26"/>
      <c r="K381" s="26"/>
      <c r="L381" s="26"/>
      <c r="M381" s="26"/>
      <c r="N381" s="26"/>
      <c r="O381" s="26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6"/>
      <c r="D382" s="26"/>
      <c r="E382" s="26"/>
      <c r="F382" s="26"/>
      <c r="G382" s="26"/>
      <c r="H382" s="26"/>
      <c r="I382" s="39"/>
      <c r="J382" s="26"/>
      <c r="K382" s="26"/>
      <c r="L382" s="26"/>
      <c r="M382" s="26"/>
      <c r="N382" s="26"/>
      <c r="O382" s="26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6"/>
      <c r="D383" s="26"/>
      <c r="E383" s="26"/>
      <c r="F383" s="26"/>
      <c r="G383" s="26"/>
      <c r="H383" s="26"/>
      <c r="I383" s="39"/>
      <c r="J383" s="26"/>
      <c r="K383" s="26"/>
      <c r="L383" s="26"/>
      <c r="M383" s="26"/>
      <c r="N383" s="26"/>
      <c r="O383" s="26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6"/>
      <c r="D384" s="26"/>
      <c r="E384" s="26"/>
      <c r="F384" s="26"/>
      <c r="G384" s="26"/>
      <c r="H384" s="26"/>
      <c r="I384" s="39"/>
      <c r="J384" s="26"/>
      <c r="K384" s="26"/>
      <c r="L384" s="26"/>
      <c r="M384" s="26"/>
      <c r="N384" s="26"/>
      <c r="O384" s="26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6"/>
      <c r="D385" s="26"/>
      <c r="E385" s="26"/>
      <c r="F385" s="26"/>
      <c r="G385" s="26"/>
      <c r="H385" s="26"/>
      <c r="I385" s="39"/>
      <c r="J385" s="26"/>
      <c r="K385" s="26"/>
      <c r="L385" s="26"/>
      <c r="M385" s="26"/>
      <c r="N385" s="26"/>
      <c r="O385" s="26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6"/>
      <c r="D386" s="26"/>
      <c r="E386" s="26"/>
      <c r="F386" s="26"/>
      <c r="G386" s="26"/>
      <c r="H386" s="26"/>
      <c r="I386" s="39"/>
      <c r="J386" s="26"/>
      <c r="K386" s="26"/>
      <c r="L386" s="26"/>
      <c r="M386" s="26"/>
      <c r="N386" s="26"/>
      <c r="O386" s="26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6"/>
      <c r="D387" s="26"/>
      <c r="E387" s="26"/>
      <c r="F387" s="26"/>
      <c r="G387" s="26"/>
      <c r="H387" s="26"/>
      <c r="I387" s="39"/>
      <c r="J387" s="26"/>
      <c r="K387" s="26"/>
      <c r="L387" s="26"/>
      <c r="M387" s="26"/>
      <c r="N387" s="26"/>
      <c r="O387" s="26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6"/>
      <c r="D388" s="26"/>
      <c r="E388" s="26"/>
      <c r="F388" s="26"/>
      <c r="G388" s="26"/>
      <c r="H388" s="26"/>
      <c r="I388" s="39"/>
      <c r="J388" s="26"/>
      <c r="K388" s="26"/>
      <c r="L388" s="26"/>
      <c r="M388" s="26"/>
      <c r="N388" s="26"/>
      <c r="O388" s="26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6"/>
      <c r="D389" s="26"/>
      <c r="E389" s="26"/>
      <c r="F389" s="26"/>
      <c r="G389" s="26"/>
      <c r="H389" s="26"/>
      <c r="I389" s="39"/>
      <c r="J389" s="26"/>
      <c r="K389" s="26"/>
      <c r="L389" s="26"/>
      <c r="M389" s="26"/>
      <c r="N389" s="26"/>
      <c r="O389" s="26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6"/>
      <c r="D390" s="26"/>
      <c r="E390" s="26"/>
      <c r="F390" s="26"/>
      <c r="G390" s="26"/>
      <c r="H390" s="26"/>
      <c r="I390" s="39"/>
      <c r="J390" s="26"/>
      <c r="K390" s="26"/>
      <c r="L390" s="26"/>
      <c r="M390" s="26"/>
      <c r="N390" s="26"/>
      <c r="O390" s="26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6"/>
      <c r="D391" s="26"/>
      <c r="E391" s="26"/>
      <c r="F391" s="26"/>
      <c r="G391" s="26"/>
      <c r="H391" s="26"/>
      <c r="I391" s="39"/>
      <c r="J391" s="26"/>
      <c r="K391" s="26"/>
      <c r="L391" s="26"/>
      <c r="M391" s="26"/>
      <c r="N391" s="26"/>
      <c r="O391" s="26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6"/>
      <c r="D392" s="26"/>
      <c r="E392" s="26"/>
      <c r="F392" s="26"/>
      <c r="G392" s="26"/>
      <c r="H392" s="26"/>
      <c r="I392" s="39"/>
      <c r="J392" s="26"/>
      <c r="K392" s="26"/>
      <c r="L392" s="26"/>
      <c r="M392" s="26"/>
      <c r="N392" s="26"/>
      <c r="O392" s="26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6"/>
      <c r="D393" s="26"/>
      <c r="E393" s="26"/>
      <c r="F393" s="26"/>
      <c r="G393" s="26"/>
      <c r="H393" s="26"/>
      <c r="I393" s="39"/>
      <c r="J393" s="26"/>
      <c r="K393" s="26"/>
      <c r="L393" s="26"/>
      <c r="M393" s="26"/>
      <c r="N393" s="26"/>
      <c r="O393" s="26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6"/>
      <c r="D394" s="26"/>
      <c r="E394" s="26"/>
      <c r="F394" s="26"/>
      <c r="G394" s="26"/>
      <c r="H394" s="26"/>
      <c r="I394" s="39"/>
      <c r="J394" s="26"/>
      <c r="K394" s="26"/>
      <c r="L394" s="26"/>
      <c r="M394" s="26"/>
      <c r="N394" s="26"/>
      <c r="O394" s="26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6"/>
      <c r="D395" s="26"/>
      <c r="E395" s="26"/>
      <c r="F395" s="26"/>
      <c r="G395" s="26"/>
      <c r="H395" s="26"/>
      <c r="I395" s="39"/>
      <c r="J395" s="26"/>
      <c r="K395" s="26"/>
      <c r="L395" s="26"/>
      <c r="M395" s="26"/>
      <c r="N395" s="26"/>
      <c r="O395" s="26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6"/>
      <c r="D396" s="26"/>
      <c r="E396" s="26"/>
      <c r="F396" s="26"/>
      <c r="G396" s="26"/>
      <c r="H396" s="26"/>
      <c r="I396" s="39"/>
      <c r="J396" s="26"/>
      <c r="K396" s="26"/>
      <c r="L396" s="26"/>
      <c r="M396" s="26"/>
      <c r="N396" s="26"/>
      <c r="O396" s="26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6"/>
      <c r="D397" s="26"/>
      <c r="E397" s="26"/>
      <c r="F397" s="26"/>
      <c r="G397" s="26"/>
      <c r="H397" s="26"/>
      <c r="I397" s="39"/>
      <c r="J397" s="26"/>
      <c r="K397" s="26"/>
      <c r="L397" s="26"/>
      <c r="M397" s="26"/>
      <c r="N397" s="26"/>
      <c r="O397" s="26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6"/>
      <c r="D398" s="26"/>
      <c r="E398" s="26"/>
      <c r="F398" s="26"/>
      <c r="G398" s="26"/>
      <c r="H398" s="26"/>
      <c r="I398" s="39"/>
      <c r="J398" s="26"/>
      <c r="K398" s="26"/>
      <c r="L398" s="26"/>
      <c r="M398" s="26"/>
      <c r="N398" s="26"/>
      <c r="O398" s="26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6"/>
      <c r="D399" s="26"/>
      <c r="E399" s="26"/>
      <c r="F399" s="26"/>
      <c r="G399" s="26"/>
      <c r="H399" s="26"/>
      <c r="I399" s="39"/>
      <c r="J399" s="26"/>
      <c r="K399" s="26"/>
      <c r="L399" s="26"/>
      <c r="M399" s="26"/>
      <c r="N399" s="26"/>
      <c r="O399" s="26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6"/>
      <c r="D400" s="26"/>
      <c r="E400" s="26"/>
      <c r="F400" s="26"/>
      <c r="G400" s="26"/>
      <c r="H400" s="26"/>
      <c r="I400" s="39"/>
      <c r="J400" s="26"/>
      <c r="K400" s="26"/>
      <c r="L400" s="26"/>
      <c r="M400" s="26"/>
      <c r="N400" s="26"/>
      <c r="O400" s="26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6"/>
      <c r="D401" s="26"/>
      <c r="E401" s="26"/>
      <c r="F401" s="26"/>
      <c r="G401" s="26"/>
      <c r="H401" s="26"/>
      <c r="I401" s="39"/>
      <c r="J401" s="26"/>
      <c r="K401" s="26"/>
      <c r="L401" s="26"/>
      <c r="M401" s="26"/>
      <c r="N401" s="26"/>
      <c r="O401" s="26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6"/>
      <c r="D402" s="26"/>
      <c r="E402" s="26"/>
      <c r="F402" s="26"/>
      <c r="G402" s="26"/>
      <c r="H402" s="26"/>
      <c r="I402" s="39"/>
      <c r="J402" s="26"/>
      <c r="K402" s="26"/>
      <c r="L402" s="26"/>
      <c r="M402" s="26"/>
      <c r="N402" s="26"/>
      <c r="O402" s="26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6"/>
      <c r="D403" s="26"/>
      <c r="E403" s="26"/>
      <c r="F403" s="26"/>
      <c r="G403" s="26"/>
      <c r="H403" s="26"/>
      <c r="I403" s="39"/>
      <c r="J403" s="26"/>
      <c r="K403" s="26"/>
      <c r="L403" s="26"/>
      <c r="M403" s="26"/>
      <c r="N403" s="26"/>
      <c r="O403" s="26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6"/>
      <c r="D404" s="26"/>
      <c r="E404" s="26"/>
      <c r="F404" s="26"/>
      <c r="G404" s="26"/>
      <c r="H404" s="26"/>
      <c r="I404" s="39"/>
      <c r="J404" s="26"/>
      <c r="K404" s="26"/>
      <c r="L404" s="26"/>
      <c r="M404" s="26"/>
      <c r="N404" s="26"/>
      <c r="O404" s="26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6"/>
      <c r="D405" s="26"/>
      <c r="E405" s="26"/>
      <c r="F405" s="26"/>
      <c r="G405" s="26"/>
      <c r="H405" s="26"/>
      <c r="I405" s="39"/>
      <c r="J405" s="26"/>
      <c r="K405" s="26"/>
      <c r="L405" s="26"/>
      <c r="M405" s="26"/>
      <c r="N405" s="26"/>
      <c r="O405" s="26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6"/>
      <c r="D406" s="26"/>
      <c r="E406" s="26"/>
      <c r="F406" s="26"/>
      <c r="G406" s="26"/>
      <c r="H406" s="26"/>
      <c r="I406" s="39"/>
      <c r="J406" s="26"/>
      <c r="K406" s="26"/>
      <c r="L406" s="26"/>
      <c r="M406" s="26"/>
      <c r="N406" s="26"/>
      <c r="O406" s="26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6"/>
      <c r="D407" s="26"/>
      <c r="E407" s="26"/>
      <c r="F407" s="26"/>
      <c r="G407" s="26"/>
      <c r="H407" s="26"/>
      <c r="I407" s="39"/>
      <c r="J407" s="26"/>
      <c r="K407" s="26"/>
      <c r="L407" s="26"/>
      <c r="M407" s="26"/>
      <c r="N407" s="26"/>
      <c r="O407" s="26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6"/>
      <c r="D408" s="26"/>
      <c r="E408" s="26"/>
      <c r="F408" s="26"/>
      <c r="G408" s="26"/>
      <c r="H408" s="26"/>
      <c r="I408" s="39"/>
      <c r="J408" s="26"/>
      <c r="K408" s="26"/>
      <c r="L408" s="26"/>
      <c r="M408" s="26"/>
      <c r="N408" s="26"/>
      <c r="O408" s="26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6"/>
      <c r="D409" s="26"/>
      <c r="E409" s="26"/>
      <c r="F409" s="26"/>
      <c r="G409" s="26"/>
      <c r="H409" s="26"/>
      <c r="I409" s="39"/>
      <c r="J409" s="26"/>
      <c r="K409" s="26"/>
      <c r="L409" s="26"/>
      <c r="M409" s="26"/>
      <c r="N409" s="26"/>
      <c r="O409" s="26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6"/>
      <c r="D410" s="26"/>
      <c r="E410" s="26"/>
      <c r="F410" s="26"/>
      <c r="G410" s="26"/>
      <c r="H410" s="26"/>
      <c r="I410" s="39"/>
      <c r="J410" s="26"/>
      <c r="K410" s="26"/>
      <c r="L410" s="26"/>
      <c r="M410" s="26"/>
      <c r="N410" s="26"/>
      <c r="O410" s="26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6"/>
      <c r="D411" s="26"/>
      <c r="E411" s="26"/>
      <c r="F411" s="26"/>
      <c r="G411" s="26"/>
      <c r="H411" s="26"/>
      <c r="I411" s="39"/>
      <c r="J411" s="26"/>
      <c r="K411" s="26"/>
      <c r="L411" s="26"/>
      <c r="M411" s="26"/>
      <c r="N411" s="26"/>
      <c r="O411" s="26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6"/>
      <c r="D412" s="26"/>
      <c r="E412" s="26"/>
      <c r="F412" s="26"/>
      <c r="G412" s="26"/>
      <c r="H412" s="26"/>
      <c r="I412" s="39"/>
      <c r="J412" s="26"/>
      <c r="K412" s="26"/>
      <c r="L412" s="26"/>
      <c r="M412" s="26"/>
      <c r="N412" s="26"/>
      <c r="O412" s="26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6"/>
      <c r="D413" s="26"/>
      <c r="E413" s="26"/>
      <c r="F413" s="26"/>
      <c r="G413" s="26"/>
      <c r="H413" s="26"/>
      <c r="I413" s="39"/>
      <c r="J413" s="26"/>
      <c r="K413" s="26"/>
      <c r="L413" s="26"/>
      <c r="M413" s="26"/>
      <c r="N413" s="26"/>
      <c r="O413" s="26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6"/>
      <c r="D414" s="26"/>
      <c r="E414" s="26"/>
      <c r="F414" s="26"/>
      <c r="G414" s="26"/>
      <c r="H414" s="26"/>
      <c r="I414" s="39"/>
      <c r="J414" s="26"/>
      <c r="K414" s="26"/>
      <c r="L414" s="26"/>
      <c r="M414" s="26"/>
      <c r="N414" s="26"/>
      <c r="O414" s="26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6"/>
      <c r="D415" s="26"/>
      <c r="E415" s="26"/>
      <c r="F415" s="26"/>
      <c r="G415" s="26"/>
      <c r="H415" s="26"/>
      <c r="I415" s="39"/>
      <c r="J415" s="26"/>
      <c r="K415" s="26"/>
      <c r="L415" s="26"/>
      <c r="M415" s="26"/>
      <c r="N415" s="26"/>
      <c r="O415" s="26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6"/>
      <c r="D416" s="26"/>
      <c r="E416" s="26"/>
      <c r="F416" s="26"/>
      <c r="G416" s="26"/>
      <c r="H416" s="26"/>
      <c r="I416" s="39"/>
      <c r="J416" s="26"/>
      <c r="K416" s="26"/>
      <c r="L416" s="26"/>
      <c r="M416" s="26"/>
      <c r="N416" s="26"/>
      <c r="O416" s="26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6"/>
      <c r="D417" s="26"/>
      <c r="E417" s="26"/>
      <c r="F417" s="26"/>
      <c r="G417" s="26"/>
      <c r="H417" s="26"/>
      <c r="I417" s="39"/>
      <c r="J417" s="26"/>
      <c r="K417" s="26"/>
      <c r="L417" s="26"/>
      <c r="M417" s="26"/>
      <c r="N417" s="26"/>
      <c r="O417" s="26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6"/>
      <c r="D418" s="26"/>
      <c r="E418" s="26"/>
      <c r="F418" s="26"/>
      <c r="G418" s="26"/>
      <c r="H418" s="26"/>
      <c r="I418" s="39"/>
      <c r="J418" s="26"/>
      <c r="K418" s="26"/>
      <c r="L418" s="26"/>
      <c r="M418" s="26"/>
      <c r="N418" s="26"/>
      <c r="O418" s="26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6"/>
      <c r="D419" s="26"/>
      <c r="E419" s="26"/>
      <c r="F419" s="26"/>
      <c r="G419" s="26"/>
      <c r="H419" s="26"/>
      <c r="I419" s="39"/>
      <c r="J419" s="26"/>
      <c r="K419" s="26"/>
      <c r="L419" s="26"/>
      <c r="M419" s="26"/>
      <c r="N419" s="26"/>
      <c r="O419" s="26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6"/>
      <c r="D420" s="26"/>
      <c r="E420" s="26"/>
      <c r="F420" s="26"/>
      <c r="G420" s="26"/>
      <c r="H420" s="26"/>
      <c r="I420" s="39"/>
      <c r="J420" s="26"/>
      <c r="K420" s="26"/>
      <c r="L420" s="26"/>
      <c r="M420" s="26"/>
      <c r="N420" s="26"/>
      <c r="O420" s="26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6"/>
      <c r="D421" s="26"/>
      <c r="E421" s="26"/>
      <c r="F421" s="26"/>
      <c r="G421" s="26"/>
      <c r="H421" s="26"/>
      <c r="I421" s="39"/>
      <c r="J421" s="26"/>
      <c r="K421" s="26"/>
      <c r="L421" s="26"/>
      <c r="M421" s="26"/>
      <c r="N421" s="26"/>
      <c r="O421" s="26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6"/>
      <c r="D422" s="26"/>
      <c r="E422" s="26"/>
      <c r="F422" s="26"/>
      <c r="G422" s="26"/>
      <c r="H422" s="26"/>
      <c r="I422" s="39"/>
      <c r="J422" s="26"/>
      <c r="K422" s="26"/>
      <c r="L422" s="26"/>
      <c r="M422" s="26"/>
      <c r="N422" s="26"/>
      <c r="O422" s="26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6"/>
      <c r="D423" s="26"/>
      <c r="E423" s="26"/>
      <c r="F423" s="26"/>
      <c r="G423" s="26"/>
      <c r="H423" s="26"/>
      <c r="I423" s="39"/>
      <c r="J423" s="26"/>
      <c r="K423" s="26"/>
      <c r="L423" s="26"/>
      <c r="M423" s="26"/>
      <c r="N423" s="26"/>
      <c r="O423" s="26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6"/>
      <c r="D424" s="26"/>
      <c r="E424" s="26"/>
      <c r="F424" s="26"/>
      <c r="G424" s="26"/>
      <c r="H424" s="26"/>
      <c r="I424" s="39"/>
      <c r="J424" s="26"/>
      <c r="K424" s="26"/>
      <c r="L424" s="26"/>
      <c r="M424" s="26"/>
      <c r="N424" s="26"/>
      <c r="O424" s="26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6"/>
      <c r="D425" s="26"/>
      <c r="E425" s="26"/>
      <c r="F425" s="26"/>
      <c r="G425" s="26"/>
      <c r="H425" s="26"/>
      <c r="I425" s="39"/>
      <c r="J425" s="26"/>
      <c r="K425" s="26"/>
      <c r="L425" s="26"/>
      <c r="M425" s="26"/>
      <c r="N425" s="26"/>
      <c r="O425" s="26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6"/>
      <c r="D426" s="26"/>
      <c r="E426" s="26"/>
      <c r="F426" s="26"/>
      <c r="G426" s="26"/>
      <c r="H426" s="26"/>
      <c r="I426" s="39"/>
      <c r="J426" s="26"/>
      <c r="K426" s="26"/>
      <c r="L426" s="26"/>
      <c r="M426" s="26"/>
      <c r="N426" s="26"/>
      <c r="O426" s="26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6"/>
      <c r="D427" s="26"/>
      <c r="E427" s="26"/>
      <c r="F427" s="26"/>
      <c r="G427" s="26"/>
      <c r="H427" s="26"/>
      <c r="I427" s="39"/>
      <c r="J427" s="26"/>
      <c r="K427" s="26"/>
      <c r="L427" s="26"/>
      <c r="M427" s="26"/>
      <c r="N427" s="26"/>
      <c r="O427" s="26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6"/>
      <c r="D428" s="26"/>
      <c r="E428" s="26"/>
      <c r="F428" s="26"/>
      <c r="G428" s="26"/>
      <c r="H428" s="26"/>
      <c r="I428" s="39"/>
      <c r="J428" s="26"/>
      <c r="K428" s="26"/>
      <c r="L428" s="26"/>
      <c r="M428" s="26"/>
      <c r="N428" s="26"/>
      <c r="O428" s="26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6"/>
      <c r="D429" s="26"/>
      <c r="E429" s="26"/>
      <c r="F429" s="26"/>
      <c r="G429" s="26"/>
      <c r="H429" s="26"/>
      <c r="I429" s="39"/>
      <c r="J429" s="26"/>
      <c r="K429" s="26"/>
      <c r="L429" s="26"/>
      <c r="M429" s="26"/>
      <c r="N429" s="26"/>
      <c r="O429" s="26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6"/>
      <c r="D430" s="26"/>
      <c r="E430" s="26"/>
      <c r="F430" s="26"/>
      <c r="G430" s="26"/>
      <c r="H430" s="26"/>
      <c r="I430" s="39"/>
      <c r="J430" s="26"/>
      <c r="K430" s="26"/>
      <c r="L430" s="26"/>
      <c r="M430" s="26"/>
      <c r="N430" s="26"/>
      <c r="O430" s="26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6"/>
      <c r="D431" s="26"/>
      <c r="E431" s="26"/>
      <c r="F431" s="26"/>
      <c r="G431" s="26"/>
      <c r="H431" s="26"/>
      <c r="I431" s="39"/>
      <c r="J431" s="26"/>
      <c r="K431" s="26"/>
      <c r="L431" s="26"/>
      <c r="M431" s="26"/>
      <c r="N431" s="26"/>
      <c r="O431" s="26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6"/>
      <c r="D432" s="26"/>
      <c r="E432" s="26"/>
      <c r="F432" s="26"/>
      <c r="G432" s="26"/>
      <c r="H432" s="26"/>
      <c r="I432" s="39"/>
      <c r="J432" s="26"/>
      <c r="K432" s="26"/>
      <c r="L432" s="26"/>
      <c r="M432" s="26"/>
      <c r="N432" s="26"/>
      <c r="O432" s="26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6"/>
      <c r="D433" s="26"/>
      <c r="E433" s="26"/>
      <c r="F433" s="26"/>
      <c r="G433" s="26"/>
      <c r="H433" s="26"/>
      <c r="I433" s="39"/>
      <c r="J433" s="26"/>
      <c r="K433" s="26"/>
      <c r="L433" s="26"/>
      <c r="M433" s="26"/>
      <c r="N433" s="26"/>
      <c r="O433" s="26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6"/>
      <c r="D434" s="26"/>
      <c r="E434" s="26"/>
      <c r="F434" s="26"/>
      <c r="G434" s="26"/>
      <c r="H434" s="26"/>
      <c r="I434" s="39"/>
      <c r="J434" s="26"/>
      <c r="K434" s="26"/>
      <c r="L434" s="26"/>
      <c r="M434" s="26"/>
      <c r="N434" s="26"/>
      <c r="O434" s="26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6"/>
      <c r="D435" s="26"/>
      <c r="E435" s="26"/>
      <c r="F435" s="26"/>
      <c r="G435" s="26"/>
      <c r="H435" s="26"/>
      <c r="I435" s="39"/>
      <c r="J435" s="26"/>
      <c r="K435" s="26"/>
      <c r="L435" s="26"/>
      <c r="M435" s="26"/>
      <c r="N435" s="26"/>
      <c r="O435" s="26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6"/>
      <c r="D436" s="26"/>
      <c r="E436" s="26"/>
      <c r="F436" s="26"/>
      <c r="G436" s="26"/>
      <c r="H436" s="26"/>
      <c r="I436" s="39"/>
      <c r="J436" s="26"/>
      <c r="K436" s="26"/>
      <c r="L436" s="26"/>
      <c r="M436" s="26"/>
      <c r="N436" s="26"/>
      <c r="O436" s="26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6"/>
      <c r="D437" s="26"/>
      <c r="E437" s="26"/>
      <c r="F437" s="26"/>
      <c r="G437" s="26"/>
      <c r="H437" s="26"/>
      <c r="I437" s="39"/>
      <c r="J437" s="26"/>
      <c r="K437" s="26"/>
      <c r="L437" s="26"/>
      <c r="M437" s="26"/>
      <c r="N437" s="26"/>
      <c r="O437" s="26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6"/>
      <c r="D438" s="26"/>
      <c r="E438" s="26"/>
      <c r="F438" s="26"/>
      <c r="G438" s="26"/>
      <c r="H438" s="26"/>
      <c r="I438" s="39"/>
      <c r="J438" s="26"/>
      <c r="K438" s="26"/>
      <c r="L438" s="26"/>
      <c r="M438" s="26"/>
      <c r="N438" s="26"/>
      <c r="O438" s="26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6"/>
      <c r="D439" s="26"/>
      <c r="E439" s="26"/>
      <c r="F439" s="26"/>
      <c r="G439" s="26"/>
      <c r="H439" s="26"/>
      <c r="I439" s="39"/>
      <c r="J439" s="26"/>
      <c r="K439" s="26"/>
      <c r="L439" s="26"/>
      <c r="M439" s="26"/>
      <c r="N439" s="26"/>
      <c r="O439" s="26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6"/>
      <c r="D440" s="26"/>
      <c r="E440" s="26"/>
      <c r="F440" s="26"/>
      <c r="G440" s="26"/>
      <c r="H440" s="26"/>
      <c r="I440" s="39"/>
      <c r="J440" s="26"/>
      <c r="K440" s="26"/>
      <c r="L440" s="26"/>
      <c r="M440" s="26"/>
      <c r="N440" s="26"/>
      <c r="O440" s="26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6"/>
      <c r="D441" s="26"/>
      <c r="E441" s="26"/>
      <c r="F441" s="26"/>
      <c r="G441" s="26"/>
      <c r="H441" s="26"/>
      <c r="I441" s="39"/>
      <c r="J441" s="26"/>
      <c r="K441" s="26"/>
      <c r="L441" s="26"/>
      <c r="M441" s="26"/>
      <c r="N441" s="26"/>
      <c r="O441" s="26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6"/>
      <c r="D442" s="26"/>
      <c r="E442" s="26"/>
      <c r="F442" s="26"/>
      <c r="G442" s="26"/>
      <c r="H442" s="26"/>
      <c r="I442" s="39"/>
      <c r="J442" s="26"/>
      <c r="K442" s="26"/>
      <c r="L442" s="26"/>
      <c r="M442" s="26"/>
      <c r="N442" s="26"/>
      <c r="O442" s="26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6"/>
      <c r="D443" s="26"/>
      <c r="E443" s="26"/>
      <c r="F443" s="26"/>
      <c r="G443" s="26"/>
      <c r="H443" s="26"/>
      <c r="I443" s="39"/>
      <c r="J443" s="26"/>
      <c r="K443" s="26"/>
      <c r="L443" s="26"/>
      <c r="M443" s="26"/>
      <c r="N443" s="26"/>
      <c r="O443" s="26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6"/>
      <c r="D444" s="26"/>
      <c r="E444" s="26"/>
      <c r="F444" s="26"/>
      <c r="G444" s="26"/>
      <c r="H444" s="26"/>
      <c r="I444" s="39"/>
      <c r="J444" s="26"/>
      <c r="K444" s="26"/>
      <c r="L444" s="26"/>
      <c r="M444" s="26"/>
      <c r="N444" s="26"/>
      <c r="O444" s="26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6"/>
      <c r="D445" s="26"/>
      <c r="E445" s="26"/>
      <c r="F445" s="26"/>
      <c r="G445" s="26"/>
      <c r="H445" s="26"/>
      <c r="I445" s="39"/>
      <c r="J445" s="26"/>
      <c r="K445" s="26"/>
      <c r="L445" s="26"/>
      <c r="M445" s="26"/>
      <c r="N445" s="26"/>
      <c r="O445" s="26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6"/>
      <c r="D446" s="26"/>
      <c r="E446" s="26"/>
      <c r="F446" s="26"/>
      <c r="G446" s="26"/>
      <c r="H446" s="26"/>
      <c r="I446" s="39"/>
      <c r="J446" s="26"/>
      <c r="K446" s="26"/>
      <c r="L446" s="26"/>
      <c r="M446" s="26"/>
      <c r="N446" s="26"/>
      <c r="O446" s="26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6"/>
      <c r="D447" s="26"/>
      <c r="E447" s="26"/>
      <c r="F447" s="26"/>
      <c r="G447" s="26"/>
      <c r="H447" s="26"/>
      <c r="I447" s="39"/>
      <c r="J447" s="26"/>
      <c r="K447" s="26"/>
      <c r="L447" s="26"/>
      <c r="M447" s="26"/>
      <c r="N447" s="26"/>
      <c r="O447" s="26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6"/>
      <c r="D448" s="26"/>
      <c r="E448" s="26"/>
      <c r="F448" s="26"/>
      <c r="G448" s="26"/>
      <c r="H448" s="26"/>
      <c r="I448" s="39"/>
      <c r="J448" s="26"/>
      <c r="K448" s="26"/>
      <c r="L448" s="26"/>
      <c r="M448" s="26"/>
      <c r="N448" s="26"/>
      <c r="O448" s="26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6"/>
      <c r="D449" s="26"/>
      <c r="E449" s="26"/>
      <c r="F449" s="26"/>
      <c r="G449" s="26"/>
      <c r="H449" s="26"/>
      <c r="I449" s="39"/>
      <c r="J449" s="26"/>
      <c r="K449" s="26"/>
      <c r="L449" s="26"/>
      <c r="M449" s="26"/>
      <c r="N449" s="26"/>
      <c r="O449" s="26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6"/>
      <c r="D450" s="26"/>
      <c r="E450" s="26"/>
      <c r="F450" s="26"/>
      <c r="G450" s="26"/>
      <c r="H450" s="26"/>
      <c r="I450" s="39"/>
      <c r="J450" s="26"/>
      <c r="K450" s="26"/>
      <c r="L450" s="26"/>
      <c r="M450" s="26"/>
      <c r="N450" s="26"/>
      <c r="O450" s="26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6"/>
      <c r="D451" s="26"/>
      <c r="E451" s="26"/>
      <c r="F451" s="26"/>
      <c r="G451" s="26"/>
      <c r="H451" s="26"/>
      <c r="I451" s="39"/>
      <c r="J451" s="26"/>
      <c r="K451" s="26"/>
      <c r="L451" s="26"/>
      <c r="M451" s="26"/>
      <c r="N451" s="26"/>
      <c r="O451" s="26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6"/>
      <c r="D452" s="26"/>
      <c r="E452" s="26"/>
      <c r="F452" s="26"/>
      <c r="G452" s="26"/>
      <c r="H452" s="26"/>
      <c r="I452" s="39"/>
      <c r="J452" s="26"/>
      <c r="K452" s="26"/>
      <c r="L452" s="26"/>
      <c r="M452" s="26"/>
      <c r="N452" s="26"/>
      <c r="O452" s="26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6"/>
      <c r="D453" s="26"/>
      <c r="E453" s="26"/>
      <c r="F453" s="26"/>
      <c r="G453" s="26"/>
      <c r="H453" s="26"/>
      <c r="I453" s="39"/>
      <c r="J453" s="26"/>
      <c r="K453" s="26"/>
      <c r="L453" s="26"/>
      <c r="M453" s="26"/>
      <c r="N453" s="26"/>
      <c r="O453" s="26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6"/>
      <c r="D454" s="26"/>
      <c r="E454" s="26"/>
      <c r="F454" s="26"/>
      <c r="G454" s="26"/>
      <c r="H454" s="26"/>
      <c r="I454" s="39"/>
      <c r="J454" s="26"/>
      <c r="K454" s="26"/>
      <c r="L454" s="26"/>
      <c r="M454" s="26"/>
      <c r="N454" s="26"/>
      <c r="O454" s="26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6"/>
      <c r="D455" s="26"/>
      <c r="E455" s="26"/>
      <c r="F455" s="26"/>
      <c r="G455" s="26"/>
      <c r="H455" s="26"/>
      <c r="I455" s="39"/>
      <c r="J455" s="26"/>
      <c r="K455" s="26"/>
      <c r="L455" s="26"/>
      <c r="M455" s="26"/>
      <c r="N455" s="26"/>
      <c r="O455" s="26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6"/>
      <c r="D456" s="26"/>
      <c r="E456" s="26"/>
      <c r="F456" s="26"/>
      <c r="G456" s="26"/>
      <c r="H456" s="26"/>
      <c r="I456" s="39"/>
      <c r="J456" s="26"/>
      <c r="K456" s="26"/>
      <c r="L456" s="26"/>
      <c r="M456" s="26"/>
      <c r="N456" s="26"/>
      <c r="O456" s="26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6"/>
      <c r="D457" s="26"/>
      <c r="E457" s="26"/>
      <c r="F457" s="26"/>
      <c r="G457" s="26"/>
      <c r="H457" s="26"/>
      <c r="I457" s="39"/>
      <c r="J457" s="26"/>
      <c r="K457" s="26"/>
      <c r="L457" s="26"/>
      <c r="M457" s="26"/>
      <c r="N457" s="26"/>
      <c r="O457" s="26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6"/>
      <c r="D458" s="26"/>
      <c r="E458" s="26"/>
      <c r="F458" s="26"/>
      <c r="G458" s="26"/>
      <c r="H458" s="26"/>
      <c r="I458" s="39"/>
      <c r="J458" s="26"/>
      <c r="K458" s="26"/>
      <c r="L458" s="26"/>
      <c r="M458" s="26"/>
      <c r="N458" s="26"/>
      <c r="O458" s="26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6"/>
      <c r="D459" s="26"/>
      <c r="E459" s="26"/>
      <c r="F459" s="26"/>
      <c r="G459" s="26"/>
      <c r="H459" s="26"/>
      <c r="I459" s="39"/>
      <c r="J459" s="26"/>
      <c r="K459" s="26"/>
      <c r="L459" s="26"/>
      <c r="M459" s="26"/>
      <c r="N459" s="26"/>
      <c r="O459" s="26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6"/>
      <c r="D460" s="26"/>
      <c r="E460" s="26"/>
      <c r="F460" s="26"/>
      <c r="G460" s="26"/>
      <c r="H460" s="26"/>
      <c r="I460" s="39"/>
      <c r="J460" s="26"/>
      <c r="K460" s="26"/>
      <c r="L460" s="26"/>
      <c r="M460" s="26"/>
      <c r="N460" s="26"/>
      <c r="O460" s="26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6"/>
      <c r="D461" s="26"/>
      <c r="E461" s="26"/>
      <c r="F461" s="26"/>
      <c r="G461" s="26"/>
      <c r="H461" s="26"/>
      <c r="I461" s="39"/>
      <c r="J461" s="26"/>
      <c r="K461" s="26"/>
      <c r="L461" s="26"/>
      <c r="M461" s="26"/>
      <c r="N461" s="26"/>
      <c r="O461" s="26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6"/>
      <c r="D462" s="26"/>
      <c r="E462" s="26"/>
      <c r="F462" s="26"/>
      <c r="G462" s="26"/>
      <c r="H462" s="26"/>
      <c r="I462" s="39"/>
      <c r="J462" s="26"/>
      <c r="K462" s="26"/>
      <c r="L462" s="26"/>
      <c r="M462" s="26"/>
      <c r="N462" s="26"/>
      <c r="O462" s="26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6"/>
      <c r="D463" s="26"/>
      <c r="E463" s="26"/>
      <c r="F463" s="26"/>
      <c r="G463" s="26"/>
      <c r="H463" s="26"/>
      <c r="I463" s="39"/>
      <c r="J463" s="26"/>
      <c r="K463" s="26"/>
      <c r="L463" s="26"/>
      <c r="M463" s="26"/>
      <c r="N463" s="26"/>
      <c r="O463" s="26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6"/>
      <c r="D464" s="26"/>
      <c r="E464" s="26"/>
      <c r="F464" s="26"/>
      <c r="G464" s="26"/>
      <c r="H464" s="26"/>
      <c r="I464" s="39"/>
      <c r="J464" s="26"/>
      <c r="K464" s="26"/>
      <c r="L464" s="26"/>
      <c r="M464" s="26"/>
      <c r="N464" s="26"/>
      <c r="O464" s="26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6"/>
      <c r="D465" s="26"/>
      <c r="E465" s="26"/>
      <c r="F465" s="26"/>
      <c r="G465" s="26"/>
      <c r="H465" s="26"/>
      <c r="I465" s="39"/>
      <c r="J465" s="26"/>
      <c r="K465" s="26"/>
      <c r="L465" s="26"/>
      <c r="M465" s="26"/>
      <c r="N465" s="26"/>
      <c r="O465" s="26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6"/>
      <c r="D466" s="26"/>
      <c r="E466" s="26"/>
      <c r="F466" s="26"/>
      <c r="G466" s="26"/>
      <c r="H466" s="26"/>
      <c r="I466" s="39"/>
      <c r="J466" s="26"/>
      <c r="K466" s="26"/>
      <c r="L466" s="26"/>
      <c r="M466" s="26"/>
      <c r="N466" s="26"/>
      <c r="O466" s="26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6"/>
      <c r="D467" s="26"/>
      <c r="E467" s="26"/>
      <c r="F467" s="26"/>
      <c r="G467" s="26"/>
      <c r="H467" s="26"/>
      <c r="I467" s="39"/>
      <c r="J467" s="26"/>
      <c r="K467" s="26"/>
      <c r="L467" s="26"/>
      <c r="M467" s="26"/>
      <c r="N467" s="26"/>
      <c r="O467" s="26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6"/>
      <c r="D468" s="26"/>
      <c r="E468" s="26"/>
      <c r="F468" s="26"/>
      <c r="G468" s="26"/>
      <c r="H468" s="26"/>
      <c r="I468" s="39"/>
      <c r="J468" s="26"/>
      <c r="K468" s="26"/>
      <c r="L468" s="26"/>
      <c r="M468" s="26"/>
      <c r="N468" s="26"/>
      <c r="O468" s="26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6"/>
      <c r="D469" s="26"/>
      <c r="E469" s="26"/>
      <c r="F469" s="26"/>
      <c r="G469" s="26"/>
      <c r="H469" s="26"/>
      <c r="I469" s="39"/>
      <c r="J469" s="26"/>
      <c r="K469" s="26"/>
      <c r="L469" s="26"/>
      <c r="M469" s="26"/>
      <c r="N469" s="26"/>
      <c r="O469" s="26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6"/>
      <c r="D470" s="26"/>
      <c r="E470" s="26"/>
      <c r="F470" s="26"/>
      <c r="G470" s="26"/>
      <c r="H470" s="26"/>
      <c r="I470" s="39"/>
      <c r="J470" s="26"/>
      <c r="K470" s="26"/>
      <c r="L470" s="26"/>
      <c r="M470" s="26"/>
      <c r="N470" s="26"/>
      <c r="O470" s="26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6"/>
      <c r="D471" s="26"/>
      <c r="E471" s="26"/>
      <c r="F471" s="26"/>
      <c r="G471" s="26"/>
      <c r="H471" s="26"/>
      <c r="I471" s="39"/>
      <c r="J471" s="26"/>
      <c r="K471" s="26"/>
      <c r="L471" s="26"/>
      <c r="M471" s="26"/>
      <c r="N471" s="26"/>
      <c r="O471" s="26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6"/>
      <c r="D472" s="26"/>
      <c r="E472" s="26"/>
      <c r="F472" s="26"/>
      <c r="G472" s="26"/>
      <c r="H472" s="26"/>
      <c r="I472" s="39"/>
      <c r="J472" s="26"/>
      <c r="K472" s="26"/>
      <c r="L472" s="26"/>
      <c r="M472" s="26"/>
      <c r="N472" s="26"/>
      <c r="O472" s="26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6"/>
      <c r="D473" s="26"/>
      <c r="E473" s="26"/>
      <c r="F473" s="26"/>
      <c r="G473" s="26"/>
      <c r="H473" s="26"/>
      <c r="I473" s="39"/>
      <c r="J473" s="26"/>
      <c r="K473" s="26"/>
      <c r="L473" s="26"/>
      <c r="M473" s="26"/>
      <c r="N473" s="26"/>
      <c r="O473" s="26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6"/>
      <c r="D474" s="26"/>
      <c r="E474" s="26"/>
      <c r="F474" s="26"/>
      <c r="G474" s="26"/>
      <c r="H474" s="26"/>
      <c r="I474" s="39"/>
      <c r="J474" s="26"/>
      <c r="K474" s="26"/>
      <c r="L474" s="26"/>
      <c r="M474" s="26"/>
      <c r="N474" s="26"/>
      <c r="O474" s="26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6"/>
      <c r="D475" s="26"/>
      <c r="E475" s="26"/>
      <c r="F475" s="26"/>
      <c r="G475" s="26"/>
      <c r="H475" s="26"/>
      <c r="I475" s="39"/>
      <c r="J475" s="26"/>
      <c r="K475" s="26"/>
      <c r="L475" s="26"/>
      <c r="M475" s="26"/>
      <c r="N475" s="26"/>
      <c r="O475" s="26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6"/>
      <c r="D476" s="26"/>
      <c r="E476" s="26"/>
      <c r="F476" s="26"/>
      <c r="G476" s="26"/>
      <c r="H476" s="26"/>
      <c r="I476" s="39"/>
      <c r="J476" s="26"/>
      <c r="K476" s="26"/>
      <c r="L476" s="26"/>
      <c r="M476" s="26"/>
      <c r="N476" s="26"/>
      <c r="O476" s="26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6"/>
      <c r="D477" s="26"/>
      <c r="E477" s="26"/>
      <c r="F477" s="26"/>
      <c r="G477" s="26"/>
      <c r="H477" s="26"/>
      <c r="I477" s="39"/>
      <c r="J477" s="26"/>
      <c r="K477" s="26"/>
      <c r="L477" s="26"/>
      <c r="M477" s="26"/>
      <c r="N477" s="26"/>
      <c r="O477" s="26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6"/>
      <c r="D478" s="26"/>
      <c r="E478" s="26"/>
      <c r="F478" s="26"/>
      <c r="G478" s="26"/>
      <c r="H478" s="26"/>
      <c r="I478" s="39"/>
      <c r="J478" s="26"/>
      <c r="K478" s="26"/>
      <c r="L478" s="26"/>
      <c r="M478" s="26"/>
      <c r="N478" s="26"/>
      <c r="O478" s="26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6"/>
      <c r="D479" s="26"/>
      <c r="E479" s="26"/>
      <c r="F479" s="26"/>
      <c r="G479" s="26"/>
      <c r="H479" s="26"/>
      <c r="I479" s="39"/>
      <c r="J479" s="26"/>
      <c r="K479" s="26"/>
      <c r="L479" s="26"/>
      <c r="M479" s="26"/>
      <c r="N479" s="26"/>
      <c r="O479" s="26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6"/>
      <c r="D480" s="26"/>
      <c r="E480" s="26"/>
      <c r="F480" s="26"/>
      <c r="G480" s="26"/>
      <c r="H480" s="26"/>
      <c r="I480" s="39"/>
      <c r="J480" s="26"/>
      <c r="K480" s="26"/>
      <c r="L480" s="26"/>
      <c r="M480" s="26"/>
      <c r="N480" s="26"/>
      <c r="O480" s="26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6"/>
      <c r="D481" s="26"/>
      <c r="E481" s="26"/>
      <c r="F481" s="26"/>
      <c r="G481" s="26"/>
      <c r="H481" s="26"/>
      <c r="I481" s="39"/>
      <c r="J481" s="26"/>
      <c r="K481" s="26"/>
      <c r="L481" s="26"/>
      <c r="M481" s="26"/>
      <c r="N481" s="26"/>
      <c r="O481" s="26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6"/>
      <c r="D482" s="26"/>
      <c r="E482" s="26"/>
      <c r="F482" s="26"/>
      <c r="G482" s="26"/>
      <c r="H482" s="26"/>
      <c r="I482" s="39"/>
      <c r="J482" s="26"/>
      <c r="K482" s="26"/>
      <c r="L482" s="26"/>
      <c r="M482" s="26"/>
      <c r="N482" s="26"/>
      <c r="O482" s="26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6"/>
      <c r="D483" s="26"/>
      <c r="E483" s="26"/>
      <c r="F483" s="26"/>
      <c r="G483" s="26"/>
      <c r="H483" s="26"/>
      <c r="I483" s="39"/>
      <c r="J483" s="26"/>
      <c r="K483" s="26"/>
      <c r="L483" s="26"/>
      <c r="M483" s="26"/>
      <c r="N483" s="26"/>
      <c r="O483" s="26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6"/>
      <c r="D484" s="26"/>
      <c r="E484" s="26"/>
      <c r="F484" s="26"/>
      <c r="G484" s="26"/>
      <c r="H484" s="26"/>
      <c r="I484" s="39"/>
      <c r="J484" s="26"/>
      <c r="K484" s="26"/>
      <c r="L484" s="26"/>
      <c r="M484" s="26"/>
      <c r="N484" s="26"/>
      <c r="O484" s="26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6"/>
      <c r="D485" s="26"/>
      <c r="E485" s="26"/>
      <c r="F485" s="26"/>
      <c r="G485" s="26"/>
      <c r="H485" s="26"/>
      <c r="I485" s="39"/>
      <c r="J485" s="26"/>
      <c r="K485" s="26"/>
      <c r="L485" s="26"/>
      <c r="M485" s="26"/>
      <c r="N485" s="26"/>
      <c r="O485" s="26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6"/>
      <c r="D486" s="26"/>
      <c r="E486" s="26"/>
      <c r="F486" s="26"/>
      <c r="G486" s="26"/>
      <c r="H486" s="26"/>
      <c r="I486" s="39"/>
      <c r="J486" s="26"/>
      <c r="K486" s="26"/>
      <c r="L486" s="26"/>
      <c r="M486" s="26"/>
      <c r="N486" s="26"/>
      <c r="O486" s="26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6"/>
      <c r="D487" s="26"/>
      <c r="E487" s="26"/>
      <c r="F487" s="26"/>
      <c r="G487" s="26"/>
      <c r="H487" s="26"/>
      <c r="I487" s="39"/>
      <c r="J487" s="26"/>
      <c r="K487" s="26"/>
      <c r="L487" s="26"/>
      <c r="M487" s="26"/>
      <c r="N487" s="26"/>
      <c r="O487" s="26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6"/>
      <c r="D488" s="26"/>
      <c r="E488" s="26"/>
      <c r="F488" s="26"/>
      <c r="G488" s="26"/>
      <c r="H488" s="26"/>
      <c r="I488" s="39"/>
      <c r="J488" s="26"/>
      <c r="K488" s="26"/>
      <c r="L488" s="26"/>
      <c r="M488" s="26"/>
      <c r="N488" s="26"/>
      <c r="O488" s="26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6"/>
      <c r="D489" s="26"/>
      <c r="E489" s="26"/>
      <c r="F489" s="26"/>
      <c r="G489" s="26"/>
      <c r="H489" s="26"/>
      <c r="I489" s="39"/>
      <c r="J489" s="26"/>
      <c r="K489" s="26"/>
      <c r="L489" s="26"/>
      <c r="M489" s="26"/>
      <c r="N489" s="26"/>
      <c r="O489" s="26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6"/>
      <c r="D490" s="26"/>
      <c r="E490" s="26"/>
      <c r="F490" s="26"/>
      <c r="G490" s="26"/>
      <c r="H490" s="26"/>
      <c r="I490" s="39"/>
      <c r="J490" s="26"/>
      <c r="K490" s="26"/>
      <c r="L490" s="26"/>
      <c r="M490" s="26"/>
      <c r="N490" s="26"/>
      <c r="O490" s="26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6"/>
      <c r="D491" s="26"/>
      <c r="E491" s="26"/>
      <c r="F491" s="26"/>
      <c r="G491" s="26"/>
      <c r="H491" s="26"/>
      <c r="I491" s="39"/>
      <c r="J491" s="26"/>
      <c r="K491" s="26"/>
      <c r="L491" s="26"/>
      <c r="M491" s="26"/>
      <c r="N491" s="26"/>
      <c r="O491" s="26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6"/>
      <c r="D492" s="26"/>
      <c r="E492" s="26"/>
      <c r="F492" s="26"/>
      <c r="G492" s="26"/>
      <c r="H492" s="26"/>
      <c r="I492" s="39"/>
      <c r="J492" s="26"/>
      <c r="K492" s="26"/>
      <c r="L492" s="26"/>
      <c r="M492" s="26"/>
      <c r="N492" s="26"/>
      <c r="O492" s="26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6"/>
      <c r="D493" s="26"/>
      <c r="E493" s="26"/>
      <c r="F493" s="26"/>
      <c r="G493" s="26"/>
      <c r="H493" s="26"/>
      <c r="I493" s="39"/>
      <c r="J493" s="26"/>
      <c r="K493" s="26"/>
      <c r="L493" s="26"/>
      <c r="M493" s="26"/>
      <c r="N493" s="26"/>
      <c r="O493" s="26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6"/>
      <c r="D494" s="26"/>
      <c r="E494" s="26"/>
      <c r="F494" s="26"/>
      <c r="G494" s="26"/>
      <c r="H494" s="26"/>
      <c r="I494" s="39"/>
      <c r="J494" s="26"/>
      <c r="K494" s="26"/>
      <c r="L494" s="26"/>
      <c r="M494" s="26"/>
      <c r="N494" s="26"/>
      <c r="O494" s="26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6"/>
      <c r="D495" s="26"/>
      <c r="E495" s="26"/>
      <c r="F495" s="26"/>
      <c r="G495" s="26"/>
      <c r="H495" s="26"/>
      <c r="I495" s="39"/>
      <c r="J495" s="26"/>
      <c r="K495" s="26"/>
      <c r="L495" s="26"/>
      <c r="M495" s="26"/>
      <c r="N495" s="26"/>
      <c r="O495" s="26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6"/>
      <c r="D496" s="26"/>
      <c r="E496" s="26"/>
      <c r="F496" s="26"/>
      <c r="G496" s="26"/>
      <c r="H496" s="26"/>
      <c r="I496" s="39"/>
      <c r="J496" s="26"/>
      <c r="K496" s="26"/>
      <c r="L496" s="26"/>
      <c r="M496" s="26"/>
      <c r="N496" s="26"/>
      <c r="O496" s="26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6"/>
      <c r="D497" s="26"/>
      <c r="E497" s="26"/>
      <c r="F497" s="26"/>
      <c r="G497" s="26"/>
      <c r="H497" s="26"/>
      <c r="I497" s="39"/>
      <c r="J497" s="26"/>
      <c r="K497" s="26"/>
      <c r="L497" s="26"/>
      <c r="M497" s="26"/>
      <c r="N497" s="26"/>
      <c r="O497" s="26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6"/>
      <c r="D498" s="26"/>
      <c r="E498" s="26"/>
      <c r="F498" s="26"/>
      <c r="G498" s="26"/>
      <c r="H498" s="26"/>
      <c r="I498" s="39"/>
      <c r="J498" s="26"/>
      <c r="K498" s="26"/>
      <c r="L498" s="26"/>
      <c r="M498" s="26"/>
      <c r="N498" s="26"/>
      <c r="O498" s="26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6"/>
      <c r="D499" s="26"/>
      <c r="E499" s="26"/>
      <c r="F499" s="26"/>
      <c r="G499" s="26"/>
      <c r="H499" s="26"/>
      <c r="I499" s="39"/>
      <c r="J499" s="26"/>
      <c r="K499" s="26"/>
      <c r="L499" s="26"/>
      <c r="M499" s="26"/>
      <c r="N499" s="26"/>
      <c r="O499" s="26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6"/>
      <c r="D500" s="26"/>
      <c r="E500" s="26"/>
      <c r="F500" s="26"/>
      <c r="G500" s="26"/>
      <c r="H500" s="26"/>
      <c r="I500" s="39"/>
      <c r="J500" s="26"/>
      <c r="K500" s="26"/>
      <c r="L500" s="26"/>
      <c r="M500" s="26"/>
      <c r="N500" s="26"/>
      <c r="O500" s="26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6"/>
      <c r="D501" s="26"/>
      <c r="E501" s="26"/>
      <c r="F501" s="26"/>
      <c r="G501" s="26"/>
      <c r="H501" s="26"/>
      <c r="I501" s="39"/>
      <c r="J501" s="26"/>
      <c r="K501" s="26"/>
      <c r="L501" s="26"/>
      <c r="M501" s="26"/>
      <c r="N501" s="26"/>
      <c r="O501" s="26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6"/>
      <c r="D502" s="26"/>
      <c r="E502" s="26"/>
      <c r="F502" s="26"/>
      <c r="G502" s="26"/>
      <c r="H502" s="26"/>
      <c r="I502" s="39"/>
      <c r="J502" s="26"/>
      <c r="K502" s="26"/>
      <c r="L502" s="26"/>
      <c r="M502" s="26"/>
      <c r="N502" s="26"/>
      <c r="O502" s="26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6"/>
      <c r="D503" s="26"/>
      <c r="E503" s="26"/>
      <c r="F503" s="26"/>
      <c r="G503" s="26"/>
      <c r="H503" s="26"/>
      <c r="I503" s="39"/>
      <c r="J503" s="26"/>
      <c r="K503" s="26"/>
      <c r="L503" s="26"/>
      <c r="M503" s="26"/>
      <c r="N503" s="26"/>
      <c r="O503" s="26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6"/>
      <c r="D504" s="26"/>
      <c r="E504" s="26"/>
      <c r="F504" s="26"/>
      <c r="G504" s="26"/>
      <c r="H504" s="26"/>
      <c r="I504" s="39"/>
      <c r="J504" s="26"/>
      <c r="K504" s="26"/>
      <c r="L504" s="26"/>
      <c r="M504" s="26"/>
      <c r="N504" s="26"/>
      <c r="O504" s="26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6"/>
      <c r="D505" s="26"/>
      <c r="E505" s="26"/>
      <c r="F505" s="26"/>
      <c r="G505" s="26"/>
      <c r="H505" s="26"/>
      <c r="I505" s="39"/>
      <c r="J505" s="26"/>
      <c r="K505" s="26"/>
      <c r="L505" s="26"/>
      <c r="M505" s="26"/>
      <c r="N505" s="26"/>
      <c r="O505" s="26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6"/>
      <c r="D506" s="26"/>
      <c r="E506" s="26"/>
      <c r="F506" s="26"/>
      <c r="G506" s="26"/>
      <c r="H506" s="26"/>
      <c r="I506" s="39"/>
      <c r="J506" s="26"/>
      <c r="K506" s="26"/>
      <c r="L506" s="26"/>
      <c r="M506" s="26"/>
      <c r="N506" s="26"/>
      <c r="O506" s="26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6"/>
      <c r="D507" s="26"/>
      <c r="E507" s="26"/>
      <c r="F507" s="26"/>
      <c r="G507" s="26"/>
      <c r="H507" s="26"/>
      <c r="I507" s="39"/>
      <c r="J507" s="26"/>
      <c r="K507" s="26"/>
      <c r="L507" s="26"/>
      <c r="M507" s="26"/>
      <c r="N507" s="26"/>
      <c r="O507" s="26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6"/>
      <c r="D508" s="26"/>
      <c r="E508" s="26"/>
      <c r="F508" s="26"/>
      <c r="G508" s="26"/>
      <c r="H508" s="26"/>
      <c r="I508" s="39"/>
      <c r="J508" s="26"/>
      <c r="K508" s="26"/>
      <c r="L508" s="26"/>
      <c r="M508" s="26"/>
      <c r="N508" s="26"/>
      <c r="O508" s="26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6"/>
      <c r="D509" s="26"/>
      <c r="E509" s="26"/>
      <c r="F509" s="26"/>
      <c r="G509" s="26"/>
      <c r="H509" s="26"/>
      <c r="I509" s="39"/>
      <c r="J509" s="26"/>
      <c r="K509" s="26"/>
      <c r="L509" s="26"/>
      <c r="M509" s="26"/>
      <c r="N509" s="26"/>
      <c r="O509" s="26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6"/>
      <c r="D510" s="26"/>
      <c r="E510" s="26"/>
      <c r="F510" s="26"/>
      <c r="G510" s="26"/>
      <c r="H510" s="26"/>
      <c r="I510" s="39"/>
      <c r="J510" s="26"/>
      <c r="K510" s="26"/>
      <c r="L510" s="26"/>
      <c r="M510" s="26"/>
      <c r="N510" s="26"/>
      <c r="O510" s="26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6"/>
      <c r="D511" s="26"/>
      <c r="E511" s="26"/>
      <c r="F511" s="26"/>
      <c r="G511" s="26"/>
      <c r="H511" s="26"/>
      <c r="I511" s="39"/>
      <c r="J511" s="26"/>
      <c r="K511" s="26"/>
      <c r="L511" s="26"/>
      <c r="M511" s="26"/>
      <c r="N511" s="26"/>
      <c r="O511" s="26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6"/>
      <c r="D512" s="26"/>
      <c r="E512" s="26"/>
      <c r="F512" s="26"/>
      <c r="G512" s="26"/>
      <c r="H512" s="26"/>
      <c r="I512" s="39"/>
      <c r="J512" s="26"/>
      <c r="K512" s="26"/>
      <c r="L512" s="26"/>
      <c r="M512" s="26"/>
      <c r="N512" s="26"/>
      <c r="O512" s="26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6"/>
      <c r="D513" s="26"/>
      <c r="E513" s="26"/>
      <c r="F513" s="26"/>
      <c r="G513" s="26"/>
      <c r="H513" s="26"/>
      <c r="I513" s="39"/>
      <c r="J513" s="26"/>
      <c r="K513" s="26"/>
      <c r="L513" s="26"/>
      <c r="M513" s="26"/>
      <c r="N513" s="26"/>
      <c r="O513" s="26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6"/>
      <c r="D514" s="26"/>
      <c r="E514" s="26"/>
      <c r="F514" s="26"/>
      <c r="G514" s="26"/>
      <c r="H514" s="26"/>
      <c r="I514" s="39"/>
      <c r="J514" s="26"/>
      <c r="K514" s="26"/>
      <c r="L514" s="26"/>
      <c r="M514" s="26"/>
      <c r="N514" s="26"/>
      <c r="O514" s="26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6"/>
      <c r="D515" s="26"/>
      <c r="E515" s="26"/>
      <c r="F515" s="26"/>
      <c r="G515" s="26"/>
      <c r="H515" s="26"/>
      <c r="I515" s="39"/>
      <c r="J515" s="26"/>
      <c r="K515" s="26"/>
      <c r="L515" s="26"/>
      <c r="M515" s="26"/>
      <c r="N515" s="26"/>
      <c r="O515" s="26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6"/>
      <c r="D516" s="26"/>
      <c r="E516" s="26"/>
      <c r="F516" s="26"/>
      <c r="G516" s="26"/>
      <c r="H516" s="26"/>
      <c r="I516" s="39"/>
      <c r="J516" s="26"/>
      <c r="K516" s="26"/>
      <c r="L516" s="26"/>
      <c r="M516" s="26"/>
      <c r="N516" s="26"/>
      <c r="O516" s="26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6"/>
      <c r="D517" s="26"/>
      <c r="E517" s="26"/>
      <c r="F517" s="26"/>
      <c r="G517" s="26"/>
      <c r="H517" s="26"/>
      <c r="I517" s="39"/>
      <c r="J517" s="26"/>
      <c r="K517" s="26"/>
      <c r="L517" s="26"/>
      <c r="M517" s="26"/>
      <c r="N517" s="26"/>
      <c r="O517" s="26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6"/>
      <c r="D518" s="26"/>
      <c r="E518" s="26"/>
      <c r="F518" s="26"/>
      <c r="G518" s="26"/>
      <c r="H518" s="26"/>
      <c r="I518" s="39"/>
      <c r="J518" s="26"/>
      <c r="K518" s="26"/>
      <c r="L518" s="26"/>
      <c r="M518" s="26"/>
      <c r="N518" s="26"/>
      <c r="O518" s="26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6"/>
      <c r="D519" s="26"/>
      <c r="E519" s="26"/>
      <c r="F519" s="26"/>
      <c r="G519" s="26"/>
      <c r="H519" s="26"/>
      <c r="I519" s="39"/>
      <c r="J519" s="26"/>
      <c r="K519" s="26"/>
      <c r="L519" s="26"/>
      <c r="M519" s="26"/>
      <c r="N519" s="26"/>
      <c r="O519" s="26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6"/>
      <c r="D520" s="26"/>
      <c r="E520" s="26"/>
      <c r="F520" s="26"/>
      <c r="G520" s="26"/>
      <c r="H520" s="26"/>
      <c r="I520" s="39"/>
      <c r="J520" s="26"/>
      <c r="K520" s="26"/>
      <c r="L520" s="26"/>
      <c r="M520" s="26"/>
      <c r="N520" s="26"/>
      <c r="O520" s="26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6"/>
      <c r="D521" s="26"/>
      <c r="E521" s="26"/>
      <c r="F521" s="26"/>
      <c r="G521" s="26"/>
      <c r="H521" s="26"/>
      <c r="I521" s="39"/>
      <c r="J521" s="26"/>
      <c r="K521" s="26"/>
      <c r="L521" s="26"/>
      <c r="M521" s="26"/>
      <c r="N521" s="26"/>
      <c r="O521" s="26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6"/>
      <c r="D522" s="26"/>
      <c r="E522" s="26"/>
      <c r="F522" s="26"/>
      <c r="G522" s="26"/>
      <c r="H522" s="26"/>
      <c r="I522" s="39"/>
      <c r="J522" s="26"/>
      <c r="K522" s="26"/>
      <c r="L522" s="26"/>
      <c r="M522" s="26"/>
      <c r="N522" s="26"/>
      <c r="O522" s="26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6"/>
      <c r="D523" s="26"/>
      <c r="E523" s="26"/>
      <c r="F523" s="26"/>
      <c r="G523" s="26"/>
      <c r="H523" s="26"/>
      <c r="I523" s="39"/>
      <c r="J523" s="26"/>
      <c r="K523" s="26"/>
      <c r="L523" s="26"/>
      <c r="M523" s="26"/>
      <c r="N523" s="26"/>
      <c r="O523" s="26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6"/>
      <c r="D524" s="26"/>
      <c r="E524" s="26"/>
      <c r="F524" s="26"/>
      <c r="G524" s="26"/>
      <c r="H524" s="26"/>
      <c r="I524" s="39"/>
      <c r="J524" s="26"/>
      <c r="K524" s="26"/>
      <c r="L524" s="26"/>
      <c r="M524" s="26"/>
      <c r="N524" s="26"/>
      <c r="O524" s="26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6"/>
      <c r="D525" s="26"/>
      <c r="E525" s="26"/>
      <c r="F525" s="26"/>
      <c r="G525" s="26"/>
      <c r="H525" s="26"/>
      <c r="I525" s="39"/>
      <c r="J525" s="26"/>
      <c r="K525" s="26"/>
      <c r="L525" s="26"/>
      <c r="M525" s="26"/>
      <c r="N525" s="26"/>
      <c r="O525" s="26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6"/>
      <c r="D526" s="26"/>
      <c r="E526" s="26"/>
      <c r="F526" s="26"/>
      <c r="G526" s="26"/>
      <c r="H526" s="26"/>
      <c r="I526" s="39"/>
      <c r="J526" s="26"/>
      <c r="K526" s="26"/>
      <c r="L526" s="26"/>
      <c r="M526" s="26"/>
      <c r="N526" s="26"/>
      <c r="O526" s="26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6"/>
      <c r="D527" s="26"/>
      <c r="E527" s="26"/>
      <c r="F527" s="26"/>
      <c r="G527" s="26"/>
      <c r="H527" s="26"/>
      <c r="I527" s="39"/>
      <c r="J527" s="26"/>
      <c r="K527" s="26"/>
      <c r="L527" s="26"/>
      <c r="M527" s="26"/>
      <c r="N527" s="26"/>
      <c r="O527" s="26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6"/>
      <c r="D528" s="26"/>
      <c r="E528" s="26"/>
      <c r="F528" s="26"/>
      <c r="G528" s="26"/>
      <c r="H528" s="26"/>
      <c r="I528" s="39"/>
      <c r="J528" s="26"/>
      <c r="K528" s="26"/>
      <c r="L528" s="26"/>
      <c r="M528" s="26"/>
      <c r="N528" s="26"/>
      <c r="O528" s="26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6"/>
      <c r="D529" s="26"/>
      <c r="E529" s="26"/>
      <c r="F529" s="26"/>
      <c r="G529" s="26"/>
      <c r="H529" s="26"/>
      <c r="I529" s="39"/>
      <c r="J529" s="26"/>
      <c r="K529" s="26"/>
      <c r="L529" s="26"/>
      <c r="M529" s="26"/>
      <c r="N529" s="26"/>
      <c r="O529" s="26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6"/>
      <c r="D530" s="26"/>
      <c r="E530" s="26"/>
      <c r="F530" s="26"/>
      <c r="G530" s="26"/>
      <c r="H530" s="26"/>
      <c r="I530" s="39"/>
      <c r="J530" s="26"/>
      <c r="K530" s="26"/>
      <c r="L530" s="26"/>
      <c r="M530" s="26"/>
      <c r="N530" s="26"/>
      <c r="O530" s="26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6"/>
      <c r="D531" s="26"/>
      <c r="E531" s="26"/>
      <c r="F531" s="26"/>
      <c r="G531" s="26"/>
      <c r="H531" s="26"/>
      <c r="I531" s="39"/>
      <c r="J531" s="26"/>
      <c r="K531" s="26"/>
      <c r="L531" s="26"/>
      <c r="M531" s="26"/>
      <c r="N531" s="26"/>
      <c r="O531" s="26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6"/>
      <c r="D532" s="26"/>
      <c r="E532" s="26"/>
      <c r="F532" s="26"/>
      <c r="G532" s="26"/>
      <c r="H532" s="26"/>
      <c r="I532" s="39"/>
      <c r="J532" s="26"/>
      <c r="K532" s="26"/>
      <c r="L532" s="26"/>
      <c r="M532" s="26"/>
      <c r="N532" s="26"/>
      <c r="O532" s="26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6"/>
      <c r="D533" s="26"/>
      <c r="E533" s="26"/>
      <c r="F533" s="26"/>
      <c r="G533" s="26"/>
      <c r="H533" s="26"/>
      <c r="I533" s="39"/>
      <c r="J533" s="26"/>
      <c r="K533" s="26"/>
      <c r="L533" s="26"/>
      <c r="M533" s="26"/>
      <c r="N533" s="26"/>
      <c r="O533" s="26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6"/>
      <c r="D534" s="26"/>
      <c r="E534" s="26"/>
      <c r="F534" s="26"/>
      <c r="G534" s="26"/>
      <c r="H534" s="26"/>
      <c r="I534" s="39"/>
      <c r="J534" s="26"/>
      <c r="K534" s="26"/>
      <c r="L534" s="26"/>
      <c r="M534" s="26"/>
      <c r="N534" s="26"/>
      <c r="O534" s="26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6"/>
      <c r="D535" s="26"/>
      <c r="E535" s="26"/>
      <c r="F535" s="26"/>
      <c r="G535" s="26"/>
      <c r="H535" s="26"/>
      <c r="I535" s="39"/>
      <c r="J535" s="26"/>
      <c r="K535" s="26"/>
      <c r="L535" s="26"/>
      <c r="M535" s="26"/>
      <c r="N535" s="26"/>
      <c r="O535" s="26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6"/>
      <c r="D536" s="26"/>
      <c r="E536" s="26"/>
      <c r="F536" s="26"/>
      <c r="G536" s="26"/>
      <c r="H536" s="26"/>
      <c r="I536" s="39"/>
      <c r="J536" s="26"/>
      <c r="K536" s="26"/>
      <c r="L536" s="26"/>
      <c r="M536" s="26"/>
      <c r="N536" s="26"/>
      <c r="O536" s="26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6"/>
      <c r="D537" s="26"/>
      <c r="E537" s="26"/>
      <c r="F537" s="26"/>
      <c r="G537" s="26"/>
      <c r="H537" s="26"/>
      <c r="I537" s="39"/>
      <c r="J537" s="26"/>
      <c r="K537" s="26"/>
      <c r="L537" s="26"/>
      <c r="M537" s="26"/>
      <c r="N537" s="26"/>
      <c r="O537" s="26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6"/>
      <c r="D538" s="26"/>
      <c r="E538" s="26"/>
      <c r="F538" s="26"/>
      <c r="G538" s="26"/>
      <c r="H538" s="26"/>
      <c r="I538" s="39"/>
      <c r="J538" s="26"/>
      <c r="K538" s="26"/>
      <c r="L538" s="26"/>
      <c r="M538" s="26"/>
      <c r="N538" s="26"/>
      <c r="O538" s="26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6"/>
      <c r="D539" s="26"/>
      <c r="E539" s="26"/>
      <c r="F539" s="26"/>
      <c r="G539" s="26"/>
      <c r="H539" s="26"/>
      <c r="I539" s="39"/>
      <c r="J539" s="26"/>
      <c r="K539" s="26"/>
      <c r="L539" s="26"/>
      <c r="M539" s="26"/>
      <c r="N539" s="26"/>
      <c r="O539" s="26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6"/>
      <c r="D540" s="26"/>
      <c r="E540" s="26"/>
      <c r="F540" s="26"/>
      <c r="G540" s="26"/>
      <c r="H540" s="26"/>
      <c r="I540" s="39"/>
      <c r="J540" s="26"/>
      <c r="K540" s="26"/>
      <c r="L540" s="26"/>
      <c r="M540" s="26"/>
      <c r="N540" s="26"/>
      <c r="O540" s="26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6"/>
      <c r="D541" s="26"/>
      <c r="E541" s="26"/>
      <c r="F541" s="26"/>
      <c r="G541" s="26"/>
      <c r="H541" s="26"/>
      <c r="I541" s="39"/>
      <c r="J541" s="26"/>
      <c r="K541" s="26"/>
      <c r="L541" s="26"/>
      <c r="M541" s="26"/>
      <c r="N541" s="26"/>
      <c r="O541" s="26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6"/>
      <c r="D542" s="26"/>
      <c r="E542" s="26"/>
      <c r="F542" s="26"/>
      <c r="G542" s="26"/>
      <c r="H542" s="26"/>
      <c r="I542" s="39"/>
      <c r="J542" s="26"/>
      <c r="K542" s="26"/>
      <c r="L542" s="26"/>
      <c r="M542" s="26"/>
      <c r="N542" s="26"/>
      <c r="O542" s="26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6"/>
      <c r="D543" s="26"/>
      <c r="E543" s="26"/>
      <c r="F543" s="26"/>
      <c r="G543" s="26"/>
      <c r="H543" s="26"/>
      <c r="I543" s="39"/>
      <c r="J543" s="26"/>
      <c r="K543" s="26"/>
      <c r="L543" s="26"/>
      <c r="M543" s="26"/>
      <c r="N543" s="26"/>
      <c r="O543" s="26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6"/>
      <c r="D544" s="26"/>
      <c r="E544" s="26"/>
      <c r="F544" s="26"/>
      <c r="G544" s="26"/>
      <c r="H544" s="26"/>
      <c r="I544" s="39"/>
      <c r="J544" s="26"/>
      <c r="K544" s="26"/>
      <c r="L544" s="26"/>
      <c r="M544" s="26"/>
      <c r="N544" s="26"/>
      <c r="O544" s="26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6"/>
      <c r="D545" s="26"/>
      <c r="E545" s="26"/>
      <c r="F545" s="26"/>
      <c r="G545" s="26"/>
      <c r="H545" s="26"/>
      <c r="I545" s="39"/>
      <c r="J545" s="26"/>
      <c r="K545" s="26"/>
      <c r="L545" s="26"/>
      <c r="M545" s="26"/>
      <c r="N545" s="26"/>
      <c r="O545" s="26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6"/>
      <c r="D546" s="26"/>
      <c r="E546" s="26"/>
      <c r="F546" s="26"/>
      <c r="G546" s="26"/>
      <c r="H546" s="26"/>
      <c r="I546" s="39"/>
      <c r="J546" s="26"/>
      <c r="K546" s="26"/>
      <c r="L546" s="26"/>
      <c r="M546" s="26"/>
      <c r="N546" s="26"/>
      <c r="O546" s="26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6"/>
      <c r="D547" s="26"/>
      <c r="E547" s="26"/>
      <c r="F547" s="26"/>
      <c r="G547" s="26"/>
      <c r="H547" s="26"/>
      <c r="I547" s="39"/>
      <c r="J547" s="26"/>
      <c r="K547" s="26"/>
      <c r="L547" s="26"/>
      <c r="M547" s="26"/>
      <c r="N547" s="26"/>
      <c r="O547" s="26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6"/>
      <c r="D548" s="26"/>
      <c r="E548" s="26"/>
      <c r="F548" s="26"/>
      <c r="G548" s="26"/>
      <c r="H548" s="26"/>
      <c r="I548" s="39"/>
      <c r="J548" s="26"/>
      <c r="K548" s="26"/>
      <c r="L548" s="26"/>
      <c r="M548" s="26"/>
      <c r="N548" s="26"/>
      <c r="O548" s="26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6"/>
      <c r="D549" s="26"/>
      <c r="E549" s="26"/>
      <c r="F549" s="26"/>
      <c r="G549" s="26"/>
      <c r="H549" s="26"/>
      <c r="I549" s="39"/>
      <c r="J549" s="26"/>
      <c r="K549" s="26"/>
      <c r="L549" s="26"/>
      <c r="M549" s="26"/>
      <c r="N549" s="26"/>
      <c r="O549" s="26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6"/>
      <c r="D550" s="26"/>
      <c r="E550" s="26"/>
      <c r="F550" s="26"/>
      <c r="G550" s="26"/>
      <c r="H550" s="26"/>
      <c r="I550" s="39"/>
      <c r="J550" s="26"/>
      <c r="K550" s="26"/>
      <c r="L550" s="26"/>
      <c r="M550" s="26"/>
      <c r="N550" s="26"/>
      <c r="O550" s="26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6"/>
      <c r="D551" s="26"/>
      <c r="E551" s="26"/>
      <c r="F551" s="26"/>
      <c r="G551" s="26"/>
      <c r="H551" s="26"/>
      <c r="I551" s="39"/>
      <c r="J551" s="26"/>
      <c r="K551" s="26"/>
      <c r="L551" s="26"/>
      <c r="M551" s="26"/>
      <c r="N551" s="26"/>
      <c r="O551" s="26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6"/>
      <c r="D552" s="26"/>
      <c r="E552" s="26"/>
      <c r="F552" s="26"/>
      <c r="G552" s="26"/>
      <c r="H552" s="26"/>
      <c r="I552" s="39"/>
      <c r="J552" s="26"/>
      <c r="K552" s="26"/>
      <c r="L552" s="26"/>
      <c r="M552" s="26"/>
      <c r="N552" s="26"/>
      <c r="O552" s="26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6"/>
      <c r="D553" s="26"/>
      <c r="E553" s="26"/>
      <c r="F553" s="26"/>
      <c r="G553" s="26"/>
      <c r="H553" s="26"/>
      <c r="I553" s="39"/>
      <c r="J553" s="26"/>
      <c r="K553" s="26"/>
      <c r="L553" s="26"/>
      <c r="M553" s="26"/>
      <c r="N553" s="26"/>
      <c r="O553" s="26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6"/>
      <c r="D554" s="26"/>
      <c r="E554" s="26"/>
      <c r="F554" s="26"/>
      <c r="G554" s="26"/>
      <c r="H554" s="26"/>
      <c r="I554" s="39"/>
      <c r="J554" s="26"/>
      <c r="K554" s="26"/>
      <c r="L554" s="26"/>
      <c r="M554" s="26"/>
      <c r="N554" s="26"/>
      <c r="O554" s="26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6"/>
      <c r="D555" s="26"/>
      <c r="E555" s="26"/>
      <c r="F555" s="26"/>
      <c r="G555" s="26"/>
      <c r="H555" s="26"/>
      <c r="I555" s="39"/>
      <c r="J555" s="26"/>
      <c r="K555" s="26"/>
      <c r="L555" s="26"/>
      <c r="M555" s="26"/>
      <c r="N555" s="26"/>
      <c r="O555" s="26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6"/>
      <c r="D556" s="26"/>
      <c r="E556" s="26"/>
      <c r="F556" s="26"/>
      <c r="G556" s="26"/>
      <c r="H556" s="26"/>
      <c r="I556" s="39"/>
      <c r="J556" s="26"/>
      <c r="K556" s="26"/>
      <c r="L556" s="26"/>
      <c r="M556" s="26"/>
      <c r="N556" s="26"/>
      <c r="O556" s="26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6"/>
      <c r="D557" s="26"/>
      <c r="E557" s="26"/>
      <c r="F557" s="26"/>
      <c r="G557" s="26"/>
      <c r="H557" s="26"/>
      <c r="I557" s="39"/>
      <c r="J557" s="26"/>
      <c r="K557" s="26"/>
      <c r="L557" s="26"/>
      <c r="M557" s="26"/>
      <c r="N557" s="26"/>
      <c r="O557" s="26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6"/>
      <c r="D558" s="26"/>
      <c r="E558" s="26"/>
      <c r="F558" s="26"/>
      <c r="G558" s="26"/>
      <c r="H558" s="26"/>
      <c r="I558" s="39"/>
      <c r="J558" s="26"/>
      <c r="K558" s="26"/>
      <c r="L558" s="26"/>
      <c r="M558" s="26"/>
      <c r="N558" s="26"/>
      <c r="O558" s="26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6"/>
      <c r="D559" s="26"/>
      <c r="E559" s="26"/>
      <c r="F559" s="26"/>
      <c r="G559" s="26"/>
      <c r="H559" s="26"/>
      <c r="I559" s="39"/>
      <c r="J559" s="26"/>
      <c r="K559" s="26"/>
      <c r="L559" s="26"/>
      <c r="M559" s="26"/>
      <c r="N559" s="26"/>
      <c r="O559" s="26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6"/>
      <c r="D560" s="26"/>
      <c r="E560" s="26"/>
      <c r="F560" s="26"/>
      <c r="G560" s="26"/>
      <c r="H560" s="26"/>
      <c r="I560" s="39"/>
      <c r="J560" s="26"/>
      <c r="K560" s="26"/>
      <c r="L560" s="26"/>
      <c r="M560" s="26"/>
      <c r="N560" s="26"/>
      <c r="O560" s="26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6"/>
      <c r="D561" s="26"/>
      <c r="E561" s="26"/>
      <c r="F561" s="26"/>
      <c r="G561" s="26"/>
      <c r="H561" s="26"/>
      <c r="I561" s="39"/>
      <c r="J561" s="26"/>
      <c r="K561" s="26"/>
      <c r="L561" s="26"/>
      <c r="M561" s="26"/>
      <c r="N561" s="26"/>
      <c r="O561" s="26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6"/>
      <c r="D562" s="26"/>
      <c r="E562" s="26"/>
      <c r="F562" s="26"/>
      <c r="G562" s="26"/>
      <c r="H562" s="26"/>
      <c r="I562" s="39"/>
      <c r="J562" s="26"/>
      <c r="K562" s="26"/>
      <c r="L562" s="26"/>
      <c r="M562" s="26"/>
      <c r="N562" s="26"/>
      <c r="O562" s="26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6"/>
      <c r="D563" s="26"/>
      <c r="E563" s="26"/>
      <c r="F563" s="26"/>
      <c r="G563" s="26"/>
      <c r="H563" s="26"/>
      <c r="I563" s="39"/>
      <c r="J563" s="26"/>
      <c r="K563" s="26"/>
      <c r="L563" s="26"/>
      <c r="M563" s="26"/>
      <c r="N563" s="26"/>
      <c r="O563" s="26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6"/>
      <c r="D564" s="26"/>
      <c r="E564" s="26"/>
      <c r="F564" s="26"/>
      <c r="G564" s="26"/>
      <c r="H564" s="26"/>
      <c r="I564" s="39"/>
      <c r="J564" s="26"/>
      <c r="K564" s="26"/>
      <c r="L564" s="26"/>
      <c r="M564" s="26"/>
      <c r="N564" s="26"/>
      <c r="O564" s="26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6"/>
      <c r="D565" s="26"/>
      <c r="E565" s="26"/>
      <c r="F565" s="26"/>
      <c r="G565" s="26"/>
      <c r="H565" s="26"/>
      <c r="I565" s="39"/>
      <c r="J565" s="26"/>
      <c r="K565" s="26"/>
      <c r="L565" s="26"/>
      <c r="M565" s="26"/>
      <c r="N565" s="26"/>
      <c r="O565" s="26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6"/>
      <c r="D566" s="26"/>
      <c r="E566" s="26"/>
      <c r="F566" s="26"/>
      <c r="G566" s="26"/>
      <c r="H566" s="26"/>
      <c r="I566" s="39"/>
      <c r="J566" s="26"/>
      <c r="K566" s="26"/>
      <c r="L566" s="26"/>
      <c r="M566" s="26"/>
      <c r="N566" s="26"/>
      <c r="O566" s="26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6"/>
      <c r="D567" s="26"/>
      <c r="E567" s="26"/>
      <c r="F567" s="26"/>
      <c r="G567" s="26"/>
      <c r="H567" s="26"/>
      <c r="I567" s="39"/>
      <c r="J567" s="26"/>
      <c r="K567" s="26"/>
      <c r="L567" s="26"/>
      <c r="M567" s="26"/>
      <c r="N567" s="26"/>
      <c r="O567" s="26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6"/>
      <c r="D568" s="26"/>
      <c r="E568" s="26"/>
      <c r="F568" s="26"/>
      <c r="G568" s="26"/>
      <c r="H568" s="26"/>
      <c r="I568" s="39"/>
      <c r="J568" s="26"/>
      <c r="K568" s="26"/>
      <c r="L568" s="26"/>
      <c r="M568" s="26"/>
      <c r="N568" s="26"/>
      <c r="O568" s="26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6"/>
      <c r="D569" s="26"/>
      <c r="E569" s="26"/>
      <c r="F569" s="26"/>
      <c r="G569" s="26"/>
      <c r="H569" s="26"/>
      <c r="I569" s="39"/>
      <c r="J569" s="26"/>
      <c r="K569" s="26"/>
      <c r="L569" s="26"/>
      <c r="M569" s="26"/>
      <c r="N569" s="26"/>
      <c r="O569" s="26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6"/>
      <c r="D570" s="26"/>
      <c r="E570" s="26"/>
      <c r="F570" s="26"/>
      <c r="G570" s="26"/>
      <c r="H570" s="26"/>
      <c r="I570" s="39"/>
      <c r="J570" s="26"/>
      <c r="K570" s="26"/>
      <c r="L570" s="26"/>
      <c r="M570" s="26"/>
      <c r="N570" s="26"/>
      <c r="O570" s="26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6"/>
      <c r="D571" s="26"/>
      <c r="E571" s="26"/>
      <c r="F571" s="26"/>
      <c r="G571" s="26"/>
      <c r="H571" s="26"/>
      <c r="I571" s="39"/>
      <c r="J571" s="26"/>
      <c r="K571" s="26"/>
      <c r="L571" s="26"/>
      <c r="M571" s="26"/>
      <c r="N571" s="26"/>
      <c r="O571" s="26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6"/>
      <c r="D572" s="26"/>
      <c r="E572" s="26"/>
      <c r="F572" s="26"/>
      <c r="G572" s="26"/>
      <c r="H572" s="26"/>
      <c r="I572" s="39"/>
      <c r="J572" s="26"/>
      <c r="K572" s="26"/>
      <c r="L572" s="26"/>
      <c r="M572" s="26"/>
      <c r="N572" s="26"/>
      <c r="O572" s="26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6"/>
      <c r="D573" s="26"/>
      <c r="E573" s="26"/>
      <c r="F573" s="26"/>
      <c r="G573" s="26"/>
      <c r="H573" s="26"/>
      <c r="I573" s="39"/>
      <c r="J573" s="26"/>
      <c r="K573" s="26"/>
      <c r="L573" s="26"/>
      <c r="M573" s="26"/>
      <c r="N573" s="26"/>
      <c r="O573" s="26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6"/>
      <c r="D574" s="26"/>
      <c r="E574" s="26"/>
      <c r="F574" s="26"/>
      <c r="G574" s="26"/>
      <c r="H574" s="26"/>
      <c r="I574" s="39"/>
      <c r="J574" s="26"/>
      <c r="K574" s="26"/>
      <c r="L574" s="26"/>
      <c r="M574" s="26"/>
      <c r="N574" s="26"/>
      <c r="O574" s="26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6"/>
      <c r="D575" s="26"/>
      <c r="E575" s="26"/>
      <c r="F575" s="26"/>
      <c r="G575" s="26"/>
      <c r="H575" s="26"/>
      <c r="I575" s="39"/>
      <c r="J575" s="26"/>
      <c r="K575" s="26"/>
      <c r="L575" s="26"/>
      <c r="M575" s="26"/>
      <c r="N575" s="26"/>
      <c r="O575" s="26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6"/>
      <c r="D576" s="26"/>
      <c r="E576" s="26"/>
      <c r="F576" s="26"/>
      <c r="G576" s="26"/>
      <c r="H576" s="26"/>
      <c r="I576" s="39"/>
      <c r="J576" s="26"/>
      <c r="K576" s="26"/>
      <c r="L576" s="26"/>
      <c r="M576" s="26"/>
      <c r="N576" s="26"/>
      <c r="O576" s="26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6"/>
      <c r="D577" s="26"/>
      <c r="E577" s="26"/>
      <c r="F577" s="26"/>
      <c r="G577" s="26"/>
      <c r="H577" s="26"/>
      <c r="I577" s="39"/>
      <c r="J577" s="26"/>
      <c r="K577" s="26"/>
      <c r="L577" s="26"/>
      <c r="M577" s="26"/>
      <c r="N577" s="26"/>
      <c r="O577" s="26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6"/>
      <c r="D578" s="26"/>
      <c r="E578" s="26"/>
      <c r="F578" s="26"/>
      <c r="G578" s="26"/>
      <c r="H578" s="26"/>
      <c r="I578" s="39"/>
      <c r="J578" s="26"/>
      <c r="K578" s="26"/>
      <c r="L578" s="26"/>
      <c r="M578" s="26"/>
      <c r="N578" s="26"/>
      <c r="O578" s="26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6"/>
      <c r="D579" s="26"/>
      <c r="E579" s="26"/>
      <c r="F579" s="26"/>
      <c r="G579" s="26"/>
      <c r="H579" s="26"/>
      <c r="I579" s="39"/>
      <c r="J579" s="26"/>
      <c r="K579" s="26"/>
      <c r="L579" s="26"/>
      <c r="M579" s="26"/>
      <c r="N579" s="26"/>
      <c r="O579" s="26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6"/>
      <c r="D580" s="26"/>
      <c r="E580" s="26"/>
      <c r="F580" s="26"/>
      <c r="G580" s="26"/>
      <c r="H580" s="26"/>
      <c r="I580" s="39"/>
      <c r="J580" s="26"/>
      <c r="K580" s="26"/>
      <c r="L580" s="26"/>
      <c r="M580" s="26"/>
      <c r="N580" s="26"/>
      <c r="O580" s="26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6"/>
      <c r="D581" s="26"/>
      <c r="E581" s="26"/>
      <c r="F581" s="26"/>
      <c r="G581" s="26"/>
      <c r="H581" s="26"/>
      <c r="I581" s="39"/>
      <c r="J581" s="26"/>
      <c r="K581" s="26"/>
      <c r="L581" s="26"/>
      <c r="M581" s="26"/>
      <c r="N581" s="26"/>
      <c r="O581" s="26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6"/>
      <c r="D582" s="26"/>
      <c r="E582" s="26"/>
      <c r="F582" s="26"/>
      <c r="G582" s="26"/>
      <c r="H582" s="26"/>
      <c r="I582" s="39"/>
      <c r="J582" s="26"/>
      <c r="K582" s="26"/>
      <c r="L582" s="26"/>
      <c r="M582" s="26"/>
      <c r="N582" s="26"/>
      <c r="O582" s="26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6"/>
      <c r="D583" s="26"/>
      <c r="E583" s="26"/>
      <c r="F583" s="26"/>
      <c r="G583" s="26"/>
      <c r="H583" s="26"/>
      <c r="I583" s="39"/>
      <c r="J583" s="26"/>
      <c r="K583" s="26"/>
      <c r="L583" s="26"/>
      <c r="M583" s="26"/>
      <c r="N583" s="26"/>
      <c r="O583" s="26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6"/>
      <c r="D584" s="26"/>
      <c r="E584" s="26"/>
      <c r="F584" s="26"/>
      <c r="G584" s="26"/>
      <c r="H584" s="26"/>
      <c r="I584" s="39"/>
      <c r="J584" s="26"/>
      <c r="K584" s="26"/>
      <c r="L584" s="26"/>
      <c r="M584" s="26"/>
      <c r="N584" s="26"/>
      <c r="O584" s="26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6"/>
      <c r="D585" s="26"/>
      <c r="E585" s="26"/>
      <c r="F585" s="26"/>
      <c r="G585" s="26"/>
      <c r="H585" s="26"/>
      <c r="I585" s="39"/>
      <c r="J585" s="26"/>
      <c r="K585" s="26"/>
      <c r="L585" s="26"/>
      <c r="M585" s="26"/>
      <c r="N585" s="26"/>
      <c r="O585" s="26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6"/>
      <c r="D586" s="26"/>
      <c r="E586" s="26"/>
      <c r="F586" s="26"/>
      <c r="G586" s="26"/>
      <c r="H586" s="26"/>
      <c r="I586" s="39"/>
      <c r="J586" s="26"/>
      <c r="K586" s="26"/>
      <c r="L586" s="26"/>
      <c r="M586" s="26"/>
      <c r="N586" s="26"/>
      <c r="O586" s="26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6"/>
      <c r="D587" s="26"/>
      <c r="E587" s="26"/>
      <c r="F587" s="26"/>
      <c r="G587" s="26"/>
      <c r="H587" s="26"/>
      <c r="I587" s="39"/>
      <c r="J587" s="26"/>
      <c r="K587" s="26"/>
      <c r="L587" s="26"/>
      <c r="M587" s="26"/>
      <c r="N587" s="26"/>
      <c r="O587" s="26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6"/>
      <c r="D588" s="26"/>
      <c r="E588" s="26"/>
      <c r="F588" s="26"/>
      <c r="G588" s="26"/>
      <c r="H588" s="26"/>
      <c r="I588" s="39"/>
      <c r="J588" s="26"/>
      <c r="K588" s="26"/>
      <c r="L588" s="26"/>
      <c r="M588" s="26"/>
      <c r="N588" s="26"/>
      <c r="O588" s="26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6"/>
      <c r="D589" s="26"/>
      <c r="E589" s="26"/>
      <c r="F589" s="26"/>
      <c r="G589" s="26"/>
      <c r="H589" s="26"/>
      <c r="I589" s="39"/>
      <c r="J589" s="26"/>
      <c r="K589" s="26"/>
      <c r="L589" s="26"/>
      <c r="M589" s="26"/>
      <c r="N589" s="26"/>
      <c r="O589" s="26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6"/>
      <c r="D590" s="26"/>
      <c r="E590" s="26"/>
      <c r="F590" s="26"/>
      <c r="G590" s="26"/>
      <c r="H590" s="26"/>
      <c r="I590" s="39"/>
      <c r="J590" s="26"/>
      <c r="K590" s="26"/>
      <c r="L590" s="26"/>
      <c r="M590" s="26"/>
      <c r="N590" s="26"/>
      <c r="O590" s="26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6"/>
      <c r="D591" s="26"/>
      <c r="E591" s="26"/>
      <c r="F591" s="26"/>
      <c r="G591" s="26"/>
      <c r="H591" s="26"/>
      <c r="I591" s="39"/>
      <c r="J591" s="26"/>
      <c r="K591" s="26"/>
      <c r="L591" s="26"/>
      <c r="M591" s="26"/>
      <c r="N591" s="26"/>
      <c r="O591" s="26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6"/>
      <c r="D592" s="26"/>
      <c r="E592" s="26"/>
      <c r="F592" s="26"/>
      <c r="G592" s="26"/>
      <c r="H592" s="26"/>
      <c r="I592" s="39"/>
      <c r="J592" s="26"/>
      <c r="K592" s="26"/>
      <c r="L592" s="26"/>
      <c r="M592" s="26"/>
      <c r="N592" s="26"/>
      <c r="O592" s="26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6"/>
      <c r="D593" s="26"/>
      <c r="E593" s="26"/>
      <c r="F593" s="26"/>
      <c r="G593" s="26"/>
      <c r="H593" s="26"/>
      <c r="I593" s="39"/>
      <c r="J593" s="26"/>
      <c r="K593" s="26"/>
      <c r="L593" s="26"/>
      <c r="M593" s="26"/>
      <c r="N593" s="26"/>
      <c r="O593" s="26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6"/>
      <c r="D594" s="26"/>
      <c r="E594" s="26"/>
      <c r="F594" s="26"/>
      <c r="G594" s="26"/>
      <c r="H594" s="26"/>
      <c r="I594" s="39"/>
      <c r="J594" s="26"/>
      <c r="K594" s="26"/>
      <c r="L594" s="26"/>
      <c r="M594" s="26"/>
      <c r="N594" s="26"/>
      <c r="O594" s="26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6"/>
      <c r="D595" s="26"/>
      <c r="E595" s="26"/>
      <c r="F595" s="26"/>
      <c r="G595" s="26"/>
      <c r="H595" s="26"/>
      <c r="I595" s="39"/>
      <c r="J595" s="26"/>
      <c r="K595" s="26"/>
      <c r="L595" s="26"/>
      <c r="M595" s="26"/>
      <c r="N595" s="26"/>
      <c r="O595" s="26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6"/>
      <c r="D596" s="26"/>
      <c r="E596" s="26"/>
      <c r="F596" s="26"/>
      <c r="G596" s="26"/>
      <c r="H596" s="26"/>
      <c r="I596" s="39"/>
      <c r="J596" s="26"/>
      <c r="K596" s="26"/>
      <c r="L596" s="26"/>
      <c r="M596" s="26"/>
      <c r="N596" s="26"/>
      <c r="O596" s="26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6"/>
      <c r="D597" s="26"/>
      <c r="E597" s="26"/>
      <c r="F597" s="26"/>
      <c r="G597" s="26"/>
      <c r="H597" s="26"/>
      <c r="I597" s="39"/>
      <c r="J597" s="26"/>
      <c r="K597" s="26"/>
      <c r="L597" s="26"/>
      <c r="M597" s="26"/>
      <c r="N597" s="26"/>
      <c r="O597" s="26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6"/>
      <c r="D598" s="26"/>
      <c r="E598" s="26"/>
      <c r="F598" s="26"/>
      <c r="G598" s="26"/>
      <c r="H598" s="26"/>
      <c r="I598" s="39"/>
      <c r="J598" s="26"/>
      <c r="K598" s="26"/>
      <c r="L598" s="26"/>
      <c r="M598" s="26"/>
      <c r="N598" s="26"/>
      <c r="O598" s="26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6"/>
      <c r="D599" s="26"/>
      <c r="E599" s="26"/>
      <c r="F599" s="26"/>
      <c r="G599" s="26"/>
      <c r="H599" s="26"/>
      <c r="I599" s="39"/>
      <c r="J599" s="26"/>
      <c r="K599" s="26"/>
      <c r="L599" s="26"/>
      <c r="M599" s="26"/>
      <c r="N599" s="26"/>
      <c r="O599" s="26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6"/>
      <c r="D600" s="26"/>
      <c r="E600" s="26"/>
      <c r="F600" s="26"/>
      <c r="G600" s="26"/>
      <c r="H600" s="26"/>
      <c r="I600" s="39"/>
      <c r="J600" s="26"/>
      <c r="K600" s="26"/>
      <c r="L600" s="26"/>
      <c r="M600" s="26"/>
      <c r="N600" s="26"/>
      <c r="O600" s="26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6"/>
      <c r="D601" s="26"/>
      <c r="E601" s="26"/>
      <c r="F601" s="26"/>
      <c r="G601" s="26"/>
      <c r="H601" s="26"/>
      <c r="I601" s="39"/>
      <c r="J601" s="26"/>
      <c r="K601" s="26"/>
      <c r="L601" s="26"/>
      <c r="M601" s="26"/>
      <c r="N601" s="26"/>
      <c r="O601" s="26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6"/>
      <c r="D602" s="26"/>
      <c r="E602" s="26"/>
      <c r="F602" s="26"/>
      <c r="G602" s="26"/>
      <c r="H602" s="26"/>
      <c r="I602" s="39"/>
      <c r="J602" s="26"/>
      <c r="K602" s="26"/>
      <c r="L602" s="26"/>
      <c r="M602" s="26"/>
      <c r="N602" s="26"/>
      <c r="O602" s="26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6"/>
      <c r="D603" s="26"/>
      <c r="E603" s="26"/>
      <c r="F603" s="26"/>
      <c r="G603" s="26"/>
      <c r="H603" s="26"/>
      <c r="I603" s="39"/>
      <c r="J603" s="26"/>
      <c r="K603" s="26"/>
      <c r="L603" s="26"/>
      <c r="M603" s="26"/>
      <c r="N603" s="26"/>
      <c r="O603" s="26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6"/>
      <c r="D604" s="26"/>
      <c r="E604" s="26"/>
      <c r="F604" s="26"/>
      <c r="G604" s="26"/>
      <c r="H604" s="26"/>
      <c r="I604" s="39"/>
      <c r="J604" s="26"/>
      <c r="K604" s="26"/>
      <c r="L604" s="26"/>
      <c r="M604" s="26"/>
      <c r="N604" s="26"/>
      <c r="O604" s="26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6"/>
      <c r="D605" s="26"/>
      <c r="E605" s="26"/>
      <c r="F605" s="26"/>
      <c r="G605" s="26"/>
      <c r="H605" s="26"/>
      <c r="I605" s="39"/>
      <c r="J605" s="26"/>
      <c r="K605" s="26"/>
      <c r="L605" s="26"/>
      <c r="M605" s="26"/>
      <c r="N605" s="26"/>
      <c r="O605" s="26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6"/>
      <c r="D606" s="26"/>
      <c r="E606" s="26"/>
      <c r="F606" s="26"/>
      <c r="G606" s="26"/>
      <c r="H606" s="26"/>
      <c r="I606" s="39"/>
      <c r="J606" s="26"/>
      <c r="K606" s="26"/>
      <c r="L606" s="26"/>
      <c r="M606" s="26"/>
      <c r="N606" s="26"/>
      <c r="O606" s="26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6"/>
      <c r="D607" s="26"/>
      <c r="E607" s="26"/>
      <c r="F607" s="26"/>
      <c r="G607" s="26"/>
      <c r="H607" s="26"/>
      <c r="I607" s="39"/>
      <c r="J607" s="26"/>
      <c r="K607" s="26"/>
      <c r="L607" s="26"/>
      <c r="M607" s="26"/>
      <c r="N607" s="26"/>
      <c r="O607" s="26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6"/>
      <c r="D608" s="26"/>
      <c r="E608" s="26"/>
      <c r="F608" s="26"/>
      <c r="G608" s="26"/>
      <c r="H608" s="26"/>
      <c r="I608" s="39"/>
      <c r="J608" s="26"/>
      <c r="K608" s="26"/>
      <c r="L608" s="26"/>
      <c r="M608" s="26"/>
      <c r="N608" s="26"/>
      <c r="O608" s="26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6"/>
      <c r="D609" s="26"/>
      <c r="E609" s="26"/>
      <c r="F609" s="26"/>
      <c r="G609" s="26"/>
      <c r="H609" s="26"/>
      <c r="I609" s="39"/>
      <c r="J609" s="26"/>
      <c r="K609" s="26"/>
      <c r="L609" s="26"/>
      <c r="M609" s="26"/>
      <c r="N609" s="26"/>
      <c r="O609" s="26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6"/>
      <c r="D610" s="26"/>
      <c r="E610" s="26"/>
      <c r="F610" s="26"/>
      <c r="G610" s="26"/>
      <c r="H610" s="26"/>
      <c r="I610" s="39"/>
      <c r="J610" s="26"/>
      <c r="K610" s="26"/>
      <c r="L610" s="26"/>
      <c r="M610" s="26"/>
      <c r="N610" s="26"/>
      <c r="O610" s="26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6"/>
      <c r="D611" s="26"/>
      <c r="E611" s="26"/>
      <c r="F611" s="26"/>
      <c r="G611" s="26"/>
      <c r="H611" s="26"/>
      <c r="I611" s="39"/>
      <c r="J611" s="26"/>
      <c r="K611" s="26"/>
      <c r="L611" s="26"/>
      <c r="M611" s="26"/>
      <c r="N611" s="26"/>
      <c r="O611" s="26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6"/>
      <c r="D612" s="26"/>
      <c r="E612" s="26"/>
      <c r="F612" s="26"/>
      <c r="G612" s="26"/>
      <c r="H612" s="26"/>
      <c r="I612" s="39"/>
      <c r="J612" s="26"/>
      <c r="K612" s="26"/>
      <c r="L612" s="26"/>
      <c r="M612" s="26"/>
      <c r="N612" s="26"/>
      <c r="O612" s="26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6"/>
      <c r="D613" s="26"/>
      <c r="E613" s="26"/>
      <c r="F613" s="26"/>
      <c r="G613" s="26"/>
      <c r="H613" s="26"/>
      <c r="I613" s="39"/>
      <c r="J613" s="26"/>
      <c r="K613" s="26"/>
      <c r="L613" s="26"/>
      <c r="M613" s="26"/>
      <c r="N613" s="26"/>
      <c r="O613" s="26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6"/>
      <c r="D614" s="26"/>
      <c r="E614" s="26"/>
      <c r="F614" s="26"/>
      <c r="G614" s="26"/>
      <c r="H614" s="26"/>
      <c r="I614" s="39"/>
      <c r="J614" s="26"/>
      <c r="K614" s="26"/>
      <c r="L614" s="26"/>
      <c r="M614" s="26"/>
      <c r="N614" s="26"/>
      <c r="O614" s="26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6"/>
      <c r="D615" s="26"/>
      <c r="E615" s="26"/>
      <c r="F615" s="26"/>
      <c r="G615" s="26"/>
      <c r="H615" s="26"/>
      <c r="I615" s="39"/>
      <c r="J615" s="26"/>
      <c r="K615" s="26"/>
      <c r="L615" s="26"/>
      <c r="M615" s="26"/>
      <c r="N615" s="26"/>
      <c r="O615" s="26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6"/>
      <c r="D616" s="26"/>
      <c r="E616" s="26"/>
      <c r="F616" s="26"/>
      <c r="G616" s="26"/>
      <c r="H616" s="26"/>
      <c r="I616" s="39"/>
      <c r="J616" s="26"/>
      <c r="K616" s="26"/>
      <c r="L616" s="26"/>
      <c r="M616" s="26"/>
      <c r="N616" s="26"/>
      <c r="O616" s="26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6"/>
      <c r="D617" s="26"/>
      <c r="E617" s="26"/>
      <c r="F617" s="26"/>
      <c r="G617" s="26"/>
      <c r="H617" s="26"/>
      <c r="I617" s="39"/>
      <c r="J617" s="26"/>
      <c r="K617" s="26"/>
      <c r="L617" s="26"/>
      <c r="M617" s="26"/>
      <c r="N617" s="26"/>
      <c r="O617" s="26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6"/>
      <c r="D618" s="26"/>
      <c r="E618" s="26"/>
      <c r="F618" s="26"/>
      <c r="G618" s="26"/>
      <c r="H618" s="26"/>
      <c r="I618" s="39"/>
      <c r="J618" s="26"/>
      <c r="K618" s="26"/>
      <c r="L618" s="26"/>
      <c r="M618" s="26"/>
      <c r="N618" s="26"/>
      <c r="O618" s="26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6"/>
      <c r="D619" s="26"/>
      <c r="E619" s="26"/>
      <c r="F619" s="26"/>
      <c r="G619" s="26"/>
      <c r="H619" s="26"/>
      <c r="I619" s="39"/>
      <c r="J619" s="26"/>
      <c r="K619" s="26"/>
      <c r="L619" s="26"/>
      <c r="M619" s="26"/>
      <c r="N619" s="26"/>
      <c r="O619" s="26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6"/>
      <c r="D620" s="26"/>
      <c r="E620" s="26"/>
      <c r="F620" s="26"/>
      <c r="G620" s="26"/>
      <c r="H620" s="26"/>
      <c r="I620" s="39"/>
      <c r="J620" s="26"/>
      <c r="K620" s="26"/>
      <c r="L620" s="26"/>
      <c r="M620" s="26"/>
      <c r="N620" s="26"/>
      <c r="O620" s="26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6"/>
      <c r="D621" s="26"/>
      <c r="E621" s="26"/>
      <c r="F621" s="26"/>
      <c r="G621" s="26"/>
      <c r="H621" s="26"/>
      <c r="I621" s="39"/>
      <c r="J621" s="26"/>
      <c r="K621" s="26"/>
      <c r="L621" s="26"/>
      <c r="M621" s="26"/>
      <c r="N621" s="26"/>
      <c r="O621" s="26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6"/>
      <c r="D622" s="26"/>
      <c r="E622" s="26"/>
      <c r="F622" s="26"/>
      <c r="G622" s="26"/>
      <c r="H622" s="26"/>
      <c r="I622" s="39"/>
      <c r="J622" s="26"/>
      <c r="K622" s="26"/>
      <c r="L622" s="26"/>
      <c r="M622" s="26"/>
      <c r="N622" s="26"/>
      <c r="O622" s="26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6"/>
      <c r="D623" s="26"/>
      <c r="E623" s="26"/>
      <c r="F623" s="26"/>
      <c r="G623" s="26"/>
      <c r="H623" s="26"/>
      <c r="I623" s="39"/>
      <c r="J623" s="26"/>
      <c r="K623" s="26"/>
      <c r="L623" s="26"/>
      <c r="M623" s="26"/>
      <c r="N623" s="26"/>
      <c r="O623" s="26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6"/>
      <c r="D624" s="26"/>
      <c r="E624" s="26"/>
      <c r="F624" s="26"/>
      <c r="G624" s="26"/>
      <c r="H624" s="26"/>
      <c r="I624" s="39"/>
      <c r="J624" s="26"/>
      <c r="K624" s="26"/>
      <c r="L624" s="26"/>
      <c r="M624" s="26"/>
      <c r="N624" s="26"/>
      <c r="O624" s="26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6"/>
      <c r="D625" s="26"/>
      <c r="E625" s="26"/>
      <c r="F625" s="26"/>
      <c r="G625" s="26"/>
      <c r="H625" s="26"/>
      <c r="I625" s="39"/>
      <c r="J625" s="26"/>
      <c r="K625" s="26"/>
      <c r="L625" s="26"/>
      <c r="M625" s="26"/>
      <c r="N625" s="26"/>
      <c r="O625" s="26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6"/>
      <c r="D626" s="26"/>
      <c r="E626" s="26"/>
      <c r="F626" s="26"/>
      <c r="G626" s="26"/>
      <c r="H626" s="26"/>
      <c r="I626" s="39"/>
      <c r="J626" s="26"/>
      <c r="K626" s="26"/>
      <c r="L626" s="26"/>
      <c r="M626" s="26"/>
      <c r="N626" s="26"/>
      <c r="O626" s="26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6"/>
      <c r="D627" s="26"/>
      <c r="E627" s="26"/>
      <c r="F627" s="26"/>
      <c r="G627" s="26"/>
      <c r="H627" s="26"/>
      <c r="I627" s="39"/>
      <c r="J627" s="26"/>
      <c r="K627" s="26"/>
      <c r="L627" s="26"/>
      <c r="M627" s="26"/>
      <c r="N627" s="26"/>
      <c r="O627" s="26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6"/>
      <c r="D628" s="26"/>
      <c r="E628" s="26"/>
      <c r="F628" s="26"/>
      <c r="G628" s="26"/>
      <c r="H628" s="26"/>
      <c r="I628" s="39"/>
      <c r="J628" s="26"/>
      <c r="K628" s="26"/>
      <c r="L628" s="26"/>
      <c r="M628" s="26"/>
      <c r="N628" s="26"/>
      <c r="O628" s="26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6"/>
      <c r="D629" s="26"/>
      <c r="E629" s="26"/>
      <c r="F629" s="26"/>
      <c r="G629" s="26"/>
      <c r="H629" s="26"/>
      <c r="I629" s="39"/>
      <c r="J629" s="26"/>
      <c r="K629" s="26"/>
      <c r="L629" s="26"/>
      <c r="M629" s="26"/>
      <c r="N629" s="26"/>
      <c r="O629" s="26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6"/>
      <c r="D630" s="26"/>
      <c r="E630" s="26"/>
      <c r="F630" s="26"/>
      <c r="G630" s="26"/>
      <c r="H630" s="26"/>
      <c r="I630" s="39"/>
      <c r="J630" s="26"/>
      <c r="K630" s="26"/>
      <c r="L630" s="26"/>
      <c r="M630" s="26"/>
      <c r="N630" s="26"/>
      <c r="O630" s="26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6"/>
      <c r="D631" s="26"/>
      <c r="E631" s="26"/>
      <c r="F631" s="26"/>
      <c r="G631" s="26"/>
      <c r="H631" s="26"/>
      <c r="I631" s="39"/>
      <c r="J631" s="26"/>
      <c r="K631" s="26"/>
      <c r="L631" s="26"/>
      <c r="M631" s="26"/>
      <c r="N631" s="26"/>
      <c r="O631" s="26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6"/>
      <c r="D632" s="26"/>
      <c r="E632" s="26"/>
      <c r="F632" s="26"/>
      <c r="G632" s="26"/>
      <c r="H632" s="26"/>
      <c r="I632" s="39"/>
      <c r="J632" s="26"/>
      <c r="K632" s="26"/>
      <c r="L632" s="26"/>
      <c r="M632" s="26"/>
      <c r="N632" s="26"/>
      <c r="O632" s="26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6"/>
      <c r="D633" s="26"/>
      <c r="E633" s="26"/>
      <c r="F633" s="26"/>
      <c r="G633" s="26"/>
      <c r="H633" s="26"/>
      <c r="I633" s="39"/>
      <c r="J633" s="26"/>
      <c r="K633" s="26"/>
      <c r="L633" s="26"/>
      <c r="M633" s="26"/>
      <c r="N633" s="26"/>
      <c r="O633" s="26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6"/>
      <c r="D634" s="26"/>
      <c r="E634" s="26"/>
      <c r="F634" s="26"/>
      <c r="G634" s="26"/>
      <c r="H634" s="26"/>
      <c r="I634" s="39"/>
      <c r="J634" s="26"/>
      <c r="K634" s="26"/>
      <c r="L634" s="26"/>
      <c r="M634" s="26"/>
      <c r="N634" s="26"/>
      <c r="O634" s="26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6"/>
      <c r="D635" s="26"/>
      <c r="E635" s="26"/>
      <c r="F635" s="26"/>
      <c r="G635" s="26"/>
      <c r="H635" s="26"/>
      <c r="I635" s="39"/>
      <c r="J635" s="26"/>
      <c r="K635" s="26"/>
      <c r="L635" s="26"/>
      <c r="M635" s="26"/>
      <c r="N635" s="26"/>
      <c r="O635" s="26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6"/>
      <c r="D636" s="26"/>
      <c r="E636" s="26"/>
      <c r="F636" s="26"/>
      <c r="G636" s="26"/>
      <c r="H636" s="26"/>
      <c r="I636" s="39"/>
      <c r="J636" s="26"/>
      <c r="K636" s="26"/>
      <c r="L636" s="26"/>
      <c r="M636" s="26"/>
      <c r="N636" s="26"/>
      <c r="O636" s="26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6"/>
      <c r="D637" s="26"/>
      <c r="E637" s="26"/>
      <c r="F637" s="26"/>
      <c r="G637" s="26"/>
      <c r="H637" s="26"/>
      <c r="I637" s="39"/>
      <c r="J637" s="26"/>
      <c r="K637" s="26"/>
      <c r="L637" s="26"/>
      <c r="M637" s="26"/>
      <c r="N637" s="26"/>
      <c r="O637" s="26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6"/>
      <c r="D638" s="26"/>
      <c r="E638" s="26"/>
      <c r="F638" s="26"/>
      <c r="G638" s="26"/>
      <c r="H638" s="26"/>
      <c r="I638" s="39"/>
      <c r="J638" s="26"/>
      <c r="K638" s="26"/>
      <c r="L638" s="26"/>
      <c r="M638" s="26"/>
      <c r="N638" s="26"/>
      <c r="O638" s="26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6"/>
      <c r="D639" s="26"/>
      <c r="E639" s="26"/>
      <c r="F639" s="26"/>
      <c r="G639" s="26"/>
      <c r="H639" s="26"/>
      <c r="I639" s="39"/>
      <c r="J639" s="26"/>
      <c r="K639" s="26"/>
      <c r="L639" s="26"/>
      <c r="M639" s="26"/>
      <c r="N639" s="26"/>
      <c r="O639" s="26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6"/>
      <c r="D640" s="26"/>
      <c r="E640" s="26"/>
      <c r="F640" s="26"/>
      <c r="G640" s="26"/>
      <c r="H640" s="26"/>
      <c r="I640" s="39"/>
      <c r="J640" s="26"/>
      <c r="K640" s="26"/>
      <c r="L640" s="26"/>
      <c r="M640" s="26"/>
      <c r="N640" s="26"/>
      <c r="O640" s="26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6"/>
      <c r="D641" s="26"/>
      <c r="E641" s="26"/>
      <c r="F641" s="26"/>
      <c r="G641" s="26"/>
      <c r="H641" s="26"/>
      <c r="I641" s="39"/>
      <c r="J641" s="26"/>
      <c r="K641" s="26"/>
      <c r="L641" s="26"/>
      <c r="M641" s="26"/>
      <c r="N641" s="26"/>
      <c r="O641" s="26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6"/>
      <c r="D642" s="26"/>
      <c r="E642" s="26"/>
      <c r="F642" s="26"/>
      <c r="G642" s="26"/>
      <c r="H642" s="26"/>
      <c r="I642" s="39"/>
      <c r="J642" s="26"/>
      <c r="K642" s="26"/>
      <c r="L642" s="26"/>
      <c r="M642" s="26"/>
      <c r="N642" s="26"/>
      <c r="O642" s="26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6"/>
      <c r="D643" s="26"/>
      <c r="E643" s="26"/>
      <c r="F643" s="26"/>
      <c r="G643" s="26"/>
      <c r="H643" s="26"/>
      <c r="I643" s="39"/>
      <c r="J643" s="26"/>
      <c r="K643" s="26"/>
      <c r="L643" s="26"/>
      <c r="M643" s="26"/>
      <c r="N643" s="26"/>
      <c r="O643" s="26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6"/>
      <c r="D644" s="26"/>
      <c r="E644" s="26"/>
      <c r="F644" s="26"/>
      <c r="G644" s="26"/>
      <c r="H644" s="26"/>
      <c r="I644" s="39"/>
      <c r="J644" s="26"/>
      <c r="K644" s="26"/>
      <c r="L644" s="26"/>
      <c r="M644" s="26"/>
      <c r="N644" s="26"/>
      <c r="O644" s="26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6"/>
      <c r="D645" s="26"/>
      <c r="E645" s="26"/>
      <c r="F645" s="26"/>
      <c r="G645" s="26"/>
      <c r="H645" s="26"/>
      <c r="I645" s="39"/>
      <c r="J645" s="26"/>
      <c r="K645" s="26"/>
      <c r="L645" s="26"/>
      <c r="M645" s="26"/>
      <c r="N645" s="26"/>
      <c r="O645" s="26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6"/>
      <c r="D646" s="26"/>
      <c r="E646" s="26"/>
      <c r="F646" s="26"/>
      <c r="G646" s="26"/>
      <c r="H646" s="26"/>
      <c r="I646" s="39"/>
      <c r="J646" s="26"/>
      <c r="K646" s="26"/>
      <c r="L646" s="26"/>
      <c r="M646" s="26"/>
      <c r="N646" s="26"/>
      <c r="O646" s="26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6"/>
      <c r="D647" s="26"/>
      <c r="E647" s="26"/>
      <c r="F647" s="26"/>
      <c r="G647" s="26"/>
      <c r="H647" s="26"/>
      <c r="I647" s="39"/>
      <c r="J647" s="26"/>
      <c r="K647" s="26"/>
      <c r="L647" s="26"/>
      <c r="M647" s="26"/>
      <c r="N647" s="26"/>
      <c r="O647" s="26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6"/>
      <c r="D648" s="26"/>
      <c r="E648" s="26"/>
      <c r="F648" s="26"/>
      <c r="G648" s="26"/>
      <c r="H648" s="26"/>
      <c r="I648" s="39"/>
      <c r="J648" s="26"/>
      <c r="K648" s="26"/>
      <c r="L648" s="26"/>
      <c r="M648" s="26"/>
      <c r="N648" s="26"/>
      <c r="O648" s="26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6"/>
      <c r="D649" s="26"/>
      <c r="E649" s="26"/>
      <c r="F649" s="26"/>
      <c r="G649" s="26"/>
      <c r="H649" s="26"/>
      <c r="I649" s="39"/>
      <c r="J649" s="26"/>
      <c r="K649" s="26"/>
      <c r="L649" s="26"/>
      <c r="M649" s="26"/>
      <c r="N649" s="26"/>
      <c r="O649" s="26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6"/>
      <c r="D650" s="26"/>
      <c r="E650" s="26"/>
      <c r="F650" s="26"/>
      <c r="G650" s="26"/>
      <c r="H650" s="26"/>
      <c r="I650" s="39"/>
      <c r="J650" s="26"/>
      <c r="K650" s="26"/>
      <c r="L650" s="26"/>
      <c r="M650" s="26"/>
      <c r="N650" s="26"/>
      <c r="O650" s="26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6"/>
      <c r="D651" s="26"/>
      <c r="E651" s="26"/>
      <c r="F651" s="26"/>
      <c r="G651" s="26"/>
      <c r="H651" s="26"/>
      <c r="I651" s="39"/>
      <c r="J651" s="26"/>
      <c r="K651" s="26"/>
      <c r="L651" s="26"/>
      <c r="M651" s="26"/>
      <c r="N651" s="26"/>
      <c r="O651" s="26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6"/>
      <c r="D652" s="26"/>
      <c r="E652" s="26"/>
      <c r="F652" s="26"/>
      <c r="G652" s="26"/>
      <c r="H652" s="26"/>
      <c r="I652" s="39"/>
      <c r="J652" s="26"/>
      <c r="K652" s="26"/>
      <c r="L652" s="26"/>
      <c r="M652" s="26"/>
      <c r="N652" s="26"/>
      <c r="O652" s="26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6"/>
      <c r="D653" s="26"/>
      <c r="E653" s="26"/>
      <c r="F653" s="26"/>
      <c r="G653" s="26"/>
      <c r="H653" s="26"/>
      <c r="I653" s="39"/>
      <c r="J653" s="26"/>
      <c r="K653" s="26"/>
      <c r="L653" s="26"/>
      <c r="M653" s="26"/>
      <c r="N653" s="26"/>
      <c r="O653" s="26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6"/>
      <c r="D654" s="26"/>
      <c r="E654" s="26"/>
      <c r="F654" s="26"/>
      <c r="G654" s="26"/>
      <c r="H654" s="26"/>
      <c r="I654" s="39"/>
      <c r="J654" s="26"/>
      <c r="K654" s="26"/>
      <c r="L654" s="26"/>
      <c r="M654" s="26"/>
      <c r="N654" s="26"/>
      <c r="O654" s="26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6"/>
      <c r="D655" s="26"/>
      <c r="E655" s="26"/>
      <c r="F655" s="26"/>
      <c r="G655" s="26"/>
      <c r="H655" s="26"/>
      <c r="I655" s="39"/>
      <c r="J655" s="26"/>
      <c r="K655" s="26"/>
      <c r="L655" s="26"/>
      <c r="M655" s="26"/>
      <c r="N655" s="26"/>
      <c r="O655" s="26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6"/>
      <c r="D656" s="26"/>
      <c r="E656" s="26"/>
      <c r="F656" s="26"/>
      <c r="G656" s="26"/>
      <c r="H656" s="26"/>
      <c r="I656" s="39"/>
      <c r="J656" s="26"/>
      <c r="K656" s="26"/>
      <c r="L656" s="26"/>
      <c r="M656" s="26"/>
      <c r="N656" s="26"/>
      <c r="O656" s="26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6"/>
      <c r="D657" s="26"/>
      <c r="E657" s="26"/>
      <c r="F657" s="26"/>
      <c r="G657" s="26"/>
      <c r="H657" s="26"/>
      <c r="I657" s="39"/>
      <c r="J657" s="26"/>
      <c r="K657" s="26"/>
      <c r="L657" s="26"/>
      <c r="M657" s="26"/>
      <c r="N657" s="26"/>
      <c r="O657" s="26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6"/>
      <c r="D658" s="26"/>
      <c r="E658" s="26"/>
      <c r="F658" s="26"/>
      <c r="G658" s="26"/>
      <c r="H658" s="26"/>
      <c r="I658" s="39"/>
      <c r="J658" s="26"/>
      <c r="K658" s="26"/>
      <c r="L658" s="26"/>
      <c r="M658" s="26"/>
      <c r="N658" s="26"/>
      <c r="O658" s="26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6"/>
      <c r="D659" s="26"/>
      <c r="E659" s="26"/>
      <c r="F659" s="26"/>
      <c r="G659" s="26"/>
      <c r="H659" s="26"/>
      <c r="I659" s="39"/>
      <c r="J659" s="26"/>
      <c r="K659" s="26"/>
      <c r="L659" s="26"/>
      <c r="M659" s="26"/>
      <c r="N659" s="26"/>
      <c r="O659" s="26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6"/>
      <c r="D660" s="26"/>
      <c r="E660" s="26"/>
      <c r="F660" s="26"/>
      <c r="G660" s="26"/>
      <c r="H660" s="26"/>
      <c r="I660" s="39"/>
      <c r="J660" s="26"/>
      <c r="K660" s="26"/>
      <c r="L660" s="26"/>
      <c r="M660" s="26"/>
      <c r="N660" s="26"/>
      <c r="O660" s="26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6"/>
      <c r="D661" s="26"/>
      <c r="E661" s="26"/>
      <c r="F661" s="26"/>
      <c r="G661" s="26"/>
      <c r="H661" s="26"/>
      <c r="I661" s="39"/>
      <c r="J661" s="26"/>
      <c r="K661" s="26"/>
      <c r="L661" s="26"/>
      <c r="M661" s="26"/>
      <c r="N661" s="26"/>
      <c r="O661" s="26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6"/>
      <c r="D662" s="26"/>
      <c r="E662" s="26"/>
      <c r="F662" s="26"/>
      <c r="G662" s="26"/>
      <c r="H662" s="26"/>
      <c r="I662" s="39"/>
      <c r="J662" s="26"/>
      <c r="K662" s="26"/>
      <c r="L662" s="26"/>
      <c r="M662" s="26"/>
      <c r="N662" s="26"/>
      <c r="O662" s="26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6"/>
      <c r="D663" s="26"/>
      <c r="E663" s="26"/>
      <c r="F663" s="26"/>
      <c r="G663" s="26"/>
      <c r="H663" s="26"/>
      <c r="I663" s="39"/>
      <c r="J663" s="26"/>
      <c r="K663" s="26"/>
      <c r="L663" s="26"/>
      <c r="M663" s="26"/>
      <c r="N663" s="26"/>
      <c r="O663" s="26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6"/>
      <c r="D664" s="26"/>
      <c r="E664" s="26"/>
      <c r="F664" s="26"/>
      <c r="G664" s="26"/>
      <c r="H664" s="26"/>
      <c r="I664" s="39"/>
      <c r="J664" s="26"/>
      <c r="K664" s="26"/>
      <c r="L664" s="26"/>
      <c r="M664" s="26"/>
      <c r="N664" s="26"/>
      <c r="O664" s="26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6"/>
      <c r="D665" s="26"/>
      <c r="E665" s="26"/>
      <c r="F665" s="26"/>
      <c r="G665" s="26"/>
      <c r="H665" s="26"/>
      <c r="I665" s="39"/>
      <c r="J665" s="26"/>
      <c r="K665" s="26"/>
      <c r="L665" s="26"/>
      <c r="M665" s="26"/>
      <c r="N665" s="26"/>
      <c r="O665" s="26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6"/>
      <c r="D666" s="26"/>
      <c r="E666" s="26"/>
      <c r="F666" s="26"/>
      <c r="G666" s="26"/>
      <c r="H666" s="26"/>
      <c r="I666" s="39"/>
      <c r="J666" s="26"/>
      <c r="K666" s="26"/>
      <c r="L666" s="26"/>
      <c r="M666" s="26"/>
      <c r="N666" s="26"/>
      <c r="O666" s="26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6"/>
      <c r="D667" s="26"/>
      <c r="E667" s="26"/>
      <c r="F667" s="26"/>
      <c r="G667" s="26"/>
      <c r="H667" s="26"/>
      <c r="I667" s="39"/>
      <c r="J667" s="26"/>
      <c r="K667" s="26"/>
      <c r="L667" s="26"/>
      <c r="M667" s="26"/>
      <c r="N667" s="26"/>
      <c r="O667" s="26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6"/>
      <c r="D668" s="26"/>
      <c r="E668" s="26"/>
      <c r="F668" s="26"/>
      <c r="G668" s="26"/>
      <c r="H668" s="26"/>
      <c r="I668" s="39"/>
      <c r="J668" s="26"/>
      <c r="K668" s="26"/>
      <c r="L668" s="26"/>
      <c r="M668" s="26"/>
      <c r="N668" s="26"/>
      <c r="O668" s="26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6"/>
      <c r="D669" s="26"/>
      <c r="E669" s="26"/>
      <c r="F669" s="26"/>
      <c r="G669" s="26"/>
      <c r="H669" s="26"/>
      <c r="I669" s="39"/>
      <c r="J669" s="26"/>
      <c r="K669" s="26"/>
      <c r="L669" s="26"/>
      <c r="M669" s="26"/>
      <c r="N669" s="26"/>
      <c r="O669" s="26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6"/>
      <c r="D670" s="26"/>
      <c r="E670" s="26"/>
      <c r="F670" s="26"/>
      <c r="G670" s="26"/>
      <c r="H670" s="26"/>
      <c r="I670" s="39"/>
      <c r="J670" s="26"/>
      <c r="K670" s="26"/>
      <c r="L670" s="26"/>
      <c r="M670" s="26"/>
      <c r="N670" s="26"/>
      <c r="O670" s="26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6"/>
      <c r="D671" s="26"/>
      <c r="E671" s="26"/>
      <c r="F671" s="26"/>
      <c r="G671" s="26"/>
      <c r="H671" s="26"/>
      <c r="I671" s="39"/>
      <c r="J671" s="26"/>
      <c r="K671" s="26"/>
      <c r="L671" s="26"/>
      <c r="M671" s="26"/>
      <c r="N671" s="26"/>
      <c r="O671" s="26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6"/>
      <c r="D672" s="26"/>
      <c r="E672" s="26"/>
      <c r="F672" s="26"/>
      <c r="G672" s="26"/>
      <c r="H672" s="26"/>
      <c r="I672" s="39"/>
      <c r="J672" s="26"/>
      <c r="K672" s="26"/>
      <c r="L672" s="26"/>
      <c r="M672" s="26"/>
      <c r="N672" s="26"/>
      <c r="O672" s="26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6"/>
      <c r="D673" s="26"/>
      <c r="E673" s="26"/>
      <c r="F673" s="26"/>
      <c r="G673" s="26"/>
      <c r="H673" s="26"/>
      <c r="I673" s="39"/>
      <c r="J673" s="26"/>
      <c r="K673" s="26"/>
      <c r="L673" s="26"/>
      <c r="M673" s="26"/>
      <c r="N673" s="26"/>
      <c r="O673" s="26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6"/>
      <c r="D674" s="26"/>
      <c r="E674" s="26"/>
      <c r="F674" s="26"/>
      <c r="G674" s="26"/>
      <c r="H674" s="26"/>
      <c r="I674" s="39"/>
      <c r="J674" s="26"/>
      <c r="K674" s="26"/>
      <c r="L674" s="26"/>
      <c r="M674" s="26"/>
      <c r="N674" s="26"/>
      <c r="O674" s="26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6"/>
      <c r="D675" s="26"/>
      <c r="E675" s="26"/>
      <c r="F675" s="26"/>
      <c r="G675" s="26"/>
      <c r="H675" s="26"/>
      <c r="I675" s="39"/>
      <c r="J675" s="26"/>
      <c r="K675" s="26"/>
      <c r="L675" s="26"/>
      <c r="M675" s="26"/>
      <c r="N675" s="26"/>
      <c r="O675" s="26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6"/>
      <c r="D676" s="26"/>
      <c r="E676" s="26"/>
      <c r="F676" s="26"/>
      <c r="G676" s="26"/>
      <c r="H676" s="26"/>
      <c r="I676" s="39"/>
      <c r="J676" s="26"/>
      <c r="K676" s="26"/>
      <c r="L676" s="26"/>
      <c r="M676" s="26"/>
      <c r="N676" s="26"/>
      <c r="O676" s="26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6"/>
      <c r="D677" s="26"/>
      <c r="E677" s="26"/>
      <c r="F677" s="26"/>
      <c r="G677" s="26"/>
      <c r="H677" s="26"/>
      <c r="I677" s="39"/>
      <c r="J677" s="26"/>
      <c r="K677" s="26"/>
      <c r="L677" s="26"/>
      <c r="M677" s="26"/>
      <c r="N677" s="26"/>
      <c r="O677" s="26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6"/>
      <c r="D678" s="26"/>
      <c r="E678" s="26"/>
      <c r="F678" s="26"/>
      <c r="G678" s="26"/>
      <c r="H678" s="26"/>
      <c r="I678" s="39"/>
      <c r="J678" s="26"/>
      <c r="K678" s="26"/>
      <c r="L678" s="26"/>
      <c r="M678" s="26"/>
      <c r="N678" s="26"/>
      <c r="O678" s="26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6"/>
      <c r="D679" s="26"/>
      <c r="E679" s="26"/>
      <c r="F679" s="26"/>
      <c r="G679" s="26"/>
      <c r="H679" s="26"/>
      <c r="I679" s="39"/>
      <c r="J679" s="26"/>
      <c r="K679" s="26"/>
      <c r="L679" s="26"/>
      <c r="M679" s="26"/>
      <c r="N679" s="26"/>
      <c r="O679" s="26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6"/>
      <c r="D680" s="26"/>
      <c r="E680" s="26"/>
      <c r="F680" s="26"/>
      <c r="G680" s="26"/>
      <c r="H680" s="26"/>
      <c r="I680" s="39"/>
      <c r="J680" s="26"/>
      <c r="K680" s="26"/>
      <c r="L680" s="26"/>
      <c r="M680" s="26"/>
      <c r="N680" s="26"/>
      <c r="O680" s="26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6"/>
      <c r="D681" s="26"/>
      <c r="E681" s="26"/>
      <c r="F681" s="26"/>
      <c r="G681" s="26"/>
      <c r="H681" s="26"/>
      <c r="I681" s="39"/>
      <c r="J681" s="26"/>
      <c r="K681" s="26"/>
      <c r="L681" s="26"/>
      <c r="M681" s="26"/>
      <c r="N681" s="26"/>
      <c r="O681" s="26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6"/>
      <c r="D682" s="26"/>
      <c r="E682" s="26"/>
      <c r="F682" s="26"/>
      <c r="G682" s="26"/>
      <c r="H682" s="26"/>
      <c r="I682" s="39"/>
      <c r="J682" s="26"/>
      <c r="K682" s="26"/>
      <c r="L682" s="26"/>
      <c r="M682" s="26"/>
      <c r="N682" s="26"/>
      <c r="O682" s="26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6"/>
      <c r="D683" s="26"/>
      <c r="E683" s="26"/>
      <c r="F683" s="26"/>
      <c r="G683" s="26"/>
      <c r="H683" s="26"/>
      <c r="I683" s="39"/>
      <c r="J683" s="26"/>
      <c r="K683" s="26"/>
      <c r="L683" s="26"/>
      <c r="M683" s="26"/>
      <c r="N683" s="26"/>
      <c r="O683" s="26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6"/>
      <c r="D684" s="26"/>
      <c r="E684" s="26"/>
      <c r="F684" s="26"/>
      <c r="G684" s="26"/>
      <c r="H684" s="26"/>
      <c r="I684" s="39"/>
      <c r="J684" s="26"/>
      <c r="K684" s="26"/>
      <c r="L684" s="26"/>
      <c r="M684" s="26"/>
      <c r="N684" s="26"/>
      <c r="O684" s="26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6"/>
      <c r="D685" s="26"/>
      <c r="E685" s="26"/>
      <c r="F685" s="26"/>
      <c r="G685" s="26"/>
      <c r="H685" s="26"/>
      <c r="I685" s="39"/>
      <c r="J685" s="26"/>
      <c r="K685" s="26"/>
      <c r="L685" s="26"/>
      <c r="M685" s="26"/>
      <c r="N685" s="26"/>
      <c r="O685" s="26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6"/>
      <c r="D686" s="26"/>
      <c r="E686" s="26"/>
      <c r="F686" s="26"/>
      <c r="G686" s="26"/>
      <c r="H686" s="26"/>
      <c r="I686" s="39"/>
      <c r="J686" s="26"/>
      <c r="K686" s="26"/>
      <c r="L686" s="26"/>
      <c r="M686" s="26"/>
      <c r="N686" s="26"/>
      <c r="O686" s="26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6"/>
      <c r="D687" s="26"/>
      <c r="E687" s="26"/>
      <c r="F687" s="26"/>
      <c r="G687" s="26"/>
      <c r="H687" s="26"/>
      <c r="I687" s="39"/>
      <c r="J687" s="26"/>
      <c r="K687" s="26"/>
      <c r="L687" s="26"/>
      <c r="M687" s="26"/>
      <c r="N687" s="26"/>
      <c r="O687" s="26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6"/>
      <c r="D688" s="26"/>
      <c r="E688" s="26"/>
      <c r="F688" s="26"/>
      <c r="G688" s="26"/>
      <c r="H688" s="26"/>
      <c r="I688" s="39"/>
      <c r="J688" s="26"/>
      <c r="K688" s="26"/>
      <c r="L688" s="26"/>
      <c r="M688" s="26"/>
      <c r="N688" s="26"/>
      <c r="O688" s="26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6"/>
      <c r="D689" s="26"/>
      <c r="E689" s="26"/>
      <c r="F689" s="26"/>
      <c r="G689" s="26"/>
      <c r="H689" s="26"/>
      <c r="I689" s="39"/>
      <c r="J689" s="26"/>
      <c r="K689" s="26"/>
      <c r="L689" s="26"/>
      <c r="M689" s="26"/>
      <c r="N689" s="26"/>
      <c r="O689" s="26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6"/>
      <c r="D690" s="26"/>
      <c r="E690" s="26"/>
      <c r="F690" s="26"/>
      <c r="G690" s="26"/>
      <c r="H690" s="26"/>
      <c r="I690" s="39"/>
      <c r="J690" s="26"/>
      <c r="K690" s="26"/>
      <c r="L690" s="26"/>
      <c r="M690" s="26"/>
      <c r="N690" s="26"/>
      <c r="O690" s="26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6"/>
      <c r="D691" s="26"/>
      <c r="E691" s="26"/>
      <c r="F691" s="26"/>
      <c r="G691" s="26"/>
      <c r="H691" s="26"/>
      <c r="I691" s="39"/>
      <c r="J691" s="26"/>
      <c r="K691" s="26"/>
      <c r="L691" s="26"/>
      <c r="M691" s="26"/>
      <c r="N691" s="26"/>
      <c r="O691" s="26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6"/>
      <c r="D692" s="26"/>
      <c r="E692" s="26"/>
      <c r="F692" s="26"/>
      <c r="G692" s="26"/>
      <c r="H692" s="26"/>
      <c r="I692" s="39"/>
      <c r="J692" s="26"/>
      <c r="K692" s="26"/>
      <c r="L692" s="26"/>
      <c r="M692" s="26"/>
      <c r="N692" s="26"/>
      <c r="O692" s="26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6"/>
      <c r="D693" s="26"/>
      <c r="E693" s="26"/>
      <c r="F693" s="26"/>
      <c r="G693" s="26"/>
      <c r="H693" s="26"/>
      <c r="I693" s="39"/>
      <c r="J693" s="26"/>
      <c r="K693" s="26"/>
      <c r="L693" s="26"/>
      <c r="M693" s="26"/>
      <c r="N693" s="26"/>
      <c r="O693" s="26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6"/>
      <c r="D694" s="26"/>
      <c r="E694" s="26"/>
      <c r="F694" s="26"/>
      <c r="G694" s="26"/>
      <c r="H694" s="26"/>
      <c r="I694" s="39"/>
      <c r="J694" s="26"/>
      <c r="K694" s="26"/>
      <c r="L694" s="26"/>
      <c r="M694" s="26"/>
      <c r="N694" s="26"/>
      <c r="O694" s="26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6"/>
      <c r="D695" s="26"/>
      <c r="E695" s="26"/>
      <c r="F695" s="26"/>
      <c r="G695" s="26"/>
      <c r="H695" s="26"/>
      <c r="I695" s="39"/>
      <c r="J695" s="26"/>
      <c r="K695" s="26"/>
      <c r="L695" s="26"/>
      <c r="M695" s="26"/>
      <c r="N695" s="26"/>
      <c r="O695" s="26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6"/>
      <c r="D696" s="26"/>
      <c r="E696" s="26"/>
      <c r="F696" s="26"/>
      <c r="G696" s="26"/>
      <c r="H696" s="26"/>
      <c r="I696" s="39"/>
      <c r="J696" s="26"/>
      <c r="K696" s="26"/>
      <c r="L696" s="26"/>
      <c r="M696" s="26"/>
      <c r="N696" s="26"/>
      <c r="O696" s="26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6"/>
      <c r="D697" s="26"/>
      <c r="E697" s="26"/>
      <c r="F697" s="26"/>
      <c r="G697" s="26"/>
      <c r="H697" s="26"/>
      <c r="I697" s="39"/>
      <c r="J697" s="26"/>
      <c r="K697" s="26"/>
      <c r="L697" s="26"/>
      <c r="M697" s="26"/>
      <c r="N697" s="26"/>
      <c r="O697" s="26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6"/>
      <c r="D698" s="26"/>
      <c r="E698" s="26"/>
      <c r="F698" s="26"/>
      <c r="G698" s="26"/>
      <c r="H698" s="26"/>
      <c r="I698" s="39"/>
      <c r="J698" s="26"/>
      <c r="K698" s="26"/>
      <c r="L698" s="26"/>
      <c r="M698" s="26"/>
      <c r="N698" s="26"/>
      <c r="O698" s="26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6"/>
      <c r="D699" s="26"/>
      <c r="E699" s="26"/>
      <c r="F699" s="26"/>
      <c r="G699" s="26"/>
      <c r="H699" s="26"/>
      <c r="I699" s="39"/>
      <c r="J699" s="26"/>
      <c r="K699" s="26"/>
      <c r="L699" s="26"/>
      <c r="M699" s="26"/>
      <c r="N699" s="26"/>
      <c r="O699" s="26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6"/>
      <c r="D700" s="26"/>
      <c r="E700" s="26"/>
      <c r="F700" s="26"/>
      <c r="G700" s="26"/>
      <c r="H700" s="26"/>
      <c r="I700" s="39"/>
      <c r="J700" s="26"/>
      <c r="K700" s="26"/>
      <c r="L700" s="26"/>
      <c r="M700" s="26"/>
      <c r="N700" s="26"/>
      <c r="O700" s="26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6"/>
      <c r="D701" s="26"/>
      <c r="E701" s="26"/>
      <c r="F701" s="26"/>
      <c r="G701" s="26"/>
      <c r="H701" s="26"/>
      <c r="I701" s="39"/>
      <c r="J701" s="26"/>
      <c r="K701" s="26"/>
      <c r="L701" s="26"/>
      <c r="M701" s="26"/>
      <c r="N701" s="26"/>
      <c r="O701" s="26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6"/>
      <c r="D702" s="26"/>
      <c r="E702" s="26"/>
      <c r="F702" s="26"/>
      <c r="G702" s="26"/>
      <c r="H702" s="26"/>
      <c r="I702" s="39"/>
      <c r="J702" s="26"/>
      <c r="K702" s="26"/>
      <c r="L702" s="26"/>
      <c r="M702" s="26"/>
      <c r="N702" s="26"/>
      <c r="O702" s="26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6"/>
      <c r="D703" s="26"/>
      <c r="E703" s="26"/>
      <c r="F703" s="26"/>
      <c r="G703" s="26"/>
      <c r="H703" s="26"/>
      <c r="I703" s="39"/>
      <c r="J703" s="26"/>
      <c r="K703" s="26"/>
      <c r="L703" s="26"/>
      <c r="M703" s="26"/>
      <c r="N703" s="26"/>
      <c r="O703" s="26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6"/>
      <c r="D704" s="26"/>
      <c r="E704" s="26"/>
      <c r="F704" s="26"/>
      <c r="G704" s="26"/>
      <c r="H704" s="26"/>
      <c r="I704" s="39"/>
      <c r="J704" s="26"/>
      <c r="K704" s="26"/>
      <c r="L704" s="26"/>
      <c r="M704" s="26"/>
      <c r="N704" s="26"/>
      <c r="O704" s="26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6"/>
      <c r="D705" s="26"/>
      <c r="E705" s="26"/>
      <c r="F705" s="26"/>
      <c r="G705" s="26"/>
      <c r="H705" s="26"/>
      <c r="I705" s="39"/>
      <c r="J705" s="26"/>
      <c r="K705" s="26"/>
      <c r="L705" s="26"/>
      <c r="M705" s="26"/>
      <c r="N705" s="26"/>
      <c r="O705" s="26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6"/>
      <c r="D706" s="26"/>
      <c r="E706" s="26"/>
      <c r="F706" s="26"/>
      <c r="G706" s="26"/>
      <c r="H706" s="26"/>
      <c r="I706" s="39"/>
      <c r="J706" s="26"/>
      <c r="K706" s="26"/>
      <c r="L706" s="26"/>
      <c r="M706" s="26"/>
      <c r="N706" s="26"/>
      <c r="O706" s="26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6"/>
      <c r="D707" s="26"/>
      <c r="E707" s="26"/>
      <c r="F707" s="26"/>
      <c r="G707" s="26"/>
      <c r="H707" s="26"/>
      <c r="I707" s="39"/>
      <c r="J707" s="26"/>
      <c r="K707" s="26"/>
      <c r="L707" s="26"/>
      <c r="M707" s="26"/>
      <c r="N707" s="26"/>
      <c r="O707" s="26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6"/>
      <c r="D708" s="26"/>
      <c r="E708" s="26"/>
      <c r="F708" s="26"/>
      <c r="G708" s="26"/>
      <c r="H708" s="26"/>
      <c r="I708" s="39"/>
      <c r="J708" s="26"/>
      <c r="K708" s="26"/>
      <c r="L708" s="26"/>
      <c r="M708" s="26"/>
      <c r="N708" s="26"/>
      <c r="O708" s="26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6"/>
      <c r="D709" s="26"/>
      <c r="E709" s="26"/>
      <c r="F709" s="26"/>
      <c r="G709" s="26"/>
      <c r="H709" s="26"/>
      <c r="I709" s="39"/>
      <c r="J709" s="26"/>
      <c r="K709" s="26"/>
      <c r="L709" s="26"/>
      <c r="M709" s="26"/>
      <c r="N709" s="26"/>
      <c r="O709" s="26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6"/>
      <c r="D710" s="26"/>
      <c r="E710" s="26"/>
      <c r="F710" s="26"/>
      <c r="G710" s="26"/>
      <c r="H710" s="26"/>
      <c r="I710" s="39"/>
      <c r="J710" s="26"/>
      <c r="K710" s="26"/>
      <c r="L710" s="26"/>
      <c r="M710" s="26"/>
      <c r="N710" s="26"/>
      <c r="O710" s="26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6"/>
      <c r="D711" s="26"/>
      <c r="E711" s="26"/>
      <c r="F711" s="26"/>
      <c r="G711" s="26"/>
      <c r="H711" s="26"/>
      <c r="I711" s="39"/>
      <c r="J711" s="26"/>
      <c r="K711" s="26"/>
      <c r="L711" s="26"/>
      <c r="M711" s="26"/>
      <c r="N711" s="26"/>
      <c r="O711" s="26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6"/>
      <c r="D712" s="26"/>
      <c r="E712" s="26"/>
      <c r="F712" s="26"/>
      <c r="G712" s="26"/>
      <c r="H712" s="26"/>
      <c r="I712" s="39"/>
      <c r="J712" s="26"/>
      <c r="K712" s="26"/>
      <c r="L712" s="26"/>
      <c r="M712" s="26"/>
      <c r="N712" s="26"/>
      <c r="O712" s="26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6"/>
      <c r="D713" s="26"/>
      <c r="E713" s="26"/>
      <c r="F713" s="26"/>
      <c r="G713" s="26"/>
      <c r="H713" s="26"/>
      <c r="I713" s="39"/>
      <c r="J713" s="26"/>
      <c r="K713" s="26"/>
      <c r="L713" s="26"/>
      <c r="M713" s="26"/>
      <c r="N713" s="26"/>
      <c r="O713" s="26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6"/>
      <c r="D714" s="26"/>
      <c r="E714" s="26"/>
      <c r="F714" s="26"/>
      <c r="G714" s="26"/>
      <c r="H714" s="26"/>
      <c r="I714" s="39"/>
      <c r="J714" s="26"/>
      <c r="K714" s="26"/>
      <c r="L714" s="26"/>
      <c r="M714" s="26"/>
      <c r="N714" s="26"/>
      <c r="O714" s="26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6"/>
      <c r="D715" s="26"/>
      <c r="E715" s="26"/>
      <c r="F715" s="26"/>
      <c r="G715" s="26"/>
      <c r="H715" s="26"/>
      <c r="I715" s="39"/>
      <c r="J715" s="26"/>
      <c r="K715" s="26"/>
      <c r="L715" s="26"/>
      <c r="M715" s="26"/>
      <c r="N715" s="26"/>
      <c r="O715" s="26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6"/>
      <c r="D716" s="26"/>
      <c r="E716" s="26"/>
      <c r="F716" s="26"/>
      <c r="G716" s="26"/>
      <c r="H716" s="26"/>
      <c r="I716" s="39"/>
      <c r="J716" s="26"/>
      <c r="K716" s="26"/>
      <c r="L716" s="26"/>
      <c r="M716" s="26"/>
      <c r="N716" s="26"/>
      <c r="O716" s="26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6"/>
      <c r="D717" s="26"/>
      <c r="E717" s="26"/>
      <c r="F717" s="26"/>
      <c r="G717" s="26"/>
      <c r="H717" s="26"/>
      <c r="I717" s="39"/>
      <c r="J717" s="26"/>
      <c r="K717" s="26"/>
      <c r="L717" s="26"/>
      <c r="M717" s="26"/>
      <c r="N717" s="26"/>
      <c r="O717" s="26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6"/>
      <c r="D718" s="26"/>
      <c r="E718" s="26"/>
      <c r="F718" s="26"/>
      <c r="G718" s="26"/>
      <c r="H718" s="26"/>
      <c r="I718" s="39"/>
      <c r="J718" s="26"/>
      <c r="K718" s="26"/>
      <c r="L718" s="26"/>
      <c r="M718" s="26"/>
      <c r="N718" s="26"/>
      <c r="O718" s="26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6"/>
      <c r="D719" s="26"/>
      <c r="E719" s="26"/>
      <c r="F719" s="26"/>
      <c r="G719" s="26"/>
      <c r="H719" s="26"/>
      <c r="I719" s="39"/>
      <c r="J719" s="26"/>
      <c r="K719" s="26"/>
      <c r="L719" s="26"/>
      <c r="M719" s="26"/>
      <c r="N719" s="26"/>
      <c r="O719" s="26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6"/>
      <c r="D720" s="26"/>
      <c r="E720" s="26"/>
      <c r="F720" s="26"/>
      <c r="G720" s="26"/>
      <c r="H720" s="26"/>
      <c r="I720" s="39"/>
      <c r="J720" s="26"/>
      <c r="K720" s="26"/>
      <c r="L720" s="26"/>
      <c r="M720" s="26"/>
      <c r="N720" s="26"/>
      <c r="O720" s="26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6"/>
      <c r="D721" s="26"/>
      <c r="E721" s="26"/>
      <c r="F721" s="26"/>
      <c r="G721" s="26"/>
      <c r="H721" s="26"/>
      <c r="I721" s="39"/>
      <c r="J721" s="26"/>
      <c r="K721" s="26"/>
      <c r="L721" s="26"/>
      <c r="M721" s="26"/>
      <c r="N721" s="26"/>
      <c r="O721" s="26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6"/>
      <c r="D722" s="26"/>
      <c r="E722" s="26"/>
      <c r="F722" s="26"/>
      <c r="G722" s="26"/>
      <c r="H722" s="26"/>
      <c r="I722" s="39"/>
      <c r="J722" s="26"/>
      <c r="K722" s="26"/>
      <c r="L722" s="26"/>
      <c r="M722" s="26"/>
      <c r="N722" s="26"/>
      <c r="O722" s="26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6"/>
      <c r="D723" s="26"/>
      <c r="E723" s="26"/>
      <c r="F723" s="26"/>
      <c r="G723" s="26"/>
      <c r="H723" s="26"/>
      <c r="I723" s="39"/>
      <c r="J723" s="26"/>
      <c r="K723" s="26"/>
      <c r="L723" s="26"/>
      <c r="M723" s="26"/>
      <c r="N723" s="26"/>
      <c r="O723" s="26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6"/>
      <c r="D724" s="26"/>
      <c r="E724" s="26"/>
      <c r="F724" s="26"/>
      <c r="G724" s="26"/>
      <c r="H724" s="26"/>
      <c r="I724" s="39"/>
      <c r="J724" s="26"/>
      <c r="K724" s="26"/>
      <c r="L724" s="26"/>
      <c r="M724" s="26"/>
      <c r="N724" s="26"/>
      <c r="O724" s="26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6"/>
      <c r="D725" s="26"/>
      <c r="E725" s="26"/>
      <c r="F725" s="26"/>
      <c r="G725" s="26"/>
      <c r="H725" s="26"/>
      <c r="I725" s="39"/>
      <c r="J725" s="26"/>
      <c r="K725" s="26"/>
      <c r="L725" s="26"/>
      <c r="M725" s="26"/>
      <c r="N725" s="26"/>
      <c r="O725" s="26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6"/>
      <c r="D726" s="26"/>
      <c r="E726" s="26"/>
      <c r="F726" s="26"/>
      <c r="G726" s="26"/>
      <c r="H726" s="26"/>
      <c r="I726" s="39"/>
      <c r="J726" s="26"/>
      <c r="K726" s="26"/>
      <c r="L726" s="26"/>
      <c r="M726" s="26"/>
      <c r="N726" s="26"/>
      <c r="O726" s="26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6"/>
      <c r="D727" s="26"/>
      <c r="E727" s="26"/>
      <c r="F727" s="26"/>
      <c r="G727" s="26"/>
      <c r="H727" s="26"/>
      <c r="I727" s="39"/>
      <c r="J727" s="26"/>
      <c r="K727" s="26"/>
      <c r="L727" s="26"/>
      <c r="M727" s="26"/>
      <c r="N727" s="26"/>
      <c r="O727" s="26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6"/>
      <c r="D728" s="26"/>
      <c r="E728" s="26"/>
      <c r="F728" s="26"/>
      <c r="G728" s="26"/>
      <c r="H728" s="26"/>
      <c r="I728" s="39"/>
      <c r="J728" s="26"/>
      <c r="K728" s="26"/>
      <c r="L728" s="26"/>
      <c r="M728" s="26"/>
      <c r="N728" s="26"/>
      <c r="O728" s="26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6"/>
      <c r="D729" s="26"/>
      <c r="E729" s="26"/>
      <c r="F729" s="26"/>
      <c r="G729" s="26"/>
      <c r="H729" s="26"/>
      <c r="I729" s="39"/>
      <c r="J729" s="26"/>
      <c r="K729" s="26"/>
      <c r="L729" s="26"/>
      <c r="M729" s="26"/>
      <c r="N729" s="26"/>
      <c r="O729" s="26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6"/>
      <c r="D730" s="26"/>
      <c r="E730" s="26"/>
      <c r="F730" s="26"/>
      <c r="G730" s="26"/>
      <c r="H730" s="26"/>
      <c r="I730" s="39"/>
      <c r="J730" s="26"/>
      <c r="K730" s="26"/>
      <c r="L730" s="26"/>
      <c r="M730" s="26"/>
      <c r="N730" s="26"/>
      <c r="O730" s="26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6"/>
      <c r="D731" s="26"/>
      <c r="E731" s="26"/>
      <c r="F731" s="26"/>
      <c r="G731" s="26"/>
      <c r="H731" s="26"/>
      <c r="I731" s="39"/>
      <c r="J731" s="26"/>
      <c r="K731" s="26"/>
      <c r="L731" s="26"/>
      <c r="M731" s="26"/>
      <c r="N731" s="26"/>
      <c r="O731" s="26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6"/>
      <c r="D732" s="26"/>
      <c r="E732" s="26"/>
      <c r="F732" s="26"/>
      <c r="G732" s="26"/>
      <c r="H732" s="26"/>
      <c r="I732" s="39"/>
      <c r="J732" s="26"/>
      <c r="K732" s="26"/>
      <c r="L732" s="26"/>
      <c r="M732" s="26"/>
      <c r="N732" s="26"/>
      <c r="O732" s="26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6"/>
      <c r="D733" s="26"/>
      <c r="E733" s="26"/>
      <c r="F733" s="26"/>
      <c r="G733" s="26"/>
      <c r="H733" s="26"/>
      <c r="I733" s="39"/>
      <c r="J733" s="26"/>
      <c r="K733" s="26"/>
      <c r="L733" s="26"/>
      <c r="M733" s="26"/>
      <c r="N733" s="26"/>
      <c r="O733" s="26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6"/>
      <c r="D734" s="26"/>
      <c r="E734" s="26"/>
      <c r="F734" s="26"/>
      <c r="G734" s="26"/>
      <c r="H734" s="26"/>
      <c r="I734" s="39"/>
      <c r="J734" s="26"/>
      <c r="K734" s="26"/>
      <c r="L734" s="26"/>
      <c r="M734" s="26"/>
      <c r="N734" s="26"/>
      <c r="O734" s="26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6"/>
      <c r="D735" s="26"/>
      <c r="E735" s="26"/>
      <c r="F735" s="26"/>
      <c r="G735" s="26"/>
      <c r="H735" s="26"/>
      <c r="I735" s="39"/>
      <c r="J735" s="26"/>
      <c r="K735" s="26"/>
      <c r="L735" s="26"/>
      <c r="M735" s="26"/>
      <c r="N735" s="26"/>
      <c r="O735" s="26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6"/>
      <c r="D736" s="26"/>
      <c r="E736" s="26"/>
      <c r="F736" s="26"/>
      <c r="G736" s="26"/>
      <c r="H736" s="26"/>
      <c r="I736" s="39"/>
      <c r="J736" s="26"/>
      <c r="K736" s="26"/>
      <c r="L736" s="26"/>
      <c r="M736" s="26"/>
      <c r="N736" s="26"/>
      <c r="O736" s="26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6"/>
      <c r="D737" s="26"/>
      <c r="E737" s="26"/>
      <c r="F737" s="26"/>
      <c r="G737" s="26"/>
      <c r="H737" s="26"/>
      <c r="I737" s="39"/>
      <c r="J737" s="26"/>
      <c r="K737" s="26"/>
      <c r="L737" s="26"/>
      <c r="M737" s="26"/>
      <c r="N737" s="26"/>
      <c r="O737" s="26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6"/>
      <c r="D738" s="26"/>
      <c r="E738" s="26"/>
      <c r="F738" s="26"/>
      <c r="G738" s="26"/>
      <c r="H738" s="26"/>
      <c r="I738" s="39"/>
      <c r="J738" s="26"/>
      <c r="K738" s="26"/>
      <c r="L738" s="26"/>
      <c r="M738" s="26"/>
      <c r="N738" s="26"/>
      <c r="O738" s="26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6"/>
      <c r="D739" s="26"/>
      <c r="E739" s="26"/>
      <c r="F739" s="26"/>
      <c r="G739" s="26"/>
      <c r="H739" s="26"/>
      <c r="I739" s="39"/>
      <c r="J739" s="26"/>
      <c r="K739" s="26"/>
      <c r="L739" s="26"/>
      <c r="M739" s="26"/>
      <c r="N739" s="26"/>
      <c r="O739" s="26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6"/>
      <c r="D740" s="26"/>
      <c r="E740" s="26"/>
      <c r="F740" s="26"/>
      <c r="G740" s="26"/>
      <c r="H740" s="26"/>
      <c r="I740" s="39"/>
      <c r="J740" s="26"/>
      <c r="K740" s="26"/>
      <c r="L740" s="26"/>
      <c r="M740" s="26"/>
      <c r="N740" s="26"/>
      <c r="O740" s="26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6"/>
      <c r="D741" s="26"/>
      <c r="E741" s="26"/>
      <c r="F741" s="26"/>
      <c r="G741" s="26"/>
      <c r="H741" s="26"/>
      <c r="I741" s="39"/>
      <c r="J741" s="26"/>
      <c r="K741" s="26"/>
      <c r="L741" s="26"/>
      <c r="M741" s="26"/>
      <c r="N741" s="26"/>
      <c r="O741" s="26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6"/>
      <c r="D742" s="26"/>
      <c r="E742" s="26"/>
      <c r="F742" s="26"/>
      <c r="G742" s="26"/>
      <c r="H742" s="26"/>
      <c r="I742" s="39"/>
      <c r="J742" s="26"/>
      <c r="K742" s="26"/>
      <c r="L742" s="26"/>
      <c r="M742" s="26"/>
      <c r="N742" s="26"/>
      <c r="O742" s="26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6"/>
      <c r="D743" s="26"/>
      <c r="E743" s="26"/>
      <c r="F743" s="26"/>
      <c r="G743" s="26"/>
      <c r="H743" s="26"/>
      <c r="I743" s="39"/>
      <c r="J743" s="26"/>
      <c r="K743" s="26"/>
      <c r="L743" s="26"/>
      <c r="M743" s="26"/>
      <c r="N743" s="26"/>
      <c r="O743" s="26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6"/>
      <c r="D744" s="26"/>
      <c r="E744" s="26"/>
      <c r="F744" s="26"/>
      <c r="G744" s="26"/>
      <c r="H744" s="26"/>
      <c r="I744" s="39"/>
      <c r="J744" s="26"/>
      <c r="K744" s="26"/>
      <c r="L744" s="26"/>
      <c r="M744" s="26"/>
      <c r="N744" s="26"/>
      <c r="O744" s="26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6"/>
      <c r="D745" s="26"/>
      <c r="E745" s="26"/>
      <c r="F745" s="26"/>
      <c r="G745" s="26"/>
      <c r="H745" s="26"/>
      <c r="I745" s="39"/>
      <c r="J745" s="26"/>
      <c r="K745" s="26"/>
      <c r="L745" s="26"/>
      <c r="M745" s="26"/>
      <c r="N745" s="26"/>
      <c r="O745" s="26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6"/>
      <c r="D746" s="26"/>
      <c r="E746" s="26"/>
      <c r="F746" s="26"/>
      <c r="G746" s="26"/>
      <c r="H746" s="26"/>
      <c r="I746" s="39"/>
      <c r="J746" s="26"/>
      <c r="K746" s="26"/>
      <c r="L746" s="26"/>
      <c r="M746" s="26"/>
      <c r="N746" s="26"/>
      <c r="O746" s="26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6"/>
      <c r="D747" s="26"/>
      <c r="E747" s="26"/>
      <c r="F747" s="26"/>
      <c r="G747" s="26"/>
      <c r="H747" s="26"/>
      <c r="I747" s="39"/>
      <c r="J747" s="26"/>
      <c r="K747" s="26"/>
      <c r="L747" s="26"/>
      <c r="M747" s="26"/>
      <c r="N747" s="26"/>
      <c r="O747" s="26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6"/>
      <c r="D748" s="26"/>
      <c r="E748" s="26"/>
      <c r="F748" s="26"/>
      <c r="G748" s="26"/>
      <c r="H748" s="26"/>
      <c r="I748" s="39"/>
      <c r="J748" s="26"/>
      <c r="K748" s="26"/>
      <c r="L748" s="26"/>
      <c r="M748" s="26"/>
      <c r="N748" s="26"/>
      <c r="O748" s="26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6"/>
      <c r="D749" s="26"/>
      <c r="E749" s="26"/>
      <c r="F749" s="26"/>
      <c r="G749" s="26"/>
      <c r="H749" s="26"/>
      <c r="I749" s="39"/>
      <c r="J749" s="26"/>
      <c r="K749" s="26"/>
      <c r="L749" s="26"/>
      <c r="M749" s="26"/>
      <c r="N749" s="26"/>
      <c r="O749" s="26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6"/>
      <c r="D750" s="26"/>
      <c r="E750" s="26"/>
      <c r="F750" s="26"/>
      <c r="G750" s="26"/>
      <c r="H750" s="26"/>
      <c r="I750" s="39"/>
      <c r="J750" s="26"/>
      <c r="K750" s="26"/>
      <c r="L750" s="26"/>
      <c r="M750" s="26"/>
      <c r="N750" s="26"/>
      <c r="O750" s="26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6"/>
      <c r="D751" s="26"/>
      <c r="E751" s="26"/>
      <c r="F751" s="26"/>
      <c r="G751" s="26"/>
      <c r="H751" s="26"/>
      <c r="I751" s="39"/>
      <c r="J751" s="26"/>
      <c r="K751" s="26"/>
      <c r="L751" s="26"/>
      <c r="M751" s="26"/>
      <c r="N751" s="26"/>
      <c r="O751" s="26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6"/>
      <c r="D752" s="26"/>
      <c r="E752" s="26"/>
      <c r="F752" s="26"/>
      <c r="G752" s="26"/>
      <c r="H752" s="26"/>
      <c r="I752" s="39"/>
      <c r="J752" s="26"/>
      <c r="K752" s="26"/>
      <c r="L752" s="26"/>
      <c r="M752" s="26"/>
      <c r="N752" s="26"/>
      <c r="O752" s="26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6"/>
      <c r="D753" s="26"/>
      <c r="E753" s="26"/>
      <c r="F753" s="26"/>
      <c r="G753" s="26"/>
      <c r="H753" s="26"/>
      <c r="I753" s="39"/>
      <c r="J753" s="26"/>
      <c r="K753" s="26"/>
      <c r="L753" s="26"/>
      <c r="M753" s="26"/>
      <c r="N753" s="26"/>
      <c r="O753" s="26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6"/>
      <c r="D754" s="26"/>
      <c r="E754" s="26"/>
      <c r="F754" s="26"/>
      <c r="G754" s="26"/>
      <c r="H754" s="26"/>
      <c r="I754" s="39"/>
      <c r="J754" s="26"/>
      <c r="K754" s="26"/>
      <c r="L754" s="26"/>
      <c r="M754" s="26"/>
      <c r="N754" s="26"/>
      <c r="O754" s="26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6"/>
      <c r="D755" s="26"/>
      <c r="E755" s="26"/>
      <c r="F755" s="26"/>
      <c r="G755" s="26"/>
      <c r="H755" s="26"/>
      <c r="I755" s="39"/>
      <c r="J755" s="26"/>
      <c r="K755" s="26"/>
      <c r="L755" s="26"/>
      <c r="M755" s="26"/>
      <c r="N755" s="26"/>
      <c r="O755" s="26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6"/>
      <c r="D756" s="26"/>
      <c r="E756" s="26"/>
      <c r="F756" s="26"/>
      <c r="G756" s="26"/>
      <c r="H756" s="26"/>
      <c r="I756" s="39"/>
      <c r="J756" s="26"/>
      <c r="K756" s="26"/>
      <c r="L756" s="26"/>
      <c r="M756" s="26"/>
      <c r="N756" s="26"/>
      <c r="O756" s="26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6"/>
      <c r="D757" s="26"/>
      <c r="E757" s="26"/>
      <c r="F757" s="26"/>
      <c r="G757" s="26"/>
      <c r="H757" s="26"/>
      <c r="I757" s="39"/>
      <c r="J757" s="26"/>
      <c r="K757" s="26"/>
      <c r="L757" s="26"/>
      <c r="M757" s="26"/>
      <c r="N757" s="26"/>
      <c r="O757" s="26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6"/>
      <c r="D758" s="26"/>
      <c r="E758" s="26"/>
      <c r="F758" s="26"/>
      <c r="G758" s="26"/>
      <c r="H758" s="26"/>
      <c r="I758" s="39"/>
      <c r="J758" s="26"/>
      <c r="K758" s="26"/>
      <c r="L758" s="26"/>
      <c r="M758" s="26"/>
      <c r="N758" s="26"/>
      <c r="O758" s="26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6"/>
      <c r="D759" s="26"/>
      <c r="E759" s="26"/>
      <c r="F759" s="26"/>
      <c r="G759" s="26"/>
      <c r="H759" s="26"/>
      <c r="I759" s="39"/>
      <c r="J759" s="26"/>
      <c r="K759" s="26"/>
      <c r="L759" s="26"/>
      <c r="M759" s="26"/>
      <c r="N759" s="26"/>
      <c r="O759" s="26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6"/>
      <c r="D760" s="26"/>
      <c r="E760" s="26"/>
      <c r="F760" s="26"/>
      <c r="G760" s="26"/>
      <c r="H760" s="26"/>
      <c r="I760" s="39"/>
      <c r="J760" s="26"/>
      <c r="K760" s="26"/>
      <c r="L760" s="26"/>
      <c r="M760" s="26"/>
      <c r="N760" s="26"/>
      <c r="O760" s="26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6"/>
      <c r="D761" s="26"/>
      <c r="E761" s="26"/>
      <c r="F761" s="26"/>
      <c r="G761" s="26"/>
      <c r="H761" s="26"/>
      <c r="I761" s="39"/>
      <c r="J761" s="26"/>
      <c r="K761" s="26"/>
      <c r="L761" s="26"/>
      <c r="M761" s="26"/>
      <c r="N761" s="26"/>
      <c r="O761" s="26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6"/>
      <c r="D762" s="26"/>
      <c r="E762" s="26"/>
      <c r="F762" s="26"/>
      <c r="G762" s="26"/>
      <c r="H762" s="26"/>
      <c r="I762" s="39"/>
      <c r="J762" s="26"/>
      <c r="K762" s="26"/>
      <c r="L762" s="26"/>
      <c r="M762" s="26"/>
      <c r="N762" s="26"/>
      <c r="O762" s="26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6"/>
      <c r="D763" s="26"/>
      <c r="E763" s="26"/>
      <c r="F763" s="26"/>
      <c r="G763" s="26"/>
      <c r="H763" s="26"/>
      <c r="I763" s="39"/>
      <c r="J763" s="26"/>
      <c r="K763" s="26"/>
      <c r="L763" s="26"/>
      <c r="M763" s="26"/>
      <c r="N763" s="26"/>
      <c r="O763" s="26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6"/>
      <c r="D764" s="26"/>
      <c r="E764" s="26"/>
      <c r="F764" s="26"/>
      <c r="G764" s="26"/>
      <c r="H764" s="26"/>
      <c r="I764" s="39"/>
      <c r="J764" s="26"/>
      <c r="K764" s="26"/>
      <c r="L764" s="26"/>
      <c r="M764" s="26"/>
      <c r="N764" s="26"/>
      <c r="O764" s="26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6"/>
      <c r="D765" s="26"/>
      <c r="E765" s="26"/>
      <c r="F765" s="26"/>
      <c r="G765" s="26"/>
      <c r="H765" s="26"/>
      <c r="I765" s="39"/>
      <c r="J765" s="26"/>
      <c r="K765" s="26"/>
      <c r="L765" s="26"/>
      <c r="M765" s="26"/>
      <c r="N765" s="26"/>
      <c r="O765" s="26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6"/>
      <c r="D766" s="26"/>
      <c r="E766" s="26"/>
      <c r="F766" s="26"/>
      <c r="G766" s="26"/>
      <c r="H766" s="26"/>
      <c r="I766" s="39"/>
      <c r="J766" s="26"/>
      <c r="K766" s="26"/>
      <c r="L766" s="26"/>
      <c r="M766" s="26"/>
      <c r="N766" s="26"/>
      <c r="O766" s="26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6"/>
      <c r="D767" s="26"/>
      <c r="E767" s="26"/>
      <c r="F767" s="26"/>
      <c r="G767" s="26"/>
      <c r="H767" s="26"/>
      <c r="I767" s="39"/>
      <c r="J767" s="26"/>
      <c r="K767" s="26"/>
      <c r="L767" s="26"/>
      <c r="M767" s="26"/>
      <c r="N767" s="26"/>
      <c r="O767" s="26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6"/>
      <c r="D768" s="26"/>
      <c r="E768" s="26"/>
      <c r="F768" s="26"/>
      <c r="G768" s="26"/>
      <c r="H768" s="26"/>
      <c r="I768" s="39"/>
      <c r="J768" s="26"/>
      <c r="K768" s="26"/>
      <c r="L768" s="26"/>
      <c r="M768" s="26"/>
      <c r="N768" s="26"/>
      <c r="O768" s="26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6"/>
      <c r="D769" s="26"/>
      <c r="E769" s="26"/>
      <c r="F769" s="26"/>
      <c r="G769" s="26"/>
      <c r="H769" s="26"/>
      <c r="I769" s="39"/>
      <c r="J769" s="26"/>
      <c r="K769" s="26"/>
      <c r="L769" s="26"/>
      <c r="M769" s="26"/>
      <c r="N769" s="26"/>
      <c r="O769" s="26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6"/>
      <c r="D770" s="26"/>
      <c r="E770" s="26"/>
      <c r="F770" s="26"/>
      <c r="G770" s="26"/>
      <c r="H770" s="26"/>
      <c r="I770" s="39"/>
      <c r="J770" s="26"/>
      <c r="K770" s="26"/>
      <c r="L770" s="26"/>
      <c r="M770" s="26"/>
      <c r="N770" s="26"/>
      <c r="O770" s="26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6"/>
      <c r="D771" s="26"/>
      <c r="E771" s="26"/>
      <c r="F771" s="26"/>
      <c r="G771" s="26"/>
      <c r="H771" s="26"/>
      <c r="I771" s="39"/>
      <c r="J771" s="26"/>
      <c r="K771" s="26"/>
      <c r="L771" s="26"/>
      <c r="M771" s="26"/>
      <c r="N771" s="26"/>
      <c r="O771" s="26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6"/>
      <c r="D772" s="26"/>
      <c r="E772" s="26"/>
      <c r="F772" s="26"/>
      <c r="G772" s="26"/>
      <c r="H772" s="26"/>
      <c r="I772" s="39"/>
      <c r="J772" s="26"/>
      <c r="K772" s="26"/>
      <c r="L772" s="26"/>
      <c r="M772" s="26"/>
      <c r="N772" s="26"/>
      <c r="O772" s="26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6"/>
      <c r="D773" s="26"/>
      <c r="E773" s="26"/>
      <c r="F773" s="26"/>
      <c r="G773" s="26"/>
      <c r="H773" s="26"/>
      <c r="I773" s="39"/>
      <c r="J773" s="26"/>
      <c r="K773" s="26"/>
      <c r="L773" s="26"/>
      <c r="M773" s="26"/>
      <c r="N773" s="26"/>
      <c r="O773" s="26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6"/>
      <c r="D774" s="26"/>
      <c r="E774" s="26"/>
      <c r="F774" s="26"/>
      <c r="G774" s="26"/>
      <c r="H774" s="26"/>
      <c r="I774" s="39"/>
      <c r="J774" s="26"/>
      <c r="K774" s="26"/>
      <c r="L774" s="26"/>
      <c r="M774" s="26"/>
      <c r="N774" s="26"/>
      <c r="O774" s="26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6"/>
      <c r="D775" s="26"/>
      <c r="E775" s="26"/>
      <c r="F775" s="26"/>
      <c r="G775" s="26"/>
      <c r="H775" s="26"/>
      <c r="I775" s="39"/>
      <c r="J775" s="26"/>
      <c r="K775" s="26"/>
      <c r="L775" s="26"/>
      <c r="M775" s="26"/>
      <c r="N775" s="26"/>
      <c r="O775" s="26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6"/>
      <c r="D776" s="26"/>
      <c r="E776" s="26"/>
      <c r="F776" s="26"/>
      <c r="G776" s="26"/>
      <c r="H776" s="26"/>
      <c r="I776" s="39"/>
      <c r="J776" s="26"/>
      <c r="K776" s="26"/>
      <c r="L776" s="26"/>
      <c r="M776" s="26"/>
      <c r="N776" s="26"/>
      <c r="O776" s="26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6"/>
      <c r="D777" s="26"/>
      <c r="E777" s="26"/>
      <c r="F777" s="26"/>
      <c r="G777" s="26"/>
      <c r="H777" s="26"/>
      <c r="I777" s="39"/>
      <c r="J777" s="26"/>
      <c r="K777" s="26"/>
      <c r="L777" s="26"/>
      <c r="M777" s="26"/>
      <c r="N777" s="26"/>
      <c r="O777" s="26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6"/>
      <c r="D778" s="26"/>
      <c r="E778" s="26"/>
      <c r="F778" s="26"/>
      <c r="G778" s="26"/>
      <c r="H778" s="26"/>
      <c r="I778" s="39"/>
      <c r="J778" s="26"/>
      <c r="K778" s="26"/>
      <c r="L778" s="26"/>
      <c r="M778" s="26"/>
      <c r="N778" s="26"/>
      <c r="O778" s="26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6"/>
      <c r="D779" s="26"/>
      <c r="E779" s="26"/>
      <c r="F779" s="26"/>
      <c r="G779" s="26"/>
      <c r="H779" s="26"/>
      <c r="I779" s="39"/>
      <c r="J779" s="26"/>
      <c r="K779" s="26"/>
      <c r="L779" s="26"/>
      <c r="M779" s="26"/>
      <c r="N779" s="26"/>
      <c r="O779" s="26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6"/>
      <c r="D780" s="26"/>
      <c r="E780" s="26"/>
      <c r="F780" s="26"/>
      <c r="G780" s="26"/>
      <c r="H780" s="26"/>
      <c r="I780" s="39"/>
      <c r="J780" s="26"/>
      <c r="K780" s="26"/>
      <c r="L780" s="26"/>
      <c r="M780" s="26"/>
      <c r="N780" s="26"/>
      <c r="O780" s="26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6"/>
      <c r="D781" s="26"/>
      <c r="E781" s="26"/>
      <c r="F781" s="26"/>
      <c r="G781" s="26"/>
      <c r="H781" s="26"/>
      <c r="I781" s="39"/>
      <c r="J781" s="26"/>
      <c r="K781" s="26"/>
      <c r="L781" s="26"/>
      <c r="M781" s="26"/>
      <c r="N781" s="26"/>
      <c r="O781" s="26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6"/>
      <c r="D782" s="26"/>
      <c r="E782" s="26"/>
      <c r="F782" s="26"/>
      <c r="G782" s="26"/>
      <c r="H782" s="26"/>
      <c r="I782" s="39"/>
      <c r="J782" s="26"/>
      <c r="K782" s="26"/>
      <c r="L782" s="26"/>
      <c r="M782" s="26"/>
      <c r="N782" s="26"/>
      <c r="O782" s="26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6"/>
      <c r="D783" s="26"/>
      <c r="E783" s="26"/>
      <c r="F783" s="26"/>
      <c r="G783" s="26"/>
      <c r="H783" s="26"/>
      <c r="I783" s="39"/>
      <c r="J783" s="26"/>
      <c r="K783" s="26"/>
      <c r="L783" s="26"/>
      <c r="M783" s="26"/>
      <c r="N783" s="26"/>
      <c r="O783" s="26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6"/>
      <c r="D784" s="26"/>
      <c r="E784" s="26"/>
      <c r="F784" s="26"/>
      <c r="G784" s="26"/>
      <c r="H784" s="26"/>
      <c r="I784" s="39"/>
      <c r="J784" s="26"/>
      <c r="K784" s="26"/>
      <c r="L784" s="26"/>
      <c r="M784" s="26"/>
      <c r="N784" s="26"/>
      <c r="O784" s="26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6"/>
      <c r="D785" s="26"/>
      <c r="E785" s="26"/>
      <c r="F785" s="26"/>
      <c r="G785" s="26"/>
      <c r="H785" s="26"/>
      <c r="I785" s="39"/>
      <c r="J785" s="26"/>
      <c r="K785" s="26"/>
      <c r="L785" s="26"/>
      <c r="M785" s="26"/>
      <c r="N785" s="26"/>
      <c r="O785" s="26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6"/>
      <c r="D786" s="26"/>
      <c r="E786" s="26"/>
      <c r="F786" s="26"/>
      <c r="G786" s="26"/>
      <c r="H786" s="26"/>
      <c r="I786" s="39"/>
      <c r="J786" s="26"/>
      <c r="K786" s="26"/>
      <c r="L786" s="26"/>
      <c r="M786" s="26"/>
      <c r="N786" s="26"/>
      <c r="O786" s="26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6"/>
      <c r="D787" s="26"/>
      <c r="E787" s="26"/>
      <c r="F787" s="26"/>
      <c r="G787" s="26"/>
      <c r="H787" s="26"/>
      <c r="I787" s="39"/>
      <c r="J787" s="26"/>
      <c r="K787" s="26"/>
      <c r="L787" s="26"/>
      <c r="M787" s="26"/>
      <c r="N787" s="26"/>
      <c r="O787" s="26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6"/>
      <c r="D788" s="26"/>
      <c r="E788" s="26"/>
      <c r="F788" s="26"/>
      <c r="G788" s="26"/>
      <c r="H788" s="26"/>
      <c r="I788" s="39"/>
      <c r="J788" s="26"/>
      <c r="K788" s="26"/>
      <c r="L788" s="26"/>
      <c r="M788" s="26"/>
      <c r="N788" s="26"/>
      <c r="O788" s="26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6"/>
      <c r="D789" s="26"/>
      <c r="E789" s="26"/>
      <c r="F789" s="26"/>
      <c r="G789" s="26"/>
      <c r="H789" s="26"/>
      <c r="I789" s="39"/>
      <c r="J789" s="26"/>
      <c r="K789" s="26"/>
      <c r="L789" s="26"/>
      <c r="M789" s="26"/>
      <c r="N789" s="26"/>
      <c r="O789" s="26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6"/>
      <c r="D790" s="26"/>
      <c r="E790" s="26"/>
      <c r="F790" s="26"/>
      <c r="G790" s="26"/>
      <c r="H790" s="26"/>
      <c r="I790" s="39"/>
      <c r="J790" s="26"/>
      <c r="K790" s="26"/>
      <c r="L790" s="26"/>
      <c r="M790" s="26"/>
      <c r="N790" s="26"/>
      <c r="O790" s="26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6"/>
      <c r="D791" s="26"/>
      <c r="E791" s="26"/>
      <c r="F791" s="26"/>
      <c r="G791" s="26"/>
      <c r="H791" s="26"/>
      <c r="I791" s="39"/>
      <c r="J791" s="26"/>
      <c r="K791" s="26"/>
      <c r="L791" s="26"/>
      <c r="M791" s="26"/>
      <c r="N791" s="26"/>
      <c r="O791" s="26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6"/>
      <c r="D792" s="26"/>
      <c r="E792" s="26"/>
      <c r="F792" s="26"/>
      <c r="G792" s="26"/>
      <c r="H792" s="26"/>
      <c r="I792" s="39"/>
      <c r="J792" s="26"/>
      <c r="K792" s="26"/>
      <c r="L792" s="26"/>
      <c r="M792" s="26"/>
      <c r="N792" s="26"/>
      <c r="O792" s="26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6"/>
      <c r="D793" s="26"/>
      <c r="E793" s="26"/>
      <c r="F793" s="26"/>
      <c r="G793" s="26"/>
      <c r="H793" s="26"/>
      <c r="I793" s="39"/>
      <c r="J793" s="26"/>
      <c r="K793" s="26"/>
      <c r="L793" s="26"/>
      <c r="M793" s="26"/>
      <c r="N793" s="26"/>
      <c r="O793" s="26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6"/>
      <c r="D794" s="26"/>
      <c r="E794" s="26"/>
      <c r="F794" s="26"/>
      <c r="G794" s="26"/>
      <c r="H794" s="26"/>
      <c r="I794" s="39"/>
      <c r="J794" s="26"/>
      <c r="K794" s="26"/>
      <c r="L794" s="26"/>
      <c r="M794" s="26"/>
      <c r="N794" s="26"/>
      <c r="O794" s="26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6"/>
      <c r="D795" s="26"/>
      <c r="E795" s="26"/>
      <c r="F795" s="26"/>
      <c r="G795" s="26"/>
      <c r="H795" s="26"/>
      <c r="I795" s="39"/>
      <c r="J795" s="26"/>
      <c r="K795" s="26"/>
      <c r="L795" s="26"/>
      <c r="M795" s="26"/>
      <c r="N795" s="26"/>
      <c r="O795" s="26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6"/>
      <c r="D796" s="26"/>
      <c r="E796" s="26"/>
      <c r="F796" s="26"/>
      <c r="G796" s="26"/>
      <c r="H796" s="26"/>
      <c r="I796" s="39"/>
      <c r="J796" s="26"/>
      <c r="K796" s="26"/>
      <c r="L796" s="26"/>
      <c r="M796" s="26"/>
      <c r="N796" s="26"/>
      <c r="O796" s="26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6"/>
      <c r="D797" s="26"/>
      <c r="E797" s="26"/>
      <c r="F797" s="26"/>
      <c r="G797" s="26"/>
      <c r="H797" s="26"/>
      <c r="I797" s="39"/>
      <c r="J797" s="26"/>
      <c r="K797" s="26"/>
      <c r="L797" s="26"/>
      <c r="M797" s="26"/>
      <c r="N797" s="26"/>
      <c r="O797" s="26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6"/>
      <c r="D798" s="26"/>
      <c r="E798" s="26"/>
      <c r="F798" s="26"/>
      <c r="G798" s="26"/>
      <c r="H798" s="26"/>
      <c r="I798" s="39"/>
      <c r="J798" s="26"/>
      <c r="K798" s="26"/>
      <c r="L798" s="26"/>
      <c r="M798" s="26"/>
      <c r="N798" s="26"/>
      <c r="O798" s="26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6"/>
      <c r="D799" s="26"/>
      <c r="E799" s="26"/>
      <c r="F799" s="26"/>
      <c r="G799" s="26"/>
      <c r="H799" s="26"/>
      <c r="I799" s="39"/>
      <c r="J799" s="26"/>
      <c r="K799" s="26"/>
      <c r="L799" s="26"/>
      <c r="M799" s="26"/>
      <c r="N799" s="26"/>
      <c r="O799" s="26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6"/>
      <c r="D800" s="26"/>
      <c r="E800" s="26"/>
      <c r="F800" s="26"/>
      <c r="G800" s="26"/>
      <c r="H800" s="26"/>
      <c r="I800" s="39"/>
      <c r="J800" s="26"/>
      <c r="K800" s="26"/>
      <c r="L800" s="26"/>
      <c r="M800" s="26"/>
      <c r="N800" s="26"/>
      <c r="O800" s="26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6"/>
      <c r="D801" s="26"/>
      <c r="E801" s="26"/>
      <c r="F801" s="26"/>
      <c r="G801" s="26"/>
      <c r="H801" s="26"/>
      <c r="I801" s="39"/>
      <c r="J801" s="26"/>
      <c r="K801" s="26"/>
      <c r="L801" s="26"/>
      <c r="M801" s="26"/>
      <c r="N801" s="26"/>
      <c r="O801" s="26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6"/>
      <c r="D802" s="26"/>
      <c r="E802" s="26"/>
      <c r="F802" s="26"/>
      <c r="G802" s="26"/>
      <c r="H802" s="26"/>
      <c r="I802" s="39"/>
      <c r="J802" s="26"/>
      <c r="K802" s="26"/>
      <c r="L802" s="26"/>
      <c r="M802" s="26"/>
      <c r="N802" s="26"/>
      <c r="O802" s="26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6"/>
      <c r="D803" s="26"/>
      <c r="E803" s="26"/>
      <c r="F803" s="26"/>
      <c r="G803" s="26"/>
      <c r="H803" s="26"/>
      <c r="I803" s="39"/>
      <c r="J803" s="26"/>
      <c r="K803" s="26"/>
      <c r="L803" s="26"/>
      <c r="M803" s="26"/>
      <c r="N803" s="26"/>
      <c r="O803" s="26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6"/>
      <c r="D804" s="26"/>
      <c r="E804" s="26"/>
      <c r="F804" s="26"/>
      <c r="G804" s="26"/>
      <c r="H804" s="26"/>
      <c r="I804" s="39"/>
      <c r="J804" s="26"/>
      <c r="K804" s="26"/>
      <c r="L804" s="26"/>
      <c r="M804" s="26"/>
      <c r="N804" s="26"/>
      <c r="O804" s="26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6"/>
      <c r="D805" s="26"/>
      <c r="E805" s="26"/>
      <c r="F805" s="26"/>
      <c r="G805" s="26"/>
      <c r="H805" s="26"/>
      <c r="I805" s="39"/>
      <c r="J805" s="26"/>
      <c r="K805" s="26"/>
      <c r="L805" s="26"/>
      <c r="M805" s="26"/>
      <c r="N805" s="26"/>
      <c r="O805" s="26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6"/>
      <c r="D806" s="26"/>
      <c r="E806" s="26"/>
      <c r="F806" s="26"/>
      <c r="G806" s="26"/>
      <c r="H806" s="26"/>
      <c r="I806" s="39"/>
      <c r="J806" s="26"/>
      <c r="K806" s="26"/>
      <c r="L806" s="26"/>
      <c r="M806" s="26"/>
      <c r="N806" s="26"/>
      <c r="O806" s="26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6"/>
      <c r="D807" s="26"/>
      <c r="E807" s="26"/>
      <c r="F807" s="26"/>
      <c r="G807" s="26"/>
      <c r="H807" s="26"/>
      <c r="I807" s="39"/>
      <c r="J807" s="26"/>
      <c r="K807" s="26"/>
      <c r="L807" s="26"/>
      <c r="M807" s="26"/>
      <c r="N807" s="26"/>
      <c r="O807" s="26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6"/>
      <c r="D808" s="26"/>
      <c r="E808" s="26"/>
      <c r="F808" s="26"/>
      <c r="G808" s="26"/>
      <c r="H808" s="26"/>
      <c r="I808" s="39"/>
      <c r="J808" s="26"/>
      <c r="K808" s="26"/>
      <c r="L808" s="26"/>
      <c r="M808" s="26"/>
      <c r="N808" s="26"/>
      <c r="O808" s="26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6"/>
      <c r="D809" s="26"/>
      <c r="E809" s="26"/>
      <c r="F809" s="26"/>
      <c r="G809" s="26"/>
      <c r="H809" s="26"/>
      <c r="I809" s="39"/>
      <c r="J809" s="26"/>
      <c r="K809" s="26"/>
      <c r="L809" s="26"/>
      <c r="M809" s="26"/>
      <c r="N809" s="26"/>
      <c r="O809" s="26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6"/>
      <c r="D810" s="26"/>
      <c r="E810" s="26"/>
      <c r="F810" s="26"/>
      <c r="G810" s="26"/>
      <c r="H810" s="26"/>
      <c r="I810" s="39"/>
      <c r="J810" s="26"/>
      <c r="K810" s="26"/>
      <c r="L810" s="26"/>
      <c r="M810" s="26"/>
      <c r="N810" s="26"/>
      <c r="O810" s="26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6"/>
      <c r="D811" s="26"/>
      <c r="E811" s="26"/>
      <c r="F811" s="26"/>
      <c r="G811" s="26"/>
      <c r="H811" s="26"/>
      <c r="I811" s="39"/>
      <c r="J811" s="26"/>
      <c r="K811" s="26"/>
      <c r="L811" s="26"/>
      <c r="M811" s="26"/>
      <c r="N811" s="26"/>
      <c r="O811" s="26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6"/>
      <c r="D812" s="26"/>
      <c r="E812" s="26"/>
      <c r="F812" s="26"/>
      <c r="G812" s="26"/>
      <c r="H812" s="26"/>
      <c r="I812" s="39"/>
      <c r="J812" s="26"/>
      <c r="K812" s="26"/>
      <c r="L812" s="26"/>
      <c r="M812" s="26"/>
      <c r="N812" s="26"/>
      <c r="O812" s="26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6"/>
      <c r="D813" s="26"/>
      <c r="E813" s="26"/>
      <c r="F813" s="26"/>
      <c r="G813" s="26"/>
      <c r="H813" s="26"/>
      <c r="I813" s="39"/>
      <c r="J813" s="26"/>
      <c r="K813" s="26"/>
      <c r="L813" s="26"/>
      <c r="M813" s="26"/>
      <c r="N813" s="26"/>
      <c r="O813" s="26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6"/>
      <c r="D814" s="26"/>
      <c r="E814" s="26"/>
      <c r="F814" s="26"/>
      <c r="G814" s="26"/>
      <c r="H814" s="26"/>
      <c r="I814" s="39"/>
      <c r="J814" s="26"/>
      <c r="K814" s="26"/>
      <c r="L814" s="26"/>
      <c r="M814" s="26"/>
      <c r="N814" s="26"/>
      <c r="O814" s="26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6"/>
      <c r="D815" s="26"/>
      <c r="E815" s="26"/>
      <c r="F815" s="26"/>
      <c r="G815" s="26"/>
      <c r="H815" s="26"/>
      <c r="I815" s="39"/>
      <c r="J815" s="26"/>
      <c r="K815" s="26"/>
      <c r="L815" s="26"/>
      <c r="M815" s="26"/>
      <c r="N815" s="26"/>
      <c r="O815" s="26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6"/>
      <c r="D816" s="26"/>
      <c r="E816" s="26"/>
      <c r="F816" s="26"/>
      <c r="G816" s="26"/>
      <c r="H816" s="26"/>
      <c r="I816" s="39"/>
      <c r="J816" s="26"/>
      <c r="K816" s="26"/>
      <c r="L816" s="26"/>
      <c r="M816" s="26"/>
      <c r="N816" s="26"/>
      <c r="O816" s="26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6"/>
      <c r="D817" s="26"/>
      <c r="E817" s="26"/>
      <c r="F817" s="26"/>
      <c r="G817" s="26"/>
      <c r="H817" s="26"/>
      <c r="I817" s="39"/>
      <c r="J817" s="26"/>
      <c r="K817" s="26"/>
      <c r="L817" s="26"/>
      <c r="M817" s="26"/>
      <c r="N817" s="26"/>
      <c r="O817" s="26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6"/>
      <c r="D818" s="26"/>
      <c r="E818" s="26"/>
      <c r="F818" s="26"/>
      <c r="G818" s="26"/>
      <c r="H818" s="26"/>
      <c r="I818" s="39"/>
      <c r="J818" s="26"/>
      <c r="K818" s="26"/>
      <c r="L818" s="26"/>
      <c r="M818" s="26"/>
      <c r="N818" s="26"/>
      <c r="O818" s="26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6"/>
      <c r="D819" s="26"/>
      <c r="E819" s="26"/>
      <c r="F819" s="26"/>
      <c r="G819" s="26"/>
      <c r="H819" s="26"/>
      <c r="I819" s="39"/>
      <c r="J819" s="26"/>
      <c r="K819" s="26"/>
      <c r="L819" s="26"/>
      <c r="M819" s="26"/>
      <c r="N819" s="26"/>
      <c r="O819" s="26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6"/>
      <c r="D820" s="26"/>
      <c r="E820" s="26"/>
      <c r="F820" s="26"/>
      <c r="G820" s="26"/>
      <c r="H820" s="26"/>
      <c r="I820" s="39"/>
      <c r="J820" s="26"/>
      <c r="K820" s="26"/>
      <c r="L820" s="26"/>
      <c r="M820" s="26"/>
      <c r="N820" s="26"/>
      <c r="O820" s="26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6"/>
      <c r="D821" s="26"/>
      <c r="E821" s="26"/>
      <c r="F821" s="26"/>
      <c r="G821" s="26"/>
      <c r="H821" s="26"/>
      <c r="I821" s="39"/>
      <c r="J821" s="26"/>
      <c r="K821" s="26"/>
      <c r="L821" s="26"/>
      <c r="M821" s="26"/>
      <c r="N821" s="26"/>
      <c r="O821" s="26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6"/>
      <c r="D822" s="26"/>
      <c r="E822" s="26"/>
      <c r="F822" s="26"/>
      <c r="G822" s="26"/>
      <c r="H822" s="26"/>
      <c r="I822" s="39"/>
      <c r="J822" s="26"/>
      <c r="K822" s="26"/>
      <c r="L822" s="26"/>
      <c r="M822" s="26"/>
      <c r="N822" s="26"/>
      <c r="O822" s="26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6"/>
      <c r="D823" s="26"/>
      <c r="E823" s="26"/>
      <c r="F823" s="26"/>
      <c r="G823" s="26"/>
      <c r="H823" s="26"/>
      <c r="I823" s="39"/>
      <c r="J823" s="26"/>
      <c r="K823" s="26"/>
      <c r="L823" s="26"/>
      <c r="M823" s="26"/>
      <c r="N823" s="26"/>
      <c r="O823" s="26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6"/>
      <c r="D824" s="26"/>
      <c r="E824" s="26"/>
      <c r="F824" s="26"/>
      <c r="G824" s="26"/>
      <c r="H824" s="26"/>
      <c r="I824" s="39"/>
      <c r="J824" s="26"/>
      <c r="K824" s="26"/>
      <c r="L824" s="26"/>
      <c r="M824" s="26"/>
      <c r="N824" s="26"/>
      <c r="O824" s="26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6"/>
      <c r="D825" s="26"/>
      <c r="E825" s="26"/>
      <c r="F825" s="26"/>
      <c r="G825" s="26"/>
      <c r="H825" s="26"/>
      <c r="I825" s="39"/>
      <c r="J825" s="26"/>
      <c r="K825" s="26"/>
      <c r="L825" s="26"/>
      <c r="M825" s="26"/>
      <c r="N825" s="26"/>
      <c r="O825" s="26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6"/>
      <c r="D826" s="26"/>
      <c r="E826" s="26"/>
      <c r="F826" s="26"/>
      <c r="G826" s="26"/>
      <c r="H826" s="26"/>
      <c r="I826" s="39"/>
      <c r="J826" s="26"/>
      <c r="K826" s="26"/>
      <c r="L826" s="26"/>
      <c r="M826" s="26"/>
      <c r="N826" s="26"/>
      <c r="O826" s="26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6"/>
      <c r="D827" s="26"/>
      <c r="E827" s="26"/>
      <c r="F827" s="26"/>
      <c r="G827" s="26"/>
      <c r="H827" s="26"/>
      <c r="I827" s="39"/>
      <c r="J827" s="26"/>
      <c r="K827" s="26"/>
      <c r="L827" s="26"/>
      <c r="M827" s="26"/>
      <c r="N827" s="26"/>
      <c r="O827" s="26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6"/>
      <c r="D828" s="26"/>
      <c r="E828" s="26"/>
      <c r="F828" s="26"/>
      <c r="G828" s="26"/>
      <c r="H828" s="26"/>
      <c r="I828" s="39"/>
      <c r="J828" s="26"/>
      <c r="K828" s="26"/>
      <c r="L828" s="26"/>
      <c r="M828" s="26"/>
      <c r="N828" s="26"/>
      <c r="O828" s="26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6"/>
      <c r="D829" s="26"/>
      <c r="E829" s="26"/>
      <c r="F829" s="26"/>
      <c r="G829" s="26"/>
      <c r="H829" s="26"/>
      <c r="I829" s="39"/>
      <c r="J829" s="26"/>
      <c r="K829" s="26"/>
      <c r="L829" s="26"/>
      <c r="M829" s="26"/>
      <c r="N829" s="26"/>
      <c r="O829" s="26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6"/>
      <c r="D830" s="26"/>
      <c r="E830" s="26"/>
      <c r="F830" s="26"/>
      <c r="G830" s="26"/>
      <c r="H830" s="26"/>
      <c r="I830" s="39"/>
      <c r="J830" s="26"/>
      <c r="K830" s="26"/>
      <c r="L830" s="26"/>
      <c r="M830" s="26"/>
      <c r="N830" s="26"/>
      <c r="O830" s="26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6"/>
      <c r="D831" s="26"/>
      <c r="E831" s="26"/>
      <c r="F831" s="26"/>
      <c r="G831" s="26"/>
      <c r="H831" s="26"/>
      <c r="I831" s="39"/>
      <c r="J831" s="26"/>
      <c r="K831" s="26"/>
      <c r="L831" s="26"/>
      <c r="M831" s="26"/>
      <c r="N831" s="26"/>
      <c r="O831" s="26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6"/>
      <c r="D832" s="26"/>
      <c r="E832" s="26"/>
      <c r="F832" s="26"/>
      <c r="G832" s="26"/>
      <c r="H832" s="26"/>
      <c r="I832" s="39"/>
      <c r="J832" s="26"/>
      <c r="K832" s="26"/>
      <c r="L832" s="26"/>
      <c r="M832" s="26"/>
      <c r="N832" s="26"/>
      <c r="O832" s="26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6"/>
      <c r="D833" s="26"/>
      <c r="E833" s="26"/>
      <c r="F833" s="26"/>
      <c r="G833" s="26"/>
      <c r="H833" s="26"/>
      <c r="I833" s="39"/>
      <c r="J833" s="26"/>
      <c r="K833" s="26"/>
      <c r="L833" s="26"/>
      <c r="M833" s="26"/>
      <c r="N833" s="26"/>
      <c r="O833" s="26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6"/>
      <c r="D834" s="26"/>
      <c r="E834" s="26"/>
      <c r="F834" s="26"/>
      <c r="G834" s="26"/>
      <c r="H834" s="26"/>
      <c r="I834" s="39"/>
      <c r="J834" s="26"/>
      <c r="K834" s="26"/>
      <c r="L834" s="26"/>
      <c r="M834" s="26"/>
      <c r="N834" s="26"/>
      <c r="O834" s="26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6"/>
      <c r="D835" s="26"/>
      <c r="E835" s="26"/>
      <c r="F835" s="26"/>
      <c r="G835" s="26"/>
      <c r="H835" s="26"/>
      <c r="I835" s="39"/>
      <c r="J835" s="26"/>
      <c r="K835" s="26"/>
      <c r="L835" s="26"/>
      <c r="M835" s="26"/>
      <c r="N835" s="26"/>
      <c r="O835" s="26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6"/>
      <c r="D836" s="26"/>
      <c r="E836" s="26"/>
      <c r="F836" s="26"/>
      <c r="G836" s="26"/>
      <c r="H836" s="26"/>
      <c r="I836" s="39"/>
      <c r="J836" s="26"/>
      <c r="K836" s="26"/>
      <c r="L836" s="26"/>
      <c r="M836" s="26"/>
      <c r="N836" s="26"/>
      <c r="O836" s="26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6"/>
      <c r="D837" s="26"/>
      <c r="E837" s="26"/>
      <c r="F837" s="26"/>
      <c r="G837" s="26"/>
      <c r="H837" s="26"/>
      <c r="I837" s="39"/>
      <c r="J837" s="26"/>
      <c r="K837" s="26"/>
      <c r="L837" s="26"/>
      <c r="M837" s="26"/>
      <c r="N837" s="26"/>
      <c r="O837" s="26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6"/>
      <c r="D838" s="26"/>
      <c r="E838" s="26"/>
      <c r="F838" s="26"/>
      <c r="G838" s="26"/>
      <c r="H838" s="26"/>
      <c r="I838" s="39"/>
      <c r="J838" s="26"/>
      <c r="K838" s="26"/>
      <c r="L838" s="26"/>
      <c r="M838" s="26"/>
      <c r="N838" s="26"/>
      <c r="O838" s="26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6"/>
      <c r="D839" s="26"/>
      <c r="E839" s="26"/>
      <c r="F839" s="26"/>
      <c r="G839" s="26"/>
      <c r="H839" s="26"/>
      <c r="I839" s="39"/>
      <c r="J839" s="26"/>
      <c r="K839" s="26"/>
      <c r="L839" s="26"/>
      <c r="M839" s="26"/>
      <c r="N839" s="26"/>
      <c r="O839" s="26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6"/>
      <c r="D840" s="26"/>
      <c r="E840" s="26"/>
      <c r="F840" s="26"/>
      <c r="G840" s="26"/>
      <c r="H840" s="26"/>
      <c r="I840" s="39"/>
      <c r="J840" s="26"/>
      <c r="K840" s="26"/>
      <c r="L840" s="26"/>
      <c r="M840" s="26"/>
      <c r="N840" s="26"/>
      <c r="O840" s="26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6"/>
      <c r="D841" s="26"/>
      <c r="E841" s="26"/>
      <c r="F841" s="26"/>
      <c r="G841" s="26"/>
      <c r="H841" s="26"/>
      <c r="I841" s="39"/>
      <c r="J841" s="26"/>
      <c r="K841" s="26"/>
      <c r="L841" s="26"/>
      <c r="M841" s="26"/>
      <c r="N841" s="26"/>
      <c r="O841" s="26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6"/>
      <c r="D842" s="26"/>
      <c r="E842" s="26"/>
      <c r="F842" s="26"/>
      <c r="G842" s="26"/>
      <c r="H842" s="26"/>
      <c r="I842" s="39"/>
      <c r="J842" s="26"/>
      <c r="K842" s="26"/>
      <c r="L842" s="26"/>
      <c r="M842" s="26"/>
      <c r="N842" s="26"/>
      <c r="O842" s="26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6"/>
      <c r="D843" s="26"/>
      <c r="E843" s="26"/>
      <c r="F843" s="26"/>
      <c r="G843" s="26"/>
      <c r="H843" s="26"/>
      <c r="I843" s="39"/>
      <c r="J843" s="26"/>
      <c r="K843" s="26"/>
      <c r="L843" s="26"/>
      <c r="M843" s="26"/>
      <c r="N843" s="26"/>
      <c r="O843" s="26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6"/>
      <c r="D844" s="26"/>
      <c r="E844" s="26"/>
      <c r="F844" s="26"/>
      <c r="G844" s="26"/>
      <c r="H844" s="26"/>
      <c r="I844" s="39"/>
      <c r="J844" s="26"/>
      <c r="K844" s="26"/>
      <c r="L844" s="26"/>
      <c r="M844" s="26"/>
      <c r="N844" s="26"/>
      <c r="O844" s="26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6"/>
      <c r="D845" s="26"/>
      <c r="E845" s="26"/>
      <c r="F845" s="26"/>
      <c r="G845" s="26"/>
      <c r="H845" s="26"/>
      <c r="I845" s="39"/>
      <c r="J845" s="26"/>
      <c r="K845" s="26"/>
      <c r="L845" s="26"/>
      <c r="M845" s="26"/>
      <c r="N845" s="26"/>
      <c r="O845" s="26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6"/>
      <c r="D846" s="26"/>
      <c r="E846" s="26"/>
      <c r="F846" s="26"/>
      <c r="G846" s="26"/>
      <c r="H846" s="26"/>
      <c r="I846" s="39"/>
      <c r="J846" s="26"/>
      <c r="K846" s="26"/>
      <c r="L846" s="26"/>
      <c r="M846" s="26"/>
      <c r="N846" s="26"/>
      <c r="O846" s="26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6"/>
      <c r="D847" s="26"/>
      <c r="E847" s="26"/>
      <c r="F847" s="26"/>
      <c r="G847" s="26"/>
      <c r="H847" s="26"/>
      <c r="I847" s="39"/>
      <c r="J847" s="26"/>
      <c r="K847" s="26"/>
      <c r="L847" s="26"/>
      <c r="M847" s="26"/>
      <c r="N847" s="26"/>
      <c r="O847" s="26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6"/>
      <c r="D848" s="26"/>
      <c r="E848" s="26"/>
      <c r="F848" s="26"/>
      <c r="G848" s="26"/>
      <c r="H848" s="26"/>
      <c r="I848" s="39"/>
      <c r="J848" s="26"/>
      <c r="K848" s="26"/>
      <c r="L848" s="26"/>
      <c r="M848" s="26"/>
      <c r="N848" s="26"/>
      <c r="O848" s="26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6"/>
      <c r="D849" s="26"/>
      <c r="E849" s="26"/>
      <c r="F849" s="26"/>
      <c r="G849" s="26"/>
      <c r="H849" s="26"/>
      <c r="I849" s="39"/>
      <c r="J849" s="26"/>
      <c r="K849" s="26"/>
      <c r="L849" s="26"/>
      <c r="M849" s="26"/>
      <c r="N849" s="26"/>
      <c r="O849" s="26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6"/>
      <c r="D850" s="26"/>
      <c r="E850" s="26"/>
      <c r="F850" s="26"/>
      <c r="G850" s="26"/>
      <c r="H850" s="26"/>
      <c r="I850" s="39"/>
      <c r="J850" s="26"/>
      <c r="K850" s="26"/>
      <c r="L850" s="26"/>
      <c r="M850" s="26"/>
      <c r="N850" s="26"/>
      <c r="O850" s="26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6"/>
      <c r="D851" s="26"/>
      <c r="E851" s="26"/>
      <c r="F851" s="26"/>
      <c r="G851" s="26"/>
      <c r="H851" s="26"/>
      <c r="I851" s="39"/>
      <c r="J851" s="26"/>
      <c r="K851" s="26"/>
      <c r="L851" s="26"/>
      <c r="M851" s="26"/>
      <c r="N851" s="26"/>
      <c r="O851" s="26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6"/>
      <c r="D852" s="26"/>
      <c r="E852" s="26"/>
      <c r="F852" s="26"/>
      <c r="G852" s="26"/>
      <c r="H852" s="26"/>
      <c r="I852" s="39"/>
      <c r="J852" s="26"/>
      <c r="K852" s="26"/>
      <c r="L852" s="26"/>
      <c r="M852" s="26"/>
      <c r="N852" s="26"/>
      <c r="O852" s="26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6"/>
      <c r="D853" s="26"/>
      <c r="E853" s="26"/>
      <c r="F853" s="26"/>
      <c r="G853" s="26"/>
      <c r="H853" s="26"/>
      <c r="I853" s="39"/>
      <c r="J853" s="26"/>
      <c r="K853" s="26"/>
      <c r="L853" s="26"/>
      <c r="M853" s="26"/>
      <c r="N853" s="26"/>
      <c r="O853" s="26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6"/>
      <c r="D854" s="26"/>
      <c r="E854" s="26"/>
      <c r="F854" s="26"/>
      <c r="G854" s="26"/>
      <c r="H854" s="26"/>
      <c r="I854" s="39"/>
      <c r="J854" s="26"/>
      <c r="K854" s="26"/>
      <c r="L854" s="26"/>
      <c r="M854" s="26"/>
      <c r="N854" s="26"/>
      <c r="O854" s="26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6"/>
      <c r="D855" s="26"/>
      <c r="E855" s="26"/>
      <c r="F855" s="26"/>
      <c r="G855" s="26"/>
      <c r="H855" s="26"/>
      <c r="I855" s="39"/>
      <c r="J855" s="26"/>
      <c r="K855" s="26"/>
      <c r="L855" s="26"/>
      <c r="M855" s="26"/>
      <c r="N855" s="26"/>
      <c r="O855" s="26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6"/>
      <c r="D856" s="26"/>
      <c r="E856" s="26"/>
      <c r="F856" s="26"/>
      <c r="G856" s="26"/>
      <c r="H856" s="26"/>
      <c r="I856" s="39"/>
      <c r="J856" s="26"/>
      <c r="K856" s="26"/>
      <c r="L856" s="26"/>
      <c r="M856" s="26"/>
      <c r="N856" s="26"/>
      <c r="O856" s="26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6"/>
      <c r="D857" s="26"/>
      <c r="E857" s="26"/>
      <c r="F857" s="26"/>
      <c r="G857" s="26"/>
      <c r="H857" s="26"/>
      <c r="I857" s="39"/>
      <c r="J857" s="26"/>
      <c r="K857" s="26"/>
      <c r="L857" s="26"/>
      <c r="M857" s="26"/>
      <c r="N857" s="26"/>
      <c r="O857" s="26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6"/>
      <c r="D858" s="26"/>
      <c r="E858" s="26"/>
      <c r="F858" s="26"/>
      <c r="G858" s="26"/>
      <c r="H858" s="26"/>
      <c r="I858" s="39"/>
      <c r="J858" s="26"/>
      <c r="K858" s="26"/>
      <c r="L858" s="26"/>
      <c r="M858" s="26"/>
      <c r="N858" s="26"/>
      <c r="O858" s="26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6"/>
      <c r="D859" s="26"/>
      <c r="E859" s="26"/>
      <c r="F859" s="26"/>
      <c r="G859" s="26"/>
      <c r="H859" s="26"/>
      <c r="I859" s="39"/>
      <c r="J859" s="26"/>
      <c r="K859" s="26"/>
      <c r="L859" s="26"/>
      <c r="M859" s="26"/>
      <c r="N859" s="26"/>
      <c r="O859" s="26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6"/>
      <c r="D860" s="26"/>
      <c r="E860" s="26"/>
      <c r="F860" s="26"/>
      <c r="G860" s="26"/>
      <c r="H860" s="26"/>
      <c r="I860" s="39"/>
      <c r="J860" s="26"/>
      <c r="K860" s="26"/>
      <c r="L860" s="26"/>
      <c r="M860" s="26"/>
      <c r="N860" s="26"/>
      <c r="O860" s="26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6"/>
      <c r="D861" s="26"/>
      <c r="E861" s="26"/>
      <c r="F861" s="26"/>
      <c r="G861" s="26"/>
      <c r="H861" s="26"/>
      <c r="I861" s="39"/>
      <c r="J861" s="26"/>
      <c r="K861" s="26"/>
      <c r="L861" s="26"/>
      <c r="M861" s="26"/>
      <c r="N861" s="26"/>
      <c r="O861" s="26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6"/>
      <c r="D862" s="26"/>
      <c r="E862" s="26"/>
      <c r="F862" s="26"/>
      <c r="G862" s="26"/>
      <c r="H862" s="26"/>
      <c r="I862" s="39"/>
      <c r="J862" s="26"/>
      <c r="K862" s="26"/>
      <c r="L862" s="26"/>
      <c r="M862" s="26"/>
      <c r="N862" s="26"/>
      <c r="O862" s="26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6"/>
      <c r="D863" s="26"/>
      <c r="E863" s="26"/>
      <c r="F863" s="26"/>
      <c r="G863" s="26"/>
      <c r="H863" s="26"/>
      <c r="I863" s="39"/>
      <c r="J863" s="26"/>
      <c r="K863" s="26"/>
      <c r="L863" s="26"/>
      <c r="M863" s="26"/>
      <c r="N863" s="26"/>
      <c r="O863" s="26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6"/>
      <c r="D864" s="26"/>
      <c r="E864" s="26"/>
      <c r="F864" s="26"/>
      <c r="G864" s="26"/>
      <c r="H864" s="26"/>
      <c r="I864" s="39"/>
      <c r="J864" s="26"/>
      <c r="K864" s="26"/>
      <c r="L864" s="26"/>
      <c r="M864" s="26"/>
      <c r="N864" s="26"/>
      <c r="O864" s="26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6"/>
      <c r="D865" s="26"/>
      <c r="E865" s="26"/>
      <c r="F865" s="26"/>
      <c r="G865" s="26"/>
      <c r="H865" s="26"/>
      <c r="I865" s="39"/>
      <c r="J865" s="26"/>
      <c r="K865" s="26"/>
      <c r="L865" s="26"/>
      <c r="M865" s="26"/>
      <c r="N865" s="26"/>
      <c r="O865" s="26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6"/>
      <c r="D866" s="26"/>
      <c r="E866" s="26"/>
      <c r="F866" s="26"/>
      <c r="G866" s="26"/>
      <c r="H866" s="26"/>
      <c r="I866" s="39"/>
      <c r="J866" s="26"/>
      <c r="K866" s="26"/>
      <c r="L866" s="26"/>
      <c r="M866" s="26"/>
      <c r="N866" s="26"/>
      <c r="O866" s="26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6"/>
      <c r="D867" s="26"/>
      <c r="E867" s="26"/>
      <c r="F867" s="26"/>
      <c r="G867" s="26"/>
      <c r="H867" s="26"/>
      <c r="I867" s="39"/>
      <c r="J867" s="26"/>
      <c r="K867" s="26"/>
      <c r="L867" s="26"/>
      <c r="M867" s="26"/>
      <c r="N867" s="26"/>
      <c r="O867" s="26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6"/>
      <c r="D868" s="26"/>
      <c r="E868" s="26"/>
      <c r="F868" s="26"/>
      <c r="G868" s="26"/>
      <c r="H868" s="26"/>
      <c r="I868" s="39"/>
      <c r="J868" s="26"/>
      <c r="K868" s="26"/>
      <c r="L868" s="26"/>
      <c r="M868" s="26"/>
      <c r="N868" s="26"/>
      <c r="O868" s="26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6"/>
      <c r="D869" s="26"/>
      <c r="E869" s="26"/>
      <c r="F869" s="26"/>
      <c r="G869" s="26"/>
      <c r="H869" s="26"/>
      <c r="I869" s="39"/>
      <c r="J869" s="26"/>
      <c r="K869" s="26"/>
      <c r="L869" s="26"/>
      <c r="M869" s="26"/>
      <c r="N869" s="26"/>
      <c r="O869" s="26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6"/>
      <c r="D870" s="26"/>
      <c r="E870" s="26"/>
      <c r="F870" s="26"/>
      <c r="G870" s="26"/>
      <c r="H870" s="26"/>
      <c r="I870" s="39"/>
      <c r="J870" s="26"/>
      <c r="K870" s="26"/>
      <c r="L870" s="26"/>
      <c r="M870" s="26"/>
      <c r="N870" s="26"/>
      <c r="O870" s="26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6"/>
      <c r="D871" s="26"/>
      <c r="E871" s="26"/>
      <c r="F871" s="26"/>
      <c r="G871" s="26"/>
      <c r="H871" s="26"/>
      <c r="I871" s="39"/>
      <c r="J871" s="26"/>
      <c r="K871" s="26"/>
      <c r="L871" s="26"/>
      <c r="M871" s="26"/>
      <c r="N871" s="26"/>
      <c r="O871" s="26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6"/>
      <c r="D872" s="26"/>
      <c r="E872" s="26"/>
      <c r="F872" s="26"/>
      <c r="G872" s="26"/>
      <c r="H872" s="26"/>
      <c r="I872" s="39"/>
      <c r="J872" s="26"/>
      <c r="K872" s="26"/>
      <c r="L872" s="26"/>
      <c r="M872" s="26"/>
      <c r="N872" s="26"/>
      <c r="O872" s="26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6"/>
      <c r="D873" s="26"/>
      <c r="E873" s="26"/>
      <c r="F873" s="26"/>
      <c r="G873" s="26"/>
      <c r="H873" s="26"/>
      <c r="I873" s="39"/>
      <c r="J873" s="26"/>
      <c r="K873" s="26"/>
      <c r="L873" s="26"/>
      <c r="M873" s="26"/>
      <c r="N873" s="26"/>
      <c r="O873" s="26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6"/>
      <c r="D874" s="26"/>
      <c r="E874" s="26"/>
      <c r="F874" s="26"/>
      <c r="G874" s="26"/>
      <c r="H874" s="26"/>
      <c r="I874" s="39"/>
      <c r="J874" s="26"/>
      <c r="K874" s="26"/>
      <c r="L874" s="26"/>
      <c r="M874" s="26"/>
      <c r="N874" s="26"/>
      <c r="O874" s="26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6"/>
      <c r="D875" s="26"/>
      <c r="E875" s="26"/>
      <c r="F875" s="26"/>
      <c r="G875" s="26"/>
      <c r="H875" s="26"/>
      <c r="I875" s="39"/>
      <c r="J875" s="26"/>
      <c r="K875" s="26"/>
      <c r="L875" s="26"/>
      <c r="M875" s="26"/>
      <c r="N875" s="26"/>
      <c r="O875" s="26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6"/>
      <c r="D876" s="26"/>
      <c r="E876" s="26"/>
      <c r="F876" s="26"/>
      <c r="G876" s="26"/>
      <c r="H876" s="26"/>
      <c r="I876" s="39"/>
      <c r="J876" s="26"/>
      <c r="K876" s="26"/>
      <c r="L876" s="26"/>
      <c r="M876" s="26"/>
      <c r="N876" s="26"/>
      <c r="O876" s="26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6"/>
      <c r="D877" s="26"/>
      <c r="E877" s="26"/>
      <c r="F877" s="26"/>
      <c r="G877" s="26"/>
      <c r="H877" s="26"/>
      <c r="I877" s="39"/>
      <c r="J877" s="26"/>
      <c r="K877" s="26"/>
      <c r="L877" s="26"/>
      <c r="M877" s="26"/>
      <c r="N877" s="26"/>
      <c r="O877" s="26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6"/>
      <c r="D878" s="26"/>
      <c r="E878" s="26"/>
      <c r="F878" s="26"/>
      <c r="G878" s="26"/>
      <c r="H878" s="26"/>
      <c r="I878" s="39"/>
      <c r="J878" s="26"/>
      <c r="K878" s="26"/>
      <c r="L878" s="26"/>
      <c r="M878" s="26"/>
      <c r="N878" s="26"/>
      <c r="O878" s="26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6"/>
      <c r="D879" s="26"/>
      <c r="E879" s="26"/>
      <c r="F879" s="26"/>
      <c r="G879" s="26"/>
      <c r="H879" s="26"/>
      <c r="I879" s="39"/>
      <c r="J879" s="26"/>
      <c r="K879" s="26"/>
      <c r="L879" s="26"/>
      <c r="M879" s="26"/>
      <c r="N879" s="26"/>
      <c r="O879" s="26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6"/>
      <c r="D880" s="26"/>
      <c r="E880" s="26"/>
      <c r="F880" s="26"/>
      <c r="G880" s="26"/>
      <c r="H880" s="26"/>
      <c r="I880" s="39"/>
      <c r="J880" s="26"/>
      <c r="K880" s="26"/>
      <c r="L880" s="26"/>
      <c r="M880" s="26"/>
      <c r="N880" s="26"/>
      <c r="O880" s="26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6"/>
      <c r="D881" s="26"/>
      <c r="E881" s="26"/>
      <c r="F881" s="26"/>
      <c r="G881" s="26"/>
      <c r="H881" s="26"/>
      <c r="I881" s="39"/>
      <c r="J881" s="26"/>
      <c r="K881" s="26"/>
      <c r="L881" s="26"/>
      <c r="M881" s="26"/>
      <c r="N881" s="26"/>
      <c r="O881" s="26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6"/>
      <c r="D882" s="26"/>
      <c r="E882" s="26"/>
      <c r="F882" s="26"/>
      <c r="G882" s="26"/>
      <c r="H882" s="26"/>
      <c r="I882" s="39"/>
      <c r="J882" s="26"/>
      <c r="K882" s="26"/>
      <c r="L882" s="26"/>
      <c r="M882" s="26"/>
      <c r="N882" s="26"/>
      <c r="O882" s="26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6"/>
      <c r="D883" s="26"/>
      <c r="E883" s="26"/>
      <c r="F883" s="26"/>
      <c r="G883" s="26"/>
      <c r="H883" s="26"/>
      <c r="I883" s="39"/>
      <c r="J883" s="26"/>
      <c r="K883" s="26"/>
      <c r="L883" s="26"/>
      <c r="M883" s="26"/>
      <c r="N883" s="26"/>
      <c r="O883" s="26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6"/>
      <c r="D884" s="26"/>
      <c r="E884" s="26"/>
      <c r="F884" s="26"/>
      <c r="G884" s="26"/>
      <c r="H884" s="26"/>
      <c r="I884" s="39"/>
      <c r="J884" s="26"/>
      <c r="K884" s="26"/>
      <c r="L884" s="26"/>
      <c r="M884" s="26"/>
      <c r="N884" s="26"/>
      <c r="O884" s="26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6"/>
      <c r="D885" s="26"/>
      <c r="E885" s="26"/>
      <c r="F885" s="26"/>
      <c r="G885" s="26"/>
      <c r="H885" s="26"/>
      <c r="I885" s="39"/>
      <c r="J885" s="26"/>
      <c r="K885" s="26"/>
      <c r="L885" s="26"/>
      <c r="M885" s="26"/>
      <c r="N885" s="26"/>
      <c r="O885" s="26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6"/>
      <c r="D886" s="26"/>
      <c r="E886" s="26"/>
      <c r="F886" s="26"/>
      <c r="G886" s="26"/>
      <c r="H886" s="26"/>
      <c r="I886" s="39"/>
      <c r="J886" s="26"/>
      <c r="K886" s="26"/>
      <c r="L886" s="26"/>
      <c r="M886" s="26"/>
      <c r="N886" s="26"/>
      <c r="O886" s="26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6"/>
      <c r="D887" s="26"/>
      <c r="E887" s="26"/>
      <c r="F887" s="26"/>
      <c r="G887" s="26"/>
      <c r="H887" s="26"/>
      <c r="I887" s="39"/>
      <c r="J887" s="26"/>
      <c r="K887" s="26"/>
      <c r="L887" s="26"/>
      <c r="M887" s="26"/>
      <c r="N887" s="26"/>
      <c r="O887" s="26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6"/>
      <c r="D888" s="26"/>
      <c r="E888" s="26"/>
      <c r="F888" s="26"/>
      <c r="G888" s="26"/>
      <c r="H888" s="26"/>
      <c r="I888" s="39"/>
      <c r="J888" s="26"/>
      <c r="K888" s="26"/>
      <c r="L888" s="26"/>
      <c r="M888" s="26"/>
      <c r="N888" s="26"/>
      <c r="O888" s="26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6"/>
      <c r="D889" s="26"/>
      <c r="E889" s="26"/>
      <c r="F889" s="26"/>
      <c r="G889" s="26"/>
      <c r="H889" s="26"/>
      <c r="I889" s="39"/>
      <c r="J889" s="26"/>
      <c r="K889" s="26"/>
      <c r="L889" s="26"/>
      <c r="M889" s="26"/>
      <c r="N889" s="26"/>
      <c r="O889" s="26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6"/>
      <c r="D890" s="26"/>
      <c r="E890" s="26"/>
      <c r="F890" s="26"/>
      <c r="G890" s="26"/>
      <c r="H890" s="26"/>
      <c r="I890" s="39"/>
      <c r="J890" s="26"/>
      <c r="K890" s="26"/>
      <c r="L890" s="26"/>
      <c r="M890" s="26"/>
      <c r="N890" s="26"/>
      <c r="O890" s="26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6"/>
      <c r="D891" s="26"/>
      <c r="E891" s="26"/>
      <c r="F891" s="26"/>
      <c r="G891" s="26"/>
      <c r="H891" s="26"/>
      <c r="I891" s="39"/>
      <c r="J891" s="26"/>
      <c r="K891" s="26"/>
      <c r="L891" s="26"/>
      <c r="M891" s="26"/>
      <c r="N891" s="26"/>
      <c r="O891" s="26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6"/>
      <c r="D892" s="26"/>
      <c r="E892" s="26"/>
      <c r="F892" s="26"/>
      <c r="G892" s="26"/>
      <c r="H892" s="26"/>
      <c r="I892" s="39"/>
      <c r="J892" s="26"/>
      <c r="K892" s="26"/>
      <c r="L892" s="26"/>
      <c r="M892" s="26"/>
      <c r="N892" s="26"/>
      <c r="O892" s="26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6"/>
      <c r="D893" s="26"/>
      <c r="E893" s="26"/>
      <c r="F893" s="26"/>
      <c r="G893" s="26"/>
      <c r="H893" s="26"/>
      <c r="I893" s="39"/>
      <c r="J893" s="26"/>
      <c r="K893" s="26"/>
      <c r="L893" s="26"/>
      <c r="M893" s="26"/>
      <c r="N893" s="26"/>
      <c r="O893" s="26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6"/>
      <c r="D894" s="26"/>
      <c r="E894" s="26"/>
      <c r="F894" s="26"/>
      <c r="G894" s="26"/>
      <c r="H894" s="26"/>
      <c r="I894" s="39"/>
      <c r="J894" s="26"/>
      <c r="K894" s="26"/>
      <c r="L894" s="26"/>
      <c r="M894" s="26"/>
      <c r="N894" s="26"/>
      <c r="O894" s="26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6"/>
      <c r="D895" s="26"/>
      <c r="E895" s="26"/>
      <c r="F895" s="26"/>
      <c r="G895" s="26"/>
      <c r="H895" s="26"/>
      <c r="I895" s="39"/>
      <c r="J895" s="26"/>
      <c r="K895" s="26"/>
      <c r="L895" s="26"/>
      <c r="M895" s="26"/>
      <c r="N895" s="26"/>
      <c r="O895" s="26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6"/>
      <c r="D896" s="26"/>
      <c r="E896" s="26"/>
      <c r="F896" s="26"/>
      <c r="G896" s="26"/>
      <c r="H896" s="26"/>
      <c r="I896" s="39"/>
      <c r="J896" s="26"/>
      <c r="K896" s="26"/>
      <c r="L896" s="26"/>
      <c r="M896" s="26"/>
      <c r="N896" s="26"/>
      <c r="O896" s="26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6"/>
      <c r="D897" s="26"/>
      <c r="E897" s="26"/>
      <c r="F897" s="26"/>
      <c r="G897" s="26"/>
      <c r="H897" s="26"/>
      <c r="I897" s="39"/>
      <c r="J897" s="26"/>
      <c r="K897" s="26"/>
      <c r="L897" s="26"/>
      <c r="M897" s="26"/>
      <c r="N897" s="26"/>
      <c r="O897" s="26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6"/>
      <c r="D898" s="26"/>
      <c r="E898" s="26"/>
      <c r="F898" s="26"/>
      <c r="G898" s="26"/>
      <c r="H898" s="26"/>
      <c r="I898" s="39"/>
      <c r="J898" s="26"/>
      <c r="K898" s="26"/>
      <c r="L898" s="26"/>
      <c r="M898" s="26"/>
      <c r="N898" s="26"/>
      <c r="O898" s="26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6"/>
      <c r="D899" s="26"/>
      <c r="E899" s="26"/>
      <c r="F899" s="26"/>
      <c r="G899" s="26"/>
      <c r="H899" s="26"/>
      <c r="I899" s="39"/>
      <c r="J899" s="26"/>
      <c r="K899" s="26"/>
      <c r="L899" s="26"/>
      <c r="M899" s="26"/>
      <c r="N899" s="26"/>
      <c r="O899" s="26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6"/>
      <c r="D900" s="26"/>
      <c r="E900" s="26"/>
      <c r="F900" s="26"/>
      <c r="G900" s="26"/>
      <c r="H900" s="26"/>
      <c r="I900" s="39"/>
      <c r="J900" s="26"/>
      <c r="K900" s="26"/>
      <c r="L900" s="26"/>
      <c r="M900" s="26"/>
      <c r="N900" s="26"/>
      <c r="O900" s="26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6"/>
      <c r="D901" s="26"/>
      <c r="E901" s="26"/>
      <c r="F901" s="26"/>
      <c r="G901" s="26"/>
      <c r="H901" s="26"/>
      <c r="I901" s="39"/>
      <c r="J901" s="26"/>
      <c r="K901" s="26"/>
      <c r="L901" s="26"/>
      <c r="M901" s="26"/>
      <c r="N901" s="26"/>
      <c r="O901" s="26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6"/>
      <c r="D902" s="26"/>
      <c r="E902" s="26"/>
      <c r="F902" s="26"/>
      <c r="G902" s="26"/>
      <c r="H902" s="26"/>
      <c r="I902" s="39"/>
      <c r="J902" s="26"/>
      <c r="K902" s="26"/>
      <c r="L902" s="26"/>
      <c r="M902" s="26"/>
      <c r="N902" s="26"/>
      <c r="O902" s="26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6"/>
      <c r="D903" s="26"/>
      <c r="E903" s="26"/>
      <c r="F903" s="26"/>
      <c r="G903" s="26"/>
      <c r="H903" s="26"/>
      <c r="I903" s="39"/>
      <c r="J903" s="26"/>
      <c r="K903" s="26"/>
      <c r="L903" s="26"/>
      <c r="M903" s="26"/>
      <c r="N903" s="26"/>
      <c r="O903" s="26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6"/>
      <c r="D904" s="26"/>
      <c r="E904" s="26"/>
      <c r="F904" s="26"/>
      <c r="G904" s="26"/>
      <c r="H904" s="26"/>
      <c r="I904" s="39"/>
      <c r="J904" s="26"/>
      <c r="K904" s="26"/>
      <c r="L904" s="26"/>
      <c r="M904" s="26"/>
      <c r="N904" s="26"/>
      <c r="O904" s="26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6"/>
      <c r="D905" s="26"/>
      <c r="E905" s="26"/>
      <c r="F905" s="26"/>
      <c r="G905" s="26"/>
      <c r="H905" s="26"/>
      <c r="I905" s="39"/>
      <c r="J905" s="26"/>
      <c r="K905" s="26"/>
      <c r="L905" s="26"/>
      <c r="M905" s="26"/>
      <c r="N905" s="26"/>
      <c r="O905" s="26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6"/>
      <c r="D906" s="26"/>
      <c r="E906" s="26"/>
      <c r="F906" s="26"/>
      <c r="G906" s="26"/>
      <c r="H906" s="26"/>
      <c r="I906" s="39"/>
      <c r="J906" s="26"/>
      <c r="K906" s="26"/>
      <c r="L906" s="26"/>
      <c r="M906" s="26"/>
      <c r="N906" s="26"/>
      <c r="O906" s="26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6"/>
      <c r="D907" s="26"/>
      <c r="E907" s="26"/>
      <c r="F907" s="26"/>
      <c r="G907" s="26"/>
      <c r="H907" s="26"/>
      <c r="I907" s="39"/>
      <c r="J907" s="26"/>
      <c r="K907" s="26"/>
      <c r="L907" s="26"/>
      <c r="M907" s="26"/>
      <c r="N907" s="26"/>
      <c r="O907" s="26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6"/>
      <c r="D908" s="26"/>
      <c r="E908" s="26"/>
      <c r="F908" s="26"/>
      <c r="G908" s="26"/>
      <c r="H908" s="26"/>
      <c r="I908" s="39"/>
      <c r="J908" s="26"/>
      <c r="K908" s="26"/>
      <c r="L908" s="26"/>
      <c r="M908" s="26"/>
      <c r="N908" s="26"/>
      <c r="O908" s="26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6"/>
      <c r="D909" s="26"/>
      <c r="E909" s="26"/>
      <c r="F909" s="26"/>
      <c r="G909" s="26"/>
      <c r="H909" s="26"/>
      <c r="I909" s="39"/>
      <c r="J909" s="26"/>
      <c r="K909" s="26"/>
      <c r="L909" s="26"/>
      <c r="M909" s="26"/>
      <c r="N909" s="26"/>
      <c r="O909" s="26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6"/>
      <c r="D910" s="26"/>
      <c r="E910" s="26"/>
      <c r="F910" s="26"/>
      <c r="G910" s="26"/>
      <c r="H910" s="26"/>
      <c r="I910" s="39"/>
      <c r="J910" s="26"/>
      <c r="K910" s="26"/>
      <c r="L910" s="26"/>
      <c r="M910" s="26"/>
      <c r="N910" s="26"/>
      <c r="O910" s="26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6"/>
      <c r="D911" s="26"/>
      <c r="E911" s="26"/>
      <c r="F911" s="26"/>
      <c r="G911" s="26"/>
      <c r="H911" s="26"/>
      <c r="I911" s="39"/>
      <c r="J911" s="26"/>
      <c r="K911" s="26"/>
      <c r="L911" s="26"/>
      <c r="M911" s="26"/>
      <c r="N911" s="26"/>
      <c r="O911" s="26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6"/>
      <c r="D912" s="26"/>
      <c r="E912" s="26"/>
      <c r="F912" s="26"/>
      <c r="G912" s="26"/>
      <c r="H912" s="26"/>
      <c r="I912" s="39"/>
      <c r="J912" s="26"/>
      <c r="K912" s="26"/>
      <c r="L912" s="26"/>
      <c r="M912" s="26"/>
      <c r="N912" s="26"/>
      <c r="O912" s="26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6"/>
      <c r="D913" s="26"/>
      <c r="E913" s="26"/>
      <c r="F913" s="26"/>
      <c r="G913" s="26"/>
      <c r="H913" s="26"/>
      <c r="I913" s="39"/>
      <c r="J913" s="26"/>
      <c r="K913" s="26"/>
      <c r="L913" s="26"/>
      <c r="M913" s="26"/>
      <c r="N913" s="26"/>
      <c r="O913" s="26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6"/>
      <c r="D914" s="26"/>
      <c r="E914" s="26"/>
      <c r="F914" s="26"/>
      <c r="G914" s="26"/>
      <c r="H914" s="26"/>
      <c r="I914" s="39"/>
      <c r="J914" s="26"/>
      <c r="K914" s="26"/>
      <c r="L914" s="26"/>
      <c r="M914" s="26"/>
      <c r="N914" s="26"/>
      <c r="O914" s="26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6"/>
      <c r="D915" s="26"/>
      <c r="E915" s="26"/>
      <c r="F915" s="26"/>
      <c r="G915" s="26"/>
      <c r="H915" s="26"/>
      <c r="I915" s="39"/>
      <c r="J915" s="26"/>
      <c r="K915" s="26"/>
      <c r="L915" s="26"/>
      <c r="M915" s="26"/>
      <c r="N915" s="26"/>
      <c r="O915" s="26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6"/>
      <c r="D916" s="26"/>
      <c r="E916" s="26"/>
      <c r="F916" s="26"/>
      <c r="G916" s="26"/>
      <c r="H916" s="26"/>
      <c r="I916" s="39"/>
      <c r="J916" s="26"/>
      <c r="K916" s="26"/>
      <c r="L916" s="26"/>
      <c r="M916" s="26"/>
      <c r="N916" s="26"/>
      <c r="O916" s="26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6"/>
      <c r="D917" s="26"/>
      <c r="E917" s="26"/>
      <c r="F917" s="26"/>
      <c r="G917" s="26"/>
      <c r="H917" s="26"/>
      <c r="I917" s="39"/>
      <c r="J917" s="26"/>
      <c r="K917" s="26"/>
      <c r="L917" s="26"/>
      <c r="M917" s="26"/>
      <c r="N917" s="26"/>
      <c r="O917" s="26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6"/>
      <c r="D918" s="26"/>
      <c r="E918" s="26"/>
      <c r="F918" s="26"/>
      <c r="G918" s="26"/>
      <c r="H918" s="26"/>
      <c r="I918" s="39"/>
      <c r="J918" s="26"/>
      <c r="K918" s="26"/>
      <c r="L918" s="26"/>
      <c r="M918" s="26"/>
      <c r="N918" s="26"/>
      <c r="O918" s="26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6"/>
      <c r="D919" s="26"/>
      <c r="E919" s="26"/>
      <c r="F919" s="26"/>
      <c r="G919" s="26"/>
      <c r="H919" s="26"/>
      <c r="I919" s="39"/>
      <c r="J919" s="26"/>
      <c r="K919" s="26"/>
      <c r="L919" s="26"/>
      <c r="M919" s="26"/>
      <c r="N919" s="26"/>
      <c r="O919" s="26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6"/>
      <c r="D920" s="26"/>
      <c r="E920" s="26"/>
      <c r="F920" s="26"/>
      <c r="G920" s="26"/>
      <c r="H920" s="26"/>
      <c r="I920" s="39"/>
      <c r="J920" s="26"/>
      <c r="K920" s="26"/>
      <c r="L920" s="26"/>
      <c r="M920" s="26"/>
      <c r="N920" s="26"/>
      <c r="O920" s="26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6"/>
      <c r="D921" s="26"/>
      <c r="E921" s="26"/>
      <c r="F921" s="26"/>
      <c r="G921" s="26"/>
      <c r="H921" s="26"/>
      <c r="I921" s="39"/>
      <c r="J921" s="26"/>
      <c r="K921" s="26"/>
      <c r="L921" s="26"/>
      <c r="M921" s="26"/>
      <c r="N921" s="26"/>
      <c r="O921" s="26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6"/>
      <c r="D922" s="26"/>
      <c r="E922" s="26"/>
      <c r="F922" s="26"/>
      <c r="G922" s="26"/>
      <c r="H922" s="26"/>
      <c r="I922" s="39"/>
      <c r="J922" s="26"/>
      <c r="K922" s="26"/>
      <c r="L922" s="26"/>
      <c r="M922" s="26"/>
      <c r="N922" s="26"/>
      <c r="O922" s="26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6"/>
      <c r="D923" s="26"/>
      <c r="E923" s="26"/>
      <c r="F923" s="26"/>
      <c r="G923" s="26"/>
      <c r="H923" s="26"/>
      <c r="I923" s="39"/>
      <c r="J923" s="26"/>
      <c r="K923" s="26"/>
      <c r="L923" s="26"/>
      <c r="M923" s="26"/>
      <c r="N923" s="26"/>
      <c r="O923" s="26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6"/>
      <c r="D924" s="26"/>
      <c r="E924" s="26"/>
      <c r="F924" s="26"/>
      <c r="G924" s="26"/>
      <c r="H924" s="26"/>
      <c r="I924" s="39"/>
      <c r="J924" s="26"/>
      <c r="K924" s="26"/>
      <c r="L924" s="26"/>
      <c r="M924" s="26"/>
      <c r="N924" s="26"/>
      <c r="O924" s="26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6"/>
      <c r="D925" s="26"/>
      <c r="E925" s="26"/>
      <c r="F925" s="26"/>
      <c r="G925" s="26"/>
      <c r="H925" s="26"/>
      <c r="I925" s="39"/>
      <c r="J925" s="26"/>
      <c r="K925" s="26"/>
      <c r="L925" s="26"/>
      <c r="M925" s="26"/>
      <c r="N925" s="26"/>
      <c r="O925" s="26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6"/>
      <c r="D926" s="26"/>
      <c r="E926" s="26"/>
      <c r="F926" s="26"/>
      <c r="G926" s="26"/>
      <c r="H926" s="26"/>
      <c r="I926" s="39"/>
      <c r="J926" s="26"/>
      <c r="K926" s="26"/>
      <c r="L926" s="26"/>
      <c r="M926" s="26"/>
      <c r="N926" s="26"/>
      <c r="O926" s="26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6"/>
      <c r="D927" s="26"/>
      <c r="E927" s="26"/>
      <c r="F927" s="26"/>
      <c r="G927" s="26"/>
      <c r="H927" s="26"/>
      <c r="I927" s="39"/>
      <c r="J927" s="26"/>
      <c r="K927" s="26"/>
      <c r="L927" s="26"/>
      <c r="M927" s="26"/>
      <c r="N927" s="26"/>
      <c r="O927" s="26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6"/>
      <c r="D928" s="26"/>
      <c r="E928" s="26"/>
      <c r="F928" s="26"/>
      <c r="G928" s="26"/>
      <c r="H928" s="26"/>
      <c r="I928" s="39"/>
      <c r="J928" s="26"/>
      <c r="K928" s="26"/>
      <c r="L928" s="26"/>
      <c r="M928" s="26"/>
      <c r="N928" s="26"/>
      <c r="O928" s="26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6"/>
      <c r="D929" s="26"/>
      <c r="E929" s="26"/>
      <c r="F929" s="26"/>
      <c r="G929" s="26"/>
      <c r="H929" s="26"/>
      <c r="I929" s="39"/>
      <c r="J929" s="26"/>
      <c r="K929" s="26"/>
      <c r="L929" s="26"/>
      <c r="M929" s="26"/>
      <c r="N929" s="26"/>
      <c r="O929" s="26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6"/>
      <c r="D930" s="26"/>
      <c r="E930" s="26"/>
      <c r="F930" s="26"/>
      <c r="G930" s="26"/>
      <c r="H930" s="26"/>
      <c r="I930" s="39"/>
      <c r="J930" s="26"/>
      <c r="K930" s="26"/>
      <c r="L930" s="26"/>
      <c r="M930" s="26"/>
      <c r="N930" s="26"/>
      <c r="O930" s="26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6"/>
      <c r="D931" s="26"/>
      <c r="E931" s="26"/>
      <c r="F931" s="26"/>
      <c r="G931" s="26"/>
      <c r="H931" s="26"/>
      <c r="I931" s="39"/>
      <c r="J931" s="26"/>
      <c r="K931" s="26"/>
      <c r="L931" s="26"/>
      <c r="M931" s="26"/>
      <c r="N931" s="26"/>
      <c r="O931" s="26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6"/>
      <c r="D932" s="26"/>
      <c r="E932" s="26"/>
      <c r="F932" s="26"/>
      <c r="G932" s="26"/>
      <c r="H932" s="26"/>
      <c r="I932" s="39"/>
      <c r="J932" s="26"/>
      <c r="K932" s="26"/>
      <c r="L932" s="26"/>
      <c r="M932" s="26"/>
      <c r="N932" s="26"/>
      <c r="O932" s="26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6"/>
      <c r="D933" s="26"/>
      <c r="E933" s="26"/>
      <c r="F933" s="26"/>
      <c r="G933" s="26"/>
      <c r="H933" s="26"/>
      <c r="I933" s="39"/>
      <c r="J933" s="26"/>
      <c r="K933" s="26"/>
      <c r="L933" s="26"/>
      <c r="M933" s="26"/>
      <c r="N933" s="26"/>
      <c r="O933" s="26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6"/>
      <c r="D934" s="26"/>
      <c r="E934" s="26"/>
      <c r="F934" s="26"/>
      <c r="G934" s="26"/>
      <c r="H934" s="26"/>
      <c r="I934" s="39"/>
      <c r="J934" s="26"/>
      <c r="K934" s="26"/>
      <c r="L934" s="26"/>
      <c r="M934" s="26"/>
      <c r="N934" s="26"/>
      <c r="O934" s="26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6"/>
      <c r="D935" s="26"/>
      <c r="E935" s="26"/>
      <c r="F935" s="26"/>
      <c r="G935" s="26"/>
      <c r="H935" s="26"/>
      <c r="I935" s="39"/>
      <c r="J935" s="26"/>
      <c r="K935" s="26"/>
      <c r="L935" s="26"/>
      <c r="M935" s="26"/>
      <c r="N935" s="26"/>
      <c r="O935" s="26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6"/>
      <c r="D936" s="26"/>
      <c r="E936" s="26"/>
      <c r="F936" s="26"/>
      <c r="G936" s="26"/>
      <c r="H936" s="26"/>
      <c r="I936" s="39"/>
      <c r="J936" s="26"/>
      <c r="K936" s="26"/>
      <c r="L936" s="26"/>
      <c r="M936" s="26"/>
      <c r="N936" s="26"/>
      <c r="O936" s="26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6"/>
      <c r="D937" s="26"/>
      <c r="E937" s="26"/>
      <c r="F937" s="26"/>
      <c r="G937" s="26"/>
      <c r="H937" s="26"/>
      <c r="I937" s="39"/>
      <c r="J937" s="26"/>
      <c r="K937" s="26"/>
      <c r="L937" s="26"/>
      <c r="M937" s="26"/>
      <c r="N937" s="26"/>
      <c r="O937" s="26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6"/>
      <c r="D938" s="26"/>
      <c r="E938" s="26"/>
      <c r="F938" s="26"/>
      <c r="G938" s="26"/>
      <c r="H938" s="26"/>
      <c r="I938" s="39"/>
      <c r="J938" s="26"/>
      <c r="K938" s="26"/>
      <c r="L938" s="26"/>
      <c r="M938" s="26"/>
      <c r="N938" s="26"/>
      <c r="O938" s="26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6"/>
      <c r="D939" s="26"/>
      <c r="E939" s="26"/>
      <c r="F939" s="26"/>
      <c r="G939" s="26"/>
      <c r="H939" s="26"/>
      <c r="I939" s="39"/>
      <c r="J939" s="26"/>
      <c r="K939" s="26"/>
      <c r="L939" s="26"/>
      <c r="M939" s="26"/>
      <c r="N939" s="26"/>
      <c r="O939" s="26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6"/>
      <c r="D940" s="26"/>
      <c r="E940" s="26"/>
      <c r="F940" s="26"/>
      <c r="G940" s="26"/>
      <c r="H940" s="26"/>
      <c r="I940" s="39"/>
      <c r="J940" s="26"/>
      <c r="K940" s="26"/>
      <c r="L940" s="26"/>
      <c r="M940" s="26"/>
      <c r="N940" s="26"/>
      <c r="O940" s="26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6"/>
      <c r="D941" s="26"/>
      <c r="E941" s="26"/>
      <c r="F941" s="26"/>
      <c r="G941" s="26"/>
      <c r="H941" s="26"/>
      <c r="I941" s="39"/>
      <c r="J941" s="26"/>
      <c r="K941" s="26"/>
      <c r="L941" s="26"/>
      <c r="M941" s="26"/>
      <c r="N941" s="26"/>
      <c r="O941" s="26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6"/>
      <c r="D942" s="26"/>
      <c r="E942" s="26"/>
      <c r="F942" s="26"/>
      <c r="G942" s="26"/>
      <c r="H942" s="26"/>
      <c r="I942" s="39"/>
      <c r="J942" s="26"/>
      <c r="K942" s="26"/>
      <c r="L942" s="26"/>
      <c r="M942" s="26"/>
      <c r="N942" s="26"/>
      <c r="O942" s="26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6"/>
      <c r="D943" s="26"/>
      <c r="E943" s="26"/>
      <c r="F943" s="26"/>
      <c r="G943" s="26"/>
      <c r="H943" s="26"/>
      <c r="I943" s="39"/>
      <c r="J943" s="26"/>
      <c r="K943" s="26"/>
      <c r="L943" s="26"/>
      <c r="M943" s="26"/>
      <c r="N943" s="26"/>
      <c r="O943" s="26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6"/>
      <c r="D944" s="26"/>
      <c r="E944" s="26"/>
      <c r="F944" s="26"/>
      <c r="G944" s="26"/>
      <c r="H944" s="26"/>
      <c r="I944" s="39"/>
      <c r="J944" s="26"/>
      <c r="K944" s="26"/>
      <c r="L944" s="26"/>
      <c r="M944" s="26"/>
      <c r="N944" s="26"/>
      <c r="O944" s="26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6"/>
      <c r="D945" s="26"/>
      <c r="E945" s="26"/>
      <c r="F945" s="26"/>
      <c r="G945" s="26"/>
      <c r="H945" s="26"/>
      <c r="I945" s="39"/>
      <c r="J945" s="26"/>
      <c r="K945" s="26"/>
      <c r="L945" s="26"/>
      <c r="M945" s="26"/>
      <c r="N945" s="26"/>
      <c r="O945" s="26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6"/>
      <c r="D946" s="26"/>
      <c r="E946" s="26"/>
      <c r="F946" s="26"/>
      <c r="G946" s="26"/>
      <c r="H946" s="26"/>
      <c r="I946" s="39"/>
      <c r="J946" s="26"/>
      <c r="K946" s="26"/>
      <c r="L946" s="26"/>
      <c r="M946" s="26"/>
      <c r="N946" s="26"/>
      <c r="O946" s="26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6"/>
      <c r="D947" s="26"/>
      <c r="E947" s="26"/>
      <c r="F947" s="26"/>
      <c r="G947" s="26"/>
      <c r="H947" s="26"/>
      <c r="I947" s="39"/>
      <c r="J947" s="26"/>
      <c r="K947" s="26"/>
      <c r="L947" s="26"/>
      <c r="M947" s="26"/>
      <c r="N947" s="26"/>
      <c r="O947" s="26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6"/>
      <c r="D948" s="26"/>
      <c r="E948" s="26"/>
      <c r="F948" s="26"/>
      <c r="G948" s="26"/>
      <c r="H948" s="26"/>
      <c r="I948" s="39"/>
      <c r="J948" s="26"/>
      <c r="K948" s="26"/>
      <c r="L948" s="26"/>
      <c r="M948" s="26"/>
      <c r="N948" s="26"/>
      <c r="O948" s="26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6"/>
      <c r="D949" s="26"/>
      <c r="E949" s="26"/>
      <c r="F949" s="26"/>
      <c r="G949" s="26"/>
      <c r="H949" s="26"/>
      <c r="I949" s="39"/>
      <c r="J949" s="26"/>
      <c r="K949" s="26"/>
      <c r="L949" s="26"/>
      <c r="M949" s="26"/>
      <c r="N949" s="26"/>
      <c r="O949" s="26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6"/>
      <c r="D950" s="26"/>
      <c r="E950" s="26"/>
      <c r="F950" s="26"/>
      <c r="G950" s="26"/>
      <c r="H950" s="26"/>
      <c r="I950" s="39"/>
      <c r="J950" s="26"/>
      <c r="K950" s="26"/>
      <c r="L950" s="26"/>
      <c r="M950" s="26"/>
      <c r="N950" s="26"/>
      <c r="O950" s="26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6"/>
      <c r="D951" s="26"/>
      <c r="E951" s="26"/>
      <c r="F951" s="26"/>
      <c r="G951" s="26"/>
      <c r="H951" s="26"/>
      <c r="I951" s="39"/>
      <c r="J951" s="26"/>
      <c r="K951" s="26"/>
      <c r="L951" s="26"/>
      <c r="M951" s="26"/>
      <c r="N951" s="26"/>
      <c r="O951" s="26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6"/>
      <c r="D952" s="26"/>
      <c r="E952" s="26"/>
      <c r="F952" s="26"/>
      <c r="G952" s="26"/>
      <c r="H952" s="26"/>
      <c r="I952" s="39"/>
      <c r="J952" s="26"/>
      <c r="K952" s="26"/>
      <c r="L952" s="26"/>
      <c r="M952" s="26"/>
      <c r="N952" s="26"/>
      <c r="O952" s="26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6"/>
      <c r="D953" s="26"/>
      <c r="E953" s="26"/>
      <c r="F953" s="26"/>
      <c r="G953" s="26"/>
      <c r="H953" s="26"/>
      <c r="I953" s="39"/>
      <c r="J953" s="26"/>
      <c r="K953" s="26"/>
      <c r="L953" s="26"/>
      <c r="M953" s="26"/>
      <c r="N953" s="26"/>
      <c r="O953" s="26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6"/>
      <c r="D954" s="26"/>
      <c r="E954" s="26"/>
      <c r="F954" s="26"/>
      <c r="G954" s="26"/>
      <c r="H954" s="26"/>
      <c r="I954" s="39"/>
      <c r="J954" s="26"/>
      <c r="K954" s="26"/>
      <c r="L954" s="26"/>
      <c r="M954" s="26"/>
      <c r="N954" s="26"/>
      <c r="O954" s="26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6"/>
      <c r="D955" s="26"/>
      <c r="E955" s="26"/>
      <c r="F955" s="26"/>
      <c r="G955" s="26"/>
      <c r="H955" s="26"/>
      <c r="I955" s="39"/>
      <c r="J955" s="26"/>
      <c r="K955" s="26"/>
      <c r="L955" s="26"/>
      <c r="M955" s="26"/>
      <c r="N955" s="26"/>
      <c r="O955" s="26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6"/>
      <c r="D956" s="26"/>
      <c r="E956" s="26"/>
      <c r="F956" s="26"/>
      <c r="G956" s="26"/>
      <c r="H956" s="26"/>
      <c r="I956" s="39"/>
      <c r="J956" s="26"/>
      <c r="K956" s="26"/>
      <c r="L956" s="26"/>
      <c r="M956" s="26"/>
      <c r="N956" s="26"/>
      <c r="O956" s="26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6"/>
      <c r="D957" s="26"/>
      <c r="E957" s="26"/>
      <c r="F957" s="26"/>
      <c r="G957" s="26"/>
      <c r="H957" s="26"/>
      <c r="I957" s="39"/>
      <c r="J957" s="26"/>
      <c r="K957" s="26"/>
      <c r="L957" s="26"/>
      <c r="M957" s="26"/>
      <c r="N957" s="26"/>
      <c r="O957" s="26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6"/>
      <c r="D958" s="26"/>
      <c r="E958" s="26"/>
      <c r="F958" s="26"/>
      <c r="G958" s="26"/>
      <c r="H958" s="26"/>
      <c r="I958" s="39"/>
      <c r="J958" s="26"/>
      <c r="K958" s="26"/>
      <c r="L958" s="26"/>
      <c r="M958" s="26"/>
      <c r="N958" s="26"/>
      <c r="O958" s="26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6"/>
      <c r="D959" s="26"/>
      <c r="E959" s="26"/>
      <c r="F959" s="26"/>
      <c r="G959" s="26"/>
      <c r="H959" s="26"/>
      <c r="I959" s="39"/>
      <c r="J959" s="26"/>
      <c r="K959" s="26"/>
      <c r="L959" s="26"/>
      <c r="M959" s="26"/>
      <c r="N959" s="26"/>
      <c r="O959" s="26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6"/>
      <c r="D960" s="26"/>
      <c r="E960" s="26"/>
      <c r="F960" s="26"/>
      <c r="G960" s="26"/>
      <c r="H960" s="26"/>
      <c r="I960" s="39"/>
      <c r="J960" s="26"/>
      <c r="K960" s="26"/>
      <c r="L960" s="26"/>
      <c r="M960" s="26"/>
      <c r="N960" s="26"/>
      <c r="O960" s="26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6"/>
      <c r="D961" s="26"/>
      <c r="E961" s="26"/>
      <c r="F961" s="26"/>
      <c r="G961" s="26"/>
      <c r="H961" s="26"/>
      <c r="I961" s="39"/>
      <c r="J961" s="26"/>
      <c r="K961" s="26"/>
      <c r="L961" s="26"/>
      <c r="M961" s="26"/>
      <c r="N961" s="26"/>
      <c r="O961" s="26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6"/>
      <c r="D962" s="26"/>
      <c r="E962" s="26"/>
      <c r="F962" s="26"/>
      <c r="G962" s="26"/>
      <c r="H962" s="26"/>
      <c r="I962" s="39"/>
      <c r="J962" s="26"/>
      <c r="K962" s="26"/>
      <c r="L962" s="26"/>
      <c r="M962" s="26"/>
      <c r="N962" s="26"/>
      <c r="O962" s="26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6"/>
      <c r="D963" s="26"/>
      <c r="E963" s="26"/>
      <c r="F963" s="26"/>
      <c r="G963" s="26"/>
      <c r="H963" s="26"/>
      <c r="I963" s="39"/>
      <c r="J963" s="26"/>
      <c r="K963" s="26"/>
      <c r="L963" s="26"/>
      <c r="M963" s="26"/>
      <c r="N963" s="26"/>
      <c r="O963" s="26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6"/>
      <c r="D964" s="26"/>
      <c r="E964" s="26"/>
      <c r="F964" s="26"/>
      <c r="G964" s="26"/>
      <c r="H964" s="26"/>
      <c r="I964" s="39"/>
      <c r="J964" s="26"/>
      <c r="K964" s="26"/>
      <c r="L964" s="26"/>
      <c r="M964" s="26"/>
      <c r="N964" s="26"/>
      <c r="O964" s="26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6"/>
      <c r="D965" s="26"/>
      <c r="E965" s="26"/>
      <c r="F965" s="26"/>
      <c r="G965" s="26"/>
      <c r="H965" s="26"/>
      <c r="I965" s="39"/>
      <c r="J965" s="26"/>
      <c r="K965" s="26"/>
      <c r="L965" s="26"/>
      <c r="M965" s="26"/>
      <c r="N965" s="26"/>
      <c r="O965" s="26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6"/>
      <c r="D966" s="26"/>
      <c r="E966" s="26"/>
      <c r="F966" s="26"/>
      <c r="G966" s="26"/>
      <c r="H966" s="26"/>
      <c r="I966" s="39"/>
      <c r="J966" s="26"/>
      <c r="K966" s="26"/>
      <c r="L966" s="26"/>
      <c r="M966" s="26"/>
      <c r="N966" s="26"/>
      <c r="O966" s="26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6"/>
      <c r="D967" s="26"/>
      <c r="E967" s="26"/>
      <c r="F967" s="26"/>
      <c r="G967" s="26"/>
      <c r="H967" s="26"/>
      <c r="I967" s="39"/>
      <c r="J967" s="26"/>
      <c r="K967" s="26"/>
      <c r="L967" s="26"/>
      <c r="M967" s="26"/>
      <c r="N967" s="26"/>
      <c r="O967" s="26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6"/>
      <c r="D968" s="26"/>
      <c r="E968" s="26"/>
      <c r="F968" s="26"/>
      <c r="G968" s="26"/>
      <c r="H968" s="26"/>
      <c r="I968" s="39"/>
      <c r="J968" s="26"/>
      <c r="K968" s="26"/>
      <c r="L968" s="26"/>
      <c r="M968" s="26"/>
      <c r="N968" s="26"/>
      <c r="O968" s="26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6"/>
      <c r="D969" s="26"/>
      <c r="E969" s="26"/>
      <c r="F969" s="26"/>
      <c r="G969" s="26"/>
      <c r="H969" s="26"/>
      <c r="I969" s="39"/>
      <c r="J969" s="26"/>
      <c r="K969" s="26"/>
      <c r="L969" s="26"/>
      <c r="M969" s="26"/>
      <c r="N969" s="26"/>
      <c r="O969" s="26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6"/>
      <c r="D970" s="26"/>
      <c r="E970" s="26"/>
      <c r="F970" s="26"/>
      <c r="G970" s="26"/>
      <c r="H970" s="26"/>
      <c r="I970" s="39"/>
      <c r="J970" s="26"/>
      <c r="K970" s="26"/>
      <c r="L970" s="26"/>
      <c r="M970" s="26"/>
      <c r="N970" s="26"/>
      <c r="O970" s="26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6"/>
      <c r="D971" s="26"/>
      <c r="E971" s="26"/>
      <c r="F971" s="26"/>
      <c r="G971" s="26"/>
      <c r="H971" s="26"/>
      <c r="I971" s="39"/>
      <c r="J971" s="26"/>
      <c r="K971" s="26"/>
      <c r="L971" s="26"/>
      <c r="M971" s="26"/>
      <c r="N971" s="26"/>
      <c r="O971" s="26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6"/>
      <c r="D972" s="26"/>
      <c r="E972" s="26"/>
      <c r="F972" s="26"/>
      <c r="G972" s="26"/>
      <c r="H972" s="26"/>
      <c r="I972" s="39"/>
      <c r="J972" s="26"/>
      <c r="K972" s="26"/>
      <c r="L972" s="26"/>
      <c r="M972" s="26"/>
      <c r="N972" s="26"/>
      <c r="O972" s="26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6"/>
      <c r="D973" s="26"/>
      <c r="E973" s="26"/>
      <c r="F973" s="26"/>
      <c r="G973" s="26"/>
      <c r="H973" s="26"/>
      <c r="I973" s="39"/>
      <c r="J973" s="26"/>
      <c r="K973" s="26"/>
      <c r="L973" s="26"/>
      <c r="M973" s="26"/>
      <c r="N973" s="26"/>
      <c r="O973" s="26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6"/>
      <c r="D974" s="26"/>
      <c r="E974" s="26"/>
      <c r="F974" s="26"/>
      <c r="G974" s="26"/>
      <c r="H974" s="26"/>
      <c r="I974" s="39"/>
      <c r="J974" s="26"/>
      <c r="K974" s="26"/>
      <c r="L974" s="26"/>
      <c r="M974" s="26"/>
      <c r="N974" s="26"/>
      <c r="O974" s="26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6"/>
      <c r="D975" s="26"/>
      <c r="E975" s="26"/>
      <c r="F975" s="26"/>
      <c r="G975" s="26"/>
      <c r="H975" s="26"/>
      <c r="I975" s="39"/>
      <c r="J975" s="26"/>
      <c r="K975" s="26"/>
      <c r="L975" s="26"/>
      <c r="M975" s="26"/>
      <c r="N975" s="26"/>
      <c r="O975" s="26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6"/>
      <c r="D976" s="26"/>
      <c r="E976" s="26"/>
      <c r="F976" s="26"/>
      <c r="G976" s="26"/>
      <c r="H976" s="26"/>
      <c r="I976" s="39"/>
      <c r="J976" s="26"/>
      <c r="K976" s="26"/>
      <c r="L976" s="26"/>
      <c r="M976" s="26"/>
      <c r="N976" s="26"/>
      <c r="O976" s="26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6"/>
      <c r="D977" s="26"/>
      <c r="E977" s="26"/>
      <c r="F977" s="26"/>
      <c r="G977" s="26"/>
      <c r="H977" s="26"/>
      <c r="I977" s="39"/>
      <c r="J977" s="26"/>
      <c r="K977" s="26"/>
      <c r="L977" s="26"/>
      <c r="M977" s="26"/>
      <c r="N977" s="26"/>
      <c r="O977" s="26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6"/>
      <c r="D978" s="26"/>
      <c r="E978" s="26"/>
      <c r="F978" s="26"/>
      <c r="G978" s="26"/>
      <c r="H978" s="26"/>
      <c r="I978" s="39"/>
      <c r="J978" s="26"/>
      <c r="K978" s="26"/>
      <c r="L978" s="26"/>
      <c r="M978" s="26"/>
      <c r="N978" s="26"/>
      <c r="O978" s="26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6"/>
      <c r="D979" s="26"/>
      <c r="E979" s="26"/>
      <c r="F979" s="26"/>
      <c r="G979" s="26"/>
      <c r="H979" s="26"/>
      <c r="I979" s="39"/>
      <c r="J979" s="26"/>
      <c r="K979" s="26"/>
      <c r="L979" s="26"/>
      <c r="M979" s="26"/>
      <c r="N979" s="26"/>
      <c r="O979" s="26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6"/>
      <c r="D980" s="26"/>
      <c r="E980" s="26"/>
      <c r="F980" s="26"/>
      <c r="G980" s="26"/>
      <c r="H980" s="26"/>
      <c r="I980" s="39"/>
      <c r="J980" s="26"/>
      <c r="K980" s="26"/>
      <c r="L980" s="26"/>
      <c r="M980" s="26"/>
      <c r="N980" s="26"/>
      <c r="O980" s="26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6"/>
      <c r="D981" s="26"/>
      <c r="E981" s="26"/>
      <c r="F981" s="26"/>
      <c r="G981" s="26"/>
      <c r="H981" s="26"/>
      <c r="I981" s="39"/>
      <c r="J981" s="26"/>
      <c r="K981" s="26"/>
      <c r="L981" s="26"/>
      <c r="M981" s="26"/>
      <c r="N981" s="26"/>
      <c r="O981" s="26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6"/>
      <c r="D982" s="26"/>
      <c r="E982" s="26"/>
      <c r="F982" s="26"/>
      <c r="G982" s="26"/>
      <c r="H982" s="26"/>
      <c r="I982" s="39"/>
      <c r="J982" s="26"/>
      <c r="K982" s="26"/>
      <c r="L982" s="26"/>
      <c r="M982" s="26"/>
      <c r="N982" s="26"/>
      <c r="O982" s="26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6"/>
      <c r="D983" s="26"/>
      <c r="E983" s="26"/>
      <c r="F983" s="26"/>
      <c r="G983" s="26"/>
      <c r="H983" s="26"/>
      <c r="I983" s="39"/>
      <c r="J983" s="26"/>
      <c r="K983" s="26"/>
      <c r="L983" s="26"/>
      <c r="M983" s="26"/>
      <c r="N983" s="26"/>
      <c r="O983" s="26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6"/>
      <c r="D984" s="26"/>
      <c r="E984" s="26"/>
      <c r="F984" s="26"/>
      <c r="G984" s="26"/>
      <c r="H984" s="26"/>
      <c r="I984" s="39"/>
      <c r="J984" s="26"/>
      <c r="K984" s="26"/>
      <c r="L984" s="26"/>
      <c r="M984" s="26"/>
      <c r="N984" s="26"/>
      <c r="O984" s="26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6"/>
      <c r="D985" s="26"/>
      <c r="E985" s="26"/>
      <c r="F985" s="26"/>
      <c r="G985" s="26"/>
      <c r="H985" s="26"/>
      <c r="I985" s="39"/>
      <c r="J985" s="26"/>
      <c r="K985" s="26"/>
      <c r="L985" s="26"/>
      <c r="M985" s="26"/>
      <c r="N985" s="26"/>
      <c r="O985" s="26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6"/>
      <c r="D986" s="26"/>
      <c r="E986" s="26"/>
      <c r="F986" s="26"/>
      <c r="G986" s="26"/>
      <c r="H986" s="26"/>
      <c r="I986" s="39"/>
      <c r="J986" s="26"/>
      <c r="K986" s="26"/>
      <c r="L986" s="26"/>
      <c r="M986" s="26"/>
      <c r="N986" s="26"/>
      <c r="O986" s="26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6"/>
      <c r="D987" s="26"/>
      <c r="E987" s="26"/>
      <c r="F987" s="26"/>
      <c r="G987" s="26"/>
      <c r="H987" s="26"/>
      <c r="I987" s="39"/>
      <c r="J987" s="26"/>
      <c r="K987" s="26"/>
      <c r="L987" s="26"/>
      <c r="M987" s="26"/>
      <c r="N987" s="26"/>
      <c r="O987" s="26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6"/>
      <c r="D988" s="26"/>
      <c r="E988" s="26"/>
      <c r="F988" s="26"/>
      <c r="G988" s="26"/>
      <c r="H988" s="26"/>
      <c r="I988" s="39"/>
      <c r="J988" s="26"/>
      <c r="K988" s="26"/>
      <c r="L988" s="26"/>
      <c r="M988" s="26"/>
      <c r="N988" s="26"/>
      <c r="O988" s="26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6"/>
      <c r="D989" s="26"/>
      <c r="E989" s="26"/>
      <c r="F989" s="26"/>
      <c r="G989" s="26"/>
      <c r="H989" s="26"/>
      <c r="I989" s="39"/>
      <c r="J989" s="26"/>
      <c r="K989" s="26"/>
      <c r="L989" s="26"/>
      <c r="M989" s="26"/>
      <c r="N989" s="26"/>
      <c r="O989" s="26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6"/>
      <c r="D990" s="26"/>
      <c r="E990" s="26"/>
      <c r="F990" s="26"/>
      <c r="G990" s="26"/>
      <c r="H990" s="26"/>
      <c r="I990" s="39"/>
      <c r="J990" s="26"/>
      <c r="K990" s="26"/>
      <c r="L990" s="26"/>
      <c r="M990" s="26"/>
      <c r="N990" s="26"/>
      <c r="O990" s="26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6"/>
      <c r="D991" s="26"/>
      <c r="E991" s="26"/>
      <c r="F991" s="26"/>
      <c r="G991" s="26"/>
      <c r="H991" s="26"/>
      <c r="I991" s="39"/>
      <c r="J991" s="26"/>
      <c r="K991" s="26"/>
      <c r="L991" s="26"/>
      <c r="M991" s="26"/>
      <c r="N991" s="26"/>
      <c r="O991" s="26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6"/>
      <c r="D992" s="26"/>
      <c r="E992" s="26"/>
      <c r="F992" s="26"/>
      <c r="G992" s="26"/>
      <c r="H992" s="26"/>
      <c r="I992" s="39"/>
      <c r="J992" s="26"/>
      <c r="K992" s="26"/>
      <c r="L992" s="26"/>
      <c r="M992" s="26"/>
      <c r="N992" s="26"/>
      <c r="O992" s="26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6"/>
      <c r="D993" s="26"/>
      <c r="E993" s="26"/>
      <c r="F993" s="26"/>
      <c r="G993" s="26"/>
      <c r="H993" s="26"/>
      <c r="I993" s="39"/>
      <c r="J993" s="26"/>
      <c r="K993" s="26"/>
      <c r="L993" s="26"/>
      <c r="M993" s="26"/>
      <c r="N993" s="26"/>
      <c r="O993" s="26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6"/>
      <c r="D994" s="26"/>
      <c r="E994" s="26"/>
      <c r="F994" s="26"/>
      <c r="G994" s="26"/>
      <c r="H994" s="26"/>
      <c r="I994" s="39"/>
      <c r="J994" s="26"/>
      <c r="K994" s="26"/>
      <c r="L994" s="26"/>
      <c r="M994" s="26"/>
      <c r="N994" s="26"/>
      <c r="O994" s="26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6"/>
      <c r="D995" s="26"/>
      <c r="E995" s="26"/>
      <c r="F995" s="26"/>
      <c r="G995" s="26"/>
      <c r="H995" s="26"/>
      <c r="I995" s="39"/>
      <c r="J995" s="26"/>
      <c r="K995" s="26"/>
      <c r="L995" s="26"/>
      <c r="M995" s="26"/>
      <c r="N995" s="26"/>
      <c r="O995" s="26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6"/>
      <c r="D996" s="26"/>
      <c r="E996" s="26"/>
      <c r="F996" s="26"/>
      <c r="G996" s="26"/>
      <c r="H996" s="26"/>
      <c r="I996" s="39"/>
      <c r="J996" s="26"/>
      <c r="K996" s="26"/>
      <c r="L996" s="26"/>
      <c r="M996" s="26"/>
      <c r="N996" s="26"/>
      <c r="O996" s="26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6"/>
      <c r="D997" s="26"/>
      <c r="E997" s="26"/>
      <c r="F997" s="26"/>
      <c r="G997" s="26"/>
      <c r="H997" s="26"/>
      <c r="I997" s="39"/>
      <c r="J997" s="26"/>
      <c r="K997" s="26"/>
      <c r="L997" s="26"/>
      <c r="M997" s="26"/>
      <c r="N997" s="26"/>
      <c r="O997" s="26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6"/>
      <c r="D998" s="26"/>
      <c r="E998" s="26"/>
      <c r="F998" s="26"/>
      <c r="G998" s="26"/>
      <c r="H998" s="26"/>
      <c r="I998" s="39"/>
      <c r="J998" s="26"/>
      <c r="K998" s="26"/>
      <c r="L998" s="26"/>
      <c r="M998" s="26"/>
      <c r="N998" s="26"/>
      <c r="O998" s="26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6"/>
      <c r="D999" s="26"/>
      <c r="E999" s="26"/>
      <c r="F999" s="26"/>
      <c r="G999" s="26"/>
      <c r="H999" s="26"/>
      <c r="I999" s="39"/>
      <c r="J999" s="26"/>
      <c r="K999" s="26"/>
      <c r="L999" s="26"/>
      <c r="M999" s="26"/>
      <c r="N999" s="26"/>
      <c r="O999" s="26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6"/>
      <c r="D1000" s="26"/>
      <c r="E1000" s="26"/>
      <c r="F1000" s="26"/>
      <c r="G1000" s="26"/>
      <c r="H1000" s="26"/>
      <c r="I1000" s="39"/>
      <c r="J1000" s="26"/>
      <c r="K1000" s="26"/>
      <c r="L1000" s="26"/>
      <c r="M1000" s="26"/>
      <c r="N1000" s="26"/>
      <c r="O1000" s="26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ht="12.75" customHeight="1">
      <c r="A1001" s="24"/>
      <c r="B1001" s="24"/>
      <c r="C1001" s="26"/>
      <c r="D1001" s="26"/>
      <c r="E1001" s="26"/>
      <c r="F1001" s="26"/>
      <c r="G1001" s="26"/>
      <c r="H1001" s="26"/>
      <c r="I1001" s="39"/>
      <c r="J1001" s="26"/>
      <c r="K1001" s="26"/>
      <c r="L1001" s="26"/>
      <c r="M1001" s="26"/>
      <c r="N1001" s="26"/>
      <c r="O1001" s="26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ht="12.75" customHeight="1">
      <c r="A1002" s="24"/>
      <c r="B1002" s="24"/>
      <c r="C1002" s="26"/>
      <c r="D1002" s="26"/>
      <c r="E1002" s="26"/>
      <c r="F1002" s="26"/>
      <c r="G1002" s="26"/>
      <c r="H1002" s="26"/>
      <c r="I1002" s="39"/>
      <c r="J1002" s="26"/>
      <c r="K1002" s="26"/>
      <c r="L1002" s="26"/>
      <c r="M1002" s="26"/>
      <c r="N1002" s="26"/>
      <c r="O1002" s="26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ht="12.75" customHeight="1">
      <c r="A1003" s="24"/>
      <c r="B1003" s="24"/>
      <c r="C1003" s="26"/>
      <c r="D1003" s="26"/>
      <c r="E1003" s="26"/>
      <c r="F1003" s="26"/>
      <c r="G1003" s="26"/>
      <c r="H1003" s="26"/>
      <c r="I1003" s="39"/>
      <c r="J1003" s="26"/>
      <c r="K1003" s="26"/>
      <c r="L1003" s="26"/>
      <c r="M1003" s="26"/>
      <c r="N1003" s="26"/>
      <c r="O1003" s="26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</sheetData>
  <conditionalFormatting sqref="A36:Z36">
    <cfRule type="cellIs" dxfId="0" priority="1" operator="lessThan">
      <formula>0</formula>
    </cfRule>
  </conditionalFormatting>
  <conditionalFormatting sqref="A39:Z39">
    <cfRule type="cellIs" dxfId="0" priority="2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0"/>
    <col customWidth="1" min="2" max="2" width="28.57"/>
    <col customWidth="1" min="3" max="3" width="11.86"/>
    <col customWidth="1" min="4" max="5" width="8.86"/>
    <col customWidth="1" min="6" max="9" width="9.43"/>
    <col customWidth="1" min="10" max="10" width="8.86"/>
    <col customWidth="1" min="11" max="13" width="9.43"/>
    <col customWidth="1" min="14" max="14" width="8.86"/>
    <col customWidth="1" min="15" max="17" width="9.43"/>
    <col customWidth="1" min="18" max="18" width="10.43"/>
    <col customWidth="1" min="19" max="23" width="9.43"/>
    <col customWidth="1" min="24" max="25" width="8.86"/>
    <col customWidth="1" min="26" max="26" width="9.43"/>
    <col customWidth="1" min="27" max="28" width="8.86"/>
    <col customWidth="1" min="29" max="31" width="9.43"/>
    <col customWidth="1" min="32" max="32" width="11.0"/>
    <col customWidth="1" min="33" max="34" width="10.43"/>
    <col customWidth="1" min="35" max="35" width="8.86"/>
  </cols>
  <sheetData>
    <row r="1" ht="18.0" customHeight="1">
      <c r="A1" s="22"/>
      <c r="B1" s="22" t="s">
        <v>0</v>
      </c>
      <c r="C1" s="23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ht="18.0" customHeight="1">
      <c r="A2" s="22"/>
      <c r="B2" s="22" t="s">
        <v>26</v>
      </c>
      <c r="C2" s="23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ht="18.0" customHeight="1">
      <c r="A3" s="37" t="s">
        <v>27</v>
      </c>
      <c r="B3" s="38"/>
      <c r="C3" s="38" t="s">
        <v>23</v>
      </c>
      <c r="D3" s="38">
        <v>1.0</v>
      </c>
      <c r="E3" s="38">
        <v>2.0</v>
      </c>
      <c r="F3" s="38">
        <v>3.0</v>
      </c>
      <c r="G3" s="38">
        <v>4.0</v>
      </c>
      <c r="H3" s="38">
        <v>5.0</v>
      </c>
      <c r="I3" s="38">
        <v>6.0</v>
      </c>
      <c r="J3" s="38">
        <v>7.0</v>
      </c>
      <c r="K3" s="38">
        <v>8.0</v>
      </c>
      <c r="L3" s="38">
        <v>9.0</v>
      </c>
      <c r="M3" s="38">
        <v>10.0</v>
      </c>
      <c r="N3" s="38">
        <v>11.0</v>
      </c>
      <c r="O3" s="38">
        <v>12.0</v>
      </c>
      <c r="P3" s="38">
        <v>13.0</v>
      </c>
      <c r="Q3" s="38">
        <v>14.0</v>
      </c>
      <c r="R3" s="38">
        <v>15.0</v>
      </c>
      <c r="S3" s="38">
        <v>16.0</v>
      </c>
      <c r="T3" s="38">
        <v>17.0</v>
      </c>
      <c r="U3" s="38">
        <v>18.0</v>
      </c>
      <c r="V3" s="38">
        <v>19.0</v>
      </c>
      <c r="W3" s="38">
        <v>20.0</v>
      </c>
      <c r="X3" s="38">
        <v>21.0</v>
      </c>
      <c r="Y3" s="38">
        <v>22.0</v>
      </c>
      <c r="Z3" s="38">
        <v>23.0</v>
      </c>
      <c r="AA3" s="38">
        <v>24.0</v>
      </c>
      <c r="AB3" s="38">
        <v>25.0</v>
      </c>
      <c r="AC3" s="38">
        <v>26.0</v>
      </c>
      <c r="AD3" s="38">
        <v>27.0</v>
      </c>
      <c r="AE3" s="38">
        <v>28.0</v>
      </c>
      <c r="AF3" s="38">
        <v>29.0</v>
      </c>
      <c r="AG3" s="38">
        <v>30.0</v>
      </c>
      <c r="AH3" s="38">
        <v>31.0</v>
      </c>
      <c r="AI3" s="38"/>
    </row>
    <row r="4" ht="18.0" customHeight="1">
      <c r="A4" s="40" t="s">
        <v>4</v>
      </c>
      <c r="B4" s="37" t="s">
        <v>32</v>
      </c>
      <c r="C4" s="41">
        <f t="shared" ref="C4:AH4" si="1">SUM(C5:C26)</f>
        <v>86778.60243</v>
      </c>
      <c r="D4" s="41">
        <f t="shared" si="1"/>
        <v>0</v>
      </c>
      <c r="E4" s="41">
        <f t="shared" si="1"/>
        <v>500</v>
      </c>
      <c r="F4" s="41">
        <f t="shared" si="1"/>
        <v>0</v>
      </c>
      <c r="G4" s="41">
        <f t="shared" si="1"/>
        <v>0</v>
      </c>
      <c r="H4" s="41">
        <f t="shared" si="1"/>
        <v>1225</v>
      </c>
      <c r="I4" s="41">
        <f t="shared" si="1"/>
        <v>0</v>
      </c>
      <c r="J4" s="41">
        <f t="shared" si="1"/>
        <v>2025</v>
      </c>
      <c r="K4" s="41">
        <f t="shared" si="1"/>
        <v>1680</v>
      </c>
      <c r="L4" s="41">
        <f t="shared" si="1"/>
        <v>0</v>
      </c>
      <c r="M4" s="41">
        <f t="shared" si="1"/>
        <v>0</v>
      </c>
      <c r="N4" s="41">
        <f t="shared" si="1"/>
        <v>0</v>
      </c>
      <c r="O4" s="41">
        <f t="shared" si="1"/>
        <v>200</v>
      </c>
      <c r="P4" s="41">
        <f t="shared" si="1"/>
        <v>0</v>
      </c>
      <c r="Q4" s="41">
        <f t="shared" si="1"/>
        <v>1080</v>
      </c>
      <c r="R4" s="41">
        <f t="shared" si="1"/>
        <v>16230</v>
      </c>
      <c r="S4" s="41">
        <f t="shared" si="1"/>
        <v>1243</v>
      </c>
      <c r="T4" s="41">
        <f t="shared" si="1"/>
        <v>0</v>
      </c>
      <c r="U4" s="41">
        <f t="shared" si="1"/>
        <v>0</v>
      </c>
      <c r="V4" s="41">
        <f t="shared" si="1"/>
        <v>270</v>
      </c>
      <c r="W4" s="41">
        <f t="shared" si="1"/>
        <v>135</v>
      </c>
      <c r="X4" s="41">
        <f t="shared" si="1"/>
        <v>0</v>
      </c>
      <c r="Y4" s="41">
        <f t="shared" si="1"/>
        <v>10</v>
      </c>
      <c r="Z4" s="41">
        <f t="shared" si="1"/>
        <v>0</v>
      </c>
      <c r="AA4" s="41">
        <f t="shared" si="1"/>
        <v>0</v>
      </c>
      <c r="AB4" s="41">
        <f t="shared" si="1"/>
        <v>0</v>
      </c>
      <c r="AC4" s="41">
        <f t="shared" si="1"/>
        <v>2210</v>
      </c>
      <c r="AD4" s="41">
        <f t="shared" si="1"/>
        <v>820</v>
      </c>
      <c r="AE4" s="41">
        <f t="shared" si="1"/>
        <v>1090</v>
      </c>
      <c r="AF4" s="41">
        <f t="shared" si="1"/>
        <v>2200</v>
      </c>
      <c r="AG4" s="41">
        <f t="shared" si="1"/>
        <v>55860.60243</v>
      </c>
      <c r="AH4" s="41">
        <f t="shared" si="1"/>
        <v>0</v>
      </c>
      <c r="AI4" s="38"/>
    </row>
    <row r="5" ht="18.0" customHeight="1">
      <c r="A5" s="40" t="s">
        <v>4</v>
      </c>
      <c r="B5" s="45" t="s">
        <v>50</v>
      </c>
      <c r="C5" s="46">
        <f t="shared" ref="C5:C25" si="2">SUM(D5:AH5)</f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5"/>
    </row>
    <row r="6" ht="18.0" customHeight="1">
      <c r="A6" s="40" t="s">
        <v>4</v>
      </c>
      <c r="B6" s="45" t="s">
        <v>57</v>
      </c>
      <c r="C6" s="46">
        <f t="shared" si="2"/>
        <v>33200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9">
        <v>15600.0</v>
      </c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9">
        <v>17600.0</v>
      </c>
      <c r="AH6" s="47"/>
      <c r="AI6" s="45"/>
    </row>
    <row r="7" ht="18.0" customHeight="1">
      <c r="A7" s="40" t="s">
        <v>4</v>
      </c>
      <c r="B7" s="45" t="s">
        <v>61</v>
      </c>
      <c r="C7" s="52">
        <f t="shared" si="2"/>
        <v>3000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9">
        <v>3000.0</v>
      </c>
      <c r="AH7" s="47"/>
      <c r="AI7" s="45"/>
    </row>
    <row r="8" ht="18.0" customHeight="1">
      <c r="A8" s="40" t="s">
        <v>4</v>
      </c>
      <c r="B8" s="45" t="s">
        <v>67</v>
      </c>
      <c r="C8" s="52">
        <f t="shared" si="2"/>
        <v>2000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9">
        <v>2000.0</v>
      </c>
      <c r="AH8" s="47"/>
      <c r="AI8" s="45"/>
    </row>
    <row r="9" ht="18.0" customHeight="1">
      <c r="A9" s="40" t="s">
        <v>4</v>
      </c>
      <c r="B9" s="45" t="s">
        <v>70</v>
      </c>
      <c r="C9" s="52">
        <f t="shared" si="2"/>
        <v>2833.333333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9">
        <f>34000/12</f>
        <v>2833.333333</v>
      </c>
      <c r="AH9" s="47"/>
      <c r="AI9" s="45"/>
    </row>
    <row r="10" ht="18.0" customHeight="1">
      <c r="A10" s="40" t="s">
        <v>4</v>
      </c>
      <c r="B10" s="45" t="s">
        <v>75</v>
      </c>
      <c r="C10" s="52">
        <f t="shared" si="2"/>
        <v>13548.1491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>
        <f>'2026 DS'!N3</f>
        <v>13548.1491</v>
      </c>
      <c r="AH10" s="47"/>
      <c r="AI10" s="45"/>
    </row>
    <row r="11" ht="18.0" customHeight="1">
      <c r="A11" s="40" t="s">
        <v>4</v>
      </c>
      <c r="B11" s="45" t="s">
        <v>78</v>
      </c>
      <c r="C11" s="46">
        <f t="shared" si="2"/>
        <v>5000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9">
        <v>5000.0</v>
      </c>
      <c r="AH11" s="47"/>
      <c r="AI11" s="45"/>
    </row>
    <row r="12" ht="18.0" customHeight="1">
      <c r="A12" s="40" t="s">
        <v>4</v>
      </c>
      <c r="B12" s="56" t="s">
        <v>81</v>
      </c>
      <c r="C12" s="46">
        <f t="shared" si="2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9"/>
      <c r="AH12" s="47"/>
      <c r="AI12" s="45"/>
    </row>
    <row r="13" ht="18.0" customHeight="1">
      <c r="A13" s="40" t="s">
        <v>4</v>
      </c>
      <c r="B13" s="45" t="s">
        <v>82</v>
      </c>
      <c r="C13" s="46">
        <f t="shared" si="2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9">
        <v>0.0</v>
      </c>
      <c r="AH13" s="47"/>
      <c r="AI13" s="45"/>
    </row>
    <row r="14" ht="18.0" customHeight="1">
      <c r="A14" s="40" t="s">
        <v>4</v>
      </c>
      <c r="B14" s="45" t="s">
        <v>83</v>
      </c>
      <c r="C14" s="46">
        <f t="shared" si="2"/>
        <v>2500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9">
        <v>2500.0</v>
      </c>
      <c r="AH14" s="47"/>
      <c r="AI14" s="45"/>
    </row>
    <row r="15" ht="18.0" customHeight="1">
      <c r="A15" s="40" t="s">
        <v>4</v>
      </c>
      <c r="B15" s="45" t="s">
        <v>86</v>
      </c>
      <c r="C15" s="46">
        <f t="shared" si="2"/>
        <v>1210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9">
        <v>1210.0</v>
      </c>
      <c r="AH15" s="47"/>
      <c r="AI15" s="45"/>
    </row>
    <row r="16" ht="18.0" customHeight="1">
      <c r="A16" s="40" t="s">
        <v>4</v>
      </c>
      <c r="B16" s="45" t="s">
        <v>89</v>
      </c>
      <c r="C16" s="46">
        <f t="shared" si="2"/>
        <v>300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9">
        <f>12000*0.025</f>
        <v>300</v>
      </c>
      <c r="AH16" s="47"/>
      <c r="AI16" s="45"/>
    </row>
    <row r="17" ht="18.0" customHeight="1">
      <c r="A17" s="40" t="s">
        <v>4</v>
      </c>
      <c r="B17" s="45" t="s">
        <v>93</v>
      </c>
      <c r="C17" s="46">
        <f t="shared" si="2"/>
        <v>200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9">
        <v>200.0</v>
      </c>
      <c r="AH17" s="47"/>
      <c r="AI17" s="45"/>
    </row>
    <row r="18" ht="18.0" customHeight="1">
      <c r="A18" s="40" t="s">
        <v>4</v>
      </c>
      <c r="B18" s="45" t="s">
        <v>96</v>
      </c>
      <c r="C18" s="46">
        <f t="shared" si="2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5"/>
    </row>
    <row r="19" ht="18.0" customHeight="1">
      <c r="A19" s="40" t="s">
        <v>4</v>
      </c>
      <c r="B19" s="45" t="s">
        <v>98</v>
      </c>
      <c r="C19" s="46">
        <f t="shared" si="2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5"/>
    </row>
    <row r="20" ht="18.0" customHeight="1">
      <c r="A20" s="40" t="s">
        <v>4</v>
      </c>
      <c r="B20" s="56" t="s">
        <v>100</v>
      </c>
      <c r="C20" s="46">
        <f t="shared" si="2"/>
        <v>5040</v>
      </c>
      <c r="D20" s="47"/>
      <c r="E20" s="49">
        <f>500</f>
        <v>500</v>
      </c>
      <c r="F20" s="47"/>
      <c r="G20" s="47"/>
      <c r="H20" s="49">
        <v>25.0</v>
      </c>
      <c r="I20" s="47"/>
      <c r="J20" s="49">
        <v>25.0</v>
      </c>
      <c r="K20" s="47"/>
      <c r="L20" s="47"/>
      <c r="M20" s="47"/>
      <c r="N20" s="47"/>
      <c r="O20" s="47"/>
      <c r="P20" s="47"/>
      <c r="Q20" s="47"/>
      <c r="R20" s="49">
        <v>30.0</v>
      </c>
      <c r="S20" s="47"/>
      <c r="T20" s="47"/>
      <c r="U20" s="47"/>
      <c r="V20" s="49">
        <v>20.0</v>
      </c>
      <c r="W20" s="49"/>
      <c r="X20" s="47"/>
      <c r="Y20" s="49">
        <v>10.0</v>
      </c>
      <c r="Z20" s="47"/>
      <c r="AA20" s="47"/>
      <c r="AB20" s="47"/>
      <c r="AC20" s="49">
        <f>10+2200</f>
        <v>2210</v>
      </c>
      <c r="AD20" s="47"/>
      <c r="AE20" s="47"/>
      <c r="AF20" s="49">
        <v>2200.0</v>
      </c>
      <c r="AG20" s="49">
        <v>20.0</v>
      </c>
      <c r="AH20" s="47"/>
      <c r="AI20" s="45"/>
    </row>
    <row r="21" ht="18.0" customHeight="1">
      <c r="A21" s="40" t="s">
        <v>4</v>
      </c>
      <c r="B21" s="45" t="s">
        <v>103</v>
      </c>
      <c r="C21" s="46">
        <f t="shared" si="2"/>
        <v>35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9">
        <v>35.0</v>
      </c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5"/>
    </row>
    <row r="22" ht="18.0" customHeight="1">
      <c r="A22" s="40" t="s">
        <v>4</v>
      </c>
      <c r="B22" s="45" t="s">
        <v>104</v>
      </c>
      <c r="C22" s="46">
        <f t="shared" si="2"/>
        <v>1700</v>
      </c>
      <c r="D22" s="47"/>
      <c r="E22" s="47"/>
      <c r="F22" s="47"/>
      <c r="G22" s="47"/>
      <c r="H22" s="47"/>
      <c r="I22" s="47"/>
      <c r="J22" s="49">
        <v>800.0</v>
      </c>
      <c r="K22" s="49">
        <v>500.0</v>
      </c>
      <c r="L22" s="47"/>
      <c r="M22" s="47"/>
      <c r="N22" s="47"/>
      <c r="O22" s="49">
        <v>100.0</v>
      </c>
      <c r="P22" s="47"/>
      <c r="Q22" s="49">
        <v>300.0</v>
      </c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5"/>
    </row>
    <row r="23" ht="18.0" customHeight="1">
      <c r="A23" s="40" t="s">
        <v>4</v>
      </c>
      <c r="B23" s="45" t="s">
        <v>107</v>
      </c>
      <c r="C23" s="46">
        <f t="shared" si="2"/>
        <v>4200</v>
      </c>
      <c r="D23" s="47"/>
      <c r="E23" s="47"/>
      <c r="F23" s="47"/>
      <c r="G23" s="47"/>
      <c r="H23" s="49">
        <f>1000+200</f>
        <v>1200</v>
      </c>
      <c r="I23" s="47"/>
      <c r="J23" s="49">
        <v>1200.0</v>
      </c>
      <c r="K23" s="49">
        <v>800.0</v>
      </c>
      <c r="L23" s="47"/>
      <c r="M23" s="47"/>
      <c r="N23" s="47"/>
      <c r="O23" s="49">
        <v>100.0</v>
      </c>
      <c r="P23" s="47"/>
      <c r="Q23" s="47"/>
      <c r="R23" s="49">
        <v>600.0</v>
      </c>
      <c r="S23" s="47"/>
      <c r="T23" s="47"/>
      <c r="U23" s="47"/>
      <c r="V23" s="47"/>
      <c r="W23" s="49">
        <v>100.0</v>
      </c>
      <c r="X23" s="47"/>
      <c r="Y23" s="47"/>
      <c r="Z23" s="47"/>
      <c r="AA23" s="47"/>
      <c r="AB23" s="47"/>
      <c r="AC23" s="47"/>
      <c r="AD23" s="47"/>
      <c r="AE23" s="47"/>
      <c r="AF23" s="47"/>
      <c r="AG23" s="49">
        <v>200.0</v>
      </c>
      <c r="AH23" s="47"/>
      <c r="AI23" s="45"/>
    </row>
    <row r="24" ht="18.0" customHeight="1">
      <c r="A24" s="40" t="s">
        <v>4</v>
      </c>
      <c r="B24" s="45" t="s">
        <v>108</v>
      </c>
      <c r="C24" s="46">
        <f t="shared" si="2"/>
        <v>4563</v>
      </c>
      <c r="D24" s="47"/>
      <c r="E24" s="47"/>
      <c r="F24" s="47"/>
      <c r="G24" s="47"/>
      <c r="H24" s="47"/>
      <c r="I24" s="47"/>
      <c r="J24" s="47"/>
      <c r="K24" s="49">
        <v>380.0</v>
      </c>
      <c r="L24" s="47"/>
      <c r="M24" s="47"/>
      <c r="N24" s="47"/>
      <c r="O24" s="47"/>
      <c r="P24" s="47"/>
      <c r="Q24" s="49">
        <f>650+130</f>
        <v>780</v>
      </c>
      <c r="R24" s="47"/>
      <c r="S24" s="47">
        <f>343+900</f>
        <v>1243</v>
      </c>
      <c r="T24" s="47"/>
      <c r="U24" s="47"/>
      <c r="V24" s="49">
        <v>250.0</v>
      </c>
      <c r="W24" s="47"/>
      <c r="X24" s="47"/>
      <c r="Y24" s="47"/>
      <c r="Z24" s="47"/>
      <c r="AA24" s="47"/>
      <c r="AB24" s="47"/>
      <c r="AC24" s="47"/>
      <c r="AD24" s="47">
        <f>100+720</f>
        <v>820</v>
      </c>
      <c r="AE24" s="47">
        <f>310+780</f>
        <v>1090</v>
      </c>
      <c r="AF24" s="47"/>
      <c r="AG24" s="47"/>
      <c r="AH24" s="47"/>
      <c r="AI24" s="45"/>
    </row>
    <row r="25" ht="18.0" customHeight="1">
      <c r="A25" s="40" t="s">
        <v>4</v>
      </c>
      <c r="B25" s="45" t="s">
        <v>112</v>
      </c>
      <c r="C25" s="52">
        <f t="shared" si="2"/>
        <v>7449.12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>
        <f>'2026 Comm'!C4</f>
        <v>7449.12</v>
      </c>
      <c r="AH25" s="47"/>
      <c r="AI25" s="45"/>
    </row>
    <row r="26" ht="18.0" customHeight="1">
      <c r="A26" s="40"/>
      <c r="B26" s="45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5"/>
    </row>
    <row r="27" ht="18.0" customHeight="1">
      <c r="A27" s="40" t="s">
        <v>5</v>
      </c>
      <c r="B27" s="37" t="s">
        <v>32</v>
      </c>
      <c r="C27" s="41">
        <f t="shared" ref="C27:AH27" si="3">SUM(C28:C49)</f>
        <v>95045.81733</v>
      </c>
      <c r="D27" s="41">
        <f t="shared" si="3"/>
        <v>0</v>
      </c>
      <c r="E27" s="41">
        <f t="shared" si="3"/>
        <v>10120</v>
      </c>
      <c r="F27" s="41">
        <f t="shared" si="3"/>
        <v>100</v>
      </c>
      <c r="G27" s="41">
        <f t="shared" si="3"/>
        <v>0</v>
      </c>
      <c r="H27" s="41">
        <f t="shared" si="3"/>
        <v>250</v>
      </c>
      <c r="I27" s="41">
        <f t="shared" si="3"/>
        <v>2610</v>
      </c>
      <c r="J27" s="41">
        <f t="shared" si="3"/>
        <v>0</v>
      </c>
      <c r="K27" s="41">
        <f t="shared" si="3"/>
        <v>0</v>
      </c>
      <c r="L27" s="41">
        <f t="shared" si="3"/>
        <v>10</v>
      </c>
      <c r="M27" s="41">
        <f t="shared" si="3"/>
        <v>10</v>
      </c>
      <c r="N27" s="41">
        <f t="shared" si="3"/>
        <v>200</v>
      </c>
      <c r="O27" s="41">
        <f t="shared" si="3"/>
        <v>5510</v>
      </c>
      <c r="P27" s="41">
        <f t="shared" si="3"/>
        <v>0</v>
      </c>
      <c r="Q27" s="41">
        <f t="shared" si="3"/>
        <v>19700</v>
      </c>
      <c r="R27" s="41">
        <f t="shared" si="3"/>
        <v>0</v>
      </c>
      <c r="S27" s="41">
        <f t="shared" si="3"/>
        <v>20</v>
      </c>
      <c r="T27" s="41">
        <f t="shared" si="3"/>
        <v>0</v>
      </c>
      <c r="U27" s="41">
        <f t="shared" si="3"/>
        <v>1160</v>
      </c>
      <c r="V27" s="41">
        <f t="shared" si="3"/>
        <v>2200</v>
      </c>
      <c r="W27" s="41">
        <f t="shared" si="3"/>
        <v>2810</v>
      </c>
      <c r="X27" s="41">
        <f t="shared" si="3"/>
        <v>0</v>
      </c>
      <c r="Y27" s="41">
        <f t="shared" si="3"/>
        <v>0</v>
      </c>
      <c r="Z27" s="41">
        <f t="shared" si="3"/>
        <v>20</v>
      </c>
      <c r="AA27" s="41">
        <f t="shared" si="3"/>
        <v>250</v>
      </c>
      <c r="AB27" s="41">
        <f t="shared" si="3"/>
        <v>2210</v>
      </c>
      <c r="AC27" s="41">
        <f t="shared" si="3"/>
        <v>3400</v>
      </c>
      <c r="AD27" s="41">
        <f t="shared" si="3"/>
        <v>20</v>
      </c>
      <c r="AE27" s="41">
        <f t="shared" si="3"/>
        <v>40235.81733</v>
      </c>
      <c r="AF27" s="41">
        <f t="shared" si="3"/>
        <v>0</v>
      </c>
      <c r="AG27" s="41">
        <f t="shared" si="3"/>
        <v>4210</v>
      </c>
      <c r="AH27" s="41">
        <f t="shared" si="3"/>
        <v>0</v>
      </c>
      <c r="AI27" s="38"/>
    </row>
    <row r="28" ht="18.0" customHeight="1">
      <c r="A28" s="40" t="s">
        <v>5</v>
      </c>
      <c r="B28" s="45" t="s">
        <v>50</v>
      </c>
      <c r="C28" s="46">
        <f t="shared" ref="C28:C48" si="4">SUM(D28:AH28)</f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5"/>
    </row>
    <row r="29" ht="18.0" customHeight="1">
      <c r="A29" s="40" t="s">
        <v>5</v>
      </c>
      <c r="B29" s="45" t="s">
        <v>57</v>
      </c>
      <c r="C29" s="46">
        <f t="shared" si="4"/>
        <v>36500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9">
        <v>19500.0</v>
      </c>
      <c r="R29" s="49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9">
        <v>17000.0</v>
      </c>
      <c r="AF29" s="47"/>
      <c r="AG29" s="49"/>
      <c r="AH29" s="47"/>
      <c r="AI29" s="45"/>
    </row>
    <row r="30" ht="18.0" customHeight="1">
      <c r="A30" s="40" t="s">
        <v>5</v>
      </c>
      <c r="B30" s="45" t="s">
        <v>61</v>
      </c>
      <c r="C30" s="52">
        <f t="shared" si="4"/>
        <v>3000</v>
      </c>
      <c r="D30" s="47"/>
      <c r="E30" s="49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9">
        <v>3000.0</v>
      </c>
      <c r="AF30" s="47"/>
      <c r="AG30" s="49"/>
      <c r="AH30" s="47"/>
      <c r="AI30" s="45"/>
    </row>
    <row r="31" ht="18.0" customHeight="1">
      <c r="A31" s="40" t="s">
        <v>5</v>
      </c>
      <c r="B31" s="45" t="s">
        <v>67</v>
      </c>
      <c r="C31" s="52">
        <f t="shared" si="4"/>
        <v>2000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9">
        <v>2000.0</v>
      </c>
      <c r="AF31" s="47"/>
      <c r="AG31" s="49"/>
      <c r="AH31" s="47"/>
      <c r="AI31" s="45"/>
    </row>
    <row r="32" ht="18.0" customHeight="1">
      <c r="A32" s="40" t="s">
        <v>5</v>
      </c>
      <c r="B32" s="45" t="s">
        <v>70</v>
      </c>
      <c r="C32" s="52">
        <f t="shared" si="4"/>
        <v>2833.333333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9">
        <f>34000/12</f>
        <v>2833.333333</v>
      </c>
      <c r="AF32" s="47"/>
      <c r="AG32" s="49"/>
      <c r="AH32" s="47"/>
      <c r="AI32" s="45"/>
    </row>
    <row r="33" ht="18.0" customHeight="1">
      <c r="A33" s="40" t="s">
        <v>5</v>
      </c>
      <c r="B33" s="45" t="s">
        <v>75</v>
      </c>
      <c r="C33" s="52">
        <f t="shared" si="4"/>
        <v>1855.5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>
        <f>'2026 DS'!N44</f>
        <v>1855.5</v>
      </c>
      <c r="AF33" s="47"/>
      <c r="AG33" s="47"/>
      <c r="AH33" s="47"/>
      <c r="AI33" s="45"/>
    </row>
    <row r="34" ht="18.0" customHeight="1">
      <c r="A34" s="40" t="s">
        <v>5</v>
      </c>
      <c r="B34" s="45" t="s">
        <v>78</v>
      </c>
      <c r="C34" s="46">
        <f t="shared" si="4"/>
        <v>5000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9">
        <v>5000.0</v>
      </c>
      <c r="AF34" s="47"/>
      <c r="AG34" s="49"/>
      <c r="AH34" s="47"/>
      <c r="AI34" s="45"/>
    </row>
    <row r="35" ht="18.0" customHeight="1">
      <c r="A35" s="40" t="s">
        <v>5</v>
      </c>
      <c r="B35" s="56" t="s">
        <v>81</v>
      </c>
      <c r="C35" s="46">
        <f t="shared" si="4"/>
        <v>9000</v>
      </c>
      <c r="D35" s="47"/>
      <c r="E35" s="49">
        <v>9000.0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9"/>
      <c r="AH35" s="47"/>
      <c r="AI35" s="45"/>
    </row>
    <row r="36" ht="18.0" customHeight="1">
      <c r="A36" s="40" t="s">
        <v>5</v>
      </c>
      <c r="B36" s="45" t="s">
        <v>82</v>
      </c>
      <c r="C36" s="46">
        <f t="shared" si="4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9"/>
      <c r="AH36" s="47"/>
      <c r="AI36" s="45"/>
    </row>
    <row r="37" ht="18.0" customHeight="1">
      <c r="A37" s="40" t="s">
        <v>5</v>
      </c>
      <c r="B37" s="45" t="s">
        <v>83</v>
      </c>
      <c r="C37" s="46">
        <f t="shared" si="4"/>
        <v>2500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9">
        <v>2500.0</v>
      </c>
      <c r="AH37" s="47"/>
      <c r="AI37" s="45"/>
    </row>
    <row r="38" ht="18.0" customHeight="1">
      <c r="A38" s="40" t="s">
        <v>5</v>
      </c>
      <c r="B38" s="45" t="s">
        <v>86</v>
      </c>
      <c r="C38" s="46">
        <f t="shared" si="4"/>
        <v>1210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9">
        <v>1210.0</v>
      </c>
      <c r="AH38" s="47"/>
      <c r="AI38" s="45"/>
    </row>
    <row r="39" ht="18.0" customHeight="1">
      <c r="A39" s="40" t="s">
        <v>5</v>
      </c>
      <c r="B39" s="45" t="s">
        <v>89</v>
      </c>
      <c r="C39" s="46">
        <f t="shared" si="4"/>
        <v>300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9">
        <f>12000*0.025</f>
        <v>300</v>
      </c>
      <c r="AH39" s="47"/>
      <c r="AI39" s="45"/>
    </row>
    <row r="40" ht="18.0" customHeight="1">
      <c r="A40" s="40" t="s">
        <v>5</v>
      </c>
      <c r="B40" s="45" t="s">
        <v>93</v>
      </c>
      <c r="C40" s="46">
        <f t="shared" si="4"/>
        <v>200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9">
        <v>200.0</v>
      </c>
      <c r="AH40" s="47"/>
      <c r="AI40" s="45"/>
    </row>
    <row r="41" ht="18.0" customHeight="1">
      <c r="A41" s="40" t="s">
        <v>5</v>
      </c>
      <c r="B41" s="45" t="s">
        <v>96</v>
      </c>
      <c r="C41" s="46">
        <f t="shared" si="4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5"/>
    </row>
    <row r="42" ht="18.0" customHeight="1">
      <c r="A42" s="40" t="s">
        <v>5</v>
      </c>
      <c r="B42" s="45" t="s">
        <v>98</v>
      </c>
      <c r="C42" s="46">
        <f t="shared" si="4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5"/>
    </row>
    <row r="43" ht="18.0" customHeight="1">
      <c r="A43" s="40" t="s">
        <v>5</v>
      </c>
      <c r="B43" s="56" t="s">
        <v>100</v>
      </c>
      <c r="C43" s="46">
        <f t="shared" si="4"/>
        <v>10230</v>
      </c>
      <c r="D43" s="47"/>
      <c r="E43" s="49">
        <v>500.0</v>
      </c>
      <c r="F43" s="47"/>
      <c r="G43" s="47"/>
      <c r="H43" s="47"/>
      <c r="I43" s="49">
        <f>2600+10</f>
        <v>2610</v>
      </c>
      <c r="J43" s="47"/>
      <c r="K43" s="47"/>
      <c r="L43" s="49">
        <v>10.0</v>
      </c>
      <c r="M43" s="49">
        <v>10.0</v>
      </c>
      <c r="N43" s="47"/>
      <c r="O43" s="49">
        <f>2200+10</f>
        <v>2210</v>
      </c>
      <c r="P43" s="47"/>
      <c r="Q43" s="47"/>
      <c r="R43" s="47"/>
      <c r="S43" s="49">
        <f>10+10</f>
        <v>20</v>
      </c>
      <c r="T43" s="47"/>
      <c r="U43" s="49">
        <v>10.0</v>
      </c>
      <c r="V43" s="47"/>
      <c r="W43" s="49">
        <f>10+2600</f>
        <v>2610</v>
      </c>
      <c r="X43" s="47"/>
      <c r="Y43" s="47"/>
      <c r="Z43" s="47">
        <f>10+10</f>
        <v>20</v>
      </c>
      <c r="AA43" s="47"/>
      <c r="AB43" s="49">
        <f>10+2200</f>
        <v>2210</v>
      </c>
      <c r="AC43" s="47"/>
      <c r="AD43" s="47">
        <f>10+10</f>
        <v>20</v>
      </c>
      <c r="AE43" s="47"/>
      <c r="AF43" s="47"/>
      <c r="AG43" s="47"/>
      <c r="AH43" s="47"/>
      <c r="AI43" s="45"/>
    </row>
    <row r="44" ht="18.0" customHeight="1">
      <c r="A44" s="40" t="s">
        <v>5</v>
      </c>
      <c r="B44" s="45" t="s">
        <v>103</v>
      </c>
      <c r="C44" s="46">
        <f t="shared" si="4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9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5"/>
    </row>
    <row r="45" ht="18.0" customHeight="1">
      <c r="A45" s="40" t="s">
        <v>5</v>
      </c>
      <c r="B45" s="45" t="s">
        <v>104</v>
      </c>
      <c r="C45" s="46">
        <f t="shared" si="4"/>
        <v>2400</v>
      </c>
      <c r="D45" s="47"/>
      <c r="E45" s="47"/>
      <c r="F45" s="47"/>
      <c r="G45" s="47"/>
      <c r="H45" s="47"/>
      <c r="I45" s="47"/>
      <c r="J45" s="49"/>
      <c r="K45" s="49"/>
      <c r="L45" s="47"/>
      <c r="M45" s="47"/>
      <c r="N45" s="47"/>
      <c r="O45" s="49">
        <v>800.0</v>
      </c>
      <c r="P45" s="47"/>
      <c r="Q45" s="49"/>
      <c r="R45" s="47"/>
      <c r="S45" s="47"/>
      <c r="T45" s="47"/>
      <c r="U45" s="47"/>
      <c r="V45" s="49">
        <v>800.0</v>
      </c>
      <c r="W45" s="49"/>
      <c r="X45" s="47"/>
      <c r="Y45" s="47"/>
      <c r="Z45" s="47"/>
      <c r="AA45" s="49"/>
      <c r="AB45" s="47"/>
      <c r="AC45" s="49">
        <v>800.0</v>
      </c>
      <c r="AD45" s="47"/>
      <c r="AE45" s="47"/>
      <c r="AF45" s="47"/>
      <c r="AG45" s="47"/>
      <c r="AH45" s="47"/>
      <c r="AI45" s="45"/>
    </row>
    <row r="46" ht="18.0" customHeight="1">
      <c r="A46" s="40" t="s">
        <v>5</v>
      </c>
      <c r="B46" s="45" t="s">
        <v>107</v>
      </c>
      <c r="C46" s="46">
        <f t="shared" si="4"/>
        <v>5700</v>
      </c>
      <c r="D46" s="47"/>
      <c r="E46" s="49">
        <v>200.0</v>
      </c>
      <c r="F46" s="49">
        <v>100.0</v>
      </c>
      <c r="G46" s="47"/>
      <c r="H46" s="49"/>
      <c r="I46" s="47"/>
      <c r="J46" s="49"/>
      <c r="K46" s="49"/>
      <c r="L46" s="47"/>
      <c r="M46" s="47"/>
      <c r="N46" s="49">
        <v>200.0</v>
      </c>
      <c r="O46" s="49">
        <f>200+1200</f>
        <v>1400</v>
      </c>
      <c r="P46" s="47"/>
      <c r="Q46" s="49">
        <v>200.0</v>
      </c>
      <c r="R46" s="49"/>
      <c r="S46" s="47"/>
      <c r="T46" s="47"/>
      <c r="U46" s="49">
        <v>200.0</v>
      </c>
      <c r="V46" s="49">
        <f>200+1200</f>
        <v>1400</v>
      </c>
      <c r="W46" s="49">
        <v>200.0</v>
      </c>
      <c r="X46" s="47"/>
      <c r="Y46" s="47"/>
      <c r="Z46" s="47"/>
      <c r="AA46" s="49">
        <v>250.0</v>
      </c>
      <c r="AB46" s="47"/>
      <c r="AC46" s="47">
        <f>50+1200</f>
        <v>1250</v>
      </c>
      <c r="AD46" s="47"/>
      <c r="AE46" s="49">
        <v>300.0</v>
      </c>
      <c r="AF46" s="47"/>
      <c r="AG46" s="49"/>
      <c r="AH46" s="47"/>
      <c r="AI46" s="45"/>
    </row>
    <row r="47" ht="18.0" customHeight="1">
      <c r="A47" s="40" t="s">
        <v>5</v>
      </c>
      <c r="B47" s="45" t="s">
        <v>108</v>
      </c>
      <c r="C47" s="46">
        <f t="shared" si="4"/>
        <v>4270</v>
      </c>
      <c r="D47" s="47"/>
      <c r="E47" s="49">
        <f>100+320</f>
        <v>420</v>
      </c>
      <c r="F47" s="47"/>
      <c r="G47" s="47"/>
      <c r="H47" s="49">
        <v>250.0</v>
      </c>
      <c r="I47" s="47"/>
      <c r="J47" s="47"/>
      <c r="K47" s="49"/>
      <c r="L47" s="47"/>
      <c r="M47" s="47"/>
      <c r="N47" s="47"/>
      <c r="O47" s="47">
        <f>800+300</f>
        <v>1100</v>
      </c>
      <c r="P47" s="47"/>
      <c r="Q47" s="49"/>
      <c r="R47" s="47"/>
      <c r="S47" s="47"/>
      <c r="T47" s="47"/>
      <c r="U47" s="49">
        <f>300+650</f>
        <v>950</v>
      </c>
      <c r="V47" s="49"/>
      <c r="W47" s="47"/>
      <c r="X47" s="47"/>
      <c r="Y47" s="47"/>
      <c r="Z47" s="47"/>
      <c r="AA47" s="47"/>
      <c r="AB47" s="47"/>
      <c r="AC47" s="47">
        <f>350+1000</f>
        <v>1350</v>
      </c>
      <c r="AD47" s="47"/>
      <c r="AE47" s="49">
        <v>200.0</v>
      </c>
      <c r="AF47" s="47"/>
      <c r="AG47" s="47"/>
      <c r="AH47" s="47"/>
      <c r="AI47" s="45"/>
    </row>
    <row r="48" ht="18.0" customHeight="1">
      <c r="A48" s="40" t="s">
        <v>5</v>
      </c>
      <c r="B48" s="45" t="s">
        <v>112</v>
      </c>
      <c r="C48" s="52">
        <f t="shared" si="4"/>
        <v>8046.984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>
        <f>'2026 DS'!K44</f>
        <v>8046.984</v>
      </c>
      <c r="AF48" s="47"/>
      <c r="AG48" s="47"/>
      <c r="AH48" s="47"/>
      <c r="AI48" s="45"/>
    </row>
    <row r="49" ht="18.0" customHeight="1">
      <c r="A49" s="22"/>
      <c r="B49" s="45"/>
      <c r="C49" s="4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5"/>
    </row>
    <row r="50" ht="18.0" customHeight="1">
      <c r="A50" s="40" t="s">
        <v>6</v>
      </c>
      <c r="B50" s="37" t="s">
        <v>32</v>
      </c>
      <c r="C50" s="41">
        <f t="shared" ref="C50:AH50" si="5">SUM(C51:C72)</f>
        <v>149782.0833</v>
      </c>
      <c r="D50" s="41">
        <f t="shared" si="5"/>
        <v>500</v>
      </c>
      <c r="E50" s="41">
        <f t="shared" si="5"/>
        <v>10</v>
      </c>
      <c r="F50" s="41">
        <f t="shared" si="5"/>
        <v>1550</v>
      </c>
      <c r="G50" s="41">
        <f t="shared" si="5"/>
        <v>0</v>
      </c>
      <c r="H50" s="41">
        <f t="shared" si="5"/>
        <v>710</v>
      </c>
      <c r="I50" s="41">
        <f t="shared" si="5"/>
        <v>0</v>
      </c>
      <c r="J50" s="41">
        <f t="shared" si="5"/>
        <v>10</v>
      </c>
      <c r="K50" s="41">
        <f t="shared" si="5"/>
        <v>10</v>
      </c>
      <c r="L50" s="41">
        <f t="shared" si="5"/>
        <v>0</v>
      </c>
      <c r="M50" s="41">
        <f t="shared" si="5"/>
        <v>210</v>
      </c>
      <c r="N50" s="41">
        <f t="shared" si="5"/>
        <v>1000</v>
      </c>
      <c r="O50" s="41">
        <f t="shared" si="5"/>
        <v>220</v>
      </c>
      <c r="P50" s="41">
        <f t="shared" si="5"/>
        <v>60</v>
      </c>
      <c r="Q50" s="41">
        <f t="shared" si="5"/>
        <v>0</v>
      </c>
      <c r="R50" s="41">
        <f t="shared" si="5"/>
        <v>19500</v>
      </c>
      <c r="S50" s="41">
        <f t="shared" si="5"/>
        <v>1170</v>
      </c>
      <c r="T50" s="41">
        <f t="shared" si="5"/>
        <v>0</v>
      </c>
      <c r="U50" s="41">
        <f t="shared" si="5"/>
        <v>3380</v>
      </c>
      <c r="V50" s="41">
        <f t="shared" si="5"/>
        <v>2210</v>
      </c>
      <c r="W50" s="41">
        <f t="shared" si="5"/>
        <v>0</v>
      </c>
      <c r="X50" s="41">
        <f t="shared" si="5"/>
        <v>1720</v>
      </c>
      <c r="Y50" s="41">
        <f t="shared" si="5"/>
        <v>0</v>
      </c>
      <c r="Z50" s="41">
        <f t="shared" si="5"/>
        <v>0</v>
      </c>
      <c r="AA50" s="41">
        <f t="shared" si="5"/>
        <v>10</v>
      </c>
      <c r="AB50" s="41">
        <f t="shared" si="5"/>
        <v>1180</v>
      </c>
      <c r="AC50" s="41">
        <f t="shared" si="5"/>
        <v>3900</v>
      </c>
      <c r="AD50" s="41">
        <f t="shared" si="5"/>
        <v>0</v>
      </c>
      <c r="AE50" s="41">
        <f t="shared" si="5"/>
        <v>800</v>
      </c>
      <c r="AF50" s="41">
        <f t="shared" si="5"/>
        <v>0</v>
      </c>
      <c r="AG50" s="41">
        <f t="shared" si="5"/>
        <v>60210</v>
      </c>
      <c r="AH50" s="41">
        <f t="shared" si="5"/>
        <v>51422.08333</v>
      </c>
      <c r="AI50" s="38"/>
    </row>
    <row r="51" ht="18.0" customHeight="1">
      <c r="A51" s="40" t="s">
        <v>6</v>
      </c>
      <c r="B51" s="45" t="s">
        <v>50</v>
      </c>
      <c r="C51" s="46">
        <f t="shared" ref="C51:C72" si="6">SUM(D51:AH51)</f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5"/>
    </row>
    <row r="52" ht="18.0" customHeight="1">
      <c r="A52" s="40" t="s">
        <v>6</v>
      </c>
      <c r="B52" s="45" t="s">
        <v>57</v>
      </c>
      <c r="C52" s="46">
        <f t="shared" si="6"/>
        <v>37700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9"/>
      <c r="R52" s="49">
        <v>19500.0</v>
      </c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9"/>
      <c r="AF52" s="47"/>
      <c r="AG52" s="49"/>
      <c r="AH52" s="49">
        <v>18200.0</v>
      </c>
      <c r="AI52" s="45"/>
    </row>
    <row r="53" ht="18.0" customHeight="1">
      <c r="A53" s="40" t="s">
        <v>6</v>
      </c>
      <c r="B53" s="45" t="s">
        <v>61</v>
      </c>
      <c r="C53" s="52">
        <f t="shared" si="6"/>
        <v>3000</v>
      </c>
      <c r="D53" s="47"/>
      <c r="E53" s="49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9"/>
      <c r="AF53" s="47"/>
      <c r="AG53" s="49"/>
      <c r="AH53" s="49">
        <v>3000.0</v>
      </c>
      <c r="AI53" s="45"/>
    </row>
    <row r="54" ht="18.0" customHeight="1">
      <c r="A54" s="40" t="s">
        <v>6</v>
      </c>
      <c r="B54" s="45" t="s">
        <v>67</v>
      </c>
      <c r="C54" s="52">
        <f t="shared" si="6"/>
        <v>2000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9"/>
      <c r="AF54" s="47"/>
      <c r="AG54" s="49"/>
      <c r="AH54" s="49">
        <v>2000.0</v>
      </c>
      <c r="AI54" s="45"/>
    </row>
    <row r="55" ht="18.0" customHeight="1">
      <c r="A55" s="40" t="s">
        <v>6</v>
      </c>
      <c r="B55" s="45" t="s">
        <v>70</v>
      </c>
      <c r="C55" s="52">
        <f t="shared" si="6"/>
        <v>2833.333333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9"/>
      <c r="AF55" s="47"/>
      <c r="AG55" s="49"/>
      <c r="AH55" s="49">
        <f>34000/12</f>
        <v>2833.333333</v>
      </c>
      <c r="AI55" s="45"/>
    </row>
    <row r="56" ht="18.0" customHeight="1">
      <c r="A56" s="40" t="s">
        <v>6</v>
      </c>
      <c r="B56" s="45" t="s">
        <v>75</v>
      </c>
      <c r="C56" s="52">
        <f t="shared" si="6"/>
        <v>11692.65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9">
        <f>13548.15-1855.5</f>
        <v>11692.65</v>
      </c>
      <c r="AI56" s="45"/>
    </row>
    <row r="57" ht="18.0" customHeight="1">
      <c r="A57" s="40" t="s">
        <v>6</v>
      </c>
      <c r="B57" s="45" t="s">
        <v>78</v>
      </c>
      <c r="C57" s="46">
        <f t="shared" si="6"/>
        <v>5000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9"/>
      <c r="AF57" s="47"/>
      <c r="AG57" s="49"/>
      <c r="AH57" s="49">
        <v>5000.0</v>
      </c>
      <c r="AI57" s="45"/>
    </row>
    <row r="58" ht="18.0" customHeight="1">
      <c r="A58" s="40" t="s">
        <v>6</v>
      </c>
      <c r="B58" s="56" t="s">
        <v>81</v>
      </c>
      <c r="C58" s="46">
        <f t="shared" si="6"/>
        <v>0</v>
      </c>
      <c r="D58" s="47"/>
      <c r="E58" s="49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9"/>
      <c r="AH58" s="47"/>
      <c r="AI58" s="45"/>
    </row>
    <row r="59" ht="18.0" customHeight="1">
      <c r="A59" s="40" t="s">
        <v>6</v>
      </c>
      <c r="B59" s="45" t="s">
        <v>82</v>
      </c>
      <c r="C59" s="46">
        <f t="shared" si="6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9"/>
      <c r="AH59" s="47"/>
      <c r="AI59" s="45"/>
    </row>
    <row r="60" ht="18.0" customHeight="1">
      <c r="A60" s="40" t="s">
        <v>6</v>
      </c>
      <c r="B60" s="45" t="s">
        <v>83</v>
      </c>
      <c r="C60" s="46">
        <f t="shared" si="6"/>
        <v>2500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9"/>
      <c r="AH60" s="49">
        <v>2500.0</v>
      </c>
      <c r="AI60" s="45"/>
    </row>
    <row r="61" ht="18.0" customHeight="1">
      <c r="A61" s="40" t="s">
        <v>6</v>
      </c>
      <c r="B61" s="45" t="s">
        <v>86</v>
      </c>
      <c r="C61" s="46">
        <f t="shared" si="6"/>
        <v>1210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9"/>
      <c r="AH61" s="49">
        <v>1210.0</v>
      </c>
      <c r="AI61" s="45"/>
    </row>
    <row r="62" ht="18.0" customHeight="1">
      <c r="A62" s="40" t="s">
        <v>6</v>
      </c>
      <c r="B62" s="45" t="s">
        <v>89</v>
      </c>
      <c r="C62" s="46">
        <f t="shared" si="6"/>
        <v>300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9"/>
      <c r="AH62" s="49">
        <f>12000*0.025</f>
        <v>300</v>
      </c>
      <c r="AI62" s="45"/>
    </row>
    <row r="63" ht="18.0" customHeight="1">
      <c r="A63" s="40" t="s">
        <v>6</v>
      </c>
      <c r="B63" s="45" t="s">
        <v>93</v>
      </c>
      <c r="C63" s="46">
        <f t="shared" si="6"/>
        <v>200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9"/>
      <c r="AH63" s="49">
        <v>200.0</v>
      </c>
      <c r="AI63" s="45"/>
    </row>
    <row r="64" ht="18.0" customHeight="1">
      <c r="A64" s="40" t="s">
        <v>6</v>
      </c>
      <c r="B64" s="45" t="s">
        <v>96</v>
      </c>
      <c r="C64" s="46">
        <f t="shared" si="6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5"/>
    </row>
    <row r="65" ht="18.0" customHeight="1">
      <c r="A65" s="40" t="s">
        <v>6</v>
      </c>
      <c r="B65" s="45" t="s">
        <v>98</v>
      </c>
      <c r="C65" s="46">
        <f t="shared" si="6"/>
        <v>500</v>
      </c>
      <c r="D65" s="47"/>
      <c r="E65" s="47"/>
      <c r="F65" s="49">
        <v>500.0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5"/>
    </row>
    <row r="66" ht="18.0" customHeight="1">
      <c r="A66" s="40" t="s">
        <v>6</v>
      </c>
      <c r="B66" s="56" t="s">
        <v>100</v>
      </c>
      <c r="C66" s="46">
        <f t="shared" si="6"/>
        <v>5880</v>
      </c>
      <c r="D66" s="49">
        <v>500.0</v>
      </c>
      <c r="E66" s="49">
        <v>10.0</v>
      </c>
      <c r="F66" s="47"/>
      <c r="G66" s="47"/>
      <c r="H66" s="47"/>
      <c r="I66" s="49"/>
      <c r="J66" s="49">
        <v>10.0</v>
      </c>
      <c r="K66" s="49">
        <v>10.0</v>
      </c>
      <c r="L66" s="49"/>
      <c r="M66" s="49">
        <v>10.0</v>
      </c>
      <c r="N66" s="47"/>
      <c r="O66" s="49">
        <f>10+10</f>
        <v>20</v>
      </c>
      <c r="P66" s="47">
        <f>10+10+10+10+10+10</f>
        <v>60</v>
      </c>
      <c r="Q66" s="47"/>
      <c r="R66" s="47"/>
      <c r="S66" s="49">
        <f>10+10</f>
        <v>20</v>
      </c>
      <c r="T66" s="47"/>
      <c r="U66" s="49">
        <v>2400.0</v>
      </c>
      <c r="V66" s="47"/>
      <c r="W66" s="49"/>
      <c r="X66" s="49">
        <v>20.0</v>
      </c>
      <c r="Y66" s="47"/>
      <c r="Z66" s="47"/>
      <c r="AA66" s="49">
        <v>10.0</v>
      </c>
      <c r="AB66" s="49"/>
      <c r="AC66" s="49">
        <v>2800.0</v>
      </c>
      <c r="AD66" s="47"/>
      <c r="AE66" s="47"/>
      <c r="AF66" s="47"/>
      <c r="AG66" s="49">
        <v>10.0</v>
      </c>
      <c r="AH66" s="47"/>
      <c r="AI66" s="45"/>
    </row>
    <row r="67" ht="18.0" customHeight="1">
      <c r="A67" s="40" t="s">
        <v>6</v>
      </c>
      <c r="B67" s="45" t="s">
        <v>103</v>
      </c>
      <c r="C67" s="46">
        <f t="shared" si="6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9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5"/>
    </row>
    <row r="68" ht="18.0" customHeight="1">
      <c r="A68" s="40" t="s">
        <v>6</v>
      </c>
      <c r="B68" s="45" t="s">
        <v>104</v>
      </c>
      <c r="C68" s="46">
        <f t="shared" si="6"/>
        <v>710</v>
      </c>
      <c r="D68" s="47"/>
      <c r="E68" s="47"/>
      <c r="F68" s="47"/>
      <c r="G68" s="47"/>
      <c r="H68" s="47"/>
      <c r="I68" s="47"/>
      <c r="J68" s="49"/>
      <c r="K68" s="49"/>
      <c r="L68" s="47"/>
      <c r="M68" s="47"/>
      <c r="N68" s="47"/>
      <c r="O68" s="49"/>
      <c r="P68" s="47"/>
      <c r="Q68" s="49"/>
      <c r="R68" s="47"/>
      <c r="S68" s="47"/>
      <c r="T68" s="47"/>
      <c r="U68" s="47"/>
      <c r="V68" s="49">
        <f>500+210</f>
        <v>710</v>
      </c>
      <c r="W68" s="49"/>
      <c r="X68" s="47"/>
      <c r="Y68" s="47"/>
      <c r="Z68" s="47"/>
      <c r="AA68" s="49"/>
      <c r="AB68" s="47"/>
      <c r="AC68" s="49"/>
      <c r="AD68" s="47"/>
      <c r="AE68" s="47"/>
      <c r="AF68" s="47"/>
      <c r="AG68" s="47"/>
      <c r="AH68" s="47"/>
      <c r="AI68" s="45"/>
    </row>
    <row r="69" ht="18.0" customHeight="1">
      <c r="A69" s="40" t="s">
        <v>6</v>
      </c>
      <c r="B69" s="45" t="s">
        <v>107</v>
      </c>
      <c r="C69" s="46">
        <f t="shared" si="6"/>
        <v>3650</v>
      </c>
      <c r="D69" s="47"/>
      <c r="E69" s="49"/>
      <c r="F69" s="49">
        <v>200.0</v>
      </c>
      <c r="G69" s="47"/>
      <c r="H69" s="49"/>
      <c r="I69" s="47"/>
      <c r="J69" s="49"/>
      <c r="K69" s="49"/>
      <c r="L69" s="47"/>
      <c r="M69" s="49">
        <v>200.0</v>
      </c>
      <c r="N69" s="49"/>
      <c r="O69" s="49">
        <v>200.0</v>
      </c>
      <c r="P69" s="47"/>
      <c r="Q69" s="49"/>
      <c r="R69" s="49"/>
      <c r="S69" s="49">
        <v>150.0</v>
      </c>
      <c r="T69" s="47"/>
      <c r="U69" s="49"/>
      <c r="V69" s="49">
        <v>1500.0</v>
      </c>
      <c r="W69" s="49"/>
      <c r="X69" s="49">
        <v>1000.0</v>
      </c>
      <c r="Y69" s="47"/>
      <c r="Z69" s="47"/>
      <c r="AA69" s="49"/>
      <c r="AB69" s="47"/>
      <c r="AC69" s="47"/>
      <c r="AD69" s="47"/>
      <c r="AE69" s="49"/>
      <c r="AF69" s="47"/>
      <c r="AG69" s="49">
        <v>200.0</v>
      </c>
      <c r="AH69" s="49">
        <v>200.0</v>
      </c>
      <c r="AI69" s="45"/>
    </row>
    <row r="70" ht="18.0" customHeight="1">
      <c r="A70" s="40" t="s">
        <v>6</v>
      </c>
      <c r="B70" s="45" t="s">
        <v>108</v>
      </c>
      <c r="C70" s="46">
        <f t="shared" si="6"/>
        <v>9545</v>
      </c>
      <c r="D70" s="47"/>
      <c r="E70" s="49"/>
      <c r="F70" s="49">
        <f>300+550</f>
        <v>850</v>
      </c>
      <c r="G70" s="47"/>
      <c r="H70" s="49">
        <f>150+560</f>
        <v>710</v>
      </c>
      <c r="I70" s="47"/>
      <c r="J70" s="47"/>
      <c r="K70" s="49"/>
      <c r="L70" s="47"/>
      <c r="M70" s="47"/>
      <c r="N70" s="49">
        <v>1000.0</v>
      </c>
      <c r="O70" s="47"/>
      <c r="P70" s="47"/>
      <c r="Q70" s="49"/>
      <c r="R70" s="47"/>
      <c r="S70" s="49">
        <v>1000.0</v>
      </c>
      <c r="T70" s="47"/>
      <c r="U70" s="49">
        <f>380+600</f>
        <v>980</v>
      </c>
      <c r="V70" s="49"/>
      <c r="W70" s="47"/>
      <c r="X70" s="49">
        <v>700.0</v>
      </c>
      <c r="Y70" s="47"/>
      <c r="Z70" s="47"/>
      <c r="AA70" s="47"/>
      <c r="AB70" s="49">
        <v>1180.0</v>
      </c>
      <c r="AC70" s="47">
        <f>350+750</f>
        <v>1100</v>
      </c>
      <c r="AD70" s="47"/>
      <c r="AE70" s="49">
        <v>800.0</v>
      </c>
      <c r="AF70" s="47"/>
      <c r="AG70" s="47"/>
      <c r="AH70" s="47">
        <f>125+1100</f>
        <v>1225</v>
      </c>
      <c r="AI70" s="45"/>
    </row>
    <row r="71" ht="18.0" customHeight="1">
      <c r="A71" s="40" t="s">
        <v>6</v>
      </c>
      <c r="B71" s="45" t="s">
        <v>112</v>
      </c>
      <c r="C71" s="52">
        <f t="shared" si="6"/>
        <v>3061.1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>
        <f>'2026 DS'!K103</f>
        <v>3061.1</v>
      </c>
      <c r="AI71" s="45"/>
    </row>
    <row r="72" ht="18.0" customHeight="1">
      <c r="A72" s="40" t="s">
        <v>6</v>
      </c>
      <c r="B72" s="56" t="s">
        <v>172</v>
      </c>
      <c r="C72" s="46">
        <f t="shared" si="6"/>
        <v>60000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9">
        <v>60000.0</v>
      </c>
      <c r="AH72" s="47"/>
      <c r="AI72" s="45"/>
    </row>
    <row r="73" ht="18.0" customHeight="1">
      <c r="A73" s="22"/>
      <c r="B73" s="45"/>
      <c r="C73" s="46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5"/>
    </row>
    <row r="74" ht="18.0" customHeight="1">
      <c r="A74" s="40" t="s">
        <v>8</v>
      </c>
      <c r="B74" s="37" t="s">
        <v>32</v>
      </c>
      <c r="C74" s="41">
        <f t="shared" ref="C74:AH74" si="7">SUM(C75:C96)</f>
        <v>86517.73333</v>
      </c>
      <c r="D74" s="41">
        <f t="shared" si="7"/>
        <v>0</v>
      </c>
      <c r="E74" s="41">
        <f t="shared" si="7"/>
        <v>0</v>
      </c>
      <c r="F74" s="41">
        <f t="shared" si="7"/>
        <v>0</v>
      </c>
      <c r="G74" s="41">
        <f t="shared" si="7"/>
        <v>1410</v>
      </c>
      <c r="H74" s="41">
        <f t="shared" si="7"/>
        <v>0</v>
      </c>
      <c r="I74" s="41">
        <f t="shared" si="7"/>
        <v>600</v>
      </c>
      <c r="J74" s="41">
        <f t="shared" si="7"/>
        <v>700</v>
      </c>
      <c r="K74" s="41">
        <f t="shared" si="7"/>
        <v>3110</v>
      </c>
      <c r="L74" s="41">
        <f t="shared" si="7"/>
        <v>0</v>
      </c>
      <c r="M74" s="41">
        <f t="shared" si="7"/>
        <v>20</v>
      </c>
      <c r="N74" s="41">
        <f t="shared" si="7"/>
        <v>0</v>
      </c>
      <c r="O74" s="41">
        <f t="shared" si="7"/>
        <v>0</v>
      </c>
      <c r="P74" s="41">
        <f t="shared" si="7"/>
        <v>1110</v>
      </c>
      <c r="Q74" s="41">
        <f t="shared" si="7"/>
        <v>360</v>
      </c>
      <c r="R74" s="41">
        <f t="shared" si="7"/>
        <v>22330</v>
      </c>
      <c r="S74" s="41">
        <f t="shared" si="7"/>
        <v>3300</v>
      </c>
      <c r="T74" s="41">
        <f t="shared" si="7"/>
        <v>0</v>
      </c>
      <c r="U74" s="41">
        <f t="shared" si="7"/>
        <v>10</v>
      </c>
      <c r="V74" s="41">
        <f t="shared" si="7"/>
        <v>0</v>
      </c>
      <c r="W74" s="41">
        <f t="shared" si="7"/>
        <v>800</v>
      </c>
      <c r="X74" s="41">
        <f t="shared" si="7"/>
        <v>0</v>
      </c>
      <c r="Y74" s="41">
        <f t="shared" si="7"/>
        <v>1030</v>
      </c>
      <c r="Z74" s="41">
        <f t="shared" si="7"/>
        <v>3000</v>
      </c>
      <c r="AA74" s="41">
        <f t="shared" si="7"/>
        <v>0</v>
      </c>
      <c r="AB74" s="41">
        <f t="shared" si="7"/>
        <v>0</v>
      </c>
      <c r="AC74" s="41">
        <f t="shared" si="7"/>
        <v>0</v>
      </c>
      <c r="AD74" s="41">
        <f t="shared" si="7"/>
        <v>990</v>
      </c>
      <c r="AE74" s="41">
        <f t="shared" si="7"/>
        <v>700</v>
      </c>
      <c r="AF74" s="41">
        <f t="shared" si="7"/>
        <v>0</v>
      </c>
      <c r="AG74" s="41">
        <f t="shared" si="7"/>
        <v>47047.73333</v>
      </c>
      <c r="AH74" s="41">
        <f t="shared" si="7"/>
        <v>0</v>
      </c>
      <c r="AI74" s="38"/>
    </row>
    <row r="75" ht="18.0" customHeight="1">
      <c r="A75" s="40" t="s">
        <v>8</v>
      </c>
      <c r="B75" s="45" t="s">
        <v>50</v>
      </c>
      <c r="C75" s="46">
        <f t="shared" ref="C75:C96" si="8">SUM(D75:AH75)</f>
        <v>0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5"/>
    </row>
    <row r="76" ht="18.0" customHeight="1">
      <c r="A76" s="40" t="s">
        <v>8</v>
      </c>
      <c r="B76" s="45" t="s">
        <v>57</v>
      </c>
      <c r="C76" s="46">
        <f t="shared" si="8"/>
        <v>40000</v>
      </c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9"/>
      <c r="R76" s="49">
        <v>21250.0</v>
      </c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9"/>
      <c r="AF76" s="47"/>
      <c r="AG76" s="49">
        <v>18750.0</v>
      </c>
      <c r="AH76" s="49"/>
      <c r="AI76" s="45"/>
    </row>
    <row r="77" ht="18.0" customHeight="1">
      <c r="A77" s="40" t="s">
        <v>8</v>
      </c>
      <c r="B77" s="45" t="s">
        <v>61</v>
      </c>
      <c r="C77" s="52">
        <f t="shared" si="8"/>
        <v>3000</v>
      </c>
      <c r="D77" s="47"/>
      <c r="E77" s="49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9"/>
      <c r="AF77" s="47"/>
      <c r="AG77" s="49">
        <v>3000.0</v>
      </c>
      <c r="AH77" s="49"/>
      <c r="AI77" s="45"/>
    </row>
    <row r="78" ht="18.0" customHeight="1">
      <c r="A78" s="40" t="s">
        <v>8</v>
      </c>
      <c r="B78" s="45" t="s">
        <v>67</v>
      </c>
      <c r="C78" s="52">
        <f t="shared" si="8"/>
        <v>2000</v>
      </c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9"/>
      <c r="AF78" s="47"/>
      <c r="AG78" s="49">
        <v>2000.0</v>
      </c>
      <c r="AH78" s="49"/>
      <c r="AI78" s="45"/>
    </row>
    <row r="79" ht="18.0" customHeight="1">
      <c r="A79" s="40" t="s">
        <v>8</v>
      </c>
      <c r="B79" s="45" t="s">
        <v>70</v>
      </c>
      <c r="C79" s="52">
        <f t="shared" si="8"/>
        <v>2833.333333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9"/>
      <c r="AF79" s="47"/>
      <c r="AG79" s="49">
        <f>34000/12</f>
        <v>2833.333333</v>
      </c>
      <c r="AH79" s="49"/>
      <c r="AI79" s="45"/>
    </row>
    <row r="80" ht="18.0" customHeight="1">
      <c r="A80" s="40" t="s">
        <v>8</v>
      </c>
      <c r="B80" s="45" t="s">
        <v>75</v>
      </c>
      <c r="C80" s="52">
        <f t="shared" si="8"/>
        <v>5000</v>
      </c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9">
        <v>5000.0</v>
      </c>
      <c r="AH80" s="49"/>
      <c r="AI80" s="45"/>
    </row>
    <row r="81" ht="18.0" customHeight="1">
      <c r="A81" s="40" t="s">
        <v>8</v>
      </c>
      <c r="B81" s="45" t="s">
        <v>78</v>
      </c>
      <c r="C81" s="46">
        <f t="shared" si="8"/>
        <v>5000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9"/>
      <c r="AF81" s="47"/>
      <c r="AG81" s="49">
        <v>5000.0</v>
      </c>
      <c r="AH81" s="49"/>
      <c r="AI81" s="45"/>
    </row>
    <row r="82" ht="18.0" customHeight="1">
      <c r="A82" s="40" t="s">
        <v>8</v>
      </c>
      <c r="B82" s="56" t="s">
        <v>81</v>
      </c>
      <c r="C82" s="46">
        <f t="shared" si="8"/>
        <v>0</v>
      </c>
      <c r="D82" s="47"/>
      <c r="E82" s="49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5"/>
    </row>
    <row r="83" ht="18.0" customHeight="1">
      <c r="A83" s="40" t="s">
        <v>8</v>
      </c>
      <c r="B83" s="45" t="s">
        <v>82</v>
      </c>
      <c r="C83" s="46">
        <f t="shared" si="8"/>
        <v>0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5"/>
    </row>
    <row r="84" ht="18.0" customHeight="1">
      <c r="A84" s="40" t="s">
        <v>8</v>
      </c>
      <c r="B84" s="45" t="s">
        <v>83</v>
      </c>
      <c r="C84" s="46">
        <f t="shared" si="8"/>
        <v>2500</v>
      </c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9">
        <v>2500.0</v>
      </c>
      <c r="AH84" s="49"/>
      <c r="AI84" s="45"/>
    </row>
    <row r="85" ht="18.0" customHeight="1">
      <c r="A85" s="40" t="s">
        <v>8</v>
      </c>
      <c r="B85" s="45" t="s">
        <v>86</v>
      </c>
      <c r="C85" s="46">
        <f t="shared" si="8"/>
        <v>1210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9">
        <v>1210.0</v>
      </c>
      <c r="AH85" s="49"/>
      <c r="AI85" s="45"/>
    </row>
    <row r="86" ht="18.0" customHeight="1">
      <c r="A86" s="40" t="s">
        <v>8</v>
      </c>
      <c r="B86" s="45" t="s">
        <v>89</v>
      </c>
      <c r="C86" s="46">
        <f t="shared" si="8"/>
        <v>300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9">
        <f>12000*0.025</f>
        <v>300</v>
      </c>
      <c r="AH86" s="49"/>
      <c r="AI86" s="45"/>
    </row>
    <row r="87" ht="18.0" customHeight="1">
      <c r="A87" s="40" t="s">
        <v>8</v>
      </c>
      <c r="B87" s="45" t="s">
        <v>93</v>
      </c>
      <c r="C87" s="46">
        <f t="shared" si="8"/>
        <v>200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9">
        <v>200.0</v>
      </c>
      <c r="AH87" s="49"/>
      <c r="AI87" s="45"/>
    </row>
    <row r="88" ht="18.0" customHeight="1">
      <c r="A88" s="40" t="s">
        <v>8</v>
      </c>
      <c r="B88" s="45" t="s">
        <v>96</v>
      </c>
      <c r="C88" s="46">
        <f t="shared" si="8"/>
        <v>0</v>
      </c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5"/>
    </row>
    <row r="89" ht="18.0" customHeight="1">
      <c r="A89" s="40" t="s">
        <v>8</v>
      </c>
      <c r="B89" s="45" t="s">
        <v>98</v>
      </c>
      <c r="C89" s="46">
        <f t="shared" si="8"/>
        <v>500</v>
      </c>
      <c r="D89" s="47"/>
      <c r="E89" s="47"/>
      <c r="F89" s="49"/>
      <c r="G89" s="47"/>
      <c r="H89" s="47"/>
      <c r="I89" s="47"/>
      <c r="J89" s="47"/>
      <c r="K89" s="47"/>
      <c r="L89" s="47"/>
      <c r="M89" s="47"/>
      <c r="N89" s="47"/>
      <c r="O89" s="47"/>
      <c r="P89" s="49">
        <v>500.0</v>
      </c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5"/>
    </row>
    <row r="90" ht="18.0" customHeight="1">
      <c r="A90" s="40" t="s">
        <v>8</v>
      </c>
      <c r="B90" s="56" t="s">
        <v>100</v>
      </c>
      <c r="C90" s="46">
        <f t="shared" si="8"/>
        <v>780</v>
      </c>
      <c r="D90" s="49"/>
      <c r="E90" s="49"/>
      <c r="F90" s="47"/>
      <c r="G90" s="47"/>
      <c r="H90" s="47"/>
      <c r="I90" s="49"/>
      <c r="J90" s="49"/>
      <c r="K90" s="49">
        <v>10.0</v>
      </c>
      <c r="L90" s="49"/>
      <c r="M90" s="49">
        <v>20.0</v>
      </c>
      <c r="N90" s="47"/>
      <c r="O90" s="49"/>
      <c r="P90" s="49">
        <v>610.0</v>
      </c>
      <c r="Q90" s="49">
        <v>10.0</v>
      </c>
      <c r="R90" s="49">
        <v>30.0</v>
      </c>
      <c r="S90" s="49"/>
      <c r="T90" s="47"/>
      <c r="U90" s="49">
        <v>10.0</v>
      </c>
      <c r="V90" s="47"/>
      <c r="W90" s="49"/>
      <c r="X90" s="49"/>
      <c r="Y90" s="49">
        <v>30.0</v>
      </c>
      <c r="Z90" s="47"/>
      <c r="AA90" s="49"/>
      <c r="AB90" s="49"/>
      <c r="AC90" s="49"/>
      <c r="AD90" s="49">
        <v>40.0</v>
      </c>
      <c r="AE90" s="47"/>
      <c r="AF90" s="47"/>
      <c r="AG90" s="49">
        <v>20.0</v>
      </c>
      <c r="AH90" s="47"/>
      <c r="AI90" s="45"/>
    </row>
    <row r="91" ht="18.0" customHeight="1">
      <c r="A91" s="40" t="s">
        <v>8</v>
      </c>
      <c r="B91" s="45" t="s">
        <v>103</v>
      </c>
      <c r="C91" s="46">
        <f t="shared" si="8"/>
        <v>0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9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5"/>
    </row>
    <row r="92" ht="18.0" customHeight="1">
      <c r="A92" s="40" t="s">
        <v>8</v>
      </c>
      <c r="B92" s="45" t="s">
        <v>104</v>
      </c>
      <c r="C92" s="46">
        <f t="shared" si="8"/>
        <v>2910</v>
      </c>
      <c r="D92" s="47"/>
      <c r="E92" s="47"/>
      <c r="F92" s="47"/>
      <c r="G92" s="49">
        <v>210.0</v>
      </c>
      <c r="H92" s="47"/>
      <c r="I92" s="47"/>
      <c r="J92" s="49"/>
      <c r="K92" s="49">
        <v>700.0</v>
      </c>
      <c r="L92" s="47"/>
      <c r="M92" s="47"/>
      <c r="N92" s="47"/>
      <c r="O92" s="49"/>
      <c r="P92" s="47"/>
      <c r="Q92" s="49"/>
      <c r="R92" s="47"/>
      <c r="S92" s="49">
        <v>1000.0</v>
      </c>
      <c r="T92" s="47"/>
      <c r="U92" s="47"/>
      <c r="V92" s="49"/>
      <c r="W92" s="49"/>
      <c r="X92" s="47"/>
      <c r="Y92" s="47"/>
      <c r="Z92" s="49">
        <v>1000.0</v>
      </c>
      <c r="AA92" s="49"/>
      <c r="AB92" s="47"/>
      <c r="AC92" s="49"/>
      <c r="AD92" s="47"/>
      <c r="AE92" s="47"/>
      <c r="AF92" s="47"/>
      <c r="AG92" s="47"/>
      <c r="AH92" s="47"/>
      <c r="AI92" s="45"/>
    </row>
    <row r="93" ht="18.0" customHeight="1">
      <c r="A93" s="40" t="s">
        <v>8</v>
      </c>
      <c r="B93" s="45" t="s">
        <v>107</v>
      </c>
      <c r="C93" s="46">
        <f t="shared" si="8"/>
        <v>7900</v>
      </c>
      <c r="D93" s="47"/>
      <c r="E93" s="49"/>
      <c r="F93" s="49"/>
      <c r="G93" s="49">
        <v>1200.0</v>
      </c>
      <c r="H93" s="49"/>
      <c r="I93" s="47"/>
      <c r="J93" s="49"/>
      <c r="K93" s="49">
        <v>2400.0</v>
      </c>
      <c r="L93" s="47"/>
      <c r="M93" s="49"/>
      <c r="N93" s="49"/>
      <c r="O93" s="49"/>
      <c r="P93" s="47"/>
      <c r="Q93" s="49"/>
      <c r="R93" s="49"/>
      <c r="S93" s="49">
        <v>2300.0</v>
      </c>
      <c r="T93" s="47"/>
      <c r="U93" s="49"/>
      <c r="V93" s="49"/>
      <c r="W93" s="49"/>
      <c r="X93" s="49"/>
      <c r="Y93" s="47"/>
      <c r="Z93" s="49">
        <v>2000.0</v>
      </c>
      <c r="AA93" s="49"/>
      <c r="AB93" s="47"/>
      <c r="AC93" s="47"/>
      <c r="AD93" s="47"/>
      <c r="AE93" s="49"/>
      <c r="AF93" s="47"/>
      <c r="AG93" s="49"/>
      <c r="AH93" s="49"/>
      <c r="AI93" s="45"/>
    </row>
    <row r="94" ht="18.0" customHeight="1">
      <c r="A94" s="40" t="s">
        <v>8</v>
      </c>
      <c r="B94" s="45" t="s">
        <v>108</v>
      </c>
      <c r="C94" s="46">
        <f t="shared" si="8"/>
        <v>6150</v>
      </c>
      <c r="D94" s="47"/>
      <c r="E94" s="49"/>
      <c r="F94" s="49"/>
      <c r="G94" s="49"/>
      <c r="H94" s="49"/>
      <c r="I94" s="49">
        <v>600.0</v>
      </c>
      <c r="J94" s="49">
        <v>700.0</v>
      </c>
      <c r="K94" s="49"/>
      <c r="L94" s="47"/>
      <c r="M94" s="47"/>
      <c r="N94" s="49"/>
      <c r="O94" s="47"/>
      <c r="P94" s="49"/>
      <c r="Q94" s="49">
        <v>350.0</v>
      </c>
      <c r="R94" s="49">
        <f>300+750</f>
        <v>1050</v>
      </c>
      <c r="S94" s="49"/>
      <c r="T94" s="47"/>
      <c r="U94" s="49"/>
      <c r="V94" s="49"/>
      <c r="W94" s="49">
        <v>800.0</v>
      </c>
      <c r="X94" s="49"/>
      <c r="Y94" s="49">
        <v>1000.0</v>
      </c>
      <c r="Z94" s="49"/>
      <c r="AA94" s="47"/>
      <c r="AB94" s="49"/>
      <c r="AC94" s="47"/>
      <c r="AD94" s="49">
        <v>950.0</v>
      </c>
      <c r="AE94" s="49">
        <v>700.0</v>
      </c>
      <c r="AF94" s="47"/>
      <c r="AG94" s="47"/>
      <c r="AH94" s="47"/>
      <c r="AI94" s="45"/>
    </row>
    <row r="95" ht="18.0" customHeight="1">
      <c r="A95" s="40" t="s">
        <v>8</v>
      </c>
      <c r="B95" s="45" t="s">
        <v>112</v>
      </c>
      <c r="C95" s="52">
        <f t="shared" si="8"/>
        <v>6234.4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>
        <f>'2026 DS'!K170</f>
        <v>6234.4</v>
      </c>
      <c r="AH95" s="47"/>
      <c r="AI95" s="45"/>
    </row>
    <row r="96" ht="18.0" customHeight="1">
      <c r="A96" s="40" t="s">
        <v>8</v>
      </c>
      <c r="B96" s="56" t="s">
        <v>172</v>
      </c>
      <c r="C96" s="46">
        <f t="shared" si="8"/>
        <v>0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9"/>
      <c r="AH96" s="47"/>
      <c r="AI96" s="45"/>
    </row>
    <row r="97" ht="18.0" customHeight="1">
      <c r="A97" s="22"/>
      <c r="B97" s="45"/>
      <c r="C97" s="46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5"/>
    </row>
    <row r="98" ht="18.0" customHeight="1">
      <c r="A98" s="40" t="s">
        <v>15</v>
      </c>
      <c r="B98" s="37" t="s">
        <v>32</v>
      </c>
      <c r="C98" s="41">
        <f t="shared" ref="C98:AH98" si="9">SUM(C99:C120)</f>
        <v>84063.55333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1220</v>
      </c>
      <c r="H98" s="41">
        <f t="shared" si="9"/>
        <v>10</v>
      </c>
      <c r="I98" s="41">
        <f t="shared" si="9"/>
        <v>0</v>
      </c>
      <c r="J98" s="41">
        <f t="shared" si="9"/>
        <v>2000</v>
      </c>
      <c r="K98" s="41">
        <f t="shared" si="9"/>
        <v>0</v>
      </c>
      <c r="L98" s="41">
        <f t="shared" si="9"/>
        <v>0</v>
      </c>
      <c r="M98" s="41">
        <f t="shared" si="9"/>
        <v>0</v>
      </c>
      <c r="N98" s="41">
        <f t="shared" si="9"/>
        <v>500</v>
      </c>
      <c r="O98" s="41">
        <f t="shared" si="9"/>
        <v>10</v>
      </c>
      <c r="P98" s="41">
        <f t="shared" si="9"/>
        <v>1120</v>
      </c>
      <c r="Q98" s="41">
        <f t="shared" si="9"/>
        <v>2500</v>
      </c>
      <c r="R98" s="41">
        <f t="shared" si="9"/>
        <v>21790</v>
      </c>
      <c r="S98" s="41">
        <f t="shared" si="9"/>
        <v>0</v>
      </c>
      <c r="T98" s="41">
        <f t="shared" si="9"/>
        <v>0</v>
      </c>
      <c r="U98" s="41">
        <f t="shared" si="9"/>
        <v>0</v>
      </c>
      <c r="V98" s="41">
        <f t="shared" si="9"/>
        <v>0</v>
      </c>
      <c r="W98" s="41">
        <f t="shared" si="9"/>
        <v>1100</v>
      </c>
      <c r="X98" s="41">
        <f t="shared" si="9"/>
        <v>3000</v>
      </c>
      <c r="Y98" s="41">
        <f t="shared" si="9"/>
        <v>10</v>
      </c>
      <c r="Z98" s="41">
        <f t="shared" si="9"/>
        <v>0</v>
      </c>
      <c r="AA98" s="41">
        <f t="shared" si="9"/>
        <v>0</v>
      </c>
      <c r="AB98" s="41">
        <f t="shared" si="9"/>
        <v>20</v>
      </c>
      <c r="AC98" s="41">
        <f t="shared" si="9"/>
        <v>0</v>
      </c>
      <c r="AD98" s="41">
        <f t="shared" si="9"/>
        <v>0</v>
      </c>
      <c r="AE98" s="41">
        <f t="shared" si="9"/>
        <v>1120</v>
      </c>
      <c r="AF98" s="41">
        <f t="shared" si="9"/>
        <v>2010</v>
      </c>
      <c r="AG98" s="41">
        <f t="shared" si="9"/>
        <v>19250</v>
      </c>
      <c r="AH98" s="41">
        <f t="shared" si="9"/>
        <v>28403.55333</v>
      </c>
      <c r="AI98" s="38"/>
    </row>
    <row r="99" ht="18.0" customHeight="1">
      <c r="A99" s="40" t="s">
        <v>15</v>
      </c>
      <c r="B99" s="45" t="s">
        <v>50</v>
      </c>
      <c r="C99" s="46">
        <f t="shared" ref="C99:C120" si="10">SUM(D99:AH99)</f>
        <v>0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5"/>
    </row>
    <row r="100" ht="18.0" customHeight="1">
      <c r="A100" s="40" t="s">
        <v>15</v>
      </c>
      <c r="B100" s="45" t="s">
        <v>57</v>
      </c>
      <c r="C100" s="46">
        <f t="shared" si="10"/>
        <v>41000</v>
      </c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9"/>
      <c r="R100" s="49">
        <f>16750+5000</f>
        <v>21750</v>
      </c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9"/>
      <c r="AF100" s="47"/>
      <c r="AG100" s="49">
        <f>14250+5000</f>
        <v>19250</v>
      </c>
      <c r="AH100" s="49"/>
      <c r="AI100" s="45"/>
    </row>
    <row r="101" ht="18.0" customHeight="1">
      <c r="A101" s="40" t="s">
        <v>15</v>
      </c>
      <c r="B101" s="45" t="s">
        <v>61</v>
      </c>
      <c r="C101" s="52">
        <f t="shared" si="10"/>
        <v>3000</v>
      </c>
      <c r="D101" s="47"/>
      <c r="E101" s="49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9"/>
      <c r="AF101" s="47"/>
      <c r="AG101" s="49"/>
      <c r="AH101" s="49">
        <v>3000.0</v>
      </c>
      <c r="AI101" s="45"/>
    </row>
    <row r="102" ht="18.0" customHeight="1">
      <c r="A102" s="40" t="s">
        <v>15</v>
      </c>
      <c r="B102" s="45" t="s">
        <v>67</v>
      </c>
      <c r="C102" s="52">
        <f t="shared" si="10"/>
        <v>2000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9"/>
      <c r="AF102" s="47"/>
      <c r="AG102" s="49"/>
      <c r="AH102" s="49">
        <v>2000.0</v>
      </c>
      <c r="AI102" s="45"/>
    </row>
    <row r="103" ht="18.0" customHeight="1">
      <c r="A103" s="40" t="s">
        <v>15</v>
      </c>
      <c r="B103" s="45" t="s">
        <v>70</v>
      </c>
      <c r="C103" s="52">
        <f t="shared" si="10"/>
        <v>2833.333333</v>
      </c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9"/>
      <c r="AF103" s="47"/>
      <c r="AG103" s="49"/>
      <c r="AH103" s="49">
        <f>34000/12</f>
        <v>2833.333333</v>
      </c>
      <c r="AI103" s="45"/>
    </row>
    <row r="104" ht="18.0" customHeight="1">
      <c r="A104" s="40" t="s">
        <v>15</v>
      </c>
      <c r="B104" s="45" t="s">
        <v>75</v>
      </c>
      <c r="C104" s="52">
        <f t="shared" si="10"/>
        <v>5000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9">
        <v>5000.0</v>
      </c>
      <c r="AI104" s="45"/>
    </row>
    <row r="105" ht="18.0" customHeight="1">
      <c r="A105" s="40" t="s">
        <v>15</v>
      </c>
      <c r="B105" s="45" t="s">
        <v>78</v>
      </c>
      <c r="C105" s="46">
        <f t="shared" si="10"/>
        <v>5000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9"/>
      <c r="AF105" s="47"/>
      <c r="AG105" s="49"/>
      <c r="AH105" s="49">
        <v>5000.0</v>
      </c>
      <c r="AI105" s="45"/>
    </row>
    <row r="106" ht="18.0" customHeight="1">
      <c r="A106" s="40" t="s">
        <v>15</v>
      </c>
      <c r="B106" s="56" t="s">
        <v>81</v>
      </c>
      <c r="C106" s="46">
        <f t="shared" si="10"/>
        <v>0</v>
      </c>
      <c r="D106" s="47"/>
      <c r="E106" s="49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9"/>
      <c r="AH106" s="47"/>
      <c r="AI106" s="45"/>
    </row>
    <row r="107" ht="18.0" customHeight="1">
      <c r="A107" s="40" t="s">
        <v>15</v>
      </c>
      <c r="B107" s="45" t="s">
        <v>82</v>
      </c>
      <c r="C107" s="46">
        <f t="shared" si="10"/>
        <v>0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9"/>
      <c r="AH107" s="47"/>
      <c r="AI107" s="45"/>
    </row>
    <row r="108" ht="18.0" customHeight="1">
      <c r="A108" s="40" t="s">
        <v>15</v>
      </c>
      <c r="B108" s="45" t="s">
        <v>83</v>
      </c>
      <c r="C108" s="46">
        <f t="shared" si="10"/>
        <v>2500</v>
      </c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9"/>
      <c r="AH108" s="49">
        <v>2500.0</v>
      </c>
      <c r="AI108" s="45"/>
    </row>
    <row r="109" ht="18.0" customHeight="1">
      <c r="A109" s="40" t="s">
        <v>15</v>
      </c>
      <c r="B109" s="45" t="s">
        <v>86</v>
      </c>
      <c r="C109" s="46">
        <f t="shared" si="10"/>
        <v>1210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9"/>
      <c r="AH109" s="49">
        <v>1210.0</v>
      </c>
      <c r="AI109" s="45"/>
    </row>
    <row r="110" ht="18.0" customHeight="1">
      <c r="A110" s="40" t="s">
        <v>15</v>
      </c>
      <c r="B110" s="45" t="s">
        <v>89</v>
      </c>
      <c r="C110" s="46">
        <f t="shared" si="10"/>
        <v>300</v>
      </c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9"/>
      <c r="AH110" s="49">
        <f>12000*0.025</f>
        <v>300</v>
      </c>
      <c r="AI110" s="45"/>
    </row>
    <row r="111" ht="18.0" customHeight="1">
      <c r="A111" s="40" t="s">
        <v>15</v>
      </c>
      <c r="B111" s="45" t="s">
        <v>93</v>
      </c>
      <c r="C111" s="46">
        <f t="shared" si="10"/>
        <v>200</v>
      </c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9"/>
      <c r="AH111" s="49">
        <v>200.0</v>
      </c>
      <c r="AI111" s="45"/>
    </row>
    <row r="112" ht="18.0" customHeight="1">
      <c r="A112" s="40" t="s">
        <v>15</v>
      </c>
      <c r="B112" s="45" t="s">
        <v>96</v>
      </c>
      <c r="C112" s="46">
        <f t="shared" si="10"/>
        <v>0</v>
      </c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5"/>
    </row>
    <row r="113" ht="18.0" customHeight="1">
      <c r="A113" s="40" t="s">
        <v>15</v>
      </c>
      <c r="B113" s="45" t="s">
        <v>98</v>
      </c>
      <c r="C113" s="46">
        <f t="shared" si="10"/>
        <v>200</v>
      </c>
      <c r="D113" s="47"/>
      <c r="E113" s="47"/>
      <c r="F113" s="49"/>
      <c r="G113" s="47"/>
      <c r="H113" s="47"/>
      <c r="I113" s="47"/>
      <c r="J113" s="47"/>
      <c r="K113" s="47"/>
      <c r="L113" s="47"/>
      <c r="M113" s="47"/>
      <c r="N113" s="49">
        <v>200.0</v>
      </c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5"/>
    </row>
    <row r="114" ht="18.0" customHeight="1">
      <c r="A114" s="40" t="s">
        <v>15</v>
      </c>
      <c r="B114" s="56" t="s">
        <v>100</v>
      </c>
      <c r="C114" s="46">
        <f t="shared" si="10"/>
        <v>160</v>
      </c>
      <c r="D114" s="49"/>
      <c r="E114" s="49"/>
      <c r="F114" s="47"/>
      <c r="G114" s="47">
        <f>10+10</f>
        <v>20</v>
      </c>
      <c r="H114" s="49">
        <v>10.0</v>
      </c>
      <c r="I114" s="49"/>
      <c r="J114" s="49"/>
      <c r="K114" s="49"/>
      <c r="L114" s="49"/>
      <c r="M114" s="49"/>
      <c r="N114" s="47"/>
      <c r="O114" s="49">
        <v>10.0</v>
      </c>
      <c r="P114" s="49">
        <f>10+10</f>
        <v>20</v>
      </c>
      <c r="Q114" s="47"/>
      <c r="R114" s="47">
        <f>10+10+10+10</f>
        <v>40</v>
      </c>
      <c r="S114" s="49"/>
      <c r="T114" s="47"/>
      <c r="U114" s="49"/>
      <c r="V114" s="47"/>
      <c r="W114" s="49"/>
      <c r="X114" s="49"/>
      <c r="Y114" s="49">
        <v>10.0</v>
      </c>
      <c r="Z114" s="47"/>
      <c r="AA114" s="49"/>
      <c r="AB114" s="49">
        <f>10+10</f>
        <v>20</v>
      </c>
      <c r="AC114" s="49"/>
      <c r="AD114" s="47"/>
      <c r="AE114" s="47">
        <f>10+10</f>
        <v>20</v>
      </c>
      <c r="AF114" s="47">
        <f>10</f>
        <v>10</v>
      </c>
      <c r="AG114" s="49"/>
      <c r="AH114" s="47"/>
      <c r="AI114" s="45"/>
    </row>
    <row r="115" ht="18.0" customHeight="1">
      <c r="A115" s="40" t="s">
        <v>15</v>
      </c>
      <c r="B115" s="45" t="s">
        <v>103</v>
      </c>
      <c r="C115" s="46">
        <f t="shared" si="10"/>
        <v>0</v>
      </c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9"/>
      <c r="X115" s="47"/>
      <c r="Y115" s="49"/>
      <c r="Z115" s="47"/>
      <c r="AA115" s="47"/>
      <c r="AB115" s="47"/>
      <c r="AC115" s="47"/>
      <c r="AD115" s="47"/>
      <c r="AE115" s="47"/>
      <c r="AF115" s="47"/>
      <c r="AG115" s="47"/>
      <c r="AH115" s="47"/>
      <c r="AI115" s="45"/>
    </row>
    <row r="116" ht="18.0" customHeight="1">
      <c r="A116" s="40" t="s">
        <v>15</v>
      </c>
      <c r="B116" s="45" t="s">
        <v>104</v>
      </c>
      <c r="C116" s="46">
        <f t="shared" si="10"/>
        <v>3000</v>
      </c>
      <c r="D116" s="47"/>
      <c r="E116" s="47"/>
      <c r="F116" s="47"/>
      <c r="G116" s="47"/>
      <c r="H116" s="47"/>
      <c r="I116" s="47"/>
      <c r="J116" s="49">
        <v>500.0</v>
      </c>
      <c r="K116" s="49"/>
      <c r="L116" s="47"/>
      <c r="M116" s="47"/>
      <c r="N116" s="47"/>
      <c r="O116" s="49"/>
      <c r="P116" s="47"/>
      <c r="Q116" s="49">
        <v>1000.0</v>
      </c>
      <c r="R116" s="47"/>
      <c r="S116" s="47"/>
      <c r="T116" s="47"/>
      <c r="U116" s="47"/>
      <c r="V116" s="49"/>
      <c r="W116" s="49"/>
      <c r="X116" s="49">
        <v>1000.0</v>
      </c>
      <c r="Y116" s="47"/>
      <c r="Z116" s="47"/>
      <c r="AA116" s="49"/>
      <c r="AB116" s="47"/>
      <c r="AC116" s="49"/>
      <c r="AD116" s="47"/>
      <c r="AE116" s="47"/>
      <c r="AF116" s="49">
        <v>500.0</v>
      </c>
      <c r="AG116" s="47"/>
      <c r="AH116" s="47"/>
      <c r="AI116" s="45"/>
    </row>
    <row r="117" ht="18.0" customHeight="1">
      <c r="A117" s="40" t="s">
        <v>15</v>
      </c>
      <c r="B117" s="45" t="s">
        <v>107</v>
      </c>
      <c r="C117" s="46">
        <f t="shared" si="10"/>
        <v>7100</v>
      </c>
      <c r="D117" s="47"/>
      <c r="E117" s="49"/>
      <c r="F117" s="49"/>
      <c r="G117" s="47"/>
      <c r="H117" s="49"/>
      <c r="I117" s="47"/>
      <c r="J117" s="49">
        <v>1500.0</v>
      </c>
      <c r="K117" s="49"/>
      <c r="L117" s="47"/>
      <c r="M117" s="49"/>
      <c r="N117" s="49">
        <v>300.0</v>
      </c>
      <c r="O117" s="49"/>
      <c r="P117" s="47"/>
      <c r="Q117" s="49">
        <v>1500.0</v>
      </c>
      <c r="R117" s="49"/>
      <c r="S117" s="49"/>
      <c r="T117" s="47"/>
      <c r="U117" s="49"/>
      <c r="V117" s="49"/>
      <c r="W117" s="49">
        <v>300.0</v>
      </c>
      <c r="X117" s="49">
        <v>2000.0</v>
      </c>
      <c r="Y117" s="47"/>
      <c r="Z117" s="47"/>
      <c r="AA117" s="49"/>
      <c r="AB117" s="47"/>
      <c r="AC117" s="47"/>
      <c r="AD117" s="47"/>
      <c r="AE117" s="49"/>
      <c r="AF117" s="49">
        <v>1500.0</v>
      </c>
      <c r="AG117" s="49"/>
      <c r="AH117" s="49"/>
      <c r="AI117" s="45"/>
    </row>
    <row r="118" ht="18.0" customHeight="1">
      <c r="A118" s="40" t="s">
        <v>15</v>
      </c>
      <c r="B118" s="45" t="s">
        <v>108</v>
      </c>
      <c r="C118" s="46">
        <f t="shared" si="10"/>
        <v>4200</v>
      </c>
      <c r="D118" s="47"/>
      <c r="E118" s="49"/>
      <c r="F118" s="49"/>
      <c r="G118" s="49">
        <f>400+800</f>
        <v>1200</v>
      </c>
      <c r="H118" s="49"/>
      <c r="I118" s="47"/>
      <c r="J118" s="47"/>
      <c r="K118" s="49"/>
      <c r="L118" s="47"/>
      <c r="M118" s="47"/>
      <c r="N118" s="49"/>
      <c r="O118" s="47"/>
      <c r="P118" s="47">
        <f>350+750</f>
        <v>1100</v>
      </c>
      <c r="Q118" s="49"/>
      <c r="R118" s="47"/>
      <c r="S118" s="49"/>
      <c r="T118" s="47"/>
      <c r="U118" s="49"/>
      <c r="V118" s="49"/>
      <c r="W118" s="49">
        <v>800.0</v>
      </c>
      <c r="X118" s="49"/>
      <c r="Y118" s="47"/>
      <c r="Z118" s="47"/>
      <c r="AA118" s="47"/>
      <c r="AB118" s="49"/>
      <c r="AC118" s="47"/>
      <c r="AD118" s="47"/>
      <c r="AE118" s="49">
        <f>300+800</f>
        <v>1100</v>
      </c>
      <c r="AF118" s="47"/>
      <c r="AG118" s="47"/>
      <c r="AH118" s="47"/>
      <c r="AI118" s="45"/>
    </row>
    <row r="119" ht="18.0" customHeight="1">
      <c r="A119" s="40" t="s">
        <v>15</v>
      </c>
      <c r="B119" s="45" t="s">
        <v>112</v>
      </c>
      <c r="C119" s="52">
        <f t="shared" si="10"/>
        <v>6360.22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>
        <f>'2026 DS'!K239</f>
        <v>6360.22</v>
      </c>
      <c r="AI119" s="45"/>
    </row>
    <row r="120" ht="18.0" customHeight="1">
      <c r="A120" s="40" t="s">
        <v>15</v>
      </c>
      <c r="B120" s="56" t="s">
        <v>172</v>
      </c>
      <c r="C120" s="46">
        <f t="shared" si="10"/>
        <v>0</v>
      </c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9"/>
      <c r="AH120" s="47"/>
      <c r="AI120" s="45"/>
    </row>
    <row r="121" ht="18.0" customHeight="1">
      <c r="A121" s="22"/>
      <c r="B121" s="45"/>
      <c r="C121" s="46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5"/>
    </row>
    <row r="122" ht="18.0" customHeight="1">
      <c r="A122" s="40" t="s">
        <v>16</v>
      </c>
      <c r="B122" s="37" t="s">
        <v>32</v>
      </c>
      <c r="C122" s="41">
        <f t="shared" ref="C122:AH122" si="11">SUM(C123:C144)</f>
        <v>94864.89333</v>
      </c>
      <c r="D122" s="41">
        <f t="shared" si="11"/>
        <v>400</v>
      </c>
      <c r="E122" s="41">
        <f t="shared" si="11"/>
        <v>3828</v>
      </c>
      <c r="F122" s="41">
        <f t="shared" si="11"/>
        <v>0</v>
      </c>
      <c r="G122" s="41">
        <f t="shared" si="11"/>
        <v>10</v>
      </c>
      <c r="H122" s="41">
        <f t="shared" si="11"/>
        <v>0</v>
      </c>
      <c r="I122" s="41">
        <f t="shared" si="11"/>
        <v>900</v>
      </c>
      <c r="J122" s="41">
        <f t="shared" si="11"/>
        <v>700</v>
      </c>
      <c r="K122" s="41">
        <f t="shared" si="11"/>
        <v>10</v>
      </c>
      <c r="L122" s="41">
        <f t="shared" si="11"/>
        <v>0</v>
      </c>
      <c r="M122" s="41">
        <f t="shared" si="11"/>
        <v>0</v>
      </c>
      <c r="N122" s="41">
        <f t="shared" si="11"/>
        <v>3000</v>
      </c>
      <c r="O122" s="41">
        <f t="shared" si="11"/>
        <v>0</v>
      </c>
      <c r="P122" s="41">
        <f t="shared" si="11"/>
        <v>0</v>
      </c>
      <c r="Q122" s="41">
        <f t="shared" si="11"/>
        <v>0</v>
      </c>
      <c r="R122" s="41">
        <f t="shared" si="11"/>
        <v>20114.62</v>
      </c>
      <c r="S122" s="41">
        <f t="shared" si="11"/>
        <v>3300</v>
      </c>
      <c r="T122" s="41">
        <f t="shared" si="11"/>
        <v>0</v>
      </c>
      <c r="U122" s="41">
        <f t="shared" si="11"/>
        <v>0</v>
      </c>
      <c r="V122" s="41">
        <f t="shared" si="11"/>
        <v>810</v>
      </c>
      <c r="W122" s="41">
        <f t="shared" si="11"/>
        <v>0</v>
      </c>
      <c r="X122" s="41">
        <f t="shared" si="11"/>
        <v>0</v>
      </c>
      <c r="Y122" s="41">
        <f t="shared" si="11"/>
        <v>2210</v>
      </c>
      <c r="Z122" s="41">
        <f t="shared" si="11"/>
        <v>132</v>
      </c>
      <c r="AA122" s="41">
        <f t="shared" si="11"/>
        <v>1100</v>
      </c>
      <c r="AB122" s="41">
        <f t="shared" si="11"/>
        <v>2510</v>
      </c>
      <c r="AC122" s="41">
        <f t="shared" si="11"/>
        <v>2000</v>
      </c>
      <c r="AD122" s="41">
        <f t="shared" si="11"/>
        <v>0</v>
      </c>
      <c r="AE122" s="41">
        <f t="shared" si="11"/>
        <v>0</v>
      </c>
      <c r="AF122" s="41">
        <f t="shared" si="11"/>
        <v>50</v>
      </c>
      <c r="AG122" s="41">
        <f t="shared" si="11"/>
        <v>20375</v>
      </c>
      <c r="AH122" s="41">
        <f t="shared" si="11"/>
        <v>33415.27333</v>
      </c>
      <c r="AI122" s="38"/>
    </row>
    <row r="123" ht="18.0" customHeight="1">
      <c r="A123" s="40" t="s">
        <v>16</v>
      </c>
      <c r="B123" s="45" t="s">
        <v>50</v>
      </c>
      <c r="C123" s="46">
        <f t="shared" ref="C123:C144" si="12">SUM(D123:AH123)</f>
        <v>0</v>
      </c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5"/>
    </row>
    <row r="124" ht="18.0" customHeight="1">
      <c r="A124" s="40" t="s">
        <v>16</v>
      </c>
      <c r="B124" s="45" t="s">
        <v>57</v>
      </c>
      <c r="C124" s="46">
        <f t="shared" si="12"/>
        <v>40489.62</v>
      </c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9"/>
      <c r="R124" s="49">
        <f>15114.62+5000</f>
        <v>20114.62</v>
      </c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9"/>
      <c r="AF124" s="47"/>
      <c r="AG124" s="49">
        <f>15375+5000</f>
        <v>20375</v>
      </c>
      <c r="AH124" s="49"/>
      <c r="AI124" s="45"/>
    </row>
    <row r="125" ht="18.0" customHeight="1">
      <c r="A125" s="40" t="s">
        <v>16</v>
      </c>
      <c r="B125" s="45" t="s">
        <v>61</v>
      </c>
      <c r="C125" s="52">
        <f t="shared" si="12"/>
        <v>3000</v>
      </c>
      <c r="D125" s="47"/>
      <c r="E125" s="49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9"/>
      <c r="AF125" s="47"/>
      <c r="AG125" s="49"/>
      <c r="AH125" s="49">
        <v>3000.0</v>
      </c>
      <c r="AI125" s="45"/>
    </row>
    <row r="126" ht="18.0" customHeight="1">
      <c r="A126" s="40" t="s">
        <v>16</v>
      </c>
      <c r="B126" s="45" t="s">
        <v>67</v>
      </c>
      <c r="C126" s="52">
        <f t="shared" si="12"/>
        <v>2000</v>
      </c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9"/>
      <c r="AF126" s="47"/>
      <c r="AG126" s="49"/>
      <c r="AH126" s="49">
        <v>2000.0</v>
      </c>
      <c r="AI126" s="45"/>
    </row>
    <row r="127" ht="18.0" customHeight="1">
      <c r="A127" s="40" t="s">
        <v>16</v>
      </c>
      <c r="B127" s="45" t="s">
        <v>70</v>
      </c>
      <c r="C127" s="52">
        <f t="shared" si="12"/>
        <v>2833.333333</v>
      </c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9"/>
      <c r="AF127" s="47"/>
      <c r="AG127" s="49"/>
      <c r="AH127" s="49">
        <f>34000/12</f>
        <v>2833.333333</v>
      </c>
      <c r="AI127" s="45"/>
    </row>
    <row r="128" ht="18.0" customHeight="1">
      <c r="A128" s="40" t="s">
        <v>16</v>
      </c>
      <c r="B128" s="45" t="s">
        <v>75</v>
      </c>
      <c r="C128" s="52">
        <f t="shared" si="12"/>
        <v>5000</v>
      </c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9">
        <v>5000.0</v>
      </c>
      <c r="AI128" s="45"/>
    </row>
    <row r="129" ht="18.0" customHeight="1">
      <c r="A129" s="40" t="s">
        <v>16</v>
      </c>
      <c r="B129" s="45" t="s">
        <v>78</v>
      </c>
      <c r="C129" s="46">
        <f t="shared" si="12"/>
        <v>5000</v>
      </c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9"/>
      <c r="AF129" s="47"/>
      <c r="AG129" s="49"/>
      <c r="AH129" s="49">
        <v>5000.0</v>
      </c>
      <c r="AI129" s="45"/>
    </row>
    <row r="130" ht="18.0" customHeight="1">
      <c r="A130" s="40" t="s">
        <v>16</v>
      </c>
      <c r="B130" s="56" t="s">
        <v>81</v>
      </c>
      <c r="C130" s="46">
        <f t="shared" si="12"/>
        <v>0</v>
      </c>
      <c r="D130" s="47"/>
      <c r="E130" s="49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9"/>
      <c r="AH130" s="47"/>
      <c r="AI130" s="45"/>
    </row>
    <row r="131" ht="18.0" customHeight="1">
      <c r="A131" s="40" t="s">
        <v>16</v>
      </c>
      <c r="B131" s="45" t="s">
        <v>82</v>
      </c>
      <c r="C131" s="46">
        <f t="shared" si="12"/>
        <v>0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9"/>
      <c r="AH131" s="47"/>
      <c r="AI131" s="45"/>
    </row>
    <row r="132" ht="18.0" customHeight="1">
      <c r="A132" s="40" t="s">
        <v>16</v>
      </c>
      <c r="B132" s="45" t="s">
        <v>83</v>
      </c>
      <c r="C132" s="46">
        <f t="shared" si="12"/>
        <v>2500</v>
      </c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9"/>
      <c r="AH132" s="49">
        <v>2500.0</v>
      </c>
      <c r="AI132" s="45"/>
    </row>
    <row r="133" ht="18.0" customHeight="1">
      <c r="A133" s="40" t="s">
        <v>16</v>
      </c>
      <c r="B133" s="45" t="s">
        <v>86</v>
      </c>
      <c r="C133" s="46">
        <f t="shared" si="12"/>
        <v>1210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9"/>
      <c r="AH133" s="49">
        <v>1210.0</v>
      </c>
      <c r="AI133" s="45"/>
    </row>
    <row r="134" ht="18.0" customHeight="1">
      <c r="A134" s="40" t="s">
        <v>16</v>
      </c>
      <c r="B134" s="45" t="s">
        <v>89</v>
      </c>
      <c r="C134" s="46">
        <f t="shared" si="12"/>
        <v>300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9"/>
      <c r="AH134" s="49">
        <f>12000*0.025</f>
        <v>300</v>
      </c>
      <c r="AI134" s="45"/>
    </row>
    <row r="135" ht="18.0" customHeight="1">
      <c r="A135" s="40" t="s">
        <v>16</v>
      </c>
      <c r="B135" s="45" t="s">
        <v>93</v>
      </c>
      <c r="C135" s="46">
        <f t="shared" si="12"/>
        <v>200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9"/>
      <c r="AH135" s="49">
        <v>200.0</v>
      </c>
      <c r="AI135" s="45"/>
    </row>
    <row r="136" ht="18.0" customHeight="1">
      <c r="A136" s="40" t="s">
        <v>16</v>
      </c>
      <c r="B136" s="45" t="s">
        <v>96</v>
      </c>
      <c r="C136" s="46">
        <f t="shared" si="12"/>
        <v>132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9">
        <v>132.0</v>
      </c>
      <c r="AA136" s="47"/>
      <c r="AB136" s="47"/>
      <c r="AC136" s="47"/>
      <c r="AD136" s="47"/>
      <c r="AE136" s="47"/>
      <c r="AF136" s="47"/>
      <c r="AG136" s="47"/>
      <c r="AH136" s="47"/>
      <c r="AI136" s="45"/>
    </row>
    <row r="137" ht="18.0" customHeight="1">
      <c r="A137" s="40" t="s">
        <v>16</v>
      </c>
      <c r="B137" s="45" t="s">
        <v>98</v>
      </c>
      <c r="C137" s="46">
        <f t="shared" si="12"/>
        <v>0</v>
      </c>
      <c r="D137" s="47"/>
      <c r="E137" s="47"/>
      <c r="F137" s="49"/>
      <c r="G137" s="47"/>
      <c r="H137" s="47"/>
      <c r="I137" s="47"/>
      <c r="J137" s="47"/>
      <c r="K137" s="47"/>
      <c r="L137" s="47"/>
      <c r="M137" s="47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5"/>
    </row>
    <row r="138" ht="18.0" customHeight="1">
      <c r="A138" s="40" t="s">
        <v>16</v>
      </c>
      <c r="B138" s="56" t="s">
        <v>100</v>
      </c>
      <c r="C138" s="46">
        <f t="shared" si="12"/>
        <v>2300</v>
      </c>
      <c r="D138" s="49"/>
      <c r="E138" s="49"/>
      <c r="F138" s="47"/>
      <c r="G138" s="49">
        <v>10.0</v>
      </c>
      <c r="H138" s="49"/>
      <c r="I138" s="49"/>
      <c r="J138" s="49"/>
      <c r="K138" s="49">
        <v>10.0</v>
      </c>
      <c r="L138" s="49"/>
      <c r="M138" s="49"/>
      <c r="N138" s="47"/>
      <c r="O138" s="49"/>
      <c r="P138" s="47"/>
      <c r="Q138" s="47"/>
      <c r="R138" s="47"/>
      <c r="S138" s="49"/>
      <c r="T138" s="47"/>
      <c r="U138" s="49"/>
      <c r="V138" s="49">
        <v>10.0</v>
      </c>
      <c r="W138" s="49"/>
      <c r="X138" s="49"/>
      <c r="Y138" s="47">
        <f>10+1000+200+1000</f>
        <v>2210</v>
      </c>
      <c r="Z138" s="47"/>
      <c r="AA138" s="49"/>
      <c r="AB138" s="49">
        <v>10.0</v>
      </c>
      <c r="AC138" s="49"/>
      <c r="AD138" s="47"/>
      <c r="AE138" s="47"/>
      <c r="AF138" s="49">
        <v>50.0</v>
      </c>
      <c r="AG138" s="49"/>
      <c r="AH138" s="47"/>
      <c r="AI138" s="45"/>
    </row>
    <row r="139" ht="18.0" customHeight="1">
      <c r="A139" s="40" t="s">
        <v>16</v>
      </c>
      <c r="B139" s="45" t="s">
        <v>103</v>
      </c>
      <c r="C139" s="46">
        <f t="shared" si="12"/>
        <v>0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9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5"/>
    </row>
    <row r="140" ht="18.0" customHeight="1">
      <c r="A140" s="40" t="s">
        <v>16</v>
      </c>
      <c r="B140" s="45" t="s">
        <v>104</v>
      </c>
      <c r="C140" s="46">
        <f t="shared" si="12"/>
        <v>3700</v>
      </c>
      <c r="D140" s="47"/>
      <c r="E140" s="49">
        <v>1000.0</v>
      </c>
      <c r="F140" s="49"/>
      <c r="G140" s="47"/>
      <c r="H140" s="47"/>
      <c r="I140" s="47"/>
      <c r="J140" s="49"/>
      <c r="K140" s="49"/>
      <c r="L140" s="47"/>
      <c r="M140" s="47"/>
      <c r="N140" s="49">
        <v>1000.0</v>
      </c>
      <c r="O140" s="49"/>
      <c r="P140" s="47"/>
      <c r="Q140" s="49"/>
      <c r="R140" s="47"/>
      <c r="S140" s="49">
        <v>700.0</v>
      </c>
      <c r="T140" s="47"/>
      <c r="U140" s="47"/>
      <c r="V140" s="49"/>
      <c r="W140" s="49"/>
      <c r="X140" s="49"/>
      <c r="Y140" s="47"/>
      <c r="Z140" s="47"/>
      <c r="AA140" s="49"/>
      <c r="AB140" s="49">
        <v>1000.0</v>
      </c>
      <c r="AC140" s="49"/>
      <c r="AD140" s="47"/>
      <c r="AE140" s="47"/>
      <c r="AF140" s="49"/>
      <c r="AG140" s="47"/>
      <c r="AH140" s="47"/>
      <c r="AI140" s="45"/>
    </row>
    <row r="141" ht="18.0" customHeight="1">
      <c r="A141" s="40" t="s">
        <v>16</v>
      </c>
      <c r="B141" s="45" t="s">
        <v>107</v>
      </c>
      <c r="C141" s="46">
        <f t="shared" si="12"/>
        <v>8700</v>
      </c>
      <c r="D141" s="47"/>
      <c r="E141" s="49">
        <v>2000.0</v>
      </c>
      <c r="F141" s="49"/>
      <c r="G141" s="47"/>
      <c r="H141" s="49"/>
      <c r="I141" s="47"/>
      <c r="J141" s="49">
        <v>700.0</v>
      </c>
      <c r="K141" s="49"/>
      <c r="L141" s="47"/>
      <c r="M141" s="49"/>
      <c r="N141" s="49">
        <v>2000.0</v>
      </c>
      <c r="O141" s="49"/>
      <c r="P141" s="47"/>
      <c r="Q141" s="49"/>
      <c r="R141" s="49"/>
      <c r="S141" s="49">
        <v>1500.0</v>
      </c>
      <c r="T141" s="47"/>
      <c r="U141" s="49"/>
      <c r="V141" s="49"/>
      <c r="W141" s="49"/>
      <c r="X141" s="49"/>
      <c r="Y141" s="47"/>
      <c r="Z141" s="47"/>
      <c r="AA141" s="49"/>
      <c r="AB141" s="49">
        <v>1500.0</v>
      </c>
      <c r="AC141" s="49">
        <v>1000.0</v>
      </c>
      <c r="AD141" s="47"/>
      <c r="AE141" s="49"/>
      <c r="AF141" s="49"/>
      <c r="AG141" s="49"/>
      <c r="AH141" s="49"/>
      <c r="AI141" s="45"/>
    </row>
    <row r="142" ht="18.0" customHeight="1">
      <c r="A142" s="40" t="s">
        <v>16</v>
      </c>
      <c r="B142" s="45" t="s">
        <v>108</v>
      </c>
      <c r="C142" s="46">
        <f t="shared" si="12"/>
        <v>6128</v>
      </c>
      <c r="D142" s="49">
        <v>400.0</v>
      </c>
      <c r="E142" s="49">
        <v>828.0</v>
      </c>
      <c r="F142" s="49"/>
      <c r="G142" s="49"/>
      <c r="H142" s="49"/>
      <c r="I142" s="49">
        <v>900.0</v>
      </c>
      <c r="J142" s="47"/>
      <c r="K142" s="49"/>
      <c r="L142" s="47"/>
      <c r="M142" s="47"/>
      <c r="N142" s="49"/>
      <c r="O142" s="47"/>
      <c r="P142" s="47"/>
      <c r="Q142" s="49"/>
      <c r="R142" s="47"/>
      <c r="S142" s="49">
        <f>300+800</f>
        <v>1100</v>
      </c>
      <c r="T142" s="47"/>
      <c r="U142" s="49"/>
      <c r="V142" s="49">
        <v>800.0</v>
      </c>
      <c r="W142" s="49"/>
      <c r="X142" s="49"/>
      <c r="Y142" s="47"/>
      <c r="Z142" s="47"/>
      <c r="AA142" s="47">
        <f>300+800</f>
        <v>1100</v>
      </c>
      <c r="AB142" s="49"/>
      <c r="AC142" s="47">
        <f>400+600</f>
        <v>1000</v>
      </c>
      <c r="AD142" s="47"/>
      <c r="AE142" s="49"/>
      <c r="AF142" s="47"/>
      <c r="AG142" s="47"/>
      <c r="AH142" s="47"/>
      <c r="AI142" s="45"/>
    </row>
    <row r="143" ht="18.0" customHeight="1">
      <c r="A143" s="40" t="s">
        <v>16</v>
      </c>
      <c r="B143" s="45" t="s">
        <v>112</v>
      </c>
      <c r="C143" s="52">
        <f t="shared" si="12"/>
        <v>11371.94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>
        <f>'2026 DS'!K291</f>
        <v>11371.94</v>
      </c>
      <c r="AI143" s="45"/>
    </row>
    <row r="144" ht="18.0" customHeight="1">
      <c r="A144" s="40" t="s">
        <v>16</v>
      </c>
      <c r="B144" s="56" t="s">
        <v>172</v>
      </c>
      <c r="C144" s="46">
        <f t="shared" si="12"/>
        <v>0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9"/>
      <c r="AH144" s="47"/>
      <c r="AI144" s="45"/>
    </row>
    <row r="145" ht="18.0" customHeight="1">
      <c r="A145" s="22"/>
      <c r="B145" s="45"/>
      <c r="C145" s="46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5"/>
    </row>
    <row r="146" ht="18.0" customHeight="1">
      <c r="A146" s="40" t="s">
        <v>17</v>
      </c>
      <c r="B146" s="37" t="s">
        <v>32</v>
      </c>
      <c r="C146" s="41">
        <f t="shared" ref="C146:AH146" si="13">SUM(C147:C168)</f>
        <v>153443.5533</v>
      </c>
      <c r="D146" s="41">
        <f t="shared" si="13"/>
        <v>600</v>
      </c>
      <c r="E146" s="41">
        <f t="shared" si="13"/>
        <v>3920</v>
      </c>
      <c r="F146" s="41">
        <f t="shared" si="13"/>
        <v>0</v>
      </c>
      <c r="G146" s="41">
        <f t="shared" si="13"/>
        <v>45224.44</v>
      </c>
      <c r="H146" s="41">
        <f t="shared" si="13"/>
        <v>0</v>
      </c>
      <c r="I146" s="41">
        <f t="shared" si="13"/>
        <v>0</v>
      </c>
      <c r="J146" s="41">
        <f t="shared" si="13"/>
        <v>440</v>
      </c>
      <c r="K146" s="41">
        <f t="shared" si="13"/>
        <v>4130</v>
      </c>
      <c r="L146" s="41">
        <f t="shared" si="13"/>
        <v>10</v>
      </c>
      <c r="M146" s="41">
        <f t="shared" si="13"/>
        <v>0</v>
      </c>
      <c r="N146" s="41">
        <f t="shared" si="13"/>
        <v>220</v>
      </c>
      <c r="O146" s="41">
        <f t="shared" si="13"/>
        <v>0</v>
      </c>
      <c r="P146" s="41">
        <f t="shared" si="13"/>
        <v>0</v>
      </c>
      <c r="Q146" s="41">
        <f t="shared" si="13"/>
        <v>0</v>
      </c>
      <c r="R146" s="41">
        <f t="shared" si="13"/>
        <v>23775</v>
      </c>
      <c r="S146" s="41">
        <f t="shared" si="13"/>
        <v>3750</v>
      </c>
      <c r="T146" s="41">
        <f t="shared" si="13"/>
        <v>0</v>
      </c>
      <c r="U146" s="41">
        <f t="shared" si="13"/>
        <v>0</v>
      </c>
      <c r="V146" s="41">
        <f t="shared" si="13"/>
        <v>0</v>
      </c>
      <c r="W146" s="41">
        <f t="shared" si="13"/>
        <v>2200</v>
      </c>
      <c r="X146" s="41">
        <f t="shared" si="13"/>
        <v>600</v>
      </c>
      <c r="Y146" s="41">
        <f t="shared" si="13"/>
        <v>2110</v>
      </c>
      <c r="Z146" s="41">
        <f t="shared" si="13"/>
        <v>5850</v>
      </c>
      <c r="AA146" s="41">
        <f t="shared" si="13"/>
        <v>400</v>
      </c>
      <c r="AB146" s="41">
        <f t="shared" si="13"/>
        <v>0</v>
      </c>
      <c r="AC146" s="41">
        <f t="shared" si="13"/>
        <v>0</v>
      </c>
      <c r="AD146" s="41">
        <f t="shared" si="13"/>
        <v>3050</v>
      </c>
      <c r="AE146" s="41">
        <f t="shared" si="13"/>
        <v>0</v>
      </c>
      <c r="AF146" s="41">
        <f t="shared" si="13"/>
        <v>1810</v>
      </c>
      <c r="AG146" s="41">
        <f t="shared" si="13"/>
        <v>23675</v>
      </c>
      <c r="AH146" s="41">
        <f t="shared" si="13"/>
        <v>31679.11333</v>
      </c>
      <c r="AI146" s="38"/>
    </row>
    <row r="147" ht="18.0" customHeight="1">
      <c r="A147" s="40" t="s">
        <v>17</v>
      </c>
      <c r="B147" s="45" t="s">
        <v>50</v>
      </c>
      <c r="C147" s="46">
        <f t="shared" ref="C147:C168" si="14">SUM(D147:AH147)</f>
        <v>0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5"/>
    </row>
    <row r="148" ht="18.0" customHeight="1">
      <c r="A148" s="40" t="s">
        <v>17</v>
      </c>
      <c r="B148" s="45" t="s">
        <v>57</v>
      </c>
      <c r="C148" s="46">
        <f t="shared" si="14"/>
        <v>43250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9"/>
      <c r="R148" s="49">
        <f>17875+5000</f>
        <v>22875</v>
      </c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9"/>
      <c r="AF148" s="47"/>
      <c r="AG148" s="49">
        <f>15375+5000</f>
        <v>20375</v>
      </c>
      <c r="AH148" s="49"/>
      <c r="AI148" s="45"/>
    </row>
    <row r="149" ht="18.0" customHeight="1">
      <c r="A149" s="40" t="s">
        <v>17</v>
      </c>
      <c r="B149" s="45" t="s">
        <v>61</v>
      </c>
      <c r="C149" s="52">
        <f t="shared" si="14"/>
        <v>3000</v>
      </c>
      <c r="D149" s="47"/>
      <c r="E149" s="49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9"/>
      <c r="AF149" s="47"/>
      <c r="AG149" s="49"/>
      <c r="AH149" s="49">
        <v>3000.0</v>
      </c>
      <c r="AI149" s="45"/>
    </row>
    <row r="150" ht="18.0" customHeight="1">
      <c r="A150" s="40" t="s">
        <v>17</v>
      </c>
      <c r="B150" s="45" t="s">
        <v>67</v>
      </c>
      <c r="C150" s="52">
        <f t="shared" si="14"/>
        <v>2000</v>
      </c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9"/>
      <c r="AF150" s="47"/>
      <c r="AG150" s="49"/>
      <c r="AH150" s="49">
        <v>2000.0</v>
      </c>
      <c r="AI150" s="45"/>
    </row>
    <row r="151" ht="18.0" customHeight="1">
      <c r="A151" s="40" t="s">
        <v>17</v>
      </c>
      <c r="B151" s="45" t="s">
        <v>70</v>
      </c>
      <c r="C151" s="52">
        <f t="shared" si="14"/>
        <v>2833.333333</v>
      </c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9"/>
      <c r="AF151" s="47"/>
      <c r="AG151" s="49"/>
      <c r="AH151" s="49">
        <f>34000/12</f>
        <v>2833.333333</v>
      </c>
      <c r="AI151" s="45"/>
    </row>
    <row r="152" ht="18.0" customHeight="1">
      <c r="A152" s="40" t="s">
        <v>17</v>
      </c>
      <c r="B152" s="45" t="s">
        <v>75</v>
      </c>
      <c r="C152" s="52">
        <f t="shared" si="14"/>
        <v>5000</v>
      </c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9">
        <v>5000.0</v>
      </c>
      <c r="AI152" s="45"/>
    </row>
    <row r="153" ht="18.0" customHeight="1">
      <c r="A153" s="40" t="s">
        <v>17</v>
      </c>
      <c r="B153" s="45" t="s">
        <v>78</v>
      </c>
      <c r="C153" s="46">
        <f t="shared" si="14"/>
        <v>5000</v>
      </c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9"/>
      <c r="AF153" s="47"/>
      <c r="AG153" s="49"/>
      <c r="AH153" s="49">
        <v>5000.0</v>
      </c>
      <c r="AI153" s="45"/>
    </row>
    <row r="154" ht="18.0" customHeight="1">
      <c r="A154" s="40" t="s">
        <v>17</v>
      </c>
      <c r="B154" s="56" t="s">
        <v>81</v>
      </c>
      <c r="C154" s="46">
        <f t="shared" si="14"/>
        <v>0</v>
      </c>
      <c r="D154" s="47"/>
      <c r="E154" s="49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9"/>
      <c r="AH154" s="47"/>
      <c r="AI154" s="45"/>
    </row>
    <row r="155" ht="18.0" customHeight="1">
      <c r="A155" s="40" t="s">
        <v>17</v>
      </c>
      <c r="B155" s="45" t="s">
        <v>82</v>
      </c>
      <c r="C155" s="46">
        <f t="shared" si="14"/>
        <v>0</v>
      </c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9"/>
      <c r="AH155" s="47"/>
      <c r="AI155" s="45"/>
    </row>
    <row r="156" ht="18.0" customHeight="1">
      <c r="A156" s="40" t="s">
        <v>17</v>
      </c>
      <c r="B156" s="45" t="s">
        <v>83</v>
      </c>
      <c r="C156" s="46">
        <f t="shared" si="14"/>
        <v>2500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9"/>
      <c r="AH156" s="49">
        <v>2500.0</v>
      </c>
      <c r="AI156" s="45"/>
    </row>
    <row r="157" ht="18.0" customHeight="1">
      <c r="A157" s="40" t="s">
        <v>17</v>
      </c>
      <c r="B157" s="45" t="s">
        <v>86</v>
      </c>
      <c r="C157" s="46">
        <f t="shared" si="14"/>
        <v>1210</v>
      </c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9"/>
      <c r="AH157" s="49">
        <v>1210.0</v>
      </c>
      <c r="AI157" s="45"/>
    </row>
    <row r="158" ht="18.0" customHeight="1">
      <c r="A158" s="40" t="s">
        <v>17</v>
      </c>
      <c r="B158" s="45" t="s">
        <v>89</v>
      </c>
      <c r="C158" s="46">
        <f t="shared" si="14"/>
        <v>300</v>
      </c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9"/>
      <c r="AH158" s="49">
        <f>12000*0.025</f>
        <v>300</v>
      </c>
      <c r="AI158" s="45"/>
    </row>
    <row r="159" ht="18.0" customHeight="1">
      <c r="A159" s="40" t="s">
        <v>17</v>
      </c>
      <c r="B159" s="45" t="s">
        <v>93</v>
      </c>
      <c r="C159" s="46">
        <f t="shared" si="14"/>
        <v>200</v>
      </c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9"/>
      <c r="AH159" s="49">
        <v>200.0</v>
      </c>
      <c r="AI159" s="45"/>
    </row>
    <row r="160" ht="18.0" customHeight="1">
      <c r="A160" s="40" t="s">
        <v>17</v>
      </c>
      <c r="B160" s="45" t="s">
        <v>96</v>
      </c>
      <c r="C160" s="46">
        <f t="shared" si="14"/>
        <v>0</v>
      </c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9"/>
      <c r="AA160" s="47"/>
      <c r="AB160" s="47"/>
      <c r="AC160" s="47"/>
      <c r="AD160" s="47"/>
      <c r="AE160" s="47"/>
      <c r="AF160" s="47"/>
      <c r="AG160" s="47"/>
      <c r="AH160" s="47"/>
      <c r="AI160" s="45"/>
    </row>
    <row r="161" ht="18.0" customHeight="1">
      <c r="A161" s="40" t="s">
        <v>17</v>
      </c>
      <c r="B161" s="45" t="s">
        <v>98</v>
      </c>
      <c r="C161" s="46">
        <f t="shared" si="14"/>
        <v>0</v>
      </c>
      <c r="D161" s="47"/>
      <c r="E161" s="47"/>
      <c r="F161" s="49"/>
      <c r="G161" s="47"/>
      <c r="H161" s="47"/>
      <c r="I161" s="47"/>
      <c r="J161" s="47"/>
      <c r="K161" s="47"/>
      <c r="L161" s="47"/>
      <c r="M161" s="47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5"/>
    </row>
    <row r="162" ht="18.0" customHeight="1">
      <c r="A162" s="40" t="s">
        <v>17</v>
      </c>
      <c r="B162" s="56" t="s">
        <v>100</v>
      </c>
      <c r="C162" s="46">
        <f t="shared" si="14"/>
        <v>5030</v>
      </c>
      <c r="D162" s="49"/>
      <c r="E162" s="49"/>
      <c r="F162" s="47"/>
      <c r="G162" s="47"/>
      <c r="H162" s="49"/>
      <c r="I162" s="49"/>
      <c r="J162" s="49">
        <f>10+10</f>
        <v>20</v>
      </c>
      <c r="K162" s="49"/>
      <c r="L162" s="49">
        <v>10.0</v>
      </c>
      <c r="M162" s="49"/>
      <c r="N162" s="47"/>
      <c r="O162" s="49"/>
      <c r="P162" s="47"/>
      <c r="Q162" s="47"/>
      <c r="R162" s="47"/>
      <c r="S162" s="49"/>
      <c r="T162" s="47"/>
      <c r="U162" s="49"/>
      <c r="V162" s="47"/>
      <c r="W162" s="49">
        <f>1000+200+1000</f>
        <v>2200</v>
      </c>
      <c r="X162" s="49">
        <v>600.0</v>
      </c>
      <c r="Y162" s="47"/>
      <c r="Z162" s="47"/>
      <c r="AA162" s="49"/>
      <c r="AB162" s="49"/>
      <c r="AC162" s="49"/>
      <c r="AD162" s="47">
        <f>1000+200+1000</f>
        <v>2200</v>
      </c>
      <c r="AE162" s="47"/>
      <c r="AF162" s="47"/>
      <c r="AG162" s="49"/>
      <c r="AH162" s="47"/>
      <c r="AI162" s="45"/>
    </row>
    <row r="163" ht="18.0" customHeight="1">
      <c r="A163" s="40" t="s">
        <v>17</v>
      </c>
      <c r="B163" s="45" t="s">
        <v>103</v>
      </c>
      <c r="C163" s="46">
        <f t="shared" si="14"/>
        <v>0</v>
      </c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9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5"/>
    </row>
    <row r="164" ht="18.0" customHeight="1">
      <c r="A164" s="40" t="s">
        <v>17</v>
      </c>
      <c r="B164" s="45" t="s">
        <v>104</v>
      </c>
      <c r="C164" s="46">
        <f t="shared" si="14"/>
        <v>4700</v>
      </c>
      <c r="D164" s="47"/>
      <c r="E164" s="49">
        <v>1000.0</v>
      </c>
      <c r="F164" s="49"/>
      <c r="G164" s="47"/>
      <c r="H164" s="47"/>
      <c r="I164" s="47"/>
      <c r="J164" s="49"/>
      <c r="K164" s="49">
        <v>700.0</v>
      </c>
      <c r="L164" s="47"/>
      <c r="M164" s="47"/>
      <c r="N164" s="49"/>
      <c r="O164" s="49"/>
      <c r="P164" s="47"/>
      <c r="Q164" s="49"/>
      <c r="R164" s="47"/>
      <c r="S164" s="49">
        <v>1000.0</v>
      </c>
      <c r="T164" s="47"/>
      <c r="U164" s="47"/>
      <c r="V164" s="49"/>
      <c r="W164" s="49"/>
      <c r="X164" s="49"/>
      <c r="Y164" s="47"/>
      <c r="Z164" s="49">
        <v>1000.0</v>
      </c>
      <c r="AA164" s="49"/>
      <c r="AB164" s="49"/>
      <c r="AC164" s="49"/>
      <c r="AD164" s="47"/>
      <c r="AE164" s="47"/>
      <c r="AF164" s="49"/>
      <c r="AG164" s="49">
        <v>1000.0</v>
      </c>
      <c r="AH164" s="47"/>
      <c r="AI164" s="45"/>
    </row>
    <row r="165" ht="18.0" customHeight="1">
      <c r="A165" s="40" t="s">
        <v>17</v>
      </c>
      <c r="B165" s="45" t="s">
        <v>107</v>
      </c>
      <c r="C165" s="46">
        <f t="shared" si="14"/>
        <v>11300</v>
      </c>
      <c r="D165" s="47"/>
      <c r="E165" s="49">
        <v>2000.0</v>
      </c>
      <c r="F165" s="49"/>
      <c r="G165" s="47"/>
      <c r="H165" s="49"/>
      <c r="I165" s="47"/>
      <c r="J165" s="49"/>
      <c r="K165" s="49">
        <f>2000+300</f>
        <v>2300</v>
      </c>
      <c r="L165" s="47"/>
      <c r="M165" s="49"/>
      <c r="N165" s="49"/>
      <c r="O165" s="49"/>
      <c r="P165" s="47"/>
      <c r="Q165" s="49"/>
      <c r="R165" s="49"/>
      <c r="S165" s="49">
        <f>2000+300</f>
        <v>2300</v>
      </c>
      <c r="T165" s="47"/>
      <c r="U165" s="49"/>
      <c r="V165" s="49"/>
      <c r="W165" s="49"/>
      <c r="X165" s="49"/>
      <c r="Y165" s="47"/>
      <c r="Z165" s="49">
        <v>2000.0</v>
      </c>
      <c r="AA165" s="49">
        <v>400.0</v>
      </c>
      <c r="AB165" s="49"/>
      <c r="AC165" s="49"/>
      <c r="AD165" s="47"/>
      <c r="AE165" s="49"/>
      <c r="AF165" s="49"/>
      <c r="AG165" s="49">
        <f>2000+300</f>
        <v>2300</v>
      </c>
      <c r="AH165" s="49"/>
      <c r="AI165" s="45"/>
    </row>
    <row r="166" ht="18.0" customHeight="1">
      <c r="A166" s="40" t="s">
        <v>17</v>
      </c>
      <c r="B166" s="45" t="s">
        <v>108</v>
      </c>
      <c r="C166" s="46">
        <f t="shared" si="14"/>
        <v>10260</v>
      </c>
      <c r="D166" s="49">
        <v>600.0</v>
      </c>
      <c r="E166" s="49">
        <f>500+420</f>
        <v>920</v>
      </c>
      <c r="F166" s="49"/>
      <c r="G166" s="49"/>
      <c r="H166" s="49"/>
      <c r="I166" s="49"/>
      <c r="J166" s="49">
        <v>420.0</v>
      </c>
      <c r="K166" s="49">
        <f>280+850</f>
        <v>1130</v>
      </c>
      <c r="L166" s="47"/>
      <c r="M166" s="47"/>
      <c r="N166" s="49">
        <v>220.0</v>
      </c>
      <c r="O166" s="47"/>
      <c r="P166" s="47"/>
      <c r="Q166" s="49"/>
      <c r="R166" s="49">
        <v>900.0</v>
      </c>
      <c r="S166" s="49">
        <v>450.0</v>
      </c>
      <c r="T166" s="47"/>
      <c r="U166" s="49"/>
      <c r="V166" s="49"/>
      <c r="W166" s="49"/>
      <c r="X166" s="49"/>
      <c r="Y166" s="47">
        <f>280+560+1270</f>
        <v>2110</v>
      </c>
      <c r="Z166" s="49">
        <v>850.0</v>
      </c>
      <c r="AA166" s="47"/>
      <c r="AB166" s="49"/>
      <c r="AC166" s="47"/>
      <c r="AD166" s="49">
        <v>850.0</v>
      </c>
      <c r="AE166" s="49"/>
      <c r="AF166" s="47">
        <f>310+1500</f>
        <v>1810</v>
      </c>
      <c r="AG166" s="47"/>
      <c r="AH166" s="47"/>
      <c r="AI166" s="45"/>
    </row>
    <row r="167" ht="18.0" customHeight="1">
      <c r="A167" s="40" t="s">
        <v>17</v>
      </c>
      <c r="B167" s="45" t="s">
        <v>112</v>
      </c>
      <c r="C167" s="52">
        <f t="shared" si="14"/>
        <v>11635.78</v>
      </c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9"/>
      <c r="Z167" s="49">
        <v>2000.0</v>
      </c>
      <c r="AA167" s="47"/>
      <c r="AB167" s="47"/>
      <c r="AC167" s="47"/>
      <c r="AD167" s="47"/>
      <c r="AE167" s="47"/>
      <c r="AF167" s="47"/>
      <c r="AG167" s="47"/>
      <c r="AH167" s="47">
        <f>'2026 DS'!K358</f>
        <v>9635.78</v>
      </c>
      <c r="AI167" s="45"/>
    </row>
    <row r="168" ht="18.0" customHeight="1">
      <c r="A168" s="40" t="s">
        <v>17</v>
      </c>
      <c r="B168" s="56" t="s">
        <v>172</v>
      </c>
      <c r="C168" s="46">
        <f t="shared" si="14"/>
        <v>45224.44</v>
      </c>
      <c r="D168" s="47"/>
      <c r="E168" s="47"/>
      <c r="F168" s="47"/>
      <c r="G168" s="81">
        <f>22912.22+22312.22</f>
        <v>45224.44</v>
      </c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9"/>
      <c r="AH168" s="47"/>
      <c r="AI168" s="45"/>
    </row>
    <row r="169" ht="18.0" customHeight="1">
      <c r="A169" s="22"/>
      <c r="B169" s="45"/>
      <c r="C169" s="23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</row>
    <row r="170" ht="18.0" customHeight="1">
      <c r="A170" s="22"/>
      <c r="B170" s="45"/>
      <c r="C170" s="23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</row>
    <row r="171" ht="18.0" customHeight="1">
      <c r="A171" s="22"/>
      <c r="B171" s="45"/>
      <c r="C171" s="23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</row>
    <row r="172" ht="18.0" customHeight="1">
      <c r="A172" s="22"/>
      <c r="B172" s="45"/>
      <c r="C172" s="23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</row>
    <row r="173" ht="18.0" customHeight="1">
      <c r="A173" s="22"/>
      <c r="B173" s="45"/>
      <c r="C173" s="23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</row>
    <row r="174" ht="18.0" customHeight="1">
      <c r="A174" s="22"/>
      <c r="B174" s="45"/>
      <c r="C174" s="23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</row>
    <row r="175" ht="18.0" customHeight="1">
      <c r="A175" s="22"/>
      <c r="B175" s="45"/>
      <c r="C175" s="23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</row>
    <row r="176" ht="18.0" customHeight="1">
      <c r="A176" s="22"/>
      <c r="B176" s="45"/>
      <c r="C176" s="23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</row>
    <row r="177" ht="18.0" customHeight="1">
      <c r="A177" s="22"/>
      <c r="B177" s="45"/>
      <c r="C177" s="23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</row>
    <row r="178" ht="18.0" customHeight="1">
      <c r="A178" s="22"/>
      <c r="B178" s="45"/>
      <c r="C178" s="23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</row>
    <row r="179" ht="18.0" customHeight="1">
      <c r="A179" s="22"/>
      <c r="B179" s="45"/>
      <c r="C179" s="23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</row>
    <row r="180" ht="18.0" customHeight="1">
      <c r="A180" s="22"/>
      <c r="B180" s="45"/>
      <c r="C180" s="23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</row>
    <row r="181" ht="18.0" customHeight="1">
      <c r="A181" s="22"/>
      <c r="B181" s="45"/>
      <c r="C181" s="23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</row>
    <row r="182" ht="18.0" customHeight="1">
      <c r="A182" s="22"/>
      <c r="B182" s="45"/>
      <c r="C182" s="23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</row>
    <row r="183" ht="18.0" customHeight="1">
      <c r="A183" s="22"/>
      <c r="B183" s="45"/>
      <c r="C183" s="23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</row>
    <row r="184" ht="18.0" customHeight="1">
      <c r="A184" s="22"/>
      <c r="B184" s="45"/>
      <c r="C184" s="23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</row>
    <row r="185" ht="18.0" customHeight="1">
      <c r="A185" s="22"/>
      <c r="B185" s="45"/>
      <c r="C185" s="23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</row>
    <row r="186" ht="18.0" customHeight="1">
      <c r="A186" s="22"/>
      <c r="B186" s="45"/>
      <c r="C186" s="23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</row>
    <row r="187" ht="18.0" customHeight="1">
      <c r="A187" s="22"/>
      <c r="B187" s="45"/>
      <c r="C187" s="23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</row>
    <row r="188" ht="18.0" customHeight="1">
      <c r="A188" s="22"/>
      <c r="B188" s="45"/>
      <c r="C188" s="23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</row>
    <row r="189" ht="18.0" customHeight="1">
      <c r="A189" s="22"/>
      <c r="B189" s="45"/>
      <c r="C189" s="23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</row>
    <row r="190" ht="18.0" customHeight="1">
      <c r="A190" s="22"/>
      <c r="B190" s="45"/>
      <c r="C190" s="23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</row>
    <row r="191" ht="18.0" customHeight="1">
      <c r="A191" s="22"/>
      <c r="B191" s="45"/>
      <c r="C191" s="23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</row>
    <row r="192" ht="18.0" customHeight="1">
      <c r="A192" s="22"/>
      <c r="B192" s="45"/>
      <c r="C192" s="23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</row>
    <row r="193" ht="18.0" customHeight="1">
      <c r="A193" s="22"/>
      <c r="B193" s="45"/>
      <c r="C193" s="23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</row>
    <row r="194" ht="18.0" customHeight="1">
      <c r="A194" s="22"/>
      <c r="B194" s="45"/>
      <c r="C194" s="23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</row>
    <row r="195" ht="18.0" customHeight="1">
      <c r="A195" s="22"/>
      <c r="B195" s="45"/>
      <c r="C195" s="23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</row>
    <row r="196" ht="18.0" customHeight="1">
      <c r="A196" s="22"/>
      <c r="B196" s="45"/>
      <c r="C196" s="23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</row>
    <row r="197" ht="18.0" customHeight="1">
      <c r="A197" s="22"/>
      <c r="B197" s="45"/>
      <c r="C197" s="23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</row>
    <row r="198" ht="18.0" customHeight="1">
      <c r="A198" s="22"/>
      <c r="B198" s="45"/>
      <c r="C198" s="23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</row>
    <row r="199" ht="18.0" customHeight="1">
      <c r="A199" s="22"/>
      <c r="B199" s="45"/>
      <c r="C199" s="23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</row>
    <row r="200" ht="18.0" customHeight="1">
      <c r="A200" s="22"/>
      <c r="B200" s="45"/>
      <c r="C200" s="23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</row>
    <row r="201" ht="18.0" customHeight="1">
      <c r="A201" s="22"/>
      <c r="B201" s="45"/>
      <c r="C201" s="23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</row>
    <row r="202" ht="18.0" customHeight="1">
      <c r="A202" s="22"/>
      <c r="B202" s="45"/>
      <c r="C202" s="23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</row>
    <row r="203" ht="18.0" customHeight="1">
      <c r="A203" s="22"/>
      <c r="B203" s="45"/>
      <c r="C203" s="23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</row>
    <row r="204" ht="18.0" customHeight="1">
      <c r="A204" s="22"/>
      <c r="B204" s="45"/>
      <c r="C204" s="23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</row>
    <row r="205" ht="18.0" customHeight="1">
      <c r="A205" s="22"/>
      <c r="B205" s="45"/>
      <c r="C205" s="23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</row>
    <row r="206" ht="18.0" customHeight="1">
      <c r="A206" s="22"/>
      <c r="B206" s="45"/>
      <c r="C206" s="23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</row>
    <row r="207" ht="18.0" customHeight="1">
      <c r="A207" s="22"/>
      <c r="B207" s="45"/>
      <c r="C207" s="23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</row>
    <row r="208" ht="18.0" customHeight="1">
      <c r="A208" s="22"/>
      <c r="B208" s="45"/>
      <c r="C208" s="23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</row>
    <row r="209" ht="18.0" customHeight="1">
      <c r="A209" s="22"/>
      <c r="B209" s="45"/>
      <c r="C209" s="23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</row>
    <row r="210" ht="18.0" customHeight="1">
      <c r="A210" s="22"/>
      <c r="B210" s="45"/>
      <c r="C210" s="23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</row>
    <row r="211" ht="18.0" customHeight="1">
      <c r="A211" s="22"/>
      <c r="B211" s="45"/>
      <c r="C211" s="23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</row>
    <row r="212" ht="18.0" customHeight="1">
      <c r="A212" s="22"/>
      <c r="B212" s="45"/>
      <c r="C212" s="23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</row>
    <row r="213" ht="18.0" customHeight="1">
      <c r="A213" s="22"/>
      <c r="B213" s="45"/>
      <c r="C213" s="23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</row>
    <row r="214" ht="18.0" customHeight="1">
      <c r="A214" s="22"/>
      <c r="B214" s="45"/>
      <c r="C214" s="23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</row>
    <row r="215" ht="18.0" customHeight="1">
      <c r="A215" s="22"/>
      <c r="B215" s="45"/>
      <c r="C215" s="23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</row>
    <row r="216" ht="18.0" customHeight="1">
      <c r="A216" s="22"/>
      <c r="B216" s="45"/>
      <c r="C216" s="23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</row>
    <row r="217" ht="18.0" customHeight="1">
      <c r="A217" s="22"/>
      <c r="B217" s="45"/>
      <c r="C217" s="23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</row>
    <row r="218" ht="18.0" customHeight="1">
      <c r="A218" s="22"/>
      <c r="B218" s="45"/>
      <c r="C218" s="23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</row>
    <row r="219" ht="18.0" customHeight="1">
      <c r="A219" s="22"/>
      <c r="B219" s="45"/>
      <c r="C219" s="23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</row>
    <row r="220" ht="18.0" customHeight="1">
      <c r="A220" s="22"/>
      <c r="B220" s="45"/>
      <c r="C220" s="23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</row>
    <row r="221" ht="18.0" customHeight="1">
      <c r="A221" s="22"/>
      <c r="B221" s="45"/>
      <c r="C221" s="23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</row>
    <row r="222" ht="18.0" customHeight="1">
      <c r="A222" s="22"/>
      <c r="B222" s="45"/>
      <c r="C222" s="23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</row>
    <row r="223" ht="18.0" customHeight="1">
      <c r="A223" s="22"/>
      <c r="B223" s="45"/>
      <c r="C223" s="23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</row>
    <row r="224" ht="18.0" customHeight="1">
      <c r="A224" s="22"/>
      <c r="B224" s="45"/>
      <c r="C224" s="23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</row>
    <row r="225" ht="18.0" customHeight="1">
      <c r="A225" s="22"/>
      <c r="B225" s="45"/>
      <c r="C225" s="23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</row>
    <row r="226" ht="18.0" customHeight="1">
      <c r="A226" s="22"/>
      <c r="B226" s="45"/>
      <c r="C226" s="23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</row>
    <row r="227" ht="18.0" customHeight="1">
      <c r="A227" s="22"/>
      <c r="B227" s="45"/>
      <c r="C227" s="23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</row>
    <row r="228" ht="18.0" customHeight="1">
      <c r="A228" s="22"/>
      <c r="B228" s="45"/>
      <c r="C228" s="23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</row>
    <row r="229" ht="18.0" customHeight="1">
      <c r="A229" s="22"/>
      <c r="B229" s="45"/>
      <c r="C229" s="23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</row>
    <row r="230" ht="18.0" customHeight="1">
      <c r="A230" s="22"/>
      <c r="B230" s="45"/>
      <c r="C230" s="23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</row>
    <row r="231" ht="18.0" customHeight="1">
      <c r="A231" s="22"/>
      <c r="B231" s="45"/>
      <c r="C231" s="23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</row>
    <row r="232" ht="18.0" customHeight="1">
      <c r="A232" s="22"/>
      <c r="B232" s="45"/>
      <c r="C232" s="23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</row>
    <row r="233" ht="18.0" customHeight="1">
      <c r="A233" s="22"/>
      <c r="B233" s="45"/>
      <c r="C233" s="23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</row>
    <row r="234" ht="18.0" customHeight="1">
      <c r="A234" s="22"/>
      <c r="B234" s="45"/>
      <c r="C234" s="23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</row>
    <row r="235" ht="18.0" customHeight="1">
      <c r="A235" s="22"/>
      <c r="B235" s="45"/>
      <c r="C235" s="23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</row>
    <row r="236" ht="18.0" customHeight="1">
      <c r="A236" s="22"/>
      <c r="B236" s="45"/>
      <c r="C236" s="23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</row>
    <row r="237" ht="18.0" customHeight="1">
      <c r="A237" s="22"/>
      <c r="B237" s="45"/>
      <c r="C237" s="23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</row>
    <row r="238" ht="18.0" customHeight="1">
      <c r="A238" s="22"/>
      <c r="B238" s="45"/>
      <c r="C238" s="23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</row>
    <row r="239" ht="18.0" customHeight="1">
      <c r="A239" s="22"/>
      <c r="B239" s="45"/>
      <c r="C239" s="23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</row>
    <row r="240" ht="18.0" customHeight="1">
      <c r="A240" s="22"/>
      <c r="B240" s="45"/>
      <c r="C240" s="23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</row>
    <row r="241" ht="18.0" customHeight="1">
      <c r="A241" s="22"/>
      <c r="B241" s="45"/>
      <c r="C241" s="23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</row>
    <row r="242" ht="18.0" customHeight="1">
      <c r="A242" s="22"/>
      <c r="B242" s="45"/>
      <c r="C242" s="23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</row>
    <row r="243" ht="18.0" customHeight="1">
      <c r="A243" s="22"/>
      <c r="B243" s="45"/>
      <c r="C243" s="23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</row>
    <row r="244" ht="18.0" customHeight="1">
      <c r="A244" s="22"/>
      <c r="B244" s="45"/>
      <c r="C244" s="23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</row>
    <row r="245" ht="18.0" customHeight="1">
      <c r="A245" s="22"/>
      <c r="B245" s="45"/>
      <c r="C245" s="23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</row>
    <row r="246" ht="18.0" customHeight="1">
      <c r="A246" s="22"/>
      <c r="B246" s="45"/>
      <c r="C246" s="23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</row>
    <row r="247" ht="18.0" customHeight="1">
      <c r="A247" s="22"/>
      <c r="B247" s="45"/>
      <c r="C247" s="23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</row>
    <row r="248" ht="18.0" customHeight="1">
      <c r="A248" s="22"/>
      <c r="B248" s="45"/>
      <c r="C248" s="23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</row>
    <row r="249" ht="18.0" customHeight="1">
      <c r="A249" s="22"/>
      <c r="B249" s="45"/>
      <c r="C249" s="23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</row>
    <row r="250" ht="18.0" customHeight="1">
      <c r="A250" s="22"/>
      <c r="B250" s="45"/>
      <c r="C250" s="23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</row>
    <row r="251" ht="18.0" customHeight="1">
      <c r="A251" s="22"/>
      <c r="B251" s="45"/>
      <c r="C251" s="23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</row>
    <row r="252" ht="18.0" customHeight="1">
      <c r="A252" s="22"/>
      <c r="B252" s="45"/>
      <c r="C252" s="23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</row>
    <row r="253" ht="18.0" customHeight="1">
      <c r="A253" s="22"/>
      <c r="B253" s="45"/>
      <c r="C253" s="23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</row>
    <row r="254" ht="18.0" customHeight="1">
      <c r="A254" s="22"/>
      <c r="B254" s="45"/>
      <c r="C254" s="23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</row>
    <row r="255" ht="18.0" customHeight="1">
      <c r="A255" s="22"/>
      <c r="B255" s="45"/>
      <c r="C255" s="23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</row>
    <row r="256" ht="18.0" customHeight="1">
      <c r="A256" s="22"/>
      <c r="B256" s="45"/>
      <c r="C256" s="23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</row>
    <row r="257" ht="18.0" customHeight="1">
      <c r="A257" s="22"/>
      <c r="B257" s="45"/>
      <c r="C257" s="23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</row>
    <row r="258" ht="18.0" customHeight="1">
      <c r="A258" s="22"/>
      <c r="B258" s="45"/>
      <c r="C258" s="23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</row>
    <row r="259" ht="18.0" customHeight="1">
      <c r="A259" s="22"/>
      <c r="B259" s="45"/>
      <c r="C259" s="23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</row>
    <row r="260" ht="18.0" customHeight="1">
      <c r="A260" s="22"/>
      <c r="B260" s="45"/>
      <c r="C260" s="23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</row>
    <row r="261" ht="18.0" customHeight="1">
      <c r="A261" s="22"/>
      <c r="B261" s="45"/>
      <c r="C261" s="23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</row>
    <row r="262" ht="18.0" customHeight="1">
      <c r="A262" s="22"/>
      <c r="B262" s="45"/>
      <c r="C262" s="23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</row>
    <row r="263" ht="18.0" customHeight="1">
      <c r="A263" s="22"/>
      <c r="B263" s="45"/>
      <c r="C263" s="23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</row>
    <row r="264" ht="18.0" customHeight="1">
      <c r="A264" s="22"/>
      <c r="B264" s="45"/>
      <c r="C264" s="23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</row>
    <row r="265" ht="18.0" customHeight="1">
      <c r="A265" s="22"/>
      <c r="B265" s="45"/>
      <c r="C265" s="23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</row>
    <row r="266" ht="18.0" customHeight="1">
      <c r="A266" s="22"/>
      <c r="B266" s="45"/>
      <c r="C266" s="23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</row>
    <row r="267" ht="18.0" customHeight="1">
      <c r="A267" s="22"/>
      <c r="B267" s="45"/>
      <c r="C267" s="23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</row>
    <row r="268" ht="18.0" customHeight="1">
      <c r="A268" s="22"/>
      <c r="B268" s="45"/>
      <c r="C268" s="23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</row>
    <row r="269" ht="18.0" customHeight="1">
      <c r="A269" s="22"/>
      <c r="B269" s="45"/>
      <c r="C269" s="23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</row>
    <row r="270" ht="18.0" customHeight="1">
      <c r="A270" s="22"/>
      <c r="B270" s="45"/>
      <c r="C270" s="23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</row>
    <row r="271" ht="18.0" customHeight="1">
      <c r="A271" s="22"/>
      <c r="B271" s="45"/>
      <c r="C271" s="23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</row>
    <row r="272" ht="18.0" customHeight="1">
      <c r="A272" s="22"/>
      <c r="B272" s="45"/>
      <c r="C272" s="23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</row>
    <row r="273" ht="18.0" customHeight="1">
      <c r="A273" s="22"/>
      <c r="B273" s="45"/>
      <c r="C273" s="23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</row>
    <row r="274" ht="18.0" customHeight="1">
      <c r="A274" s="22"/>
      <c r="B274" s="45"/>
      <c r="C274" s="23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</row>
    <row r="275" ht="18.0" customHeight="1">
      <c r="A275" s="22"/>
      <c r="B275" s="45"/>
      <c r="C275" s="23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</row>
    <row r="276" ht="18.0" customHeight="1">
      <c r="A276" s="22"/>
      <c r="B276" s="45"/>
      <c r="C276" s="23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</row>
    <row r="277" ht="18.0" customHeight="1">
      <c r="A277" s="22"/>
      <c r="B277" s="45"/>
      <c r="C277" s="23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</row>
    <row r="278" ht="18.0" customHeight="1">
      <c r="A278" s="22"/>
      <c r="B278" s="45"/>
      <c r="C278" s="23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</row>
    <row r="279" ht="18.0" customHeight="1">
      <c r="A279" s="22"/>
      <c r="B279" s="45"/>
      <c r="C279" s="23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</row>
    <row r="280" ht="18.0" customHeight="1">
      <c r="A280" s="22"/>
      <c r="B280" s="45"/>
      <c r="C280" s="23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</row>
    <row r="281" ht="18.0" customHeight="1">
      <c r="A281" s="22"/>
      <c r="B281" s="45"/>
      <c r="C281" s="23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</row>
    <row r="282" ht="18.0" customHeight="1">
      <c r="A282" s="22"/>
      <c r="B282" s="45"/>
      <c r="C282" s="23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</row>
    <row r="283" ht="18.0" customHeight="1">
      <c r="A283" s="22"/>
      <c r="B283" s="45"/>
      <c r="C283" s="23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</row>
    <row r="284" ht="18.0" customHeight="1">
      <c r="A284" s="22"/>
      <c r="B284" s="45"/>
      <c r="C284" s="23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</row>
    <row r="285" ht="18.0" customHeight="1">
      <c r="A285" s="22"/>
      <c r="B285" s="45"/>
      <c r="C285" s="23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</row>
    <row r="286" ht="18.0" customHeight="1">
      <c r="A286" s="22"/>
      <c r="B286" s="45"/>
      <c r="C286" s="23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</row>
    <row r="287" ht="18.0" customHeight="1">
      <c r="A287" s="22"/>
      <c r="B287" s="45"/>
      <c r="C287" s="23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</row>
    <row r="288" ht="18.0" customHeight="1">
      <c r="A288" s="22"/>
      <c r="B288" s="45"/>
      <c r="C288" s="23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</row>
    <row r="289" ht="18.0" customHeight="1">
      <c r="A289" s="22"/>
      <c r="B289" s="45"/>
      <c r="C289" s="23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</row>
    <row r="290" ht="18.0" customHeight="1">
      <c r="A290" s="22"/>
      <c r="B290" s="45"/>
      <c r="C290" s="23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</row>
    <row r="291" ht="18.0" customHeight="1">
      <c r="A291" s="22"/>
      <c r="B291" s="45"/>
      <c r="C291" s="23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</row>
    <row r="292" ht="18.0" customHeight="1">
      <c r="A292" s="22"/>
      <c r="B292" s="45"/>
      <c r="C292" s="23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</row>
    <row r="293" ht="18.0" customHeight="1">
      <c r="A293" s="22"/>
      <c r="B293" s="45"/>
      <c r="C293" s="23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</row>
    <row r="294" ht="18.0" customHeight="1">
      <c r="A294" s="22"/>
      <c r="B294" s="45"/>
      <c r="C294" s="23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</row>
    <row r="295" ht="18.0" customHeight="1">
      <c r="A295" s="22"/>
      <c r="B295" s="45"/>
      <c r="C295" s="23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</row>
    <row r="296" ht="18.0" customHeight="1">
      <c r="A296" s="22"/>
      <c r="B296" s="45"/>
      <c r="C296" s="23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</row>
    <row r="297" ht="18.0" customHeight="1">
      <c r="A297" s="22"/>
      <c r="B297" s="45"/>
      <c r="C297" s="23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</row>
    <row r="298" ht="18.0" customHeight="1">
      <c r="A298" s="22"/>
      <c r="B298" s="45"/>
      <c r="C298" s="23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</row>
    <row r="299" ht="18.0" customHeight="1">
      <c r="A299" s="22"/>
      <c r="B299" s="45"/>
      <c r="C299" s="23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</row>
    <row r="300" ht="18.0" customHeight="1">
      <c r="A300" s="22"/>
      <c r="B300" s="45"/>
      <c r="C300" s="23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</row>
    <row r="301" ht="18.0" customHeight="1">
      <c r="A301" s="22"/>
      <c r="B301" s="45"/>
      <c r="C301" s="23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</row>
    <row r="302" ht="18.0" customHeight="1">
      <c r="A302" s="22"/>
      <c r="B302" s="45"/>
      <c r="C302" s="23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</row>
    <row r="303" ht="18.0" customHeight="1">
      <c r="A303" s="22"/>
      <c r="B303" s="45"/>
      <c r="C303" s="23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</row>
    <row r="304" ht="18.0" customHeight="1">
      <c r="A304" s="22"/>
      <c r="B304" s="45"/>
      <c r="C304" s="23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</row>
    <row r="305" ht="18.0" customHeight="1">
      <c r="A305" s="22"/>
      <c r="B305" s="45"/>
      <c r="C305" s="23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</row>
    <row r="306" ht="18.0" customHeight="1">
      <c r="A306" s="22"/>
      <c r="B306" s="45"/>
      <c r="C306" s="23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</row>
    <row r="307" ht="18.0" customHeight="1">
      <c r="A307" s="22"/>
      <c r="B307" s="45"/>
      <c r="C307" s="23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</row>
    <row r="308" ht="18.0" customHeight="1">
      <c r="A308" s="22"/>
      <c r="B308" s="45"/>
      <c r="C308" s="23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</row>
    <row r="309" ht="18.0" customHeight="1">
      <c r="A309" s="22"/>
      <c r="B309" s="45"/>
      <c r="C309" s="23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</row>
    <row r="310" ht="18.0" customHeight="1">
      <c r="A310" s="22"/>
      <c r="B310" s="45"/>
      <c r="C310" s="23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</row>
    <row r="311" ht="18.0" customHeight="1">
      <c r="A311" s="22"/>
      <c r="B311" s="45"/>
      <c r="C311" s="23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</row>
    <row r="312" ht="18.0" customHeight="1">
      <c r="A312" s="22"/>
      <c r="B312" s="45"/>
      <c r="C312" s="23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</row>
    <row r="313" ht="18.0" customHeight="1">
      <c r="A313" s="22"/>
      <c r="B313" s="45"/>
      <c r="C313" s="23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</row>
    <row r="314" ht="18.0" customHeight="1">
      <c r="A314" s="22"/>
      <c r="B314" s="45"/>
      <c r="C314" s="23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</row>
    <row r="315" ht="18.0" customHeight="1">
      <c r="A315" s="22"/>
      <c r="B315" s="45"/>
      <c r="C315" s="23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</row>
    <row r="316" ht="18.0" customHeight="1">
      <c r="A316" s="22"/>
      <c r="B316" s="45"/>
      <c r="C316" s="23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</row>
    <row r="317" ht="18.0" customHeight="1">
      <c r="A317" s="22"/>
      <c r="B317" s="45"/>
      <c r="C317" s="23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</row>
    <row r="318" ht="18.0" customHeight="1">
      <c r="A318" s="22"/>
      <c r="B318" s="45"/>
      <c r="C318" s="23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</row>
    <row r="319" ht="18.0" customHeight="1">
      <c r="A319" s="22"/>
      <c r="B319" s="45"/>
      <c r="C319" s="23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</row>
    <row r="320" ht="18.0" customHeight="1">
      <c r="A320" s="22"/>
      <c r="B320" s="45"/>
      <c r="C320" s="23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</row>
    <row r="321" ht="18.0" customHeight="1">
      <c r="A321" s="22"/>
      <c r="B321" s="45"/>
      <c r="C321" s="23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</row>
    <row r="322" ht="18.0" customHeight="1">
      <c r="A322" s="22"/>
      <c r="B322" s="45"/>
      <c r="C322" s="23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</row>
    <row r="323" ht="18.0" customHeight="1">
      <c r="A323" s="22"/>
      <c r="B323" s="45"/>
      <c r="C323" s="23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</row>
    <row r="324" ht="18.0" customHeight="1">
      <c r="A324" s="22"/>
      <c r="B324" s="45"/>
      <c r="C324" s="23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</row>
    <row r="325" ht="18.0" customHeight="1">
      <c r="A325" s="22"/>
      <c r="B325" s="45"/>
      <c r="C325" s="23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</row>
    <row r="326" ht="18.0" customHeight="1">
      <c r="A326" s="22"/>
      <c r="B326" s="45"/>
      <c r="C326" s="23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</row>
    <row r="327" ht="18.0" customHeight="1">
      <c r="A327" s="22"/>
      <c r="B327" s="45"/>
      <c r="C327" s="23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</row>
    <row r="328" ht="18.0" customHeight="1">
      <c r="A328" s="22"/>
      <c r="B328" s="45"/>
      <c r="C328" s="23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</row>
    <row r="329" ht="18.0" customHeight="1">
      <c r="A329" s="22"/>
      <c r="B329" s="45"/>
      <c r="C329" s="23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</row>
    <row r="330" ht="18.0" customHeight="1">
      <c r="A330" s="22"/>
      <c r="B330" s="45"/>
      <c r="C330" s="23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</row>
    <row r="331" ht="18.0" customHeight="1">
      <c r="A331" s="22"/>
      <c r="B331" s="45"/>
      <c r="C331" s="23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</row>
    <row r="332" ht="18.0" customHeight="1">
      <c r="A332" s="22"/>
      <c r="B332" s="45"/>
      <c r="C332" s="23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</row>
    <row r="333" ht="18.0" customHeight="1">
      <c r="A333" s="22"/>
      <c r="B333" s="45"/>
      <c r="C333" s="23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</row>
    <row r="334" ht="18.0" customHeight="1">
      <c r="A334" s="22"/>
      <c r="B334" s="45"/>
      <c r="C334" s="23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</row>
    <row r="335" ht="18.0" customHeight="1">
      <c r="A335" s="22"/>
      <c r="B335" s="45"/>
      <c r="C335" s="23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</row>
    <row r="336" ht="18.0" customHeight="1">
      <c r="A336" s="22"/>
      <c r="B336" s="45"/>
      <c r="C336" s="23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</row>
    <row r="337" ht="18.0" customHeight="1">
      <c r="A337" s="22"/>
      <c r="B337" s="45"/>
      <c r="C337" s="23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</row>
    <row r="338" ht="18.0" customHeight="1">
      <c r="A338" s="22"/>
      <c r="B338" s="45"/>
      <c r="C338" s="23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</row>
    <row r="339" ht="18.0" customHeight="1">
      <c r="A339" s="22"/>
      <c r="B339" s="45"/>
      <c r="C339" s="23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</row>
    <row r="340" ht="18.0" customHeight="1">
      <c r="A340" s="22"/>
      <c r="B340" s="45"/>
      <c r="C340" s="23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</row>
    <row r="341" ht="18.0" customHeight="1">
      <c r="A341" s="22"/>
      <c r="B341" s="45"/>
      <c r="C341" s="23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</row>
    <row r="342" ht="18.0" customHeight="1">
      <c r="A342" s="22"/>
      <c r="B342" s="45"/>
      <c r="C342" s="23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</row>
    <row r="343" ht="18.0" customHeight="1">
      <c r="A343" s="22"/>
      <c r="B343" s="45"/>
      <c r="C343" s="23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</row>
    <row r="344" ht="18.0" customHeight="1">
      <c r="A344" s="22"/>
      <c r="B344" s="45"/>
      <c r="C344" s="23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</row>
    <row r="345" ht="18.0" customHeight="1">
      <c r="A345" s="22"/>
      <c r="B345" s="45"/>
      <c r="C345" s="23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</row>
    <row r="346" ht="18.0" customHeight="1">
      <c r="A346" s="22"/>
      <c r="B346" s="45"/>
      <c r="C346" s="23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</row>
    <row r="347" ht="18.0" customHeight="1">
      <c r="A347" s="22"/>
      <c r="B347" s="45"/>
      <c r="C347" s="23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</row>
    <row r="348" ht="18.0" customHeight="1">
      <c r="A348" s="22"/>
      <c r="B348" s="45"/>
      <c r="C348" s="23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</row>
    <row r="349" ht="18.0" customHeight="1">
      <c r="A349" s="22"/>
      <c r="B349" s="45"/>
      <c r="C349" s="23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</row>
    <row r="350" ht="18.0" customHeight="1">
      <c r="A350" s="22"/>
      <c r="B350" s="45"/>
      <c r="C350" s="23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</row>
    <row r="351" ht="18.0" customHeight="1">
      <c r="A351" s="22"/>
      <c r="B351" s="45"/>
      <c r="C351" s="23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</row>
    <row r="352" ht="18.0" customHeight="1">
      <c r="A352" s="22"/>
      <c r="B352" s="45"/>
      <c r="C352" s="23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</row>
    <row r="353" ht="18.0" customHeight="1">
      <c r="A353" s="22"/>
      <c r="B353" s="45"/>
      <c r="C353" s="23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</row>
    <row r="354" ht="18.0" customHeight="1">
      <c r="A354" s="22"/>
      <c r="B354" s="45"/>
      <c r="C354" s="23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</row>
    <row r="355" ht="18.0" customHeight="1">
      <c r="A355" s="22"/>
      <c r="B355" s="45"/>
      <c r="C355" s="23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</row>
    <row r="356" ht="18.0" customHeight="1">
      <c r="A356" s="22"/>
      <c r="B356" s="45"/>
      <c r="C356" s="23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</row>
    <row r="357" ht="18.0" customHeight="1">
      <c r="A357" s="22"/>
      <c r="B357" s="45"/>
      <c r="C357" s="23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</row>
    <row r="358" ht="18.0" customHeight="1">
      <c r="A358" s="22"/>
      <c r="B358" s="45"/>
      <c r="C358" s="23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</row>
    <row r="359" ht="18.0" customHeight="1">
      <c r="A359" s="22"/>
      <c r="B359" s="45"/>
      <c r="C359" s="23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</row>
    <row r="360" ht="18.0" customHeight="1">
      <c r="A360" s="22"/>
      <c r="B360" s="45"/>
      <c r="C360" s="23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</row>
    <row r="361" ht="18.0" customHeight="1">
      <c r="A361" s="22"/>
      <c r="B361" s="45"/>
      <c r="C361" s="23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</row>
    <row r="362" ht="18.0" customHeight="1">
      <c r="A362" s="22"/>
      <c r="B362" s="45"/>
      <c r="C362" s="23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</row>
    <row r="363" ht="18.0" customHeight="1">
      <c r="A363" s="22"/>
      <c r="B363" s="45"/>
      <c r="C363" s="23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</row>
    <row r="364" ht="18.0" customHeight="1">
      <c r="A364" s="22"/>
      <c r="B364" s="45"/>
      <c r="C364" s="23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</row>
    <row r="365" ht="18.0" customHeight="1">
      <c r="A365" s="22"/>
      <c r="B365" s="45"/>
      <c r="C365" s="23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</row>
    <row r="366" ht="18.0" customHeight="1">
      <c r="A366" s="22"/>
      <c r="B366" s="45"/>
      <c r="C366" s="23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</row>
    <row r="367" ht="18.0" customHeight="1">
      <c r="A367" s="22"/>
      <c r="B367" s="45"/>
      <c r="C367" s="23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</row>
    <row r="368" ht="18.0" customHeight="1">
      <c r="A368" s="22"/>
      <c r="B368" s="45"/>
      <c r="C368" s="23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</row>
    <row r="369" ht="18.0" customHeight="1">
      <c r="A369" s="22"/>
      <c r="B369" s="45"/>
      <c r="C369" s="23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</row>
    <row r="370" ht="18.0" customHeight="1">
      <c r="A370" s="22"/>
      <c r="B370" s="45"/>
      <c r="C370" s="23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</row>
    <row r="371" ht="18.0" customHeight="1">
      <c r="A371" s="22"/>
      <c r="B371" s="45"/>
      <c r="C371" s="23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</row>
    <row r="372" ht="18.0" customHeight="1">
      <c r="A372" s="22"/>
      <c r="B372" s="45"/>
      <c r="C372" s="23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</row>
    <row r="373" ht="18.0" customHeight="1">
      <c r="A373" s="22"/>
      <c r="B373" s="45"/>
      <c r="C373" s="23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</row>
    <row r="374" ht="18.0" customHeight="1">
      <c r="A374" s="22"/>
      <c r="B374" s="45"/>
      <c r="C374" s="23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</row>
    <row r="375" ht="18.0" customHeight="1">
      <c r="A375" s="22"/>
      <c r="B375" s="45"/>
      <c r="C375" s="23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</row>
    <row r="376" ht="18.0" customHeight="1">
      <c r="A376" s="22"/>
      <c r="B376" s="45"/>
      <c r="C376" s="23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</row>
    <row r="377" ht="18.0" customHeight="1">
      <c r="A377" s="22"/>
      <c r="B377" s="45"/>
      <c r="C377" s="23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</row>
    <row r="378" ht="18.0" customHeight="1">
      <c r="A378" s="22"/>
      <c r="B378" s="45"/>
      <c r="C378" s="23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</row>
    <row r="379" ht="18.0" customHeight="1">
      <c r="A379" s="22"/>
      <c r="B379" s="45"/>
      <c r="C379" s="23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</row>
    <row r="380" ht="18.0" customHeight="1">
      <c r="A380" s="22"/>
      <c r="B380" s="45"/>
      <c r="C380" s="23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</row>
    <row r="381" ht="18.0" customHeight="1">
      <c r="A381" s="22"/>
      <c r="B381" s="45"/>
      <c r="C381" s="23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</row>
    <row r="382" ht="18.0" customHeight="1">
      <c r="A382" s="22"/>
      <c r="B382" s="45"/>
      <c r="C382" s="23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</row>
    <row r="383" ht="18.0" customHeight="1">
      <c r="A383" s="22"/>
      <c r="B383" s="45"/>
      <c r="C383" s="23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</row>
    <row r="384" ht="18.0" customHeight="1">
      <c r="A384" s="22"/>
      <c r="B384" s="45"/>
      <c r="C384" s="23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</row>
    <row r="385" ht="18.0" customHeight="1">
      <c r="A385" s="22"/>
      <c r="B385" s="45"/>
      <c r="C385" s="23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</row>
    <row r="386" ht="18.0" customHeight="1">
      <c r="A386" s="22"/>
      <c r="B386" s="45"/>
      <c r="C386" s="23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</row>
    <row r="387" ht="18.0" customHeight="1">
      <c r="A387" s="22"/>
      <c r="B387" s="45"/>
      <c r="C387" s="23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</row>
    <row r="388" ht="18.0" customHeight="1">
      <c r="A388" s="22"/>
      <c r="B388" s="45"/>
      <c r="C388" s="23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</row>
    <row r="389" ht="18.0" customHeight="1">
      <c r="A389" s="22"/>
      <c r="B389" s="45"/>
      <c r="C389" s="23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</row>
    <row r="390" ht="18.0" customHeight="1">
      <c r="A390" s="22"/>
      <c r="B390" s="45"/>
      <c r="C390" s="23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</row>
    <row r="391" ht="18.0" customHeight="1">
      <c r="A391" s="22"/>
      <c r="B391" s="45"/>
      <c r="C391" s="23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</row>
    <row r="392" ht="18.0" customHeight="1">
      <c r="A392" s="22"/>
      <c r="B392" s="45"/>
      <c r="C392" s="23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</row>
    <row r="393" ht="18.0" customHeight="1">
      <c r="A393" s="22"/>
      <c r="B393" s="45"/>
      <c r="C393" s="23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</row>
    <row r="394" ht="18.0" customHeight="1">
      <c r="A394" s="22"/>
      <c r="B394" s="45"/>
      <c r="C394" s="23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</row>
    <row r="395" ht="18.0" customHeight="1">
      <c r="A395" s="22"/>
      <c r="B395" s="45"/>
      <c r="C395" s="23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</row>
    <row r="396" ht="18.0" customHeight="1">
      <c r="A396" s="22"/>
      <c r="B396" s="45"/>
      <c r="C396" s="23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</row>
    <row r="397" ht="18.0" customHeight="1">
      <c r="A397" s="22"/>
      <c r="B397" s="45"/>
      <c r="C397" s="23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</row>
    <row r="398" ht="18.0" customHeight="1">
      <c r="A398" s="22"/>
      <c r="B398" s="45"/>
      <c r="C398" s="23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</row>
    <row r="399" ht="18.0" customHeight="1">
      <c r="A399" s="22"/>
      <c r="B399" s="45"/>
      <c r="C399" s="23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</row>
    <row r="400" ht="18.0" customHeight="1">
      <c r="A400" s="22"/>
      <c r="B400" s="45"/>
      <c r="C400" s="23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</row>
    <row r="401" ht="18.0" customHeight="1">
      <c r="A401" s="22"/>
      <c r="B401" s="45"/>
      <c r="C401" s="23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</row>
    <row r="402" ht="18.0" customHeight="1">
      <c r="A402" s="22"/>
      <c r="B402" s="45"/>
      <c r="C402" s="23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</row>
    <row r="403" ht="18.0" customHeight="1">
      <c r="A403" s="22"/>
      <c r="B403" s="45"/>
      <c r="C403" s="23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</row>
    <row r="404" ht="18.0" customHeight="1">
      <c r="A404" s="22"/>
      <c r="B404" s="45"/>
      <c r="C404" s="23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</row>
    <row r="405" ht="18.0" customHeight="1">
      <c r="A405" s="22"/>
      <c r="B405" s="45"/>
      <c r="C405" s="23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</row>
    <row r="406" ht="18.0" customHeight="1">
      <c r="A406" s="22"/>
      <c r="B406" s="45"/>
      <c r="C406" s="23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</row>
    <row r="407" ht="18.0" customHeight="1">
      <c r="A407" s="22"/>
      <c r="B407" s="45"/>
      <c r="C407" s="23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</row>
    <row r="408" ht="18.0" customHeight="1">
      <c r="A408" s="22"/>
      <c r="B408" s="45"/>
      <c r="C408" s="23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</row>
    <row r="409" ht="18.0" customHeight="1">
      <c r="A409" s="22"/>
      <c r="B409" s="45"/>
      <c r="C409" s="23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</row>
    <row r="410" ht="18.0" customHeight="1">
      <c r="A410" s="22"/>
      <c r="B410" s="45"/>
      <c r="C410" s="23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</row>
    <row r="411" ht="18.0" customHeight="1">
      <c r="A411" s="22"/>
      <c r="B411" s="45"/>
      <c r="C411" s="23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</row>
    <row r="412" ht="18.0" customHeight="1">
      <c r="A412" s="22"/>
      <c r="B412" s="45"/>
      <c r="C412" s="23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</row>
    <row r="413" ht="18.0" customHeight="1">
      <c r="A413" s="22"/>
      <c r="B413" s="45"/>
      <c r="C413" s="23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</row>
    <row r="414" ht="18.0" customHeight="1">
      <c r="A414" s="22"/>
      <c r="B414" s="45"/>
      <c r="C414" s="23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</row>
    <row r="415" ht="18.0" customHeight="1">
      <c r="A415" s="22"/>
      <c r="B415" s="45"/>
      <c r="C415" s="23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</row>
    <row r="416" ht="18.0" customHeight="1">
      <c r="A416" s="22"/>
      <c r="B416" s="45"/>
      <c r="C416" s="23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</row>
    <row r="417" ht="18.0" customHeight="1">
      <c r="A417" s="22"/>
      <c r="B417" s="45"/>
      <c r="C417" s="23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</row>
    <row r="418" ht="18.0" customHeight="1">
      <c r="A418" s="22"/>
      <c r="B418" s="45"/>
      <c r="C418" s="23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</row>
    <row r="419" ht="18.0" customHeight="1">
      <c r="A419" s="22"/>
      <c r="B419" s="45"/>
      <c r="C419" s="23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</row>
    <row r="420" ht="18.0" customHeight="1">
      <c r="A420" s="22"/>
      <c r="B420" s="45"/>
      <c r="C420" s="23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</row>
    <row r="421" ht="18.0" customHeight="1">
      <c r="A421" s="22"/>
      <c r="B421" s="45"/>
      <c r="C421" s="23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</row>
    <row r="422" ht="18.0" customHeight="1">
      <c r="A422" s="22"/>
      <c r="B422" s="45"/>
      <c r="C422" s="23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</row>
    <row r="423" ht="18.0" customHeight="1">
      <c r="A423" s="22"/>
      <c r="B423" s="45"/>
      <c r="C423" s="23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</row>
    <row r="424" ht="18.0" customHeight="1">
      <c r="A424" s="22"/>
      <c r="B424" s="45"/>
      <c r="C424" s="23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</row>
    <row r="425" ht="18.0" customHeight="1">
      <c r="A425" s="22"/>
      <c r="B425" s="45"/>
      <c r="C425" s="23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</row>
    <row r="426" ht="18.0" customHeight="1">
      <c r="A426" s="22"/>
      <c r="B426" s="45"/>
      <c r="C426" s="23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</row>
    <row r="427" ht="18.0" customHeight="1">
      <c r="A427" s="22"/>
      <c r="B427" s="45"/>
      <c r="C427" s="23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</row>
    <row r="428" ht="18.0" customHeight="1">
      <c r="A428" s="22"/>
      <c r="B428" s="45"/>
      <c r="C428" s="23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</row>
    <row r="429" ht="18.0" customHeight="1">
      <c r="A429" s="22"/>
      <c r="B429" s="45"/>
      <c r="C429" s="23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</row>
    <row r="430" ht="18.0" customHeight="1">
      <c r="A430" s="22"/>
      <c r="B430" s="45"/>
      <c r="C430" s="23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</row>
    <row r="431" ht="18.0" customHeight="1">
      <c r="A431" s="22"/>
      <c r="B431" s="45"/>
      <c r="C431" s="23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</row>
    <row r="432" ht="18.0" customHeight="1">
      <c r="A432" s="22"/>
      <c r="B432" s="45"/>
      <c r="C432" s="23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</row>
    <row r="433" ht="18.0" customHeight="1">
      <c r="A433" s="22"/>
      <c r="B433" s="45"/>
      <c r="C433" s="23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</row>
    <row r="434" ht="18.0" customHeight="1">
      <c r="A434" s="22"/>
      <c r="B434" s="45"/>
      <c r="C434" s="23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</row>
    <row r="435" ht="18.0" customHeight="1">
      <c r="A435" s="22"/>
      <c r="B435" s="45"/>
      <c r="C435" s="23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</row>
    <row r="436" ht="18.0" customHeight="1">
      <c r="A436" s="22"/>
      <c r="B436" s="45"/>
      <c r="C436" s="23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</row>
    <row r="437" ht="18.0" customHeight="1">
      <c r="A437" s="22"/>
      <c r="B437" s="45"/>
      <c r="C437" s="23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</row>
    <row r="438" ht="18.0" customHeight="1">
      <c r="A438" s="22"/>
      <c r="B438" s="45"/>
      <c r="C438" s="23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</row>
    <row r="439" ht="18.0" customHeight="1">
      <c r="A439" s="22"/>
      <c r="B439" s="45"/>
      <c r="C439" s="23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</row>
    <row r="440" ht="18.0" customHeight="1">
      <c r="A440" s="22"/>
      <c r="B440" s="45"/>
      <c r="C440" s="23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</row>
    <row r="441" ht="18.0" customHeight="1">
      <c r="A441" s="22"/>
      <c r="B441" s="45"/>
      <c r="C441" s="23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</row>
    <row r="442" ht="18.0" customHeight="1">
      <c r="A442" s="22"/>
      <c r="B442" s="45"/>
      <c r="C442" s="23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</row>
    <row r="443" ht="18.0" customHeight="1">
      <c r="A443" s="22"/>
      <c r="B443" s="45"/>
      <c r="C443" s="23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</row>
    <row r="444" ht="18.0" customHeight="1">
      <c r="A444" s="22"/>
      <c r="B444" s="45"/>
      <c r="C444" s="23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</row>
    <row r="445" ht="18.0" customHeight="1">
      <c r="A445" s="22"/>
      <c r="B445" s="45"/>
      <c r="C445" s="23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</row>
    <row r="446" ht="18.0" customHeight="1">
      <c r="A446" s="22"/>
      <c r="B446" s="45"/>
      <c r="C446" s="23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</row>
    <row r="447" ht="18.0" customHeight="1">
      <c r="A447" s="22"/>
      <c r="B447" s="45"/>
      <c r="C447" s="23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</row>
    <row r="448" ht="18.0" customHeight="1">
      <c r="A448" s="22"/>
      <c r="B448" s="45"/>
      <c r="C448" s="23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</row>
    <row r="449" ht="18.0" customHeight="1">
      <c r="A449" s="22"/>
      <c r="B449" s="45"/>
      <c r="C449" s="23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</row>
    <row r="450" ht="18.0" customHeight="1">
      <c r="A450" s="22"/>
      <c r="B450" s="45"/>
      <c r="C450" s="23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</row>
    <row r="451" ht="18.0" customHeight="1">
      <c r="A451" s="22"/>
      <c r="B451" s="45"/>
      <c r="C451" s="23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</row>
    <row r="452" ht="18.0" customHeight="1">
      <c r="A452" s="22"/>
      <c r="B452" s="45"/>
      <c r="C452" s="23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</row>
    <row r="453" ht="18.0" customHeight="1">
      <c r="A453" s="22"/>
      <c r="B453" s="45"/>
      <c r="C453" s="23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</row>
    <row r="454" ht="18.0" customHeight="1">
      <c r="A454" s="22"/>
      <c r="B454" s="45"/>
      <c r="C454" s="23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</row>
    <row r="455" ht="18.0" customHeight="1">
      <c r="A455" s="22"/>
      <c r="B455" s="45"/>
      <c r="C455" s="23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</row>
    <row r="456" ht="18.0" customHeight="1">
      <c r="A456" s="22"/>
      <c r="B456" s="45"/>
      <c r="C456" s="23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</row>
    <row r="457" ht="18.0" customHeight="1">
      <c r="A457" s="22"/>
      <c r="B457" s="45"/>
      <c r="C457" s="23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</row>
    <row r="458" ht="18.0" customHeight="1">
      <c r="A458" s="22"/>
      <c r="B458" s="45"/>
      <c r="C458" s="23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</row>
    <row r="459" ht="18.0" customHeight="1">
      <c r="A459" s="22"/>
      <c r="B459" s="45"/>
      <c r="C459" s="23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</row>
    <row r="460" ht="18.0" customHeight="1">
      <c r="A460" s="22"/>
      <c r="B460" s="45"/>
      <c r="C460" s="23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</row>
    <row r="461" ht="18.0" customHeight="1">
      <c r="A461" s="22"/>
      <c r="B461" s="45"/>
      <c r="C461" s="23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</row>
    <row r="462" ht="18.0" customHeight="1">
      <c r="A462" s="22"/>
      <c r="B462" s="45"/>
      <c r="C462" s="23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</row>
    <row r="463" ht="18.0" customHeight="1">
      <c r="A463" s="22"/>
      <c r="B463" s="45"/>
      <c r="C463" s="23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</row>
    <row r="464" ht="18.0" customHeight="1">
      <c r="A464" s="22"/>
      <c r="B464" s="45"/>
      <c r="C464" s="23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</row>
    <row r="465" ht="18.0" customHeight="1">
      <c r="A465" s="22"/>
      <c r="B465" s="45"/>
      <c r="C465" s="23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</row>
    <row r="466" ht="18.0" customHeight="1">
      <c r="A466" s="22"/>
      <c r="B466" s="45"/>
      <c r="C466" s="23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</row>
    <row r="467" ht="18.0" customHeight="1">
      <c r="A467" s="22"/>
      <c r="B467" s="45"/>
      <c r="C467" s="23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</row>
    <row r="468" ht="18.0" customHeight="1">
      <c r="A468" s="22"/>
      <c r="B468" s="45"/>
      <c r="C468" s="23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</row>
    <row r="469" ht="18.0" customHeight="1">
      <c r="A469" s="22"/>
      <c r="B469" s="45"/>
      <c r="C469" s="23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</row>
    <row r="470" ht="18.0" customHeight="1">
      <c r="A470" s="22"/>
      <c r="B470" s="45"/>
      <c r="C470" s="23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</row>
    <row r="471" ht="18.0" customHeight="1">
      <c r="A471" s="22"/>
      <c r="B471" s="45"/>
      <c r="C471" s="23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</row>
    <row r="472" ht="18.0" customHeight="1">
      <c r="A472" s="22"/>
      <c r="B472" s="45"/>
      <c r="C472" s="23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</row>
    <row r="473" ht="18.0" customHeight="1">
      <c r="A473" s="22"/>
      <c r="B473" s="45"/>
      <c r="C473" s="23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</row>
    <row r="474" ht="18.0" customHeight="1">
      <c r="A474" s="22"/>
      <c r="B474" s="45"/>
      <c r="C474" s="23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</row>
    <row r="475" ht="18.0" customHeight="1">
      <c r="A475" s="22"/>
      <c r="B475" s="45"/>
      <c r="C475" s="23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</row>
    <row r="476" ht="18.0" customHeight="1">
      <c r="A476" s="22"/>
      <c r="B476" s="45"/>
      <c r="C476" s="23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</row>
    <row r="477" ht="18.0" customHeight="1">
      <c r="A477" s="22"/>
      <c r="B477" s="45"/>
      <c r="C477" s="23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</row>
    <row r="478" ht="18.0" customHeight="1">
      <c r="A478" s="22"/>
      <c r="B478" s="45"/>
      <c r="C478" s="23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</row>
    <row r="479" ht="18.0" customHeight="1">
      <c r="A479" s="22"/>
      <c r="B479" s="45"/>
      <c r="C479" s="23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</row>
    <row r="480" ht="18.0" customHeight="1">
      <c r="A480" s="22"/>
      <c r="B480" s="45"/>
      <c r="C480" s="23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</row>
    <row r="481" ht="18.0" customHeight="1">
      <c r="A481" s="22"/>
      <c r="B481" s="45"/>
      <c r="C481" s="23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</row>
    <row r="482" ht="18.0" customHeight="1">
      <c r="A482" s="22"/>
      <c r="B482" s="45"/>
      <c r="C482" s="23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</row>
    <row r="483" ht="18.0" customHeight="1">
      <c r="A483" s="22"/>
      <c r="B483" s="45"/>
      <c r="C483" s="23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</row>
    <row r="484" ht="18.0" customHeight="1">
      <c r="A484" s="22"/>
      <c r="B484" s="45"/>
      <c r="C484" s="23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</row>
    <row r="485" ht="18.0" customHeight="1">
      <c r="A485" s="22"/>
      <c r="B485" s="45"/>
      <c r="C485" s="23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</row>
    <row r="486" ht="18.0" customHeight="1">
      <c r="A486" s="22"/>
      <c r="B486" s="45"/>
      <c r="C486" s="23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</row>
    <row r="487" ht="18.0" customHeight="1">
      <c r="A487" s="22"/>
      <c r="B487" s="45"/>
      <c r="C487" s="23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</row>
    <row r="488" ht="18.0" customHeight="1">
      <c r="A488" s="22"/>
      <c r="B488" s="45"/>
      <c r="C488" s="23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</row>
    <row r="489" ht="18.0" customHeight="1">
      <c r="A489" s="22"/>
      <c r="B489" s="45"/>
      <c r="C489" s="23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</row>
    <row r="490" ht="18.0" customHeight="1">
      <c r="A490" s="22"/>
      <c r="B490" s="45"/>
      <c r="C490" s="23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</row>
    <row r="491" ht="18.0" customHeight="1">
      <c r="A491" s="22"/>
      <c r="B491" s="45"/>
      <c r="C491" s="23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</row>
    <row r="492" ht="18.0" customHeight="1">
      <c r="A492" s="22"/>
      <c r="B492" s="45"/>
      <c r="C492" s="23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</row>
    <row r="493" ht="18.0" customHeight="1">
      <c r="A493" s="22"/>
      <c r="B493" s="45"/>
      <c r="C493" s="23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</row>
    <row r="494" ht="18.0" customHeight="1">
      <c r="A494" s="22"/>
      <c r="B494" s="45"/>
      <c r="C494" s="23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</row>
    <row r="495" ht="18.0" customHeight="1">
      <c r="A495" s="22"/>
      <c r="B495" s="45"/>
      <c r="C495" s="23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</row>
    <row r="496" ht="18.0" customHeight="1">
      <c r="A496" s="22"/>
      <c r="B496" s="45"/>
      <c r="C496" s="23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</row>
    <row r="497" ht="18.0" customHeight="1">
      <c r="A497" s="22"/>
      <c r="B497" s="45"/>
      <c r="C497" s="23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</row>
    <row r="498" ht="18.0" customHeight="1">
      <c r="A498" s="22"/>
      <c r="B498" s="45"/>
      <c r="C498" s="23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</row>
    <row r="499" ht="18.0" customHeight="1">
      <c r="A499" s="22"/>
      <c r="B499" s="45"/>
      <c r="C499" s="23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</row>
    <row r="500" ht="18.0" customHeight="1">
      <c r="A500" s="22"/>
      <c r="B500" s="45"/>
      <c r="C500" s="23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</row>
    <row r="501" ht="18.0" customHeight="1">
      <c r="A501" s="22"/>
      <c r="B501" s="45"/>
      <c r="C501" s="23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</row>
    <row r="502" ht="18.0" customHeight="1">
      <c r="A502" s="22"/>
      <c r="B502" s="45"/>
      <c r="C502" s="23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</row>
    <row r="503" ht="18.0" customHeight="1">
      <c r="A503" s="22"/>
      <c r="B503" s="45"/>
      <c r="C503" s="23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</row>
    <row r="504" ht="18.0" customHeight="1">
      <c r="A504" s="22"/>
      <c r="B504" s="45"/>
      <c r="C504" s="23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</row>
    <row r="505" ht="18.0" customHeight="1">
      <c r="A505" s="22"/>
      <c r="B505" s="45"/>
      <c r="C505" s="23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</row>
    <row r="506" ht="18.0" customHeight="1">
      <c r="A506" s="22"/>
      <c r="B506" s="45"/>
      <c r="C506" s="23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</row>
    <row r="507" ht="18.0" customHeight="1">
      <c r="A507" s="22"/>
      <c r="B507" s="45"/>
      <c r="C507" s="23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</row>
    <row r="508" ht="18.0" customHeight="1">
      <c r="A508" s="22"/>
      <c r="B508" s="45"/>
      <c r="C508" s="23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</row>
    <row r="509" ht="18.0" customHeight="1">
      <c r="A509" s="22"/>
      <c r="B509" s="45"/>
      <c r="C509" s="23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</row>
    <row r="510" ht="18.0" customHeight="1">
      <c r="A510" s="22"/>
      <c r="B510" s="45"/>
      <c r="C510" s="23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</row>
    <row r="511" ht="18.0" customHeight="1">
      <c r="A511" s="22"/>
      <c r="B511" s="45"/>
      <c r="C511" s="23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</row>
    <row r="512" ht="18.0" customHeight="1">
      <c r="A512" s="22"/>
      <c r="B512" s="45"/>
      <c r="C512" s="23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</row>
    <row r="513" ht="18.0" customHeight="1">
      <c r="A513" s="22"/>
      <c r="B513" s="45"/>
      <c r="C513" s="23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</row>
    <row r="514" ht="18.0" customHeight="1">
      <c r="A514" s="22"/>
      <c r="B514" s="45"/>
      <c r="C514" s="23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</row>
    <row r="515" ht="18.0" customHeight="1">
      <c r="A515" s="22"/>
      <c r="B515" s="45"/>
      <c r="C515" s="23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</row>
    <row r="516" ht="18.0" customHeight="1">
      <c r="A516" s="22"/>
      <c r="B516" s="45"/>
      <c r="C516" s="23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</row>
    <row r="517" ht="18.0" customHeight="1">
      <c r="A517" s="22"/>
      <c r="B517" s="45"/>
      <c r="C517" s="23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</row>
    <row r="518" ht="18.0" customHeight="1">
      <c r="A518" s="22"/>
      <c r="B518" s="45"/>
      <c r="C518" s="23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</row>
    <row r="519" ht="18.0" customHeight="1">
      <c r="A519" s="22"/>
      <c r="B519" s="45"/>
      <c r="C519" s="23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</row>
    <row r="520" ht="18.0" customHeight="1">
      <c r="A520" s="22"/>
      <c r="B520" s="45"/>
      <c r="C520" s="23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</row>
    <row r="521" ht="18.0" customHeight="1">
      <c r="A521" s="22"/>
      <c r="B521" s="45"/>
      <c r="C521" s="23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</row>
    <row r="522" ht="18.0" customHeight="1">
      <c r="A522" s="22"/>
      <c r="B522" s="45"/>
      <c r="C522" s="23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</row>
    <row r="523" ht="18.0" customHeight="1">
      <c r="A523" s="22"/>
      <c r="B523" s="45"/>
      <c r="C523" s="23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</row>
    <row r="524" ht="18.0" customHeight="1">
      <c r="A524" s="22"/>
      <c r="B524" s="45"/>
      <c r="C524" s="23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</row>
    <row r="525" ht="18.0" customHeight="1">
      <c r="A525" s="22"/>
      <c r="B525" s="45"/>
      <c r="C525" s="23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</row>
    <row r="526" ht="18.0" customHeight="1">
      <c r="A526" s="22"/>
      <c r="B526" s="45"/>
      <c r="C526" s="23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</row>
    <row r="527" ht="18.0" customHeight="1">
      <c r="A527" s="22"/>
      <c r="B527" s="45"/>
      <c r="C527" s="23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</row>
    <row r="528" ht="18.0" customHeight="1">
      <c r="A528" s="22"/>
      <c r="B528" s="45"/>
      <c r="C528" s="23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</row>
    <row r="529" ht="18.0" customHeight="1">
      <c r="A529" s="22"/>
      <c r="B529" s="45"/>
      <c r="C529" s="23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</row>
    <row r="530" ht="18.0" customHeight="1">
      <c r="A530" s="22"/>
      <c r="B530" s="45"/>
      <c r="C530" s="23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</row>
    <row r="531" ht="18.0" customHeight="1">
      <c r="A531" s="22"/>
      <c r="B531" s="45"/>
      <c r="C531" s="23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</row>
    <row r="532" ht="18.0" customHeight="1">
      <c r="A532" s="22"/>
      <c r="B532" s="45"/>
      <c r="C532" s="23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</row>
    <row r="533" ht="18.0" customHeight="1">
      <c r="A533" s="22"/>
      <c r="B533" s="45"/>
      <c r="C533" s="23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</row>
    <row r="534" ht="18.0" customHeight="1">
      <c r="A534" s="22"/>
      <c r="B534" s="45"/>
      <c r="C534" s="23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</row>
    <row r="535" ht="18.0" customHeight="1">
      <c r="A535" s="22"/>
      <c r="B535" s="45"/>
      <c r="C535" s="23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</row>
    <row r="536" ht="18.0" customHeight="1">
      <c r="A536" s="22"/>
      <c r="B536" s="45"/>
      <c r="C536" s="23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</row>
    <row r="537" ht="18.0" customHeight="1">
      <c r="A537" s="22"/>
      <c r="B537" s="45"/>
      <c r="C537" s="23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</row>
    <row r="538" ht="18.0" customHeight="1">
      <c r="A538" s="22"/>
      <c r="B538" s="45"/>
      <c r="C538" s="23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</row>
    <row r="539" ht="18.0" customHeight="1">
      <c r="A539" s="22"/>
      <c r="B539" s="45"/>
      <c r="C539" s="23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</row>
    <row r="540" ht="18.0" customHeight="1">
      <c r="A540" s="22"/>
      <c r="B540" s="45"/>
      <c r="C540" s="23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</row>
    <row r="541" ht="18.0" customHeight="1">
      <c r="A541" s="22"/>
      <c r="B541" s="45"/>
      <c r="C541" s="23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</row>
    <row r="542" ht="18.0" customHeight="1">
      <c r="A542" s="22"/>
      <c r="B542" s="45"/>
      <c r="C542" s="23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</row>
    <row r="543" ht="18.0" customHeight="1">
      <c r="A543" s="22"/>
      <c r="B543" s="45"/>
      <c r="C543" s="23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</row>
    <row r="544" ht="18.0" customHeight="1">
      <c r="A544" s="22"/>
      <c r="B544" s="45"/>
      <c r="C544" s="23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</row>
    <row r="545" ht="18.0" customHeight="1">
      <c r="A545" s="22"/>
      <c r="B545" s="45"/>
      <c r="C545" s="23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</row>
    <row r="546" ht="18.0" customHeight="1">
      <c r="A546" s="22"/>
      <c r="B546" s="45"/>
      <c r="C546" s="23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</row>
    <row r="547" ht="18.0" customHeight="1">
      <c r="A547" s="22"/>
      <c r="B547" s="45"/>
      <c r="C547" s="23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</row>
    <row r="548" ht="18.0" customHeight="1">
      <c r="A548" s="22"/>
      <c r="B548" s="45"/>
      <c r="C548" s="23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</row>
    <row r="549" ht="18.0" customHeight="1">
      <c r="A549" s="22"/>
      <c r="B549" s="45"/>
      <c r="C549" s="23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</row>
    <row r="550" ht="18.0" customHeight="1">
      <c r="A550" s="22"/>
      <c r="B550" s="45"/>
      <c r="C550" s="23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</row>
    <row r="551" ht="18.0" customHeight="1">
      <c r="A551" s="22"/>
      <c r="B551" s="45"/>
      <c r="C551" s="23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</row>
    <row r="552" ht="18.0" customHeight="1">
      <c r="A552" s="22"/>
      <c r="B552" s="45"/>
      <c r="C552" s="23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</row>
    <row r="553" ht="18.0" customHeight="1">
      <c r="A553" s="22"/>
      <c r="B553" s="45"/>
      <c r="C553" s="23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</row>
    <row r="554" ht="18.0" customHeight="1">
      <c r="A554" s="22"/>
      <c r="B554" s="45"/>
      <c r="C554" s="23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</row>
    <row r="555" ht="18.0" customHeight="1">
      <c r="A555" s="22"/>
      <c r="B555" s="45"/>
      <c r="C555" s="23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</row>
    <row r="556" ht="18.0" customHeight="1">
      <c r="A556" s="22"/>
      <c r="B556" s="45"/>
      <c r="C556" s="23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</row>
    <row r="557" ht="18.0" customHeight="1">
      <c r="A557" s="22"/>
      <c r="B557" s="45"/>
      <c r="C557" s="23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</row>
    <row r="558" ht="18.0" customHeight="1">
      <c r="A558" s="22"/>
      <c r="B558" s="45"/>
      <c r="C558" s="23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</row>
    <row r="559" ht="18.0" customHeight="1">
      <c r="A559" s="22"/>
      <c r="B559" s="45"/>
      <c r="C559" s="23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</row>
    <row r="560" ht="18.0" customHeight="1">
      <c r="A560" s="22"/>
      <c r="B560" s="45"/>
      <c r="C560" s="23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</row>
    <row r="561" ht="18.0" customHeight="1">
      <c r="A561" s="22"/>
      <c r="B561" s="45"/>
      <c r="C561" s="23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</row>
    <row r="562" ht="18.0" customHeight="1">
      <c r="A562" s="22"/>
      <c r="B562" s="45"/>
      <c r="C562" s="23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</row>
    <row r="563" ht="18.0" customHeight="1">
      <c r="A563" s="22"/>
      <c r="B563" s="45"/>
      <c r="C563" s="23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</row>
    <row r="564" ht="18.0" customHeight="1">
      <c r="A564" s="22"/>
      <c r="B564" s="45"/>
      <c r="C564" s="23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</row>
    <row r="565" ht="18.0" customHeight="1">
      <c r="A565" s="22"/>
      <c r="B565" s="45"/>
      <c r="C565" s="23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</row>
    <row r="566" ht="18.0" customHeight="1">
      <c r="A566" s="22"/>
      <c r="B566" s="45"/>
      <c r="C566" s="23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</row>
    <row r="567" ht="18.0" customHeight="1">
      <c r="A567" s="22"/>
      <c r="B567" s="45"/>
      <c r="C567" s="23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</row>
    <row r="568" ht="18.0" customHeight="1">
      <c r="A568" s="22"/>
      <c r="B568" s="45"/>
      <c r="C568" s="23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</row>
    <row r="569" ht="18.0" customHeight="1">
      <c r="A569" s="22"/>
      <c r="B569" s="45"/>
      <c r="C569" s="23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</row>
    <row r="570" ht="18.0" customHeight="1">
      <c r="A570" s="22"/>
      <c r="B570" s="45"/>
      <c r="C570" s="23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</row>
    <row r="571" ht="18.0" customHeight="1">
      <c r="A571" s="22"/>
      <c r="B571" s="45"/>
      <c r="C571" s="23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</row>
    <row r="572" ht="18.0" customHeight="1">
      <c r="A572" s="22"/>
      <c r="B572" s="45"/>
      <c r="C572" s="23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</row>
    <row r="573" ht="18.0" customHeight="1">
      <c r="A573" s="22"/>
      <c r="B573" s="45"/>
      <c r="C573" s="23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</row>
    <row r="574" ht="18.0" customHeight="1">
      <c r="A574" s="22"/>
      <c r="B574" s="45"/>
      <c r="C574" s="23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</row>
    <row r="575" ht="18.0" customHeight="1">
      <c r="A575" s="22"/>
      <c r="B575" s="45"/>
      <c r="C575" s="23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</row>
    <row r="576" ht="18.0" customHeight="1">
      <c r="A576" s="22"/>
      <c r="B576" s="45"/>
      <c r="C576" s="23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</row>
    <row r="577" ht="18.0" customHeight="1">
      <c r="A577" s="22"/>
      <c r="B577" s="45"/>
      <c r="C577" s="23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</row>
    <row r="578" ht="18.0" customHeight="1">
      <c r="A578" s="22"/>
      <c r="B578" s="45"/>
      <c r="C578" s="23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</row>
    <row r="579" ht="18.0" customHeight="1">
      <c r="A579" s="22"/>
      <c r="B579" s="45"/>
      <c r="C579" s="23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</row>
    <row r="580" ht="18.0" customHeight="1">
      <c r="A580" s="22"/>
      <c r="B580" s="45"/>
      <c r="C580" s="23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</row>
    <row r="581" ht="18.0" customHeight="1">
      <c r="A581" s="22"/>
      <c r="B581" s="45"/>
      <c r="C581" s="23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</row>
    <row r="582" ht="18.0" customHeight="1">
      <c r="A582" s="22"/>
      <c r="B582" s="45"/>
      <c r="C582" s="23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</row>
    <row r="583" ht="18.0" customHeight="1">
      <c r="A583" s="22"/>
      <c r="B583" s="45"/>
      <c r="C583" s="23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</row>
    <row r="584" ht="18.0" customHeight="1">
      <c r="A584" s="22"/>
      <c r="B584" s="45"/>
      <c r="C584" s="23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</row>
    <row r="585" ht="18.0" customHeight="1">
      <c r="A585" s="22"/>
      <c r="B585" s="45"/>
      <c r="C585" s="23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</row>
    <row r="586" ht="18.0" customHeight="1">
      <c r="A586" s="22"/>
      <c r="B586" s="45"/>
      <c r="C586" s="23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</row>
    <row r="587" ht="18.0" customHeight="1">
      <c r="A587" s="22"/>
      <c r="B587" s="45"/>
      <c r="C587" s="23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</row>
    <row r="588" ht="18.0" customHeight="1">
      <c r="A588" s="22"/>
      <c r="B588" s="45"/>
      <c r="C588" s="23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</row>
    <row r="589" ht="18.0" customHeight="1">
      <c r="A589" s="22"/>
      <c r="B589" s="45"/>
      <c r="C589" s="23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</row>
    <row r="590" ht="18.0" customHeight="1">
      <c r="A590" s="22"/>
      <c r="B590" s="45"/>
      <c r="C590" s="23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</row>
    <row r="591" ht="18.0" customHeight="1">
      <c r="A591" s="22"/>
      <c r="B591" s="45"/>
      <c r="C591" s="23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</row>
    <row r="592" ht="18.0" customHeight="1">
      <c r="A592" s="22"/>
      <c r="B592" s="45"/>
      <c r="C592" s="23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</row>
    <row r="593" ht="18.0" customHeight="1">
      <c r="A593" s="22"/>
      <c r="B593" s="45"/>
      <c r="C593" s="23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</row>
    <row r="594" ht="18.0" customHeight="1">
      <c r="A594" s="22"/>
      <c r="B594" s="45"/>
      <c r="C594" s="23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</row>
    <row r="595" ht="18.0" customHeight="1">
      <c r="A595" s="22"/>
      <c r="B595" s="45"/>
      <c r="C595" s="23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</row>
    <row r="596" ht="18.0" customHeight="1">
      <c r="A596" s="22"/>
      <c r="B596" s="45"/>
      <c r="C596" s="23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</row>
    <row r="597" ht="18.0" customHeight="1">
      <c r="A597" s="22"/>
      <c r="B597" s="45"/>
      <c r="C597" s="23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</row>
    <row r="598" ht="18.0" customHeight="1">
      <c r="A598" s="22"/>
      <c r="B598" s="45"/>
      <c r="C598" s="23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</row>
    <row r="599" ht="18.0" customHeight="1">
      <c r="A599" s="22"/>
      <c r="B599" s="45"/>
      <c r="C599" s="23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</row>
    <row r="600" ht="18.0" customHeight="1">
      <c r="A600" s="22"/>
      <c r="B600" s="45"/>
      <c r="C600" s="23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</row>
    <row r="601" ht="18.0" customHeight="1">
      <c r="A601" s="22"/>
      <c r="B601" s="45"/>
      <c r="C601" s="23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</row>
    <row r="602" ht="18.0" customHeight="1">
      <c r="A602" s="22"/>
      <c r="B602" s="45"/>
      <c r="C602" s="23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</row>
    <row r="603" ht="18.0" customHeight="1">
      <c r="A603" s="22"/>
      <c r="B603" s="45"/>
      <c r="C603" s="23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</row>
    <row r="604" ht="18.0" customHeight="1">
      <c r="A604" s="22"/>
      <c r="B604" s="45"/>
      <c r="C604" s="23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</row>
    <row r="605" ht="18.0" customHeight="1">
      <c r="A605" s="22"/>
      <c r="B605" s="45"/>
      <c r="C605" s="23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</row>
    <row r="606" ht="18.0" customHeight="1">
      <c r="A606" s="22"/>
      <c r="B606" s="45"/>
      <c r="C606" s="23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</row>
    <row r="607" ht="18.0" customHeight="1">
      <c r="A607" s="22"/>
      <c r="B607" s="45"/>
      <c r="C607" s="23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</row>
    <row r="608" ht="18.0" customHeight="1">
      <c r="A608" s="22"/>
      <c r="B608" s="45"/>
      <c r="C608" s="23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</row>
    <row r="609" ht="18.0" customHeight="1">
      <c r="A609" s="22"/>
      <c r="B609" s="45"/>
      <c r="C609" s="23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</row>
    <row r="610" ht="18.0" customHeight="1">
      <c r="A610" s="22"/>
      <c r="B610" s="45"/>
      <c r="C610" s="23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</row>
    <row r="611" ht="18.0" customHeight="1">
      <c r="A611" s="22"/>
      <c r="B611" s="45"/>
      <c r="C611" s="23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</row>
    <row r="612" ht="18.0" customHeight="1">
      <c r="A612" s="22"/>
      <c r="B612" s="45"/>
      <c r="C612" s="23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</row>
    <row r="613" ht="18.0" customHeight="1">
      <c r="A613" s="22"/>
      <c r="B613" s="45"/>
      <c r="C613" s="23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</row>
    <row r="614" ht="18.0" customHeight="1">
      <c r="A614" s="22"/>
      <c r="B614" s="45"/>
      <c r="C614" s="23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</row>
    <row r="615" ht="18.0" customHeight="1">
      <c r="A615" s="22"/>
      <c r="B615" s="45"/>
      <c r="C615" s="23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</row>
    <row r="616" ht="18.0" customHeight="1">
      <c r="A616" s="22"/>
      <c r="B616" s="45"/>
      <c r="C616" s="23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</row>
    <row r="617" ht="18.0" customHeight="1">
      <c r="A617" s="22"/>
      <c r="B617" s="45"/>
      <c r="C617" s="23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</row>
    <row r="618" ht="18.0" customHeight="1">
      <c r="A618" s="22"/>
      <c r="B618" s="45"/>
      <c r="C618" s="23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</row>
    <row r="619" ht="18.0" customHeight="1">
      <c r="A619" s="22"/>
      <c r="B619" s="45"/>
      <c r="C619" s="23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</row>
    <row r="620" ht="18.0" customHeight="1">
      <c r="A620" s="22"/>
      <c r="B620" s="45"/>
      <c r="C620" s="23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</row>
    <row r="621" ht="18.0" customHeight="1">
      <c r="A621" s="22"/>
      <c r="B621" s="45"/>
      <c r="C621" s="23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</row>
    <row r="622" ht="18.0" customHeight="1">
      <c r="A622" s="22"/>
      <c r="B622" s="45"/>
      <c r="C622" s="23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</row>
    <row r="623" ht="18.0" customHeight="1">
      <c r="A623" s="22"/>
      <c r="B623" s="45"/>
      <c r="C623" s="23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</row>
    <row r="624" ht="18.0" customHeight="1">
      <c r="A624" s="22"/>
      <c r="B624" s="45"/>
      <c r="C624" s="23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</row>
    <row r="625" ht="18.0" customHeight="1">
      <c r="A625" s="22"/>
      <c r="B625" s="45"/>
      <c r="C625" s="23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</row>
    <row r="626" ht="18.0" customHeight="1">
      <c r="A626" s="22"/>
      <c r="B626" s="45"/>
      <c r="C626" s="23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</row>
    <row r="627" ht="18.0" customHeight="1">
      <c r="A627" s="22"/>
      <c r="B627" s="45"/>
      <c r="C627" s="23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</row>
    <row r="628" ht="18.0" customHeight="1">
      <c r="A628" s="22"/>
      <c r="B628" s="45"/>
      <c r="C628" s="23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</row>
    <row r="629" ht="18.0" customHeight="1">
      <c r="A629" s="22"/>
      <c r="B629" s="45"/>
      <c r="C629" s="23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</row>
    <row r="630" ht="18.0" customHeight="1">
      <c r="A630" s="22"/>
      <c r="B630" s="45"/>
      <c r="C630" s="23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</row>
    <row r="631" ht="18.0" customHeight="1">
      <c r="A631" s="22"/>
      <c r="B631" s="45"/>
      <c r="C631" s="23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</row>
    <row r="632" ht="18.0" customHeight="1">
      <c r="A632" s="22"/>
      <c r="B632" s="45"/>
      <c r="C632" s="23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</row>
    <row r="633" ht="18.0" customHeight="1">
      <c r="A633" s="22"/>
      <c r="B633" s="45"/>
      <c r="C633" s="23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</row>
    <row r="634" ht="18.0" customHeight="1">
      <c r="A634" s="22"/>
      <c r="B634" s="45"/>
      <c r="C634" s="23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</row>
    <row r="635" ht="18.0" customHeight="1">
      <c r="A635" s="22"/>
      <c r="B635" s="45"/>
      <c r="C635" s="23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</row>
    <row r="636" ht="18.0" customHeight="1">
      <c r="A636" s="22"/>
      <c r="B636" s="45"/>
      <c r="C636" s="23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</row>
    <row r="637" ht="18.0" customHeight="1">
      <c r="A637" s="22"/>
      <c r="B637" s="45"/>
      <c r="C637" s="23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</row>
    <row r="638" ht="18.0" customHeight="1">
      <c r="A638" s="22"/>
      <c r="B638" s="45"/>
      <c r="C638" s="23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</row>
    <row r="639" ht="18.0" customHeight="1">
      <c r="A639" s="22"/>
      <c r="B639" s="45"/>
      <c r="C639" s="23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</row>
    <row r="640" ht="18.0" customHeight="1">
      <c r="A640" s="22"/>
      <c r="B640" s="45"/>
      <c r="C640" s="23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</row>
    <row r="641" ht="18.0" customHeight="1">
      <c r="A641" s="22"/>
      <c r="B641" s="45"/>
      <c r="C641" s="23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</row>
    <row r="642" ht="18.0" customHeight="1">
      <c r="A642" s="22"/>
      <c r="B642" s="45"/>
      <c r="C642" s="23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</row>
    <row r="643" ht="18.0" customHeight="1">
      <c r="A643" s="22"/>
      <c r="B643" s="45"/>
      <c r="C643" s="23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</row>
    <row r="644" ht="18.0" customHeight="1">
      <c r="A644" s="22"/>
      <c r="B644" s="45"/>
      <c r="C644" s="23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</row>
    <row r="645" ht="18.0" customHeight="1">
      <c r="A645" s="22"/>
      <c r="B645" s="45"/>
      <c r="C645" s="23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</row>
    <row r="646" ht="18.0" customHeight="1">
      <c r="A646" s="22"/>
      <c r="B646" s="45"/>
      <c r="C646" s="23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</row>
    <row r="647" ht="18.0" customHeight="1">
      <c r="A647" s="22"/>
      <c r="B647" s="45"/>
      <c r="C647" s="23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</row>
    <row r="648" ht="18.0" customHeight="1">
      <c r="A648" s="22"/>
      <c r="B648" s="45"/>
      <c r="C648" s="23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</row>
    <row r="649" ht="18.0" customHeight="1">
      <c r="A649" s="22"/>
      <c r="B649" s="45"/>
      <c r="C649" s="23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</row>
    <row r="650" ht="18.0" customHeight="1">
      <c r="A650" s="22"/>
      <c r="B650" s="45"/>
      <c r="C650" s="23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</row>
    <row r="651" ht="18.0" customHeight="1">
      <c r="A651" s="22"/>
      <c r="B651" s="45"/>
      <c r="C651" s="23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</row>
    <row r="652" ht="18.0" customHeight="1">
      <c r="A652" s="22"/>
      <c r="B652" s="45"/>
      <c r="C652" s="23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</row>
    <row r="653" ht="18.0" customHeight="1">
      <c r="A653" s="22"/>
      <c r="B653" s="45"/>
      <c r="C653" s="23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</row>
    <row r="654" ht="18.0" customHeight="1">
      <c r="A654" s="22"/>
      <c r="B654" s="45"/>
      <c r="C654" s="23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</row>
    <row r="655" ht="18.0" customHeight="1">
      <c r="A655" s="22"/>
      <c r="B655" s="45"/>
      <c r="C655" s="23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</row>
    <row r="656" ht="18.0" customHeight="1">
      <c r="A656" s="22"/>
      <c r="B656" s="45"/>
      <c r="C656" s="23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</row>
    <row r="657" ht="18.0" customHeight="1">
      <c r="A657" s="22"/>
      <c r="B657" s="45"/>
      <c r="C657" s="23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</row>
    <row r="658" ht="18.0" customHeight="1">
      <c r="A658" s="22"/>
      <c r="B658" s="45"/>
      <c r="C658" s="23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</row>
    <row r="659" ht="18.0" customHeight="1">
      <c r="A659" s="22"/>
      <c r="B659" s="45"/>
      <c r="C659" s="23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</row>
    <row r="660" ht="18.0" customHeight="1">
      <c r="A660" s="22"/>
      <c r="B660" s="45"/>
      <c r="C660" s="23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</row>
    <row r="661" ht="18.0" customHeight="1">
      <c r="A661" s="22"/>
      <c r="B661" s="45"/>
      <c r="C661" s="23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</row>
    <row r="662" ht="18.0" customHeight="1">
      <c r="A662" s="22"/>
      <c r="B662" s="45"/>
      <c r="C662" s="23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</row>
    <row r="663" ht="18.0" customHeight="1">
      <c r="A663" s="22"/>
      <c r="B663" s="45"/>
      <c r="C663" s="23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</row>
    <row r="664" ht="18.0" customHeight="1">
      <c r="A664" s="22"/>
      <c r="B664" s="45"/>
      <c r="C664" s="23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</row>
    <row r="665" ht="18.0" customHeight="1">
      <c r="A665" s="22"/>
      <c r="B665" s="45"/>
      <c r="C665" s="23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</row>
    <row r="666" ht="18.0" customHeight="1">
      <c r="A666" s="22"/>
      <c r="B666" s="45"/>
      <c r="C666" s="23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</row>
    <row r="667" ht="18.0" customHeight="1">
      <c r="A667" s="22"/>
      <c r="B667" s="45"/>
      <c r="C667" s="23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</row>
    <row r="668" ht="18.0" customHeight="1">
      <c r="A668" s="22"/>
      <c r="B668" s="45"/>
      <c r="C668" s="23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</row>
    <row r="669" ht="18.0" customHeight="1">
      <c r="A669" s="22"/>
      <c r="B669" s="45"/>
      <c r="C669" s="23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</row>
    <row r="670" ht="18.0" customHeight="1">
      <c r="A670" s="22"/>
      <c r="B670" s="45"/>
      <c r="C670" s="23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</row>
    <row r="671" ht="18.0" customHeight="1">
      <c r="A671" s="22"/>
      <c r="B671" s="45"/>
      <c r="C671" s="23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</row>
    <row r="672" ht="18.0" customHeight="1">
      <c r="A672" s="22"/>
      <c r="B672" s="45"/>
      <c r="C672" s="23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</row>
    <row r="673" ht="18.0" customHeight="1">
      <c r="A673" s="22"/>
      <c r="B673" s="45"/>
      <c r="C673" s="23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</row>
    <row r="674" ht="18.0" customHeight="1">
      <c r="A674" s="22"/>
      <c r="B674" s="45"/>
      <c r="C674" s="23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</row>
    <row r="675" ht="18.0" customHeight="1">
      <c r="A675" s="22"/>
      <c r="B675" s="45"/>
      <c r="C675" s="23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</row>
    <row r="676" ht="18.0" customHeight="1">
      <c r="A676" s="22"/>
      <c r="B676" s="45"/>
      <c r="C676" s="23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</row>
    <row r="677" ht="18.0" customHeight="1">
      <c r="A677" s="22"/>
      <c r="B677" s="45"/>
      <c r="C677" s="23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</row>
    <row r="678" ht="18.0" customHeight="1">
      <c r="A678" s="22"/>
      <c r="B678" s="45"/>
      <c r="C678" s="23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</row>
    <row r="679" ht="18.0" customHeight="1">
      <c r="A679" s="22"/>
      <c r="B679" s="45"/>
      <c r="C679" s="23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</row>
    <row r="680" ht="18.0" customHeight="1">
      <c r="A680" s="22"/>
      <c r="B680" s="45"/>
      <c r="C680" s="23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</row>
    <row r="681" ht="18.0" customHeight="1">
      <c r="A681" s="22"/>
      <c r="B681" s="45"/>
      <c r="C681" s="23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</row>
    <row r="682" ht="18.0" customHeight="1">
      <c r="A682" s="22"/>
      <c r="B682" s="45"/>
      <c r="C682" s="23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</row>
    <row r="683" ht="18.0" customHeight="1">
      <c r="A683" s="22"/>
      <c r="B683" s="45"/>
      <c r="C683" s="23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</row>
    <row r="684" ht="18.0" customHeight="1">
      <c r="A684" s="22"/>
      <c r="B684" s="45"/>
      <c r="C684" s="23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</row>
    <row r="685" ht="18.0" customHeight="1">
      <c r="A685" s="22"/>
      <c r="B685" s="45"/>
      <c r="C685" s="23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</row>
    <row r="686" ht="18.0" customHeight="1">
      <c r="A686" s="22"/>
      <c r="B686" s="45"/>
      <c r="C686" s="23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</row>
    <row r="687" ht="18.0" customHeight="1">
      <c r="A687" s="22"/>
      <c r="B687" s="45"/>
      <c r="C687" s="23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</row>
    <row r="688" ht="18.0" customHeight="1">
      <c r="A688" s="22"/>
      <c r="B688" s="45"/>
      <c r="C688" s="23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</row>
    <row r="689" ht="18.0" customHeight="1">
      <c r="A689" s="22"/>
      <c r="B689" s="45"/>
      <c r="C689" s="23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</row>
    <row r="690" ht="18.0" customHeight="1">
      <c r="A690" s="22"/>
      <c r="B690" s="45"/>
      <c r="C690" s="23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</row>
    <row r="691" ht="18.0" customHeight="1">
      <c r="A691" s="22"/>
      <c r="B691" s="45"/>
      <c r="C691" s="23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</row>
    <row r="692" ht="18.0" customHeight="1">
      <c r="A692" s="22"/>
      <c r="B692" s="45"/>
      <c r="C692" s="23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</row>
    <row r="693" ht="18.0" customHeight="1">
      <c r="A693" s="22"/>
      <c r="B693" s="45"/>
      <c r="C693" s="23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</row>
    <row r="694" ht="18.0" customHeight="1">
      <c r="A694" s="22"/>
      <c r="B694" s="45"/>
      <c r="C694" s="23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</row>
    <row r="695" ht="18.0" customHeight="1">
      <c r="A695" s="22"/>
      <c r="B695" s="45"/>
      <c r="C695" s="23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</row>
    <row r="696" ht="18.0" customHeight="1">
      <c r="A696" s="22"/>
      <c r="B696" s="45"/>
      <c r="C696" s="23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</row>
    <row r="697" ht="18.0" customHeight="1">
      <c r="A697" s="22"/>
      <c r="B697" s="45"/>
      <c r="C697" s="23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</row>
    <row r="698" ht="18.0" customHeight="1">
      <c r="A698" s="22"/>
      <c r="B698" s="45"/>
      <c r="C698" s="23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</row>
    <row r="699" ht="18.0" customHeight="1">
      <c r="A699" s="22"/>
      <c r="B699" s="45"/>
      <c r="C699" s="23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</row>
    <row r="700" ht="18.0" customHeight="1">
      <c r="A700" s="22"/>
      <c r="B700" s="45"/>
      <c r="C700" s="23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</row>
    <row r="701" ht="18.0" customHeight="1">
      <c r="A701" s="22"/>
      <c r="B701" s="45"/>
      <c r="C701" s="23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</row>
    <row r="702" ht="18.0" customHeight="1">
      <c r="A702" s="22"/>
      <c r="B702" s="45"/>
      <c r="C702" s="23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</row>
    <row r="703" ht="18.0" customHeight="1">
      <c r="A703" s="22"/>
      <c r="B703" s="45"/>
      <c r="C703" s="23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</row>
    <row r="704" ht="18.0" customHeight="1">
      <c r="A704" s="22"/>
      <c r="B704" s="45"/>
      <c r="C704" s="23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</row>
    <row r="705" ht="18.0" customHeight="1">
      <c r="A705" s="22"/>
      <c r="B705" s="45"/>
      <c r="C705" s="23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</row>
    <row r="706" ht="18.0" customHeight="1">
      <c r="A706" s="22"/>
      <c r="B706" s="45"/>
      <c r="C706" s="23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</row>
    <row r="707" ht="18.0" customHeight="1">
      <c r="A707" s="22"/>
      <c r="B707" s="45"/>
      <c r="C707" s="23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</row>
    <row r="708" ht="18.0" customHeight="1">
      <c r="A708" s="22"/>
      <c r="B708" s="45"/>
      <c r="C708" s="23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</row>
    <row r="709" ht="18.0" customHeight="1">
      <c r="A709" s="22"/>
      <c r="B709" s="45"/>
      <c r="C709" s="23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</row>
    <row r="710" ht="18.0" customHeight="1">
      <c r="A710" s="22"/>
      <c r="B710" s="45"/>
      <c r="C710" s="23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</row>
    <row r="711" ht="18.0" customHeight="1">
      <c r="A711" s="22"/>
      <c r="B711" s="45"/>
      <c r="C711" s="23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</row>
    <row r="712" ht="18.0" customHeight="1">
      <c r="A712" s="22"/>
      <c r="B712" s="45"/>
      <c r="C712" s="23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</row>
    <row r="713" ht="18.0" customHeight="1">
      <c r="A713" s="22"/>
      <c r="B713" s="45"/>
      <c r="C713" s="23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</row>
    <row r="714" ht="18.0" customHeight="1">
      <c r="A714" s="22"/>
      <c r="B714" s="45"/>
      <c r="C714" s="23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</row>
    <row r="715" ht="18.0" customHeight="1">
      <c r="A715" s="22"/>
      <c r="B715" s="45"/>
      <c r="C715" s="23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</row>
    <row r="716" ht="18.0" customHeight="1">
      <c r="A716" s="22"/>
      <c r="B716" s="45"/>
      <c r="C716" s="23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</row>
    <row r="717" ht="18.0" customHeight="1">
      <c r="A717" s="22"/>
      <c r="B717" s="45"/>
      <c r="C717" s="23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</row>
    <row r="718" ht="18.0" customHeight="1">
      <c r="A718" s="22"/>
      <c r="B718" s="45"/>
      <c r="C718" s="23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</row>
    <row r="719" ht="18.0" customHeight="1">
      <c r="A719" s="22"/>
      <c r="B719" s="45"/>
      <c r="C719" s="23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</row>
    <row r="720" ht="18.0" customHeight="1">
      <c r="A720" s="22"/>
      <c r="B720" s="45"/>
      <c r="C720" s="23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</row>
    <row r="721" ht="18.0" customHeight="1">
      <c r="A721" s="22"/>
      <c r="B721" s="45"/>
      <c r="C721" s="23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</row>
    <row r="722" ht="18.0" customHeight="1">
      <c r="A722" s="22"/>
      <c r="B722" s="45"/>
      <c r="C722" s="23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</row>
    <row r="723" ht="18.0" customHeight="1">
      <c r="A723" s="22"/>
      <c r="B723" s="45"/>
      <c r="C723" s="23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</row>
    <row r="724" ht="18.0" customHeight="1">
      <c r="A724" s="22"/>
      <c r="B724" s="45"/>
      <c r="C724" s="23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</row>
    <row r="725" ht="18.0" customHeight="1">
      <c r="A725" s="22"/>
      <c r="B725" s="45"/>
      <c r="C725" s="23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</row>
    <row r="726" ht="18.0" customHeight="1">
      <c r="A726" s="22"/>
      <c r="B726" s="45"/>
      <c r="C726" s="23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</row>
    <row r="727" ht="18.0" customHeight="1">
      <c r="A727" s="22"/>
      <c r="B727" s="45"/>
      <c r="C727" s="23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</row>
    <row r="728" ht="18.0" customHeight="1">
      <c r="A728" s="22"/>
      <c r="B728" s="45"/>
      <c r="C728" s="23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</row>
    <row r="729" ht="18.0" customHeight="1">
      <c r="A729" s="22"/>
      <c r="B729" s="45"/>
      <c r="C729" s="23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</row>
    <row r="730" ht="18.0" customHeight="1">
      <c r="A730" s="22"/>
      <c r="B730" s="45"/>
      <c r="C730" s="23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</row>
    <row r="731" ht="18.0" customHeight="1">
      <c r="A731" s="22"/>
      <c r="B731" s="45"/>
      <c r="C731" s="23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</row>
    <row r="732" ht="18.0" customHeight="1">
      <c r="A732" s="22"/>
      <c r="B732" s="45"/>
      <c r="C732" s="23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</row>
    <row r="733" ht="18.0" customHeight="1">
      <c r="A733" s="22"/>
      <c r="B733" s="45"/>
      <c r="C733" s="23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</row>
    <row r="734" ht="18.0" customHeight="1">
      <c r="A734" s="22"/>
      <c r="B734" s="45"/>
      <c r="C734" s="23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</row>
    <row r="735" ht="18.0" customHeight="1">
      <c r="A735" s="22"/>
      <c r="B735" s="45"/>
      <c r="C735" s="23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</row>
    <row r="736" ht="18.0" customHeight="1">
      <c r="A736" s="22"/>
      <c r="B736" s="45"/>
      <c r="C736" s="23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</row>
    <row r="737" ht="18.0" customHeight="1">
      <c r="A737" s="22"/>
      <c r="B737" s="45"/>
      <c r="C737" s="23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</row>
    <row r="738" ht="18.0" customHeight="1">
      <c r="A738" s="22"/>
      <c r="B738" s="45"/>
      <c r="C738" s="23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</row>
    <row r="739" ht="18.0" customHeight="1">
      <c r="A739" s="22"/>
      <c r="B739" s="45"/>
      <c r="C739" s="23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</row>
    <row r="740" ht="18.0" customHeight="1">
      <c r="A740" s="22"/>
      <c r="B740" s="45"/>
      <c r="C740" s="23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</row>
    <row r="741" ht="18.0" customHeight="1">
      <c r="A741" s="22"/>
      <c r="B741" s="45"/>
      <c r="C741" s="23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</row>
    <row r="742" ht="18.0" customHeight="1">
      <c r="A742" s="22"/>
      <c r="B742" s="45"/>
      <c r="C742" s="23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</row>
    <row r="743" ht="18.0" customHeight="1">
      <c r="A743" s="22"/>
      <c r="B743" s="45"/>
      <c r="C743" s="23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</row>
    <row r="744" ht="18.0" customHeight="1">
      <c r="A744" s="22"/>
      <c r="B744" s="45"/>
      <c r="C744" s="23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</row>
    <row r="745" ht="18.0" customHeight="1">
      <c r="A745" s="22"/>
      <c r="B745" s="45"/>
      <c r="C745" s="23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</row>
    <row r="746" ht="18.0" customHeight="1">
      <c r="A746" s="22"/>
      <c r="B746" s="45"/>
      <c r="C746" s="23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</row>
    <row r="747" ht="18.0" customHeight="1">
      <c r="A747" s="22"/>
      <c r="B747" s="45"/>
      <c r="C747" s="23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</row>
    <row r="748" ht="18.0" customHeight="1">
      <c r="A748" s="22"/>
      <c r="B748" s="45"/>
      <c r="C748" s="23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</row>
    <row r="749" ht="18.0" customHeight="1">
      <c r="A749" s="22"/>
      <c r="B749" s="45"/>
      <c r="C749" s="23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</row>
    <row r="750" ht="18.0" customHeight="1">
      <c r="A750" s="22"/>
      <c r="B750" s="45"/>
      <c r="C750" s="23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</row>
    <row r="751" ht="18.0" customHeight="1">
      <c r="A751" s="22"/>
      <c r="B751" s="45"/>
      <c r="C751" s="23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</row>
    <row r="752" ht="18.0" customHeight="1">
      <c r="A752" s="22"/>
      <c r="B752" s="45"/>
      <c r="C752" s="23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</row>
    <row r="753" ht="18.0" customHeight="1">
      <c r="A753" s="22"/>
      <c r="B753" s="45"/>
      <c r="C753" s="23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</row>
    <row r="754" ht="18.0" customHeight="1">
      <c r="A754" s="22"/>
      <c r="B754" s="45"/>
      <c r="C754" s="23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</row>
    <row r="755" ht="18.0" customHeight="1">
      <c r="A755" s="22"/>
      <c r="B755" s="45"/>
      <c r="C755" s="23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</row>
    <row r="756" ht="18.0" customHeight="1">
      <c r="A756" s="22"/>
      <c r="B756" s="45"/>
      <c r="C756" s="23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</row>
    <row r="757" ht="18.0" customHeight="1">
      <c r="A757" s="22"/>
      <c r="B757" s="45"/>
      <c r="C757" s="23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</row>
    <row r="758" ht="18.0" customHeight="1">
      <c r="A758" s="22"/>
      <c r="B758" s="45"/>
      <c r="C758" s="23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</row>
    <row r="759" ht="18.0" customHeight="1">
      <c r="A759" s="22"/>
      <c r="B759" s="45"/>
      <c r="C759" s="23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</row>
    <row r="760" ht="18.0" customHeight="1">
      <c r="A760" s="22"/>
      <c r="B760" s="45"/>
      <c r="C760" s="23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</row>
    <row r="761" ht="18.0" customHeight="1">
      <c r="A761" s="22"/>
      <c r="B761" s="45"/>
      <c r="C761" s="23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</row>
    <row r="762" ht="18.0" customHeight="1">
      <c r="A762" s="22"/>
      <c r="B762" s="45"/>
      <c r="C762" s="23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</row>
    <row r="763" ht="18.0" customHeight="1">
      <c r="A763" s="22"/>
      <c r="B763" s="45"/>
      <c r="C763" s="23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</row>
    <row r="764" ht="18.0" customHeight="1">
      <c r="A764" s="22"/>
      <c r="B764" s="45"/>
      <c r="C764" s="23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</row>
    <row r="765" ht="18.0" customHeight="1">
      <c r="A765" s="22"/>
      <c r="B765" s="45"/>
      <c r="C765" s="23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</row>
    <row r="766" ht="18.0" customHeight="1">
      <c r="A766" s="22"/>
      <c r="B766" s="45"/>
      <c r="C766" s="23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</row>
    <row r="767" ht="18.0" customHeight="1">
      <c r="A767" s="22"/>
      <c r="B767" s="45"/>
      <c r="C767" s="23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</row>
    <row r="768" ht="18.0" customHeight="1">
      <c r="A768" s="22"/>
      <c r="B768" s="45"/>
      <c r="C768" s="23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</row>
    <row r="769" ht="18.0" customHeight="1">
      <c r="A769" s="22"/>
      <c r="B769" s="45"/>
      <c r="C769" s="23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</row>
    <row r="770" ht="18.0" customHeight="1">
      <c r="A770" s="22"/>
      <c r="B770" s="45"/>
      <c r="C770" s="23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</row>
    <row r="771" ht="18.0" customHeight="1">
      <c r="A771" s="22"/>
      <c r="B771" s="45"/>
      <c r="C771" s="23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</row>
    <row r="772" ht="18.0" customHeight="1">
      <c r="A772" s="22"/>
      <c r="B772" s="45"/>
      <c r="C772" s="23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</row>
    <row r="773" ht="18.0" customHeight="1">
      <c r="A773" s="22"/>
      <c r="B773" s="45"/>
      <c r="C773" s="23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</row>
    <row r="774" ht="18.0" customHeight="1">
      <c r="A774" s="22"/>
      <c r="B774" s="45"/>
      <c r="C774" s="23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</row>
    <row r="775" ht="18.0" customHeight="1">
      <c r="A775" s="22"/>
      <c r="B775" s="45"/>
      <c r="C775" s="23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</row>
    <row r="776" ht="18.0" customHeight="1">
      <c r="A776" s="22"/>
      <c r="B776" s="45"/>
      <c r="C776" s="23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</row>
    <row r="777" ht="18.0" customHeight="1">
      <c r="A777" s="22"/>
      <c r="B777" s="45"/>
      <c r="C777" s="23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</row>
    <row r="778" ht="18.0" customHeight="1">
      <c r="A778" s="22"/>
      <c r="B778" s="45"/>
      <c r="C778" s="23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</row>
    <row r="779" ht="18.0" customHeight="1">
      <c r="A779" s="22"/>
      <c r="B779" s="45"/>
      <c r="C779" s="23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</row>
    <row r="780" ht="18.0" customHeight="1">
      <c r="A780" s="22"/>
      <c r="B780" s="45"/>
      <c r="C780" s="23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</row>
    <row r="781" ht="18.0" customHeight="1">
      <c r="A781" s="22"/>
      <c r="B781" s="45"/>
      <c r="C781" s="23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</row>
    <row r="782" ht="18.0" customHeight="1">
      <c r="A782" s="22"/>
      <c r="B782" s="45"/>
      <c r="C782" s="23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</row>
    <row r="783" ht="18.0" customHeight="1">
      <c r="A783" s="22"/>
      <c r="B783" s="45"/>
      <c r="C783" s="23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</row>
    <row r="784" ht="18.0" customHeight="1">
      <c r="A784" s="22"/>
      <c r="B784" s="45"/>
      <c r="C784" s="23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</row>
    <row r="785" ht="18.0" customHeight="1">
      <c r="A785" s="22"/>
      <c r="B785" s="45"/>
      <c r="C785" s="23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</row>
    <row r="786" ht="18.0" customHeight="1">
      <c r="A786" s="22"/>
      <c r="B786" s="45"/>
      <c r="C786" s="23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</row>
    <row r="787" ht="18.0" customHeight="1">
      <c r="A787" s="22"/>
      <c r="B787" s="45"/>
      <c r="C787" s="23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</row>
    <row r="788" ht="18.0" customHeight="1">
      <c r="A788" s="22"/>
      <c r="B788" s="45"/>
      <c r="C788" s="23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</row>
    <row r="789" ht="18.0" customHeight="1">
      <c r="A789" s="22"/>
      <c r="B789" s="45"/>
      <c r="C789" s="23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</row>
    <row r="790" ht="18.0" customHeight="1">
      <c r="A790" s="22"/>
      <c r="B790" s="45"/>
      <c r="C790" s="23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</row>
    <row r="791" ht="18.0" customHeight="1">
      <c r="A791" s="22"/>
      <c r="B791" s="45"/>
      <c r="C791" s="23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</row>
    <row r="792" ht="18.0" customHeight="1">
      <c r="A792" s="22"/>
      <c r="B792" s="45"/>
      <c r="C792" s="23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</row>
    <row r="793" ht="18.0" customHeight="1">
      <c r="A793" s="22"/>
      <c r="B793" s="45"/>
      <c r="C793" s="23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</row>
    <row r="794" ht="18.0" customHeight="1">
      <c r="A794" s="22"/>
      <c r="B794" s="45"/>
      <c r="C794" s="23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</row>
    <row r="795" ht="18.0" customHeight="1">
      <c r="A795" s="22"/>
      <c r="B795" s="45"/>
      <c r="C795" s="23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</row>
    <row r="796" ht="18.0" customHeight="1">
      <c r="A796" s="22"/>
      <c r="B796" s="45"/>
      <c r="C796" s="23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</row>
    <row r="797" ht="18.0" customHeight="1">
      <c r="A797" s="22"/>
      <c r="B797" s="45"/>
      <c r="C797" s="23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</row>
    <row r="798" ht="18.0" customHeight="1">
      <c r="A798" s="22"/>
      <c r="B798" s="45"/>
      <c r="C798" s="23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</row>
    <row r="799" ht="18.0" customHeight="1">
      <c r="A799" s="22"/>
      <c r="B799" s="45"/>
      <c r="C799" s="23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</row>
    <row r="800" ht="18.0" customHeight="1">
      <c r="A800" s="22"/>
      <c r="B800" s="45"/>
      <c r="C800" s="23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</row>
    <row r="801" ht="18.0" customHeight="1">
      <c r="A801" s="22"/>
      <c r="B801" s="45"/>
      <c r="C801" s="23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</row>
    <row r="802" ht="18.0" customHeight="1">
      <c r="A802" s="22"/>
      <c r="B802" s="45"/>
      <c r="C802" s="23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</row>
    <row r="803" ht="18.0" customHeight="1">
      <c r="A803" s="22"/>
      <c r="B803" s="45"/>
      <c r="C803" s="23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</row>
    <row r="804" ht="18.0" customHeight="1">
      <c r="A804" s="22"/>
      <c r="B804" s="45"/>
      <c r="C804" s="23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</row>
    <row r="805" ht="18.0" customHeight="1">
      <c r="A805" s="22"/>
      <c r="B805" s="45"/>
      <c r="C805" s="23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</row>
    <row r="806" ht="18.0" customHeight="1">
      <c r="A806" s="22"/>
      <c r="B806" s="45"/>
      <c r="C806" s="23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</row>
    <row r="807" ht="18.0" customHeight="1">
      <c r="A807" s="22"/>
      <c r="B807" s="45"/>
      <c r="C807" s="23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</row>
    <row r="808" ht="18.0" customHeight="1">
      <c r="A808" s="22"/>
      <c r="B808" s="45"/>
      <c r="C808" s="23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</row>
    <row r="809" ht="18.0" customHeight="1">
      <c r="A809" s="22"/>
      <c r="B809" s="45"/>
      <c r="C809" s="23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</row>
    <row r="810" ht="18.0" customHeight="1">
      <c r="A810" s="22"/>
      <c r="B810" s="45"/>
      <c r="C810" s="23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</row>
    <row r="811" ht="18.0" customHeight="1">
      <c r="A811" s="22"/>
      <c r="B811" s="45"/>
      <c r="C811" s="23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</row>
    <row r="812" ht="18.0" customHeight="1">
      <c r="A812" s="22"/>
      <c r="B812" s="45"/>
      <c r="C812" s="23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</row>
    <row r="813" ht="18.0" customHeight="1">
      <c r="A813" s="22"/>
      <c r="B813" s="45"/>
      <c r="C813" s="23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</row>
    <row r="814" ht="18.0" customHeight="1">
      <c r="A814" s="22"/>
      <c r="B814" s="45"/>
      <c r="C814" s="23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</row>
    <row r="815" ht="18.0" customHeight="1">
      <c r="A815" s="22"/>
      <c r="B815" s="45"/>
      <c r="C815" s="23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</row>
    <row r="816" ht="18.0" customHeight="1">
      <c r="A816" s="22"/>
      <c r="B816" s="45"/>
      <c r="C816" s="23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</row>
    <row r="817" ht="18.0" customHeight="1">
      <c r="A817" s="22"/>
      <c r="B817" s="45"/>
      <c r="C817" s="23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</row>
    <row r="818" ht="18.0" customHeight="1">
      <c r="A818" s="22"/>
      <c r="B818" s="45"/>
      <c r="C818" s="23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</row>
    <row r="819" ht="18.0" customHeight="1">
      <c r="A819" s="22"/>
      <c r="B819" s="45"/>
      <c r="C819" s="23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</row>
    <row r="820" ht="18.0" customHeight="1">
      <c r="A820" s="22"/>
      <c r="B820" s="45"/>
      <c r="C820" s="23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</row>
    <row r="821" ht="18.0" customHeight="1">
      <c r="A821" s="22"/>
      <c r="B821" s="45"/>
      <c r="C821" s="23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</row>
    <row r="822" ht="18.0" customHeight="1">
      <c r="A822" s="22"/>
      <c r="B822" s="45"/>
      <c r="C822" s="23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</row>
    <row r="823" ht="18.0" customHeight="1">
      <c r="A823" s="22"/>
      <c r="B823" s="45"/>
      <c r="C823" s="23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</row>
    <row r="824" ht="18.0" customHeight="1">
      <c r="A824" s="22"/>
      <c r="B824" s="45"/>
      <c r="C824" s="23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</row>
    <row r="825" ht="18.0" customHeight="1">
      <c r="A825" s="22"/>
      <c r="B825" s="45"/>
      <c r="C825" s="23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</row>
    <row r="826" ht="18.0" customHeight="1">
      <c r="A826" s="22"/>
      <c r="B826" s="45"/>
      <c r="C826" s="23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</row>
    <row r="827" ht="18.0" customHeight="1">
      <c r="A827" s="22"/>
      <c r="B827" s="45"/>
      <c r="C827" s="23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</row>
    <row r="828" ht="18.0" customHeight="1">
      <c r="A828" s="22"/>
      <c r="B828" s="45"/>
      <c r="C828" s="23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</row>
    <row r="829" ht="18.0" customHeight="1">
      <c r="A829" s="22"/>
      <c r="B829" s="45"/>
      <c r="C829" s="23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</row>
    <row r="830" ht="18.0" customHeight="1">
      <c r="A830" s="22"/>
      <c r="B830" s="45"/>
      <c r="C830" s="23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</row>
    <row r="831" ht="18.0" customHeight="1">
      <c r="A831" s="22"/>
      <c r="B831" s="45"/>
      <c r="C831" s="23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</row>
    <row r="832" ht="18.0" customHeight="1">
      <c r="A832" s="22"/>
      <c r="B832" s="45"/>
      <c r="C832" s="23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</row>
    <row r="833" ht="18.0" customHeight="1">
      <c r="A833" s="22"/>
      <c r="B833" s="45"/>
      <c r="C833" s="23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</row>
    <row r="834" ht="18.0" customHeight="1">
      <c r="A834" s="22"/>
      <c r="B834" s="45"/>
      <c r="C834" s="23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</row>
    <row r="835" ht="18.0" customHeight="1">
      <c r="A835" s="22"/>
      <c r="B835" s="45"/>
      <c r="C835" s="23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</row>
    <row r="836" ht="18.0" customHeight="1">
      <c r="A836" s="22"/>
      <c r="B836" s="45"/>
      <c r="C836" s="23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</row>
    <row r="837" ht="18.0" customHeight="1">
      <c r="A837" s="22"/>
      <c r="B837" s="45"/>
      <c r="C837" s="23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</row>
    <row r="838" ht="18.0" customHeight="1">
      <c r="A838" s="22"/>
      <c r="B838" s="45"/>
      <c r="C838" s="23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</row>
    <row r="839" ht="18.0" customHeight="1">
      <c r="A839" s="22"/>
      <c r="B839" s="45"/>
      <c r="C839" s="23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</row>
    <row r="840" ht="18.0" customHeight="1">
      <c r="A840" s="22"/>
      <c r="B840" s="45"/>
      <c r="C840" s="23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</row>
    <row r="841" ht="18.0" customHeight="1">
      <c r="A841" s="22"/>
      <c r="B841" s="45"/>
      <c r="C841" s="23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</row>
    <row r="842" ht="18.0" customHeight="1">
      <c r="A842" s="22"/>
      <c r="B842" s="45"/>
      <c r="C842" s="23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</row>
    <row r="843" ht="18.0" customHeight="1">
      <c r="A843" s="22"/>
      <c r="B843" s="45"/>
      <c r="C843" s="23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</row>
    <row r="844" ht="18.0" customHeight="1">
      <c r="A844" s="22"/>
      <c r="B844" s="45"/>
      <c r="C844" s="23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</row>
    <row r="845" ht="18.0" customHeight="1">
      <c r="A845" s="22"/>
      <c r="B845" s="45"/>
      <c r="C845" s="23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</row>
    <row r="846" ht="18.0" customHeight="1">
      <c r="A846" s="22"/>
      <c r="B846" s="45"/>
      <c r="C846" s="23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</row>
    <row r="847" ht="18.0" customHeight="1">
      <c r="A847" s="22"/>
      <c r="B847" s="45"/>
      <c r="C847" s="23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</row>
    <row r="848" ht="18.0" customHeight="1">
      <c r="A848" s="22"/>
      <c r="B848" s="45"/>
      <c r="C848" s="23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</row>
    <row r="849" ht="18.0" customHeight="1">
      <c r="A849" s="22"/>
      <c r="B849" s="45"/>
      <c r="C849" s="23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</row>
    <row r="850" ht="18.0" customHeight="1">
      <c r="A850" s="22"/>
      <c r="B850" s="45"/>
      <c r="C850" s="23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</row>
    <row r="851" ht="18.0" customHeight="1">
      <c r="A851" s="22"/>
      <c r="B851" s="45"/>
      <c r="C851" s="23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</row>
    <row r="852" ht="18.0" customHeight="1">
      <c r="A852" s="22"/>
      <c r="B852" s="45"/>
      <c r="C852" s="23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</row>
    <row r="853" ht="18.0" customHeight="1">
      <c r="A853" s="22"/>
      <c r="B853" s="45"/>
      <c r="C853" s="23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</row>
    <row r="854" ht="18.0" customHeight="1">
      <c r="A854" s="22"/>
      <c r="B854" s="45"/>
      <c r="C854" s="23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</row>
    <row r="855" ht="18.0" customHeight="1">
      <c r="A855" s="22"/>
      <c r="B855" s="45"/>
      <c r="C855" s="23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</row>
    <row r="856" ht="18.0" customHeight="1">
      <c r="A856" s="22"/>
      <c r="B856" s="45"/>
      <c r="C856" s="23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</row>
    <row r="857" ht="18.0" customHeight="1">
      <c r="A857" s="22"/>
      <c r="B857" s="45"/>
      <c r="C857" s="23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</row>
    <row r="858" ht="18.0" customHeight="1">
      <c r="A858" s="22"/>
      <c r="B858" s="45"/>
      <c r="C858" s="23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</row>
    <row r="859" ht="18.0" customHeight="1">
      <c r="A859" s="22"/>
      <c r="B859" s="45"/>
      <c r="C859" s="23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</row>
    <row r="860" ht="18.0" customHeight="1">
      <c r="A860" s="22"/>
      <c r="B860" s="45"/>
      <c r="C860" s="23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</row>
    <row r="861" ht="18.0" customHeight="1">
      <c r="A861" s="22"/>
      <c r="B861" s="45"/>
      <c r="C861" s="23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</row>
    <row r="862" ht="18.0" customHeight="1">
      <c r="A862" s="22"/>
      <c r="B862" s="45"/>
      <c r="C862" s="23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</row>
    <row r="863" ht="18.0" customHeight="1">
      <c r="A863" s="22"/>
      <c r="B863" s="45"/>
      <c r="C863" s="23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</row>
    <row r="864" ht="18.0" customHeight="1">
      <c r="A864" s="22"/>
      <c r="B864" s="45"/>
      <c r="C864" s="23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</row>
    <row r="865" ht="18.0" customHeight="1">
      <c r="A865" s="22"/>
      <c r="B865" s="45"/>
      <c r="C865" s="23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</row>
    <row r="866" ht="18.0" customHeight="1">
      <c r="A866" s="22"/>
      <c r="B866" s="45"/>
      <c r="C866" s="23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</row>
    <row r="867" ht="18.0" customHeight="1">
      <c r="A867" s="22"/>
      <c r="B867" s="45"/>
      <c r="C867" s="23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</row>
    <row r="868" ht="18.0" customHeight="1">
      <c r="A868" s="22"/>
      <c r="B868" s="45"/>
      <c r="C868" s="23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</row>
    <row r="869" ht="18.0" customHeight="1">
      <c r="A869" s="22"/>
      <c r="B869" s="45"/>
      <c r="C869" s="23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</row>
    <row r="870" ht="18.0" customHeight="1">
      <c r="A870" s="22"/>
      <c r="B870" s="45"/>
      <c r="C870" s="23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</row>
    <row r="871" ht="18.0" customHeight="1">
      <c r="A871" s="22"/>
      <c r="B871" s="45"/>
      <c r="C871" s="23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</row>
    <row r="872" ht="18.0" customHeight="1">
      <c r="A872" s="22"/>
      <c r="B872" s="45"/>
      <c r="C872" s="23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</row>
    <row r="873" ht="18.0" customHeight="1">
      <c r="A873" s="22"/>
      <c r="B873" s="45"/>
      <c r="C873" s="23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</row>
    <row r="874" ht="18.0" customHeight="1">
      <c r="A874" s="22"/>
      <c r="B874" s="45"/>
      <c r="C874" s="23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</row>
    <row r="875" ht="18.0" customHeight="1">
      <c r="A875" s="22"/>
      <c r="B875" s="45"/>
      <c r="C875" s="23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</row>
    <row r="876" ht="18.0" customHeight="1">
      <c r="A876" s="22"/>
      <c r="B876" s="45"/>
      <c r="C876" s="23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</row>
    <row r="877" ht="18.0" customHeight="1">
      <c r="A877" s="22"/>
      <c r="B877" s="45"/>
      <c r="C877" s="23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</row>
    <row r="878" ht="18.0" customHeight="1">
      <c r="A878" s="22"/>
      <c r="B878" s="45"/>
      <c r="C878" s="23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</row>
    <row r="879" ht="18.0" customHeight="1">
      <c r="A879" s="22"/>
      <c r="B879" s="45"/>
      <c r="C879" s="23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</row>
    <row r="880" ht="18.0" customHeight="1">
      <c r="A880" s="22"/>
      <c r="B880" s="45"/>
      <c r="C880" s="23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</row>
    <row r="881" ht="18.0" customHeight="1">
      <c r="A881" s="22"/>
      <c r="B881" s="45"/>
      <c r="C881" s="23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</row>
    <row r="882" ht="18.0" customHeight="1">
      <c r="A882" s="22"/>
      <c r="B882" s="45"/>
      <c r="C882" s="23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</row>
    <row r="883" ht="18.0" customHeight="1">
      <c r="A883" s="22"/>
      <c r="B883" s="45"/>
      <c r="C883" s="23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</row>
    <row r="884" ht="18.0" customHeight="1">
      <c r="A884" s="22"/>
      <c r="B884" s="45"/>
      <c r="C884" s="23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</row>
    <row r="885" ht="18.0" customHeight="1">
      <c r="A885" s="22"/>
      <c r="B885" s="45"/>
      <c r="C885" s="23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</row>
    <row r="886" ht="18.0" customHeight="1">
      <c r="A886" s="22"/>
      <c r="B886" s="45"/>
      <c r="C886" s="23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</row>
    <row r="887" ht="18.0" customHeight="1">
      <c r="A887" s="22"/>
      <c r="B887" s="45"/>
      <c r="C887" s="23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</row>
    <row r="888" ht="18.0" customHeight="1">
      <c r="A888" s="22"/>
      <c r="B888" s="45"/>
      <c r="C888" s="23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</row>
    <row r="889" ht="18.0" customHeight="1">
      <c r="A889" s="22"/>
      <c r="B889" s="45"/>
      <c r="C889" s="23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</row>
    <row r="890" ht="18.0" customHeight="1">
      <c r="A890" s="22"/>
      <c r="B890" s="45"/>
      <c r="C890" s="23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</row>
    <row r="891" ht="18.0" customHeight="1">
      <c r="A891" s="22"/>
      <c r="B891" s="45"/>
      <c r="C891" s="23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</row>
    <row r="892" ht="18.0" customHeight="1">
      <c r="A892" s="22"/>
      <c r="B892" s="45"/>
      <c r="C892" s="23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</row>
    <row r="893" ht="18.0" customHeight="1">
      <c r="A893" s="22"/>
      <c r="B893" s="45"/>
      <c r="C893" s="23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</row>
    <row r="894" ht="18.0" customHeight="1">
      <c r="A894" s="22"/>
      <c r="B894" s="45"/>
      <c r="C894" s="23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</row>
    <row r="895" ht="18.0" customHeight="1">
      <c r="A895" s="22"/>
      <c r="B895" s="45"/>
      <c r="C895" s="23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</row>
    <row r="896" ht="18.0" customHeight="1">
      <c r="A896" s="22"/>
      <c r="B896" s="45"/>
      <c r="C896" s="23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</row>
    <row r="897" ht="18.0" customHeight="1">
      <c r="A897" s="22"/>
      <c r="B897" s="45"/>
      <c r="C897" s="23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</row>
    <row r="898" ht="18.0" customHeight="1">
      <c r="A898" s="22"/>
      <c r="B898" s="45"/>
      <c r="C898" s="23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</row>
    <row r="899" ht="18.0" customHeight="1">
      <c r="A899" s="22"/>
      <c r="B899" s="45"/>
      <c r="C899" s="23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</row>
    <row r="900" ht="18.0" customHeight="1">
      <c r="A900" s="22"/>
      <c r="B900" s="45"/>
      <c r="C900" s="23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</row>
    <row r="901" ht="18.0" customHeight="1">
      <c r="A901" s="22"/>
      <c r="B901" s="45"/>
      <c r="C901" s="23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</row>
    <row r="902" ht="18.0" customHeight="1">
      <c r="A902" s="22"/>
      <c r="B902" s="45"/>
      <c r="C902" s="23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</row>
    <row r="903" ht="18.0" customHeight="1">
      <c r="A903" s="22"/>
      <c r="B903" s="45"/>
      <c r="C903" s="23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</row>
    <row r="904" ht="18.0" customHeight="1">
      <c r="A904" s="22"/>
      <c r="B904" s="45"/>
      <c r="C904" s="23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</row>
    <row r="905" ht="18.0" customHeight="1">
      <c r="A905" s="22"/>
      <c r="B905" s="45"/>
      <c r="C905" s="23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</row>
    <row r="906" ht="18.0" customHeight="1">
      <c r="A906" s="22"/>
      <c r="B906" s="45"/>
      <c r="C906" s="23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</row>
    <row r="907" ht="18.0" customHeight="1">
      <c r="A907" s="22"/>
      <c r="B907" s="45"/>
      <c r="C907" s="23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</row>
    <row r="908" ht="18.0" customHeight="1">
      <c r="A908" s="22"/>
      <c r="B908" s="45"/>
      <c r="C908" s="23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</row>
    <row r="909" ht="18.0" customHeight="1">
      <c r="A909" s="22"/>
      <c r="B909" s="45"/>
      <c r="C909" s="23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</row>
    <row r="910" ht="18.0" customHeight="1">
      <c r="A910" s="22"/>
      <c r="B910" s="45"/>
      <c r="C910" s="23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</row>
    <row r="911" ht="18.0" customHeight="1">
      <c r="A911" s="22"/>
      <c r="B911" s="45"/>
      <c r="C911" s="23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</row>
    <row r="912" ht="18.0" customHeight="1">
      <c r="A912" s="22"/>
      <c r="B912" s="45"/>
      <c r="C912" s="23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</row>
    <row r="913" ht="18.0" customHeight="1">
      <c r="A913" s="22"/>
      <c r="B913" s="45"/>
      <c r="C913" s="23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</row>
    <row r="914" ht="18.0" customHeight="1">
      <c r="A914" s="22"/>
      <c r="B914" s="45"/>
      <c r="C914" s="23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</row>
    <row r="915" ht="18.0" customHeight="1">
      <c r="A915" s="22"/>
      <c r="B915" s="45"/>
      <c r="C915" s="23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</row>
    <row r="916" ht="18.0" customHeight="1">
      <c r="A916" s="22"/>
      <c r="B916" s="45"/>
      <c r="C916" s="23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</row>
    <row r="917" ht="18.0" customHeight="1">
      <c r="A917" s="22"/>
      <c r="B917" s="45"/>
      <c r="C917" s="23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</row>
    <row r="918" ht="18.0" customHeight="1">
      <c r="A918" s="22"/>
      <c r="B918" s="45"/>
      <c r="C918" s="23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</row>
    <row r="919" ht="18.0" customHeight="1">
      <c r="A919" s="22"/>
      <c r="B919" s="45"/>
      <c r="C919" s="23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</row>
    <row r="920" ht="18.0" customHeight="1">
      <c r="A920" s="22"/>
      <c r="B920" s="45"/>
      <c r="C920" s="23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</row>
    <row r="921" ht="18.0" customHeight="1">
      <c r="A921" s="22"/>
      <c r="B921" s="45"/>
      <c r="C921" s="23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</row>
    <row r="922" ht="18.0" customHeight="1">
      <c r="A922" s="22"/>
      <c r="B922" s="45"/>
      <c r="C922" s="23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</row>
    <row r="923" ht="18.0" customHeight="1">
      <c r="A923" s="22"/>
      <c r="B923" s="45"/>
      <c r="C923" s="23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</row>
    <row r="924" ht="18.0" customHeight="1">
      <c r="A924" s="22"/>
      <c r="B924" s="45"/>
      <c r="C924" s="23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</row>
    <row r="925" ht="18.0" customHeight="1">
      <c r="A925" s="22"/>
      <c r="B925" s="45"/>
      <c r="C925" s="23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</row>
    <row r="926" ht="18.0" customHeight="1">
      <c r="A926" s="22"/>
      <c r="B926" s="45"/>
      <c r="C926" s="23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</row>
    <row r="927" ht="18.0" customHeight="1">
      <c r="A927" s="22"/>
      <c r="B927" s="45"/>
      <c r="C927" s="23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</row>
    <row r="928" ht="18.0" customHeight="1">
      <c r="A928" s="22"/>
      <c r="B928" s="45"/>
      <c r="C928" s="23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</row>
    <row r="929" ht="18.0" customHeight="1">
      <c r="A929" s="22"/>
      <c r="B929" s="45"/>
      <c r="C929" s="23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</row>
    <row r="930" ht="18.0" customHeight="1">
      <c r="A930" s="22"/>
      <c r="B930" s="45"/>
      <c r="C930" s="23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</row>
    <row r="931" ht="18.0" customHeight="1">
      <c r="A931" s="22"/>
      <c r="B931" s="45"/>
      <c r="C931" s="23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</row>
    <row r="932" ht="18.0" customHeight="1">
      <c r="A932" s="22"/>
      <c r="B932" s="45"/>
      <c r="C932" s="23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</row>
    <row r="933" ht="18.0" customHeight="1">
      <c r="A933" s="22"/>
      <c r="B933" s="45"/>
      <c r="C933" s="23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</row>
    <row r="934" ht="18.0" customHeight="1">
      <c r="A934" s="22"/>
      <c r="B934" s="45"/>
      <c r="C934" s="23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</row>
    <row r="935" ht="18.0" customHeight="1">
      <c r="A935" s="22"/>
      <c r="B935" s="45"/>
      <c r="C935" s="23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</row>
    <row r="936" ht="18.0" customHeight="1">
      <c r="A936" s="22"/>
      <c r="B936" s="45"/>
      <c r="C936" s="23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</row>
    <row r="937" ht="18.0" customHeight="1">
      <c r="A937" s="22"/>
      <c r="B937" s="45"/>
      <c r="C937" s="23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</row>
    <row r="938" ht="18.0" customHeight="1">
      <c r="A938" s="22"/>
      <c r="B938" s="45"/>
      <c r="C938" s="23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</row>
    <row r="939" ht="18.0" customHeight="1">
      <c r="A939" s="22"/>
      <c r="B939" s="45"/>
      <c r="C939" s="23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</row>
    <row r="940" ht="18.0" customHeight="1">
      <c r="A940" s="22"/>
      <c r="B940" s="45"/>
      <c r="C940" s="23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</row>
    <row r="941" ht="18.0" customHeight="1">
      <c r="A941" s="22"/>
      <c r="B941" s="45"/>
      <c r="C941" s="23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</row>
    <row r="942" ht="18.0" customHeight="1">
      <c r="A942" s="22"/>
      <c r="B942" s="45"/>
      <c r="C942" s="23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</row>
    <row r="943" ht="18.0" customHeight="1">
      <c r="A943" s="22"/>
      <c r="B943" s="45"/>
      <c r="C943" s="23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</row>
    <row r="944" ht="18.0" customHeight="1">
      <c r="A944" s="22"/>
      <c r="B944" s="45"/>
      <c r="C944" s="23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</row>
    <row r="945" ht="18.0" customHeight="1">
      <c r="A945" s="22"/>
      <c r="B945" s="45"/>
      <c r="C945" s="23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</row>
    <row r="946" ht="18.0" customHeight="1">
      <c r="A946" s="22"/>
      <c r="B946" s="45"/>
      <c r="C946" s="23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</row>
    <row r="947" ht="18.0" customHeight="1">
      <c r="A947" s="22"/>
      <c r="B947" s="45"/>
      <c r="C947" s="23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</row>
    <row r="948" ht="18.0" customHeight="1">
      <c r="A948" s="22"/>
      <c r="B948" s="45"/>
      <c r="C948" s="23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</row>
    <row r="949" ht="18.0" customHeight="1">
      <c r="A949" s="22"/>
      <c r="B949" s="45"/>
      <c r="C949" s="23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</row>
    <row r="950" ht="18.0" customHeight="1">
      <c r="A950" s="22"/>
      <c r="B950" s="45"/>
      <c r="C950" s="23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</row>
    <row r="951" ht="18.0" customHeight="1">
      <c r="A951" s="22"/>
      <c r="B951" s="45"/>
      <c r="C951" s="23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</row>
    <row r="952" ht="18.0" customHeight="1">
      <c r="A952" s="22"/>
      <c r="B952" s="45"/>
      <c r="C952" s="23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</row>
    <row r="953" ht="18.0" customHeight="1">
      <c r="A953" s="22"/>
      <c r="B953" s="45"/>
      <c r="C953" s="23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</row>
    <row r="954" ht="18.0" customHeight="1">
      <c r="A954" s="22"/>
      <c r="B954" s="45"/>
      <c r="C954" s="23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</row>
    <row r="955" ht="18.0" customHeight="1">
      <c r="A955" s="22"/>
      <c r="B955" s="45"/>
      <c r="C955" s="23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</row>
    <row r="956" ht="18.0" customHeight="1">
      <c r="A956" s="22"/>
      <c r="B956" s="45"/>
      <c r="C956" s="23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</row>
    <row r="957" ht="18.0" customHeight="1">
      <c r="A957" s="22"/>
      <c r="B957" s="45"/>
      <c r="C957" s="23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</row>
    <row r="958" ht="18.0" customHeight="1">
      <c r="A958" s="22"/>
      <c r="B958" s="45"/>
      <c r="C958" s="23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</row>
    <row r="959" ht="18.0" customHeight="1">
      <c r="A959" s="22"/>
      <c r="B959" s="45"/>
      <c r="C959" s="23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</row>
    <row r="960" ht="18.0" customHeight="1">
      <c r="A960" s="22"/>
      <c r="B960" s="45"/>
      <c r="C960" s="23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</row>
    <row r="961" ht="18.0" customHeight="1">
      <c r="A961" s="22"/>
      <c r="B961" s="45"/>
      <c r="C961" s="23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</row>
    <row r="962" ht="18.0" customHeight="1">
      <c r="A962" s="22"/>
      <c r="B962" s="45"/>
      <c r="C962" s="23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</row>
    <row r="963" ht="18.0" customHeight="1">
      <c r="A963" s="22"/>
      <c r="B963" s="45"/>
      <c r="C963" s="23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</row>
    <row r="964" ht="18.0" customHeight="1">
      <c r="A964" s="22"/>
      <c r="B964" s="45"/>
      <c r="C964" s="23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</row>
    <row r="965" ht="18.0" customHeight="1">
      <c r="A965" s="22"/>
      <c r="B965" s="45"/>
      <c r="C965" s="23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</row>
    <row r="966" ht="18.0" customHeight="1">
      <c r="A966" s="22"/>
      <c r="B966" s="45"/>
      <c r="C966" s="23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</row>
    <row r="967" ht="18.0" customHeight="1">
      <c r="A967" s="22"/>
      <c r="B967" s="45"/>
      <c r="C967" s="23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</row>
    <row r="968" ht="18.0" customHeight="1">
      <c r="A968" s="22"/>
      <c r="B968" s="45"/>
      <c r="C968" s="23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</row>
    <row r="969" ht="18.0" customHeight="1">
      <c r="A969" s="22"/>
      <c r="B969" s="45"/>
      <c r="C969" s="23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</row>
    <row r="970" ht="18.0" customHeight="1">
      <c r="A970" s="22"/>
      <c r="B970" s="45"/>
      <c r="C970" s="23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</row>
    <row r="971" ht="18.0" customHeight="1">
      <c r="A971" s="22"/>
      <c r="B971" s="45"/>
      <c r="C971" s="23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</row>
    <row r="972" ht="18.0" customHeight="1">
      <c r="A972" s="22"/>
      <c r="B972" s="45"/>
      <c r="C972" s="23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</row>
    <row r="973" ht="18.0" customHeight="1">
      <c r="A973" s="22"/>
      <c r="B973" s="45"/>
      <c r="C973" s="23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</row>
    <row r="974" ht="18.0" customHeight="1">
      <c r="A974" s="22"/>
      <c r="B974" s="45"/>
      <c r="C974" s="23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</row>
    <row r="975" ht="18.0" customHeight="1">
      <c r="A975" s="22"/>
      <c r="B975" s="45"/>
      <c r="C975" s="23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</row>
    <row r="976" ht="18.0" customHeight="1">
      <c r="A976" s="22"/>
      <c r="B976" s="45"/>
      <c r="C976" s="23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</row>
    <row r="977" ht="18.0" customHeight="1">
      <c r="A977" s="22"/>
      <c r="B977" s="45"/>
      <c r="C977" s="23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</row>
    <row r="978" ht="18.0" customHeight="1">
      <c r="A978" s="22"/>
      <c r="B978" s="45"/>
      <c r="C978" s="23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</row>
    <row r="979" ht="18.0" customHeight="1">
      <c r="A979" s="22"/>
      <c r="B979" s="45"/>
      <c r="C979" s="23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</row>
    <row r="980" ht="18.0" customHeight="1">
      <c r="A980" s="22"/>
      <c r="B980" s="45"/>
      <c r="C980" s="23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</row>
    <row r="981" ht="18.0" customHeight="1">
      <c r="A981" s="22"/>
      <c r="B981" s="45"/>
      <c r="C981" s="23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</row>
    <row r="982" ht="18.0" customHeight="1">
      <c r="A982" s="22"/>
      <c r="B982" s="45"/>
      <c r="C982" s="23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</row>
    <row r="983" ht="18.0" customHeight="1">
      <c r="A983" s="22"/>
      <c r="B983" s="45"/>
      <c r="C983" s="23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</row>
    <row r="984" ht="18.0" customHeight="1">
      <c r="A984" s="22"/>
      <c r="B984" s="45"/>
      <c r="C984" s="23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</row>
    <row r="985" ht="18.0" customHeight="1">
      <c r="A985" s="22"/>
      <c r="B985" s="45"/>
      <c r="C985" s="23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</row>
    <row r="986" ht="18.0" customHeight="1">
      <c r="A986" s="22"/>
      <c r="B986" s="45"/>
      <c r="C986" s="23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</row>
    <row r="987" ht="18.0" customHeight="1">
      <c r="A987" s="22"/>
      <c r="B987" s="45"/>
      <c r="C987" s="23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</row>
    <row r="988" ht="18.0" customHeight="1">
      <c r="A988" s="22"/>
      <c r="B988" s="45"/>
      <c r="C988" s="23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</row>
    <row r="989" ht="18.0" customHeight="1">
      <c r="A989" s="22"/>
      <c r="B989" s="45"/>
      <c r="C989" s="23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</row>
    <row r="990" ht="18.0" customHeight="1">
      <c r="A990" s="22"/>
      <c r="B990" s="45"/>
      <c r="C990" s="23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</row>
    <row r="991" ht="18.0" customHeight="1">
      <c r="A991" s="22"/>
      <c r="B991" s="45"/>
      <c r="C991" s="23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</row>
    <row r="992" ht="18.0" customHeight="1">
      <c r="A992" s="22"/>
      <c r="B992" s="45"/>
      <c r="C992" s="23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</row>
    <row r="993" ht="18.0" customHeight="1">
      <c r="A993" s="22"/>
      <c r="B993" s="45"/>
      <c r="C993" s="23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</row>
    <row r="994" ht="18.0" customHeight="1">
      <c r="A994" s="22"/>
      <c r="B994" s="45"/>
      <c r="C994" s="23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</row>
    <row r="995" ht="18.0" customHeight="1">
      <c r="A995" s="22"/>
      <c r="B995" s="45"/>
      <c r="C995" s="23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</row>
    <row r="996" ht="18.0" customHeight="1">
      <c r="A996" s="22"/>
      <c r="B996" s="45"/>
      <c r="C996" s="23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</row>
    <row r="997" ht="18.0" customHeight="1">
      <c r="A997" s="22"/>
      <c r="B997" s="45"/>
      <c r="C997" s="23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</row>
    <row r="998" ht="18.0" customHeight="1">
      <c r="A998" s="22"/>
      <c r="B998" s="45"/>
      <c r="C998" s="23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</row>
    <row r="999" ht="18.0" customHeight="1">
      <c r="A999" s="22"/>
      <c r="B999" s="45"/>
      <c r="C999" s="23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</row>
    <row r="1000" ht="18.0" customHeight="1">
      <c r="A1000" s="22"/>
      <c r="B1000" s="45"/>
      <c r="C1000" s="23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</row>
    <row r="1001" ht="18.0" customHeight="1">
      <c r="A1001" s="22"/>
      <c r="B1001" s="45"/>
      <c r="C1001" s="23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</row>
    <row r="1002" ht="18.0" customHeight="1">
      <c r="A1002" s="22"/>
      <c r="B1002" s="45"/>
      <c r="C1002" s="23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</row>
    <row r="1003" ht="18.0" customHeight="1">
      <c r="A1003" s="22"/>
      <c r="B1003" s="45"/>
      <c r="C1003" s="23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</row>
    <row r="1004" ht="18.0" customHeight="1">
      <c r="A1004" s="22"/>
      <c r="B1004" s="45"/>
      <c r="C1004" s="23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</row>
  </sheetData>
  <autoFilter ref="$A$1:$A$1004"/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1.43"/>
    <col customWidth="1" min="2" max="2" width="7.14"/>
    <col customWidth="1" min="3" max="3" width="17.14"/>
    <col customWidth="1" min="4" max="4" width="11.71"/>
    <col customWidth="1" min="5" max="5" width="12.29"/>
    <col customWidth="1" min="6" max="7" width="10.86"/>
    <col customWidth="1" min="8" max="8" width="13.14"/>
    <col customWidth="1" min="9" max="9" width="10.86"/>
    <col customWidth="1" min="10" max="10" width="8.14"/>
    <col customWidth="1" min="11" max="11" width="15.57"/>
    <col customWidth="1" min="12" max="12" width="21.0"/>
    <col customWidth="1" min="13" max="26" width="12.71"/>
  </cols>
  <sheetData>
    <row r="1" ht="21.0" customHeight="1">
      <c r="A1" s="82" t="s">
        <v>1</v>
      </c>
      <c r="B1" s="83" t="s">
        <v>197</v>
      </c>
      <c r="C1" s="84" t="s">
        <v>198</v>
      </c>
      <c r="D1" s="84" t="s">
        <v>199</v>
      </c>
      <c r="E1" s="83" t="s">
        <v>200</v>
      </c>
      <c r="F1" s="85" t="s">
        <v>14</v>
      </c>
      <c r="G1" s="86" t="s">
        <v>201</v>
      </c>
      <c r="H1" s="87" t="s">
        <v>202</v>
      </c>
      <c r="I1" s="86" t="s">
        <v>203</v>
      </c>
      <c r="J1" s="88" t="s">
        <v>204</v>
      </c>
      <c r="K1" s="89" t="s">
        <v>205</v>
      </c>
      <c r="L1" s="90" t="s">
        <v>10</v>
      </c>
      <c r="M1" s="91" t="s">
        <v>206</v>
      </c>
      <c r="N1" s="91" t="s">
        <v>207</v>
      </c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5.75" customHeight="1">
      <c r="A2" s="93"/>
      <c r="B2" s="94"/>
      <c r="C2" s="95"/>
      <c r="D2" s="96"/>
      <c r="E2" s="95"/>
      <c r="F2" s="97"/>
      <c r="G2" s="98"/>
      <c r="H2" s="99"/>
      <c r="I2" s="97">
        <f>F:F-G:G-H:H</f>
        <v>0</v>
      </c>
      <c r="J2" s="100"/>
      <c r="K2" s="101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26.25" customHeight="1">
      <c r="A3" s="103" t="s">
        <v>208</v>
      </c>
      <c r="B3" s="104"/>
      <c r="C3" s="103"/>
      <c r="D3" s="105"/>
      <c r="E3" s="103"/>
      <c r="F3" s="106">
        <f t="shared" ref="F3:I3" si="1">SUM(F4:F42)</f>
        <v>405325.97</v>
      </c>
      <c r="G3" s="107">
        <f t="shared" si="1"/>
        <v>280718.4</v>
      </c>
      <c r="H3" s="108">
        <f t="shared" si="1"/>
        <v>0</v>
      </c>
      <c r="I3" s="107">
        <f t="shared" si="1"/>
        <v>124607.57</v>
      </c>
      <c r="J3" s="109">
        <f t="shared" ref="J3:J42" si="2">I3/F3</f>
        <v>0.3074255765</v>
      </c>
      <c r="K3" s="107">
        <f>SUM(K4:K42)</f>
        <v>7449.12</v>
      </c>
      <c r="L3" s="110" t="s">
        <v>209</v>
      </c>
      <c r="M3" s="111">
        <v>451604.97</v>
      </c>
      <c r="N3" s="108">
        <f>M3*0.03</f>
        <v>13548.1491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15.75" customHeight="1">
      <c r="A4" s="113">
        <v>46037.0</v>
      </c>
      <c r="B4" s="114">
        <v>1559.0</v>
      </c>
      <c r="C4" s="115" t="s">
        <v>210</v>
      </c>
      <c r="D4" s="102" t="s">
        <v>84</v>
      </c>
      <c r="E4" s="115" t="s">
        <v>211</v>
      </c>
      <c r="F4" s="116">
        <v>2400.0</v>
      </c>
      <c r="G4" s="117">
        <v>1500.0</v>
      </c>
      <c r="H4" s="118"/>
      <c r="I4" s="119">
        <f t="shared" ref="I4:I42" si="3">F:F-G:G-H:H</f>
        <v>900</v>
      </c>
      <c r="J4" s="120">
        <f t="shared" si="2"/>
        <v>0.375</v>
      </c>
      <c r="K4" s="121">
        <f>I4*0.2</f>
        <v>180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5.75" customHeight="1">
      <c r="A5" s="122"/>
      <c r="B5" s="123">
        <v>1560.0</v>
      </c>
      <c r="C5" s="124">
        <v>46054.0</v>
      </c>
      <c r="D5" s="102"/>
      <c r="E5" s="115"/>
      <c r="F5" s="119"/>
      <c r="G5" s="125"/>
      <c r="H5" s="118"/>
      <c r="I5" s="119">
        <f t="shared" si="3"/>
        <v>0</v>
      </c>
      <c r="J5" s="120" t="str">
        <f t="shared" si="2"/>
        <v>#DIV/0!</v>
      </c>
      <c r="K5" s="121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5.75" customHeight="1">
      <c r="A6" s="122">
        <v>46030.0</v>
      </c>
      <c r="B6" s="123">
        <v>1612.0</v>
      </c>
      <c r="C6" s="126" t="s">
        <v>212</v>
      </c>
      <c r="D6" s="127" t="s">
        <v>213</v>
      </c>
      <c r="E6" s="115"/>
      <c r="F6" s="128">
        <v>68880.0</v>
      </c>
      <c r="G6" s="125">
        <v>44145.0</v>
      </c>
      <c r="H6" s="118"/>
      <c r="I6" s="119">
        <f t="shared" si="3"/>
        <v>24735</v>
      </c>
      <c r="J6" s="120">
        <f t="shared" si="2"/>
        <v>0.3591027875</v>
      </c>
      <c r="K6" s="121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5.75" customHeight="1">
      <c r="A7" s="122">
        <v>46030.0</v>
      </c>
      <c r="B7" s="129">
        <v>1613.0</v>
      </c>
      <c r="C7" s="115" t="s">
        <v>214</v>
      </c>
      <c r="D7" s="102" t="s">
        <v>215</v>
      </c>
      <c r="E7" s="115"/>
      <c r="F7" s="116">
        <v>17600.0</v>
      </c>
      <c r="G7" s="125">
        <v>8000.0</v>
      </c>
      <c r="H7" s="118"/>
      <c r="I7" s="119">
        <f t="shared" si="3"/>
        <v>9600</v>
      </c>
      <c r="J7" s="120">
        <f t="shared" si="2"/>
        <v>0.5454545455</v>
      </c>
      <c r="K7" s="121">
        <f t="shared" ref="K7:K32" si="4">F7*0.01</f>
        <v>176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5.75" customHeight="1">
      <c r="A8" s="122">
        <v>46030.0</v>
      </c>
      <c r="B8" s="129">
        <v>1614.0</v>
      </c>
      <c r="C8" s="115" t="s">
        <v>216</v>
      </c>
      <c r="D8" s="102" t="s">
        <v>215</v>
      </c>
      <c r="E8" s="115"/>
      <c r="F8" s="119">
        <v>6600.0</v>
      </c>
      <c r="G8" s="125">
        <v>3625.0</v>
      </c>
      <c r="H8" s="118"/>
      <c r="I8" s="119">
        <f t="shared" si="3"/>
        <v>2975</v>
      </c>
      <c r="J8" s="120">
        <f t="shared" si="2"/>
        <v>0.4507575758</v>
      </c>
      <c r="K8" s="121">
        <f t="shared" si="4"/>
        <v>66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5.75" customHeight="1">
      <c r="A9" s="122">
        <v>46030.0</v>
      </c>
      <c r="B9" s="130">
        <v>1615.0</v>
      </c>
      <c r="C9" s="131" t="s">
        <v>217</v>
      </c>
      <c r="D9" s="102" t="s">
        <v>215</v>
      </c>
      <c r="E9" s="115"/>
      <c r="F9" s="119">
        <v>17900.0</v>
      </c>
      <c r="G9" s="125">
        <v>13104.0</v>
      </c>
      <c r="H9" s="118"/>
      <c r="I9" s="119">
        <f t="shared" si="3"/>
        <v>4796</v>
      </c>
      <c r="J9" s="120">
        <f t="shared" si="2"/>
        <v>0.2679329609</v>
      </c>
      <c r="K9" s="121">
        <f t="shared" si="4"/>
        <v>179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5.75" customHeight="1">
      <c r="A10" s="122">
        <v>46030.0</v>
      </c>
      <c r="B10" s="130">
        <v>1616.0</v>
      </c>
      <c r="C10" s="131" t="s">
        <v>218</v>
      </c>
      <c r="D10" s="102" t="s">
        <v>215</v>
      </c>
      <c r="E10" s="115"/>
      <c r="F10" s="119">
        <v>7500.0</v>
      </c>
      <c r="G10" s="125">
        <v>6234.0</v>
      </c>
      <c r="H10" s="118"/>
      <c r="I10" s="119">
        <f t="shared" si="3"/>
        <v>1266</v>
      </c>
      <c r="J10" s="120">
        <f t="shared" si="2"/>
        <v>0.1688</v>
      </c>
      <c r="K10" s="121">
        <f t="shared" si="4"/>
        <v>75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5.75" customHeight="1">
      <c r="A11" s="122">
        <v>46031.0</v>
      </c>
      <c r="B11" s="130">
        <v>1617.0</v>
      </c>
      <c r="C11" s="131" t="s">
        <v>218</v>
      </c>
      <c r="D11" s="102" t="s">
        <v>215</v>
      </c>
      <c r="E11" s="115"/>
      <c r="F11" s="119">
        <v>12100.0</v>
      </c>
      <c r="G11" s="125">
        <v>8620.0</v>
      </c>
      <c r="H11" s="118"/>
      <c r="I11" s="119">
        <f t="shared" si="3"/>
        <v>3480</v>
      </c>
      <c r="J11" s="120">
        <f t="shared" si="2"/>
        <v>0.2876033058</v>
      </c>
      <c r="K11" s="121">
        <f t="shared" si="4"/>
        <v>121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5.75" customHeight="1">
      <c r="A12" s="122">
        <v>46034.0</v>
      </c>
      <c r="B12" s="130">
        <v>1618.0</v>
      </c>
      <c r="C12" s="131" t="s">
        <v>216</v>
      </c>
      <c r="D12" s="102" t="s">
        <v>215</v>
      </c>
      <c r="E12" s="115"/>
      <c r="F12" s="119">
        <v>1500.0</v>
      </c>
      <c r="G12" s="125">
        <v>800.0</v>
      </c>
      <c r="H12" s="118"/>
      <c r="I12" s="119">
        <f t="shared" si="3"/>
        <v>700</v>
      </c>
      <c r="J12" s="120">
        <f t="shared" si="2"/>
        <v>0.4666666667</v>
      </c>
      <c r="K12" s="121">
        <f t="shared" si="4"/>
        <v>15</v>
      </c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5.75" customHeight="1">
      <c r="A13" s="122">
        <v>46037.0</v>
      </c>
      <c r="B13" s="129">
        <v>1619.0</v>
      </c>
      <c r="C13" s="115" t="s">
        <v>219</v>
      </c>
      <c r="D13" s="102" t="s">
        <v>215</v>
      </c>
      <c r="E13" s="115"/>
      <c r="F13" s="119">
        <v>4500.0</v>
      </c>
      <c r="G13" s="125">
        <v>2700.0</v>
      </c>
      <c r="H13" s="118"/>
      <c r="I13" s="119">
        <f t="shared" si="3"/>
        <v>1800</v>
      </c>
      <c r="J13" s="120">
        <f t="shared" si="2"/>
        <v>0.4</v>
      </c>
      <c r="K13" s="121">
        <f t="shared" si="4"/>
        <v>45</v>
      </c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5.75" customHeight="1">
      <c r="A14" s="122">
        <v>46037.0</v>
      </c>
      <c r="B14" s="129">
        <v>1620.0</v>
      </c>
      <c r="C14" s="115">
        <v>2011.0</v>
      </c>
      <c r="D14" s="102" t="s">
        <v>215</v>
      </c>
      <c r="E14" s="115"/>
      <c r="F14" s="116">
        <v>800.0</v>
      </c>
      <c r="G14" s="125">
        <v>520.0</v>
      </c>
      <c r="H14" s="118"/>
      <c r="I14" s="119">
        <f t="shared" si="3"/>
        <v>280</v>
      </c>
      <c r="J14" s="120">
        <f t="shared" si="2"/>
        <v>0.35</v>
      </c>
      <c r="K14" s="121">
        <f t="shared" si="4"/>
        <v>8</v>
      </c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5.75" customHeight="1">
      <c r="A15" s="122">
        <v>46037.0</v>
      </c>
      <c r="B15" s="129">
        <v>1621.0</v>
      </c>
      <c r="C15" s="115" t="s">
        <v>217</v>
      </c>
      <c r="D15" s="102" t="s">
        <v>215</v>
      </c>
      <c r="E15" s="115"/>
      <c r="F15" s="119">
        <v>16200.0</v>
      </c>
      <c r="G15" s="125">
        <v>12150.0</v>
      </c>
      <c r="H15" s="132"/>
      <c r="I15" s="119">
        <f t="shared" si="3"/>
        <v>4050</v>
      </c>
      <c r="J15" s="120">
        <f t="shared" si="2"/>
        <v>0.25</v>
      </c>
      <c r="K15" s="121">
        <f t="shared" si="4"/>
        <v>162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5.75" customHeight="1">
      <c r="A16" s="122">
        <v>46037.0</v>
      </c>
      <c r="B16" s="123">
        <v>1622.0</v>
      </c>
      <c r="C16" s="126" t="s">
        <v>214</v>
      </c>
      <c r="D16" s="127" t="s">
        <v>215</v>
      </c>
      <c r="E16" s="115"/>
      <c r="F16" s="133">
        <v>22600.0</v>
      </c>
      <c r="G16" s="125">
        <f>16000+2700</f>
        <v>18700</v>
      </c>
      <c r="H16" s="132"/>
      <c r="I16" s="119">
        <f t="shared" si="3"/>
        <v>3900</v>
      </c>
      <c r="J16" s="120">
        <f t="shared" si="2"/>
        <v>0.1725663717</v>
      </c>
      <c r="K16" s="121">
        <f t="shared" si="4"/>
        <v>226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5.75" customHeight="1">
      <c r="A17" s="122">
        <v>46037.0</v>
      </c>
      <c r="B17" s="129">
        <v>1623.0</v>
      </c>
      <c r="C17" s="115" t="s">
        <v>216</v>
      </c>
      <c r="D17" s="102" t="s">
        <v>215</v>
      </c>
      <c r="E17" s="115"/>
      <c r="F17" s="119">
        <v>1700.0</v>
      </c>
      <c r="G17" s="125">
        <v>1200.0</v>
      </c>
      <c r="H17" s="132"/>
      <c r="I17" s="119">
        <f t="shared" si="3"/>
        <v>500</v>
      </c>
      <c r="J17" s="120">
        <f t="shared" si="2"/>
        <v>0.2941176471</v>
      </c>
      <c r="K17" s="121">
        <f t="shared" si="4"/>
        <v>17</v>
      </c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5.75" customHeight="1">
      <c r="A18" s="122">
        <v>46037.0</v>
      </c>
      <c r="B18" s="129">
        <v>1624.0</v>
      </c>
      <c r="C18" s="115" t="s">
        <v>218</v>
      </c>
      <c r="D18" s="102" t="s">
        <v>215</v>
      </c>
      <c r="E18" s="115"/>
      <c r="F18" s="119">
        <v>1700.0</v>
      </c>
      <c r="G18" s="125">
        <v>1400.0</v>
      </c>
      <c r="H18" s="132"/>
      <c r="I18" s="119">
        <f t="shared" si="3"/>
        <v>300</v>
      </c>
      <c r="J18" s="120">
        <f t="shared" si="2"/>
        <v>0.1764705882</v>
      </c>
      <c r="K18" s="121">
        <f t="shared" si="4"/>
        <v>17</v>
      </c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5.75" customHeight="1">
      <c r="A19" s="122">
        <v>46041.0</v>
      </c>
      <c r="B19" s="130">
        <v>1625.0</v>
      </c>
      <c r="C19" s="131" t="s">
        <v>220</v>
      </c>
      <c r="D19" s="102" t="s">
        <v>215</v>
      </c>
      <c r="E19" s="115"/>
      <c r="F19" s="116">
        <v>5000.0</v>
      </c>
      <c r="G19" s="125">
        <v>3600.0</v>
      </c>
      <c r="H19" s="132"/>
      <c r="I19" s="119">
        <f t="shared" si="3"/>
        <v>1400</v>
      </c>
      <c r="J19" s="120">
        <f t="shared" si="2"/>
        <v>0.28</v>
      </c>
      <c r="K19" s="121">
        <f t="shared" si="4"/>
        <v>50</v>
      </c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5.75" customHeight="1">
      <c r="A20" s="122">
        <v>46043.0</v>
      </c>
      <c r="B20" s="130">
        <v>1626.0</v>
      </c>
      <c r="C20" s="131" t="s">
        <v>219</v>
      </c>
      <c r="D20" s="102" t="s">
        <v>215</v>
      </c>
      <c r="E20" s="115"/>
      <c r="F20" s="119">
        <v>3000.0</v>
      </c>
      <c r="G20" s="125">
        <v>2180.0</v>
      </c>
      <c r="H20" s="132"/>
      <c r="I20" s="119">
        <f t="shared" si="3"/>
        <v>820</v>
      </c>
      <c r="J20" s="120">
        <f t="shared" si="2"/>
        <v>0.2733333333</v>
      </c>
      <c r="K20" s="121">
        <f t="shared" si="4"/>
        <v>30</v>
      </c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5.75" customHeight="1">
      <c r="A21" s="122">
        <v>46044.0</v>
      </c>
      <c r="B21" s="123">
        <v>1627.0</v>
      </c>
      <c r="C21" s="126" t="s">
        <v>217</v>
      </c>
      <c r="D21" s="102" t="s">
        <v>215</v>
      </c>
      <c r="E21" s="115"/>
      <c r="F21" s="128">
        <v>16400.0</v>
      </c>
      <c r="G21" s="125">
        <v>10290.0</v>
      </c>
      <c r="H21" s="132"/>
      <c r="I21" s="119">
        <f t="shared" si="3"/>
        <v>6110</v>
      </c>
      <c r="J21" s="120">
        <f t="shared" si="2"/>
        <v>0.3725609756</v>
      </c>
      <c r="K21" s="121">
        <f t="shared" si="4"/>
        <v>164</v>
      </c>
      <c r="L21" s="127" t="s">
        <v>221</v>
      </c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5.75" customHeight="1">
      <c r="A22" s="122">
        <v>46044.0</v>
      </c>
      <c r="B22" s="123">
        <v>1628.0</v>
      </c>
      <c r="C22" s="126" t="s">
        <v>214</v>
      </c>
      <c r="D22" s="102" t="s">
        <v>215</v>
      </c>
      <c r="E22" s="115"/>
      <c r="F22" s="128">
        <v>5000.0</v>
      </c>
      <c r="G22" s="125">
        <v>3500.0</v>
      </c>
      <c r="H22" s="132"/>
      <c r="I22" s="119">
        <f t="shared" si="3"/>
        <v>1500</v>
      </c>
      <c r="J22" s="120">
        <f t="shared" si="2"/>
        <v>0.3</v>
      </c>
      <c r="K22" s="121">
        <f t="shared" si="4"/>
        <v>50</v>
      </c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5.75" customHeight="1">
      <c r="A23" s="122">
        <v>46045.0</v>
      </c>
      <c r="B23" s="123">
        <v>1629.0</v>
      </c>
      <c r="C23" s="126" t="s">
        <v>220</v>
      </c>
      <c r="D23" s="102" t="s">
        <v>215</v>
      </c>
      <c r="E23" s="115"/>
      <c r="F23" s="133">
        <v>3600.0</v>
      </c>
      <c r="G23" s="125">
        <v>2450.0</v>
      </c>
      <c r="H23" s="132"/>
      <c r="I23" s="119">
        <f t="shared" si="3"/>
        <v>1150</v>
      </c>
      <c r="J23" s="120">
        <f t="shared" si="2"/>
        <v>0.3194444444</v>
      </c>
      <c r="K23" s="121">
        <f t="shared" si="4"/>
        <v>36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5.75" customHeight="1">
      <c r="A24" s="122">
        <v>46048.0</v>
      </c>
      <c r="B24" s="129">
        <v>1630.0</v>
      </c>
      <c r="C24" s="115" t="s">
        <v>219</v>
      </c>
      <c r="D24" s="127" t="s">
        <v>215</v>
      </c>
      <c r="E24" s="115"/>
      <c r="F24" s="119">
        <v>1500.0</v>
      </c>
      <c r="G24" s="125">
        <v>1050.0</v>
      </c>
      <c r="H24" s="132"/>
      <c r="I24" s="119">
        <f t="shared" si="3"/>
        <v>450</v>
      </c>
      <c r="J24" s="120">
        <f t="shared" si="2"/>
        <v>0.3</v>
      </c>
      <c r="K24" s="121">
        <f t="shared" si="4"/>
        <v>15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5.75" customHeight="1">
      <c r="A25" s="122">
        <v>46048.0</v>
      </c>
      <c r="B25" s="129">
        <v>1631.0</v>
      </c>
      <c r="C25" s="115" t="s">
        <v>222</v>
      </c>
      <c r="D25" s="102" t="s">
        <v>215</v>
      </c>
      <c r="E25" s="115"/>
      <c r="F25" s="119">
        <v>7600.0</v>
      </c>
      <c r="G25" s="125">
        <v>5360.0</v>
      </c>
      <c r="H25" s="132"/>
      <c r="I25" s="119">
        <f t="shared" si="3"/>
        <v>2240</v>
      </c>
      <c r="J25" s="120">
        <f t="shared" si="2"/>
        <v>0.2947368421</v>
      </c>
      <c r="K25" s="121">
        <f t="shared" si="4"/>
        <v>76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5.75" customHeight="1">
      <c r="A26" s="122">
        <v>46046.0</v>
      </c>
      <c r="B26" s="129">
        <v>1632.0</v>
      </c>
      <c r="C26" s="115" t="s">
        <v>218</v>
      </c>
      <c r="D26" s="102" t="s">
        <v>215</v>
      </c>
      <c r="E26" s="115"/>
      <c r="F26" s="119">
        <v>8900.0</v>
      </c>
      <c r="G26" s="125">
        <v>6600.0</v>
      </c>
      <c r="H26" s="132"/>
      <c r="I26" s="119">
        <f t="shared" si="3"/>
        <v>2300</v>
      </c>
      <c r="J26" s="120">
        <f t="shared" si="2"/>
        <v>0.2584269663</v>
      </c>
      <c r="K26" s="121">
        <f t="shared" si="4"/>
        <v>89</v>
      </c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5.75" customHeight="1">
      <c r="A27" s="122">
        <v>46051.0</v>
      </c>
      <c r="B27" s="123">
        <v>1633.0</v>
      </c>
      <c r="C27" s="126" t="s">
        <v>220</v>
      </c>
      <c r="D27" s="127" t="s">
        <v>215</v>
      </c>
      <c r="E27" s="115"/>
      <c r="F27" s="128">
        <v>1600.0</v>
      </c>
      <c r="G27" s="125">
        <v>1150.0</v>
      </c>
      <c r="H27" s="132"/>
      <c r="I27" s="119">
        <f t="shared" si="3"/>
        <v>450</v>
      </c>
      <c r="J27" s="120">
        <f t="shared" si="2"/>
        <v>0.28125</v>
      </c>
      <c r="K27" s="121">
        <f t="shared" si="4"/>
        <v>16</v>
      </c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5.75" customHeight="1">
      <c r="A28" s="122">
        <v>46051.0</v>
      </c>
      <c r="B28" s="123">
        <v>1634.0</v>
      </c>
      <c r="C28" s="126" t="s">
        <v>220</v>
      </c>
      <c r="D28" s="127" t="s">
        <v>215</v>
      </c>
      <c r="E28" s="115"/>
      <c r="F28" s="128">
        <v>1900.0</v>
      </c>
      <c r="G28" s="125">
        <v>1350.0</v>
      </c>
      <c r="H28" s="132"/>
      <c r="I28" s="119">
        <f t="shared" si="3"/>
        <v>550</v>
      </c>
      <c r="J28" s="120">
        <f t="shared" si="2"/>
        <v>0.2894736842</v>
      </c>
      <c r="K28" s="121">
        <f t="shared" si="4"/>
        <v>19</v>
      </c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5.75" customHeight="1">
      <c r="A29" s="122">
        <v>46051.0</v>
      </c>
      <c r="B29" s="123">
        <v>1635.0</v>
      </c>
      <c r="C29" s="126" t="s">
        <v>217</v>
      </c>
      <c r="D29" s="127" t="s">
        <v>215</v>
      </c>
      <c r="E29" s="115"/>
      <c r="F29" s="128">
        <v>8000.0</v>
      </c>
      <c r="G29" s="125">
        <v>4850.0</v>
      </c>
      <c r="H29" s="132"/>
      <c r="I29" s="119">
        <f t="shared" si="3"/>
        <v>3150</v>
      </c>
      <c r="J29" s="120">
        <f t="shared" si="2"/>
        <v>0.39375</v>
      </c>
      <c r="K29" s="121">
        <f t="shared" si="4"/>
        <v>80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5.75" customHeight="1">
      <c r="A30" s="122">
        <v>46051.0</v>
      </c>
      <c r="B30" s="123">
        <v>1636.0</v>
      </c>
      <c r="C30" s="126" t="s">
        <v>214</v>
      </c>
      <c r="D30" s="127" t="s">
        <v>215</v>
      </c>
      <c r="E30" s="115"/>
      <c r="F30" s="133">
        <v>18000.0</v>
      </c>
      <c r="G30" s="125">
        <v>16400.0</v>
      </c>
      <c r="H30" s="132"/>
      <c r="I30" s="119">
        <f t="shared" si="3"/>
        <v>1600</v>
      </c>
      <c r="J30" s="120">
        <f t="shared" si="2"/>
        <v>0.08888888889</v>
      </c>
      <c r="K30" s="121">
        <f t="shared" si="4"/>
        <v>180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5.75" customHeight="1">
      <c r="A31" s="122">
        <v>46051.0</v>
      </c>
      <c r="B31" s="123">
        <v>1637.0</v>
      </c>
      <c r="C31" s="126" t="s">
        <v>216</v>
      </c>
      <c r="D31" s="127" t="s">
        <v>215</v>
      </c>
      <c r="E31" s="115"/>
      <c r="F31" s="128">
        <v>7100.0</v>
      </c>
      <c r="G31" s="125">
        <v>5000.0</v>
      </c>
      <c r="H31" s="132"/>
      <c r="I31" s="119">
        <f t="shared" si="3"/>
        <v>2100</v>
      </c>
      <c r="J31" s="120">
        <f t="shared" si="2"/>
        <v>0.2957746479</v>
      </c>
      <c r="K31" s="121">
        <f t="shared" si="4"/>
        <v>71</v>
      </c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5.75" customHeight="1">
      <c r="A32" s="122">
        <v>46051.0</v>
      </c>
      <c r="B32" s="134">
        <v>1638.0</v>
      </c>
      <c r="C32" s="126" t="s">
        <v>223</v>
      </c>
      <c r="D32" s="127" t="s">
        <v>215</v>
      </c>
      <c r="E32" s="115"/>
      <c r="F32" s="128">
        <v>6860.0</v>
      </c>
      <c r="G32" s="125">
        <v>4850.0</v>
      </c>
      <c r="H32" s="132"/>
      <c r="I32" s="119">
        <f t="shared" si="3"/>
        <v>2010</v>
      </c>
      <c r="J32" s="120">
        <f t="shared" si="2"/>
        <v>0.2930029155</v>
      </c>
      <c r="K32" s="121">
        <f t="shared" si="4"/>
        <v>68.6</v>
      </c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5.75" customHeight="1">
      <c r="A33" s="113"/>
      <c r="B33" s="123">
        <v>1655.0</v>
      </c>
      <c r="C33" s="126" t="s">
        <v>224</v>
      </c>
      <c r="D33" s="102"/>
      <c r="E33" s="115"/>
      <c r="F33" s="119"/>
      <c r="G33" s="117"/>
      <c r="H33" s="132"/>
      <c r="I33" s="119">
        <f t="shared" si="3"/>
        <v>0</v>
      </c>
      <c r="J33" s="120" t="str">
        <f t="shared" si="2"/>
        <v>#DIV/0!</v>
      </c>
      <c r="K33" s="121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5.75" customHeight="1">
      <c r="A34" s="113"/>
      <c r="B34" s="123">
        <v>1656.0</v>
      </c>
      <c r="C34" s="126" t="s">
        <v>224</v>
      </c>
      <c r="D34" s="102"/>
      <c r="E34" s="115"/>
      <c r="F34" s="119"/>
      <c r="G34" s="117"/>
      <c r="H34" s="132"/>
      <c r="I34" s="119">
        <f t="shared" si="3"/>
        <v>0</v>
      </c>
      <c r="J34" s="120" t="str">
        <f t="shared" si="2"/>
        <v>#DIV/0!</v>
      </c>
      <c r="K34" s="121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5.75" customHeight="1">
      <c r="A35" s="113">
        <v>46036.0</v>
      </c>
      <c r="B35" s="129">
        <v>1657.0</v>
      </c>
      <c r="C35" s="115" t="s">
        <v>225</v>
      </c>
      <c r="D35" s="102" t="s">
        <v>84</v>
      </c>
      <c r="E35" s="115" t="s">
        <v>211</v>
      </c>
      <c r="F35" s="119">
        <v>4200.0</v>
      </c>
      <c r="G35" s="117">
        <v>2142.4</v>
      </c>
      <c r="H35" s="132"/>
      <c r="I35" s="119">
        <f t="shared" si="3"/>
        <v>2057.6</v>
      </c>
      <c r="J35" s="120">
        <f t="shared" si="2"/>
        <v>0.4899047619</v>
      </c>
      <c r="K35" s="121">
        <f>I35*0.2</f>
        <v>411.52</v>
      </c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5.75" customHeight="1">
      <c r="A36" s="113">
        <v>46036.0</v>
      </c>
      <c r="B36" s="129">
        <v>1658.0</v>
      </c>
      <c r="C36" s="115" t="s">
        <v>212</v>
      </c>
      <c r="D36" s="102" t="s">
        <v>213</v>
      </c>
      <c r="E36" s="115" t="s">
        <v>226</v>
      </c>
      <c r="F36" s="116">
        <v>3999.97</v>
      </c>
      <c r="G36" s="117">
        <v>1200.0</v>
      </c>
      <c r="H36" s="132"/>
      <c r="I36" s="119">
        <f t="shared" si="3"/>
        <v>2799.97</v>
      </c>
      <c r="J36" s="120">
        <f t="shared" si="2"/>
        <v>0.69999775</v>
      </c>
      <c r="K36" s="121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5.75" customHeight="1">
      <c r="A37" s="113">
        <v>46036.0</v>
      </c>
      <c r="B37" s="129">
        <v>1659.0</v>
      </c>
      <c r="C37" s="115" t="s">
        <v>212</v>
      </c>
      <c r="D37" s="102" t="s">
        <v>213</v>
      </c>
      <c r="E37" s="115" t="s">
        <v>226</v>
      </c>
      <c r="F37" s="133">
        <v>36786.0</v>
      </c>
      <c r="G37" s="117">
        <v>26928.0</v>
      </c>
      <c r="H37" s="132"/>
      <c r="I37" s="119">
        <f t="shared" si="3"/>
        <v>9858</v>
      </c>
      <c r="J37" s="120">
        <f t="shared" si="2"/>
        <v>0.2679823846</v>
      </c>
      <c r="K37" s="121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5.75" customHeight="1">
      <c r="A38" s="113">
        <v>46041.0</v>
      </c>
      <c r="B38" s="129">
        <v>1660.0</v>
      </c>
      <c r="C38" s="115" t="s">
        <v>227</v>
      </c>
      <c r="D38" s="102" t="s">
        <v>84</v>
      </c>
      <c r="E38" s="115" t="s">
        <v>50</v>
      </c>
      <c r="F38" s="119">
        <v>12700.0</v>
      </c>
      <c r="G38" s="117">
        <v>7500.0</v>
      </c>
      <c r="H38" s="132"/>
      <c r="I38" s="119">
        <f t="shared" si="3"/>
        <v>5200</v>
      </c>
      <c r="J38" s="120">
        <f t="shared" si="2"/>
        <v>0.4094488189</v>
      </c>
      <c r="K38" s="121">
        <f>I38*0.2</f>
        <v>1040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13"/>
      <c r="B39" s="123">
        <v>1661.0</v>
      </c>
      <c r="C39" s="126" t="s">
        <v>224</v>
      </c>
      <c r="D39" s="102"/>
      <c r="E39" s="115"/>
      <c r="F39" s="119"/>
      <c r="G39" s="117"/>
      <c r="H39" s="132"/>
      <c r="I39" s="135">
        <f t="shared" si="3"/>
        <v>0</v>
      </c>
      <c r="J39" s="136" t="str">
        <f t="shared" si="2"/>
        <v>#DIV/0!</v>
      </c>
      <c r="K39" s="121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13">
        <v>46045.0</v>
      </c>
      <c r="B40" s="129">
        <v>1662.0</v>
      </c>
      <c r="C40" s="115" t="s">
        <v>228</v>
      </c>
      <c r="D40" s="102" t="s">
        <v>84</v>
      </c>
      <c r="E40" s="126" t="s">
        <v>50</v>
      </c>
      <c r="F40" s="116">
        <v>60000.0</v>
      </c>
      <c r="G40" s="117">
        <v>45000.0</v>
      </c>
      <c r="H40" s="132"/>
      <c r="I40" s="119">
        <f t="shared" si="3"/>
        <v>15000</v>
      </c>
      <c r="J40" s="120">
        <f t="shared" si="2"/>
        <v>0.25</v>
      </c>
      <c r="K40" s="121">
        <f>I40*0.2</f>
        <v>3000</v>
      </c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13">
        <v>46045.0</v>
      </c>
      <c r="B41" s="129">
        <v>1663.0</v>
      </c>
      <c r="C41" s="115" t="s">
        <v>229</v>
      </c>
      <c r="D41" s="102" t="s">
        <v>213</v>
      </c>
      <c r="E41" s="115" t="s">
        <v>230</v>
      </c>
      <c r="F41" s="119">
        <v>1800.0</v>
      </c>
      <c r="G41" s="117">
        <v>1050.0</v>
      </c>
      <c r="H41" s="132"/>
      <c r="I41" s="119">
        <f t="shared" si="3"/>
        <v>750</v>
      </c>
      <c r="J41" s="120">
        <f t="shared" si="2"/>
        <v>0.4166666667</v>
      </c>
      <c r="K41" s="121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13">
        <v>46050.0</v>
      </c>
      <c r="B42" s="137">
        <v>1664.0</v>
      </c>
      <c r="C42" s="115" t="s">
        <v>231</v>
      </c>
      <c r="D42" s="102" t="s">
        <v>84</v>
      </c>
      <c r="E42" s="115" t="s">
        <v>211</v>
      </c>
      <c r="F42" s="119">
        <v>9400.0</v>
      </c>
      <c r="G42" s="117">
        <v>5570.0</v>
      </c>
      <c r="H42" s="132"/>
      <c r="I42" s="119">
        <f t="shared" si="3"/>
        <v>3830</v>
      </c>
      <c r="J42" s="120">
        <f t="shared" si="2"/>
        <v>0.4074468085</v>
      </c>
      <c r="K42" s="121">
        <f>I42*0.2</f>
        <v>766</v>
      </c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A43" s="138"/>
      <c r="B43" s="139"/>
      <c r="C43" s="138"/>
      <c r="D43" s="139"/>
      <c r="E43" s="139"/>
      <c r="F43" s="140"/>
      <c r="G43" s="141"/>
      <c r="H43" s="139"/>
      <c r="I43" s="141"/>
      <c r="J43" s="139"/>
      <c r="K43" s="141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ht="24.0" customHeight="1">
      <c r="A44" s="142" t="s">
        <v>232</v>
      </c>
      <c r="B44" s="143"/>
      <c r="C44" s="144" t="s">
        <v>233</v>
      </c>
      <c r="D44" s="143"/>
      <c r="E44" s="143"/>
      <c r="F44" s="145">
        <f t="shared" ref="F44:G44" si="5">sum(F45:F102)</f>
        <v>314994.6</v>
      </c>
      <c r="G44" s="146">
        <f t="shared" si="5"/>
        <v>206326.08</v>
      </c>
      <c r="H44" s="147">
        <f>sum(H45:H80)</f>
        <v>0</v>
      </c>
      <c r="I44" s="146">
        <f>sum(I45:I102)</f>
        <v>108668.52</v>
      </c>
      <c r="J44" s="148">
        <f t="shared" ref="J44:J291" si="6">I44/F44</f>
        <v>0.3449853426</v>
      </c>
      <c r="K44" s="147">
        <f>sum(K45:K102)</f>
        <v>8046.984</v>
      </c>
      <c r="L44" s="143"/>
      <c r="M44" s="149">
        <f>sum(F46,F47,F49,F64,F73,F79,F86,F88,F90,F96)</f>
        <v>61850</v>
      </c>
      <c r="N44" s="149">
        <f>M44*0.03</f>
        <v>1855.5</v>
      </c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5.75" customHeight="1">
      <c r="A45" s="122">
        <v>46056.0</v>
      </c>
      <c r="B45" s="129">
        <v>1639.0</v>
      </c>
      <c r="C45" s="115" t="s">
        <v>220</v>
      </c>
      <c r="D45" s="102" t="s">
        <v>215</v>
      </c>
      <c r="E45" s="115" t="s">
        <v>50</v>
      </c>
      <c r="F45" s="119">
        <v>1800.0</v>
      </c>
      <c r="G45" s="150">
        <v>1300.0</v>
      </c>
      <c r="H45" s="132"/>
      <c r="I45" s="119">
        <f t="shared" ref="I45:I102" si="7">F:F-G:G-H:H</f>
        <v>500</v>
      </c>
      <c r="J45" s="120">
        <f t="shared" si="6"/>
        <v>0.2777777778</v>
      </c>
      <c r="K45" s="121">
        <f t="shared" ref="K45:K51" si="8">F45*0.01</f>
        <v>18</v>
      </c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22">
        <v>46056.0</v>
      </c>
      <c r="B46" s="129">
        <v>1640.0</v>
      </c>
      <c r="C46" s="115" t="s">
        <v>220</v>
      </c>
      <c r="D46" s="102" t="s">
        <v>215</v>
      </c>
      <c r="E46" s="115" t="s">
        <v>50</v>
      </c>
      <c r="F46" s="116">
        <v>2800.0</v>
      </c>
      <c r="G46" s="150">
        <v>1650.0</v>
      </c>
      <c r="H46" s="132"/>
      <c r="I46" s="119">
        <f t="shared" si="7"/>
        <v>1150</v>
      </c>
      <c r="J46" s="120">
        <f t="shared" si="6"/>
        <v>0.4107142857</v>
      </c>
      <c r="K46" s="121">
        <f t="shared" si="8"/>
        <v>28</v>
      </c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22">
        <v>46058.0</v>
      </c>
      <c r="B47" s="123">
        <v>1641.0</v>
      </c>
      <c r="C47" s="126" t="s">
        <v>220</v>
      </c>
      <c r="D47" s="102" t="s">
        <v>215</v>
      </c>
      <c r="E47" s="115" t="s">
        <v>50</v>
      </c>
      <c r="F47" s="133">
        <v>3800.0</v>
      </c>
      <c r="G47" s="125">
        <v>1250.0</v>
      </c>
      <c r="H47" s="132"/>
      <c r="I47" s="119">
        <f t="shared" si="7"/>
        <v>2550</v>
      </c>
      <c r="J47" s="120">
        <f t="shared" si="6"/>
        <v>0.6710526316</v>
      </c>
      <c r="K47" s="121">
        <f t="shared" si="8"/>
        <v>38</v>
      </c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22">
        <v>46058.0</v>
      </c>
      <c r="B48" s="123">
        <v>1642.0</v>
      </c>
      <c r="C48" s="126" t="s">
        <v>220</v>
      </c>
      <c r="D48" s="102" t="s">
        <v>215</v>
      </c>
      <c r="E48" s="126" t="s">
        <v>50</v>
      </c>
      <c r="F48" s="128">
        <v>3900.0</v>
      </c>
      <c r="G48" s="125">
        <v>3000.0</v>
      </c>
      <c r="H48" s="132"/>
      <c r="I48" s="119">
        <f t="shared" si="7"/>
        <v>900</v>
      </c>
      <c r="J48" s="120">
        <f t="shared" si="6"/>
        <v>0.2307692308</v>
      </c>
      <c r="K48" s="121">
        <f t="shared" si="8"/>
        <v>39</v>
      </c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22">
        <v>46058.0</v>
      </c>
      <c r="B49" s="123">
        <v>1643.0</v>
      </c>
      <c r="C49" s="126" t="s">
        <v>214</v>
      </c>
      <c r="D49" s="102" t="s">
        <v>215</v>
      </c>
      <c r="E49" s="115"/>
      <c r="F49" s="133">
        <v>8000.0</v>
      </c>
      <c r="G49" s="125">
        <f>1600+1700+780</f>
        <v>4080</v>
      </c>
      <c r="H49" s="132"/>
      <c r="I49" s="119">
        <f t="shared" si="7"/>
        <v>3920</v>
      </c>
      <c r="J49" s="120">
        <f t="shared" si="6"/>
        <v>0.49</v>
      </c>
      <c r="K49" s="121">
        <f t="shared" si="8"/>
        <v>80</v>
      </c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22">
        <v>46058.0</v>
      </c>
      <c r="B50" s="123">
        <v>1644.0</v>
      </c>
      <c r="C50" s="126" t="s">
        <v>216</v>
      </c>
      <c r="D50" s="102" t="s">
        <v>215</v>
      </c>
      <c r="E50" s="115"/>
      <c r="F50" s="133">
        <v>4400.0</v>
      </c>
      <c r="G50" s="125">
        <v>3200.0</v>
      </c>
      <c r="H50" s="132"/>
      <c r="I50" s="119">
        <f t="shared" si="7"/>
        <v>1200</v>
      </c>
      <c r="J50" s="120">
        <f t="shared" si="6"/>
        <v>0.2727272727</v>
      </c>
      <c r="K50" s="121">
        <f t="shared" si="8"/>
        <v>44</v>
      </c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22">
        <v>46058.0</v>
      </c>
      <c r="B51" s="123">
        <v>1645.0</v>
      </c>
      <c r="C51" s="126" t="s">
        <v>218</v>
      </c>
      <c r="D51" s="102" t="s">
        <v>215</v>
      </c>
      <c r="E51" s="115"/>
      <c r="F51" s="128">
        <v>2500.0</v>
      </c>
      <c r="G51" s="125">
        <v>1700.0</v>
      </c>
      <c r="H51" s="132"/>
      <c r="I51" s="119">
        <f t="shared" si="7"/>
        <v>800</v>
      </c>
      <c r="J51" s="120">
        <f t="shared" si="6"/>
        <v>0.32</v>
      </c>
      <c r="K51" s="121">
        <f t="shared" si="8"/>
        <v>25</v>
      </c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13"/>
      <c r="B52" s="123">
        <v>1646.0</v>
      </c>
      <c r="C52" s="126" t="s">
        <v>234</v>
      </c>
      <c r="D52" s="102"/>
      <c r="E52" s="115"/>
      <c r="F52" s="119"/>
      <c r="G52" s="117"/>
      <c r="H52" s="132"/>
      <c r="I52" s="119">
        <f t="shared" si="7"/>
        <v>0</v>
      </c>
      <c r="J52" s="120" t="str">
        <f t="shared" si="6"/>
        <v>#DIV/0!</v>
      </c>
      <c r="K52" s="121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5.75" customHeight="1">
      <c r="A53" s="113"/>
      <c r="B53" s="123">
        <v>1647.0</v>
      </c>
      <c r="C53" s="126" t="s">
        <v>234</v>
      </c>
      <c r="D53" s="102"/>
      <c r="E53" s="115"/>
      <c r="F53" s="119"/>
      <c r="G53" s="117"/>
      <c r="H53" s="132"/>
      <c r="I53" s="119">
        <f t="shared" si="7"/>
        <v>0</v>
      </c>
      <c r="J53" s="120" t="str">
        <f t="shared" si="6"/>
        <v>#DIV/0!</v>
      </c>
      <c r="K53" s="121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13"/>
      <c r="B54" s="123">
        <v>1648.0</v>
      </c>
      <c r="C54" s="126" t="s">
        <v>234</v>
      </c>
      <c r="D54" s="102"/>
      <c r="E54" s="115"/>
      <c r="F54" s="119"/>
      <c r="G54" s="117"/>
      <c r="H54" s="132"/>
      <c r="I54" s="119">
        <f t="shared" si="7"/>
        <v>0</v>
      </c>
      <c r="J54" s="120" t="str">
        <f t="shared" si="6"/>
        <v>#DIV/0!</v>
      </c>
      <c r="K54" s="121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13"/>
      <c r="B55" s="123">
        <v>1649.0</v>
      </c>
      <c r="C55" s="126" t="s">
        <v>234</v>
      </c>
      <c r="D55" s="102"/>
      <c r="E55" s="115"/>
      <c r="F55" s="119"/>
      <c r="G55" s="117"/>
      <c r="H55" s="132"/>
      <c r="I55" s="119">
        <f t="shared" si="7"/>
        <v>0</v>
      </c>
      <c r="J55" s="120" t="str">
        <f t="shared" si="6"/>
        <v>#DIV/0!</v>
      </c>
      <c r="K55" s="121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13"/>
      <c r="B56" s="123">
        <v>1650.0</v>
      </c>
      <c r="C56" s="126" t="s">
        <v>234</v>
      </c>
      <c r="D56" s="102"/>
      <c r="E56" s="115"/>
      <c r="F56" s="119"/>
      <c r="G56" s="117"/>
      <c r="H56" s="132"/>
      <c r="I56" s="119">
        <f t="shared" si="7"/>
        <v>0</v>
      </c>
      <c r="J56" s="120" t="str">
        <f t="shared" si="6"/>
        <v>#DIV/0!</v>
      </c>
      <c r="K56" s="121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22">
        <v>46055.0</v>
      </c>
      <c r="B57" s="129">
        <v>1665.0</v>
      </c>
      <c r="C57" s="115" t="s">
        <v>235</v>
      </c>
      <c r="D57" s="102" t="s">
        <v>236</v>
      </c>
      <c r="E57" s="115" t="s">
        <v>50</v>
      </c>
      <c r="F57" s="133">
        <v>40246.0</v>
      </c>
      <c r="G57" s="125">
        <v>26078.0</v>
      </c>
      <c r="H57" s="132"/>
      <c r="I57" s="119">
        <f t="shared" si="7"/>
        <v>14168</v>
      </c>
      <c r="J57" s="120">
        <f t="shared" si="6"/>
        <v>0.3520349848</v>
      </c>
      <c r="K57" s="121">
        <f t="shared" ref="K57:K60" si="9">I57*0.2</f>
        <v>2833.6</v>
      </c>
      <c r="L57" s="127" t="s">
        <v>237</v>
      </c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22">
        <v>46055.0</v>
      </c>
      <c r="B58" s="129">
        <v>1666.0</v>
      </c>
      <c r="C58" s="115" t="s">
        <v>235</v>
      </c>
      <c r="D58" s="102" t="s">
        <v>236</v>
      </c>
      <c r="E58" s="115" t="s">
        <v>50</v>
      </c>
      <c r="F58" s="128">
        <v>7100.0</v>
      </c>
      <c r="G58" s="125">
        <v>5518.0</v>
      </c>
      <c r="H58" s="132"/>
      <c r="I58" s="119">
        <f t="shared" si="7"/>
        <v>1582</v>
      </c>
      <c r="J58" s="120">
        <f t="shared" si="6"/>
        <v>0.2228169014</v>
      </c>
      <c r="K58" s="121">
        <f t="shared" si="9"/>
        <v>316.4</v>
      </c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22">
        <v>46055.0</v>
      </c>
      <c r="B59" s="129">
        <v>1667.0</v>
      </c>
      <c r="C59" s="115" t="s">
        <v>231</v>
      </c>
      <c r="D59" s="102" t="s">
        <v>84</v>
      </c>
      <c r="E59" s="115" t="s">
        <v>211</v>
      </c>
      <c r="F59" s="128">
        <v>4800.0</v>
      </c>
      <c r="G59" s="125">
        <v>2785.0</v>
      </c>
      <c r="H59" s="132"/>
      <c r="I59" s="119">
        <f t="shared" si="7"/>
        <v>2015</v>
      </c>
      <c r="J59" s="120">
        <f t="shared" si="6"/>
        <v>0.4197916667</v>
      </c>
      <c r="K59" s="121">
        <f t="shared" si="9"/>
        <v>403</v>
      </c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22">
        <v>46056.0</v>
      </c>
      <c r="B60" s="129">
        <v>1668.0</v>
      </c>
      <c r="C60" s="115" t="s">
        <v>235</v>
      </c>
      <c r="D60" s="102" t="s">
        <v>236</v>
      </c>
      <c r="E60" s="115" t="s">
        <v>50</v>
      </c>
      <c r="F60" s="133">
        <v>8835.0</v>
      </c>
      <c r="G60" s="125">
        <v>5645.0</v>
      </c>
      <c r="H60" s="132"/>
      <c r="I60" s="119">
        <f t="shared" si="7"/>
        <v>3190</v>
      </c>
      <c r="J60" s="120">
        <f t="shared" si="6"/>
        <v>0.3610639502</v>
      </c>
      <c r="K60" s="121">
        <f t="shared" si="9"/>
        <v>638</v>
      </c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5.75" customHeight="1">
      <c r="A61" s="122">
        <v>46056.0</v>
      </c>
      <c r="B61" s="129">
        <v>1669.0</v>
      </c>
      <c r="C61" s="115" t="s">
        <v>212</v>
      </c>
      <c r="D61" s="102" t="s">
        <v>213</v>
      </c>
      <c r="E61" s="115" t="s">
        <v>226</v>
      </c>
      <c r="F61" s="116">
        <v>4000.0</v>
      </c>
      <c r="G61" s="125">
        <v>1700.0</v>
      </c>
      <c r="H61" s="132"/>
      <c r="I61" s="119">
        <f t="shared" si="7"/>
        <v>2300</v>
      </c>
      <c r="J61" s="120">
        <f t="shared" si="6"/>
        <v>0.575</v>
      </c>
      <c r="K61" s="121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5.75" customHeight="1">
      <c r="A62" s="122">
        <v>46056.0</v>
      </c>
      <c r="B62" s="129">
        <v>1670.0</v>
      </c>
      <c r="C62" s="115" t="s">
        <v>238</v>
      </c>
      <c r="D62" s="102" t="s">
        <v>84</v>
      </c>
      <c r="E62" s="115" t="s">
        <v>211</v>
      </c>
      <c r="F62" s="128">
        <v>2400.0</v>
      </c>
      <c r="G62" s="125">
        <v>1500.0</v>
      </c>
      <c r="H62" s="132"/>
      <c r="I62" s="119">
        <f t="shared" si="7"/>
        <v>900</v>
      </c>
      <c r="J62" s="120">
        <f t="shared" si="6"/>
        <v>0.375</v>
      </c>
      <c r="K62" s="121">
        <f>I62*0.2</f>
        <v>180</v>
      </c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5.75" customHeight="1">
      <c r="A63" s="122">
        <v>46058.0</v>
      </c>
      <c r="B63" s="123">
        <v>1671.0</v>
      </c>
      <c r="C63" s="115" t="s">
        <v>212</v>
      </c>
      <c r="D63" s="127" t="s">
        <v>213</v>
      </c>
      <c r="E63" s="126" t="s">
        <v>226</v>
      </c>
      <c r="F63" s="133">
        <v>3201.0</v>
      </c>
      <c r="G63" s="125">
        <v>1299.0</v>
      </c>
      <c r="H63" s="132"/>
      <c r="I63" s="119">
        <f t="shared" si="7"/>
        <v>1902</v>
      </c>
      <c r="J63" s="120">
        <f t="shared" si="6"/>
        <v>0.5941893158</v>
      </c>
      <c r="K63" s="121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22">
        <v>46059.0</v>
      </c>
      <c r="B64" s="123">
        <v>1672.0</v>
      </c>
      <c r="C64" s="126">
        <v>2011.0</v>
      </c>
      <c r="D64" s="127" t="s">
        <v>213</v>
      </c>
      <c r="E64" s="126" t="s">
        <v>50</v>
      </c>
      <c r="F64" s="133">
        <v>1950.0</v>
      </c>
      <c r="G64" s="125">
        <v>1150.0</v>
      </c>
      <c r="H64" s="132"/>
      <c r="I64" s="119">
        <f t="shared" si="7"/>
        <v>800</v>
      </c>
      <c r="J64" s="120">
        <f t="shared" si="6"/>
        <v>0.4102564103</v>
      </c>
      <c r="K64" s="121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22">
        <v>46062.0</v>
      </c>
      <c r="B65" s="123">
        <v>1673.0</v>
      </c>
      <c r="C65" s="126" t="s">
        <v>212</v>
      </c>
      <c r="D65" s="127" t="s">
        <v>213</v>
      </c>
      <c r="E65" s="126" t="s">
        <v>226</v>
      </c>
      <c r="F65" s="133">
        <v>5370.0</v>
      </c>
      <c r="G65" s="125">
        <v>3340.0</v>
      </c>
      <c r="H65" s="132"/>
      <c r="I65" s="119">
        <f t="shared" si="7"/>
        <v>2030</v>
      </c>
      <c r="J65" s="120">
        <f t="shared" si="6"/>
        <v>0.3780260708</v>
      </c>
      <c r="K65" s="121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22">
        <v>46065.0</v>
      </c>
      <c r="B66" s="123">
        <v>1701.0</v>
      </c>
      <c r="C66" s="126" t="s">
        <v>216</v>
      </c>
      <c r="D66" s="102" t="s">
        <v>215</v>
      </c>
      <c r="E66" s="115"/>
      <c r="F66" s="133">
        <v>6150.0</v>
      </c>
      <c r="G66" s="125">
        <v>3820.0</v>
      </c>
      <c r="H66" s="132"/>
      <c r="I66" s="119">
        <f t="shared" si="7"/>
        <v>2330</v>
      </c>
      <c r="J66" s="120">
        <f t="shared" si="6"/>
        <v>0.3788617886</v>
      </c>
      <c r="K66" s="121">
        <f t="shared" ref="K66:K68" si="10">F66*0.01</f>
        <v>61.5</v>
      </c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22">
        <v>46065.0</v>
      </c>
      <c r="B67" s="123">
        <v>1702.0</v>
      </c>
      <c r="C67" s="126" t="s">
        <v>218</v>
      </c>
      <c r="D67" s="102" t="s">
        <v>215</v>
      </c>
      <c r="E67" s="115"/>
      <c r="F67" s="128">
        <v>8090.0</v>
      </c>
      <c r="G67" s="125">
        <v>5606.0</v>
      </c>
      <c r="H67" s="132"/>
      <c r="I67" s="119">
        <f t="shared" si="7"/>
        <v>2484</v>
      </c>
      <c r="J67" s="120">
        <f t="shared" si="6"/>
        <v>0.3070457355</v>
      </c>
      <c r="K67" s="121">
        <f t="shared" si="10"/>
        <v>80.9</v>
      </c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22">
        <v>46065.0</v>
      </c>
      <c r="B68" s="123">
        <v>1703.0</v>
      </c>
      <c r="C68" s="126" t="s">
        <v>223</v>
      </c>
      <c r="D68" s="102" t="s">
        <v>215</v>
      </c>
      <c r="E68" s="115"/>
      <c r="F68" s="128">
        <v>1900.0</v>
      </c>
      <c r="G68" s="125">
        <v>1250.0</v>
      </c>
      <c r="H68" s="132"/>
      <c r="I68" s="119">
        <f t="shared" si="7"/>
        <v>650</v>
      </c>
      <c r="J68" s="120">
        <f t="shared" si="6"/>
        <v>0.3421052632</v>
      </c>
      <c r="K68" s="121">
        <f t="shared" si="10"/>
        <v>19</v>
      </c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22">
        <v>46069.0</v>
      </c>
      <c r="B69" s="123">
        <v>1674.0</v>
      </c>
      <c r="C69" s="126" t="s">
        <v>239</v>
      </c>
      <c r="D69" s="102" t="s">
        <v>84</v>
      </c>
      <c r="E69" s="126" t="s">
        <v>211</v>
      </c>
      <c r="F69" s="128">
        <v>474.0</v>
      </c>
      <c r="G69" s="125">
        <v>168.28</v>
      </c>
      <c r="H69" s="132"/>
      <c r="I69" s="119">
        <f t="shared" si="7"/>
        <v>305.72</v>
      </c>
      <c r="J69" s="120">
        <f t="shared" si="6"/>
        <v>0.644978903</v>
      </c>
      <c r="K69" s="121">
        <f t="shared" ref="K69:K70" si="11">I69*0.2</f>
        <v>61.144</v>
      </c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22">
        <v>46070.0</v>
      </c>
      <c r="B70" s="151">
        <v>1675.0</v>
      </c>
      <c r="C70" s="152">
        <v>2011.0</v>
      </c>
      <c r="D70" s="102" t="s">
        <v>84</v>
      </c>
      <c r="E70" s="126" t="s">
        <v>211</v>
      </c>
      <c r="F70" s="128">
        <v>8980.0</v>
      </c>
      <c r="G70" s="125">
        <v>5640.0</v>
      </c>
      <c r="H70" s="132"/>
      <c r="I70" s="119">
        <f t="shared" si="7"/>
        <v>3340</v>
      </c>
      <c r="J70" s="120">
        <f t="shared" si="6"/>
        <v>0.3719376392</v>
      </c>
      <c r="K70" s="121">
        <f t="shared" si="11"/>
        <v>668</v>
      </c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22">
        <v>46066.0</v>
      </c>
      <c r="B71" s="123">
        <v>1704.0</v>
      </c>
      <c r="C71" s="126" t="s">
        <v>220</v>
      </c>
      <c r="D71" s="102" t="s">
        <v>215</v>
      </c>
      <c r="E71" s="115"/>
      <c r="F71" s="128">
        <v>6150.0</v>
      </c>
      <c r="G71" s="125">
        <v>3820.0</v>
      </c>
      <c r="H71" s="132"/>
      <c r="I71" s="119">
        <f t="shared" si="7"/>
        <v>2330</v>
      </c>
      <c r="J71" s="120">
        <f t="shared" si="6"/>
        <v>0.3788617886</v>
      </c>
      <c r="K71" s="121">
        <f t="shared" ref="K71:K81" si="12">F71*0.01</f>
        <v>61.5</v>
      </c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13"/>
      <c r="B72" s="151">
        <v>1705.0</v>
      </c>
      <c r="C72" s="126" t="s">
        <v>216</v>
      </c>
      <c r="D72" s="102" t="s">
        <v>215</v>
      </c>
      <c r="E72" s="115"/>
      <c r="F72" s="128">
        <v>8090.0</v>
      </c>
      <c r="G72" s="125">
        <v>5606.0</v>
      </c>
      <c r="H72" s="132"/>
      <c r="I72" s="119">
        <f t="shared" si="7"/>
        <v>2484</v>
      </c>
      <c r="J72" s="120">
        <f t="shared" si="6"/>
        <v>0.3070457355</v>
      </c>
      <c r="K72" s="121">
        <f t="shared" si="12"/>
        <v>80.9</v>
      </c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13"/>
      <c r="B73" s="123">
        <v>1706.0</v>
      </c>
      <c r="C73" s="126" t="s">
        <v>214</v>
      </c>
      <c r="D73" s="102" t="s">
        <v>215</v>
      </c>
      <c r="E73" s="115"/>
      <c r="F73" s="133">
        <v>1900.0</v>
      </c>
      <c r="G73" s="125">
        <v>1250.0</v>
      </c>
      <c r="H73" s="132"/>
      <c r="I73" s="119">
        <f t="shared" si="7"/>
        <v>650</v>
      </c>
      <c r="J73" s="120">
        <f t="shared" si="6"/>
        <v>0.3421052632</v>
      </c>
      <c r="K73" s="121">
        <f t="shared" si="12"/>
        <v>19</v>
      </c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13"/>
      <c r="B74" s="151">
        <v>1707.0</v>
      </c>
      <c r="C74" s="126" t="s">
        <v>220</v>
      </c>
      <c r="D74" s="102" t="s">
        <v>215</v>
      </c>
      <c r="E74" s="115"/>
      <c r="F74" s="128">
        <v>760.0</v>
      </c>
      <c r="G74" s="125">
        <v>520.0</v>
      </c>
      <c r="H74" s="132"/>
      <c r="I74" s="119">
        <f t="shared" si="7"/>
        <v>240</v>
      </c>
      <c r="J74" s="120">
        <f t="shared" si="6"/>
        <v>0.3157894737</v>
      </c>
      <c r="K74" s="121">
        <f t="shared" si="12"/>
        <v>7.6</v>
      </c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13"/>
      <c r="B75" s="123">
        <v>1708.0</v>
      </c>
      <c r="C75" s="126" t="s">
        <v>220</v>
      </c>
      <c r="D75" s="102" t="s">
        <v>215</v>
      </c>
      <c r="E75" s="115"/>
      <c r="F75" s="128">
        <v>5000.0</v>
      </c>
      <c r="G75" s="125">
        <v>4000.0</v>
      </c>
      <c r="H75" s="132"/>
      <c r="I75" s="119">
        <f t="shared" si="7"/>
        <v>1000</v>
      </c>
      <c r="J75" s="120">
        <f t="shared" si="6"/>
        <v>0.2</v>
      </c>
      <c r="K75" s="121">
        <f t="shared" si="12"/>
        <v>50</v>
      </c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13"/>
      <c r="B76" s="151">
        <v>1709.0</v>
      </c>
      <c r="C76" s="126" t="s">
        <v>217</v>
      </c>
      <c r="D76" s="102" t="s">
        <v>215</v>
      </c>
      <c r="E76" s="115"/>
      <c r="F76" s="133">
        <v>8500.0</v>
      </c>
      <c r="G76" s="125">
        <v>5450.0</v>
      </c>
      <c r="H76" s="132"/>
      <c r="I76" s="119">
        <f t="shared" si="7"/>
        <v>3050</v>
      </c>
      <c r="J76" s="120">
        <f t="shared" si="6"/>
        <v>0.3588235294</v>
      </c>
      <c r="K76" s="121">
        <f t="shared" si="12"/>
        <v>85</v>
      </c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13"/>
      <c r="B77" s="123">
        <v>1710.0</v>
      </c>
      <c r="C77" s="126" t="s">
        <v>222</v>
      </c>
      <c r="D77" s="102" t="s">
        <v>215</v>
      </c>
      <c r="E77" s="115"/>
      <c r="F77" s="128">
        <v>2660.0</v>
      </c>
      <c r="G77" s="125">
        <v>1820.0</v>
      </c>
      <c r="H77" s="132"/>
      <c r="I77" s="119">
        <f t="shared" si="7"/>
        <v>840</v>
      </c>
      <c r="J77" s="120">
        <f t="shared" si="6"/>
        <v>0.3157894737</v>
      </c>
      <c r="K77" s="121">
        <f t="shared" si="12"/>
        <v>26.6</v>
      </c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13"/>
      <c r="B78" s="123">
        <v>1711.0</v>
      </c>
      <c r="C78" s="126" t="s">
        <v>217</v>
      </c>
      <c r="D78" s="102" t="s">
        <v>215</v>
      </c>
      <c r="E78" s="115"/>
      <c r="F78" s="128">
        <v>4650.0</v>
      </c>
      <c r="G78" s="125">
        <v>3150.0</v>
      </c>
      <c r="H78" s="132"/>
      <c r="I78" s="119">
        <f t="shared" si="7"/>
        <v>1500</v>
      </c>
      <c r="J78" s="120">
        <f t="shared" si="6"/>
        <v>0.3225806452</v>
      </c>
      <c r="K78" s="121">
        <f t="shared" si="12"/>
        <v>46.5</v>
      </c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13"/>
      <c r="B79" s="123">
        <v>1712.0</v>
      </c>
      <c r="C79" s="126" t="s">
        <v>216</v>
      </c>
      <c r="D79" s="102" t="s">
        <v>215</v>
      </c>
      <c r="E79" s="115"/>
      <c r="F79" s="133">
        <v>8300.0</v>
      </c>
      <c r="G79" s="125">
        <v>5450.0</v>
      </c>
      <c r="H79" s="132"/>
      <c r="I79" s="119">
        <f t="shared" si="7"/>
        <v>2850</v>
      </c>
      <c r="J79" s="120">
        <f t="shared" si="6"/>
        <v>0.343373494</v>
      </c>
      <c r="K79" s="121">
        <f t="shared" si="12"/>
        <v>83</v>
      </c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13"/>
      <c r="B80" s="123">
        <v>1713.0</v>
      </c>
      <c r="C80" s="126" t="s">
        <v>220</v>
      </c>
      <c r="D80" s="102" t="s">
        <v>215</v>
      </c>
      <c r="E80" s="115"/>
      <c r="F80" s="128">
        <v>5600.0</v>
      </c>
      <c r="G80" s="125">
        <v>4000.0</v>
      </c>
      <c r="H80" s="132"/>
      <c r="I80" s="119">
        <f t="shared" si="7"/>
        <v>1600</v>
      </c>
      <c r="J80" s="120">
        <f t="shared" si="6"/>
        <v>0.2857142857</v>
      </c>
      <c r="K80" s="121">
        <f t="shared" si="12"/>
        <v>56</v>
      </c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22">
        <v>46072.0</v>
      </c>
      <c r="B81" s="123">
        <v>1714.0</v>
      </c>
      <c r="C81" s="126" t="s">
        <v>240</v>
      </c>
      <c r="D81" s="102" t="s">
        <v>215</v>
      </c>
      <c r="E81" s="115"/>
      <c r="F81" s="128">
        <v>4800.0</v>
      </c>
      <c r="G81" s="125">
        <v>2820.0</v>
      </c>
      <c r="H81" s="132"/>
      <c r="I81" s="119">
        <f t="shared" si="7"/>
        <v>1980</v>
      </c>
      <c r="J81" s="120">
        <f t="shared" si="6"/>
        <v>0.4125</v>
      </c>
      <c r="K81" s="121">
        <f t="shared" si="12"/>
        <v>48</v>
      </c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22">
        <v>46077.0</v>
      </c>
      <c r="B82" s="123">
        <v>1676.0</v>
      </c>
      <c r="C82" s="126" t="s">
        <v>241</v>
      </c>
      <c r="D82" s="102" t="s">
        <v>84</v>
      </c>
      <c r="E82" s="115"/>
      <c r="F82" s="128">
        <v>4950.0</v>
      </c>
      <c r="G82" s="125">
        <v>2637.4</v>
      </c>
      <c r="H82" s="132"/>
      <c r="I82" s="119">
        <f t="shared" si="7"/>
        <v>2312.6</v>
      </c>
      <c r="J82" s="120">
        <f t="shared" si="6"/>
        <v>0.4671919192</v>
      </c>
      <c r="K82" s="121">
        <f>I82*0.2</f>
        <v>462.52</v>
      </c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22">
        <v>46079.0</v>
      </c>
      <c r="B83" s="123">
        <v>1677.0</v>
      </c>
      <c r="C83" s="126" t="s">
        <v>212</v>
      </c>
      <c r="D83" s="127" t="s">
        <v>213</v>
      </c>
      <c r="E83" s="126" t="s">
        <v>226</v>
      </c>
      <c r="F83" s="128">
        <v>4000.6</v>
      </c>
      <c r="G83" s="125">
        <v>1700.0</v>
      </c>
      <c r="H83" s="132"/>
      <c r="I83" s="119">
        <f t="shared" si="7"/>
        <v>2300.6</v>
      </c>
      <c r="J83" s="120">
        <f t="shared" si="6"/>
        <v>0.5750637404</v>
      </c>
      <c r="K83" s="121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13"/>
      <c r="B84" s="123">
        <v>1678.0</v>
      </c>
      <c r="C84" s="126" t="s">
        <v>242</v>
      </c>
      <c r="D84" s="127" t="s">
        <v>213</v>
      </c>
      <c r="E84" s="126" t="s">
        <v>226</v>
      </c>
      <c r="F84" s="128">
        <v>18144.0</v>
      </c>
      <c r="G84" s="125">
        <v>14144.0</v>
      </c>
      <c r="H84" s="132"/>
      <c r="I84" s="119">
        <f t="shared" si="7"/>
        <v>4000</v>
      </c>
      <c r="J84" s="120">
        <f t="shared" si="6"/>
        <v>0.2204585538</v>
      </c>
      <c r="K84" s="121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22">
        <v>46079.0</v>
      </c>
      <c r="B85" s="123">
        <v>1679.0</v>
      </c>
      <c r="C85" s="126" t="s">
        <v>241</v>
      </c>
      <c r="D85" s="102" t="s">
        <v>84</v>
      </c>
      <c r="E85" s="115"/>
      <c r="F85" s="128">
        <v>4761.0</v>
      </c>
      <c r="G85" s="125">
        <v>3975.0</v>
      </c>
      <c r="H85" s="132"/>
      <c r="I85" s="119">
        <f t="shared" si="7"/>
        <v>786</v>
      </c>
      <c r="J85" s="120">
        <f t="shared" si="6"/>
        <v>0.1650913674</v>
      </c>
      <c r="K85" s="121">
        <f>I85*0.2</f>
        <v>157.2</v>
      </c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22">
        <v>46073.0</v>
      </c>
      <c r="B86" s="123">
        <v>1715.0</v>
      </c>
      <c r="C86" s="126" t="s">
        <v>243</v>
      </c>
      <c r="D86" s="102" t="s">
        <v>215</v>
      </c>
      <c r="E86" s="115"/>
      <c r="F86" s="133">
        <v>26500.0</v>
      </c>
      <c r="G86" s="125">
        <v>23672.0</v>
      </c>
      <c r="H86" s="132"/>
      <c r="I86" s="119">
        <f t="shared" si="7"/>
        <v>2828</v>
      </c>
      <c r="J86" s="120">
        <f t="shared" si="6"/>
        <v>0.1067169811</v>
      </c>
      <c r="K86" s="121">
        <f t="shared" ref="K86:K95" si="13">F86*0.01</f>
        <v>265</v>
      </c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13"/>
      <c r="B87" s="123">
        <v>1716.0</v>
      </c>
      <c r="C87" s="126" t="s">
        <v>216</v>
      </c>
      <c r="D87" s="102" t="s">
        <v>215</v>
      </c>
      <c r="E87" s="115"/>
      <c r="F87" s="128">
        <v>1800.0</v>
      </c>
      <c r="G87" s="125">
        <v>850.0</v>
      </c>
      <c r="H87" s="132"/>
      <c r="I87" s="119">
        <f t="shared" si="7"/>
        <v>950</v>
      </c>
      <c r="J87" s="120">
        <f t="shared" si="6"/>
        <v>0.5277777778</v>
      </c>
      <c r="K87" s="121">
        <f t="shared" si="13"/>
        <v>18</v>
      </c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22">
        <v>46077.0</v>
      </c>
      <c r="B88" s="123">
        <v>1717.0</v>
      </c>
      <c r="C88" s="126" t="s">
        <v>220</v>
      </c>
      <c r="D88" s="102" t="s">
        <v>215</v>
      </c>
      <c r="E88" s="115"/>
      <c r="F88" s="133">
        <v>2560.0</v>
      </c>
      <c r="G88" s="125">
        <v>1560.0</v>
      </c>
      <c r="H88" s="132"/>
      <c r="I88" s="119">
        <f t="shared" si="7"/>
        <v>1000</v>
      </c>
      <c r="J88" s="120">
        <f t="shared" si="6"/>
        <v>0.390625</v>
      </c>
      <c r="K88" s="121">
        <f t="shared" si="13"/>
        <v>25.6</v>
      </c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13"/>
      <c r="B89" s="123">
        <v>1718.0</v>
      </c>
      <c r="C89" s="126" t="s">
        <v>220</v>
      </c>
      <c r="D89" s="102" t="s">
        <v>215</v>
      </c>
      <c r="E89" s="115"/>
      <c r="F89" s="128">
        <v>500.0</v>
      </c>
      <c r="G89" s="125">
        <v>240.0</v>
      </c>
      <c r="H89" s="132"/>
      <c r="I89" s="119">
        <f t="shared" si="7"/>
        <v>260</v>
      </c>
      <c r="J89" s="120">
        <f t="shared" si="6"/>
        <v>0.52</v>
      </c>
      <c r="K89" s="121">
        <f t="shared" si="13"/>
        <v>5</v>
      </c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13"/>
      <c r="B90" s="123">
        <v>1719.0</v>
      </c>
      <c r="C90" s="126" t="s">
        <v>220</v>
      </c>
      <c r="D90" s="102" t="s">
        <v>215</v>
      </c>
      <c r="E90" s="115"/>
      <c r="F90" s="133">
        <v>1800.0</v>
      </c>
      <c r="G90" s="125">
        <v>1300.0</v>
      </c>
      <c r="H90" s="132"/>
      <c r="I90" s="119">
        <f t="shared" si="7"/>
        <v>500</v>
      </c>
      <c r="J90" s="120">
        <f t="shared" si="6"/>
        <v>0.2777777778</v>
      </c>
      <c r="K90" s="121">
        <f t="shared" si="13"/>
        <v>18</v>
      </c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22">
        <v>46079.0</v>
      </c>
      <c r="B91" s="123">
        <v>1720.0</v>
      </c>
      <c r="C91" s="126">
        <v>2011.0</v>
      </c>
      <c r="D91" s="102" t="s">
        <v>215</v>
      </c>
      <c r="E91" s="115"/>
      <c r="F91" s="133">
        <v>5900.0</v>
      </c>
      <c r="G91" s="125">
        <v>4180.0</v>
      </c>
      <c r="H91" s="132"/>
      <c r="I91" s="119">
        <f t="shared" si="7"/>
        <v>1720</v>
      </c>
      <c r="J91" s="120">
        <f t="shared" si="6"/>
        <v>0.2915254237</v>
      </c>
      <c r="K91" s="121">
        <f t="shared" si="13"/>
        <v>59</v>
      </c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13"/>
      <c r="B92" s="123">
        <v>1721.0</v>
      </c>
      <c r="C92" s="126" t="s">
        <v>217</v>
      </c>
      <c r="D92" s="102" t="s">
        <v>215</v>
      </c>
      <c r="E92" s="115"/>
      <c r="F92" s="128">
        <v>12100.0</v>
      </c>
      <c r="G92" s="125">
        <v>7850.0</v>
      </c>
      <c r="H92" s="132"/>
      <c r="I92" s="119">
        <f t="shared" si="7"/>
        <v>4250</v>
      </c>
      <c r="J92" s="120">
        <f t="shared" si="6"/>
        <v>0.3512396694</v>
      </c>
      <c r="K92" s="121">
        <f t="shared" si="13"/>
        <v>121</v>
      </c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13"/>
      <c r="B93" s="123">
        <v>1722.0</v>
      </c>
      <c r="C93" s="126" t="s">
        <v>216</v>
      </c>
      <c r="D93" s="102" t="s">
        <v>215</v>
      </c>
      <c r="E93" s="115"/>
      <c r="F93" s="128">
        <v>9420.0</v>
      </c>
      <c r="G93" s="125">
        <v>5960.0</v>
      </c>
      <c r="H93" s="132"/>
      <c r="I93" s="119">
        <f t="shared" si="7"/>
        <v>3460</v>
      </c>
      <c r="J93" s="120">
        <f t="shared" si="6"/>
        <v>0.3673036093</v>
      </c>
      <c r="K93" s="121">
        <f t="shared" si="13"/>
        <v>94.2</v>
      </c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13"/>
      <c r="B94" s="123">
        <v>1723.0</v>
      </c>
      <c r="C94" s="126" t="s">
        <v>244</v>
      </c>
      <c r="D94" s="102" t="s">
        <v>215</v>
      </c>
      <c r="E94" s="115"/>
      <c r="F94" s="128">
        <v>10600.0</v>
      </c>
      <c r="G94" s="125">
        <v>5795.0</v>
      </c>
      <c r="H94" s="132"/>
      <c r="I94" s="119">
        <f t="shared" si="7"/>
        <v>4805</v>
      </c>
      <c r="J94" s="120">
        <f t="shared" si="6"/>
        <v>0.4533018868</v>
      </c>
      <c r="K94" s="121">
        <f t="shared" si="13"/>
        <v>106</v>
      </c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13"/>
      <c r="B95" s="123">
        <v>1724.0</v>
      </c>
      <c r="C95" s="126" t="s">
        <v>245</v>
      </c>
      <c r="D95" s="102" t="s">
        <v>215</v>
      </c>
      <c r="E95" s="115"/>
      <c r="F95" s="128">
        <v>9600.0</v>
      </c>
      <c r="G95" s="125">
        <v>3100.0</v>
      </c>
      <c r="H95" s="132"/>
      <c r="I95" s="119">
        <f t="shared" si="7"/>
        <v>6500</v>
      </c>
      <c r="J95" s="120">
        <f t="shared" si="6"/>
        <v>0.6770833333</v>
      </c>
      <c r="K95" s="121">
        <f t="shared" si="13"/>
        <v>96</v>
      </c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22">
        <v>46080.0</v>
      </c>
      <c r="B96" s="123">
        <v>1680.0</v>
      </c>
      <c r="C96" s="126">
        <v>2011.0</v>
      </c>
      <c r="D96" s="127" t="s">
        <v>213</v>
      </c>
      <c r="E96" s="115"/>
      <c r="F96" s="133">
        <v>4240.0</v>
      </c>
      <c r="G96" s="125">
        <v>3000.0</v>
      </c>
      <c r="H96" s="132"/>
      <c r="I96" s="119">
        <f t="shared" si="7"/>
        <v>1240</v>
      </c>
      <c r="J96" s="120">
        <f t="shared" si="6"/>
        <v>0.2924528302</v>
      </c>
      <c r="K96" s="121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22">
        <v>46081.0</v>
      </c>
      <c r="B97" s="123">
        <v>1681.0</v>
      </c>
      <c r="C97" s="126" t="s">
        <v>241</v>
      </c>
      <c r="D97" s="102" t="s">
        <v>84</v>
      </c>
      <c r="E97" s="115"/>
      <c r="F97" s="128">
        <v>4943.0</v>
      </c>
      <c r="G97" s="125">
        <v>2637.4</v>
      </c>
      <c r="H97" s="132"/>
      <c r="I97" s="119">
        <f t="shared" si="7"/>
        <v>2305.6</v>
      </c>
      <c r="J97" s="120">
        <f t="shared" si="6"/>
        <v>0.4664373862</v>
      </c>
      <c r="K97" s="121">
        <f>I97*0.2</f>
        <v>461.12</v>
      </c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22">
        <v>46080.0</v>
      </c>
      <c r="B98" s="123">
        <v>1725.0</v>
      </c>
      <c r="C98" s="126" t="s">
        <v>246</v>
      </c>
      <c r="D98" s="102" t="s">
        <v>215</v>
      </c>
      <c r="E98" s="115"/>
      <c r="F98" s="128">
        <v>1400.0</v>
      </c>
      <c r="G98" s="153">
        <v>780.0</v>
      </c>
      <c r="H98" s="132"/>
      <c r="I98" s="119">
        <f t="shared" si="7"/>
        <v>620</v>
      </c>
      <c r="J98" s="120">
        <f t="shared" si="6"/>
        <v>0.4428571429</v>
      </c>
      <c r="K98" s="121">
        <f t="shared" ref="K98:K102" si="14">F98*0.01</f>
        <v>14</v>
      </c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22"/>
      <c r="B99" s="123">
        <v>1726.0</v>
      </c>
      <c r="C99" s="126" t="s">
        <v>246</v>
      </c>
      <c r="D99" s="102" t="s">
        <v>215</v>
      </c>
      <c r="E99" s="115"/>
      <c r="F99" s="128">
        <v>760.0</v>
      </c>
      <c r="G99" s="153">
        <v>460.0</v>
      </c>
      <c r="H99" s="132"/>
      <c r="I99" s="119">
        <f t="shared" si="7"/>
        <v>300</v>
      </c>
      <c r="J99" s="120">
        <f t="shared" si="6"/>
        <v>0.3947368421</v>
      </c>
      <c r="K99" s="121">
        <f t="shared" si="14"/>
        <v>7.6</v>
      </c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22"/>
      <c r="B100" s="123">
        <v>1727.0</v>
      </c>
      <c r="C100" s="126" t="s">
        <v>216</v>
      </c>
      <c r="D100" s="102" t="s">
        <v>215</v>
      </c>
      <c r="E100" s="115"/>
      <c r="F100" s="128">
        <v>1400.0</v>
      </c>
      <c r="G100" s="153">
        <v>1100.0</v>
      </c>
      <c r="H100" s="132"/>
      <c r="I100" s="119">
        <f t="shared" si="7"/>
        <v>300</v>
      </c>
      <c r="J100" s="120">
        <f t="shared" si="6"/>
        <v>0.2142857143</v>
      </c>
      <c r="K100" s="121">
        <f t="shared" si="14"/>
        <v>14</v>
      </c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22"/>
      <c r="B101" s="123">
        <v>1728.0</v>
      </c>
      <c r="C101" s="126" t="s">
        <v>247</v>
      </c>
      <c r="D101" s="102" t="s">
        <v>215</v>
      </c>
      <c r="E101" s="115"/>
      <c r="F101" s="128">
        <v>760.0</v>
      </c>
      <c r="G101" s="153">
        <v>520.0</v>
      </c>
      <c r="H101" s="132"/>
      <c r="I101" s="119">
        <f t="shared" si="7"/>
        <v>240</v>
      </c>
      <c r="J101" s="120">
        <f t="shared" si="6"/>
        <v>0.3157894737</v>
      </c>
      <c r="K101" s="121">
        <f t="shared" si="14"/>
        <v>7.6</v>
      </c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22"/>
      <c r="B102" s="123">
        <v>1729.0</v>
      </c>
      <c r="C102" s="126" t="s">
        <v>246</v>
      </c>
      <c r="D102" s="102" t="s">
        <v>215</v>
      </c>
      <c r="E102" s="115"/>
      <c r="F102" s="128">
        <v>1750.0</v>
      </c>
      <c r="G102" s="153">
        <v>1300.0</v>
      </c>
      <c r="H102" s="132"/>
      <c r="I102" s="119">
        <f t="shared" si="7"/>
        <v>450</v>
      </c>
      <c r="J102" s="120">
        <f t="shared" si="6"/>
        <v>0.2571428571</v>
      </c>
      <c r="K102" s="121">
        <f t="shared" si="14"/>
        <v>17.5</v>
      </c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24.0" customHeight="1">
      <c r="A103" s="154" t="s">
        <v>248</v>
      </c>
      <c r="B103" s="143"/>
      <c r="C103" s="144" t="s">
        <v>249</v>
      </c>
      <c r="D103" s="143"/>
      <c r="E103" s="143"/>
      <c r="F103" s="145">
        <f t="shared" ref="F103:G103" si="15">sum(F104:F169)</f>
        <v>676068</v>
      </c>
      <c r="G103" s="146">
        <f t="shared" si="15"/>
        <v>521692.8</v>
      </c>
      <c r="H103" s="147">
        <f>sum(H104:H147)</f>
        <v>5500</v>
      </c>
      <c r="I103" s="146">
        <f>sum(I104:I169)</f>
        <v>148875.2</v>
      </c>
      <c r="J103" s="148">
        <f t="shared" si="6"/>
        <v>0.2202074348</v>
      </c>
      <c r="K103" s="155">
        <f>SUM(K104:K169)</f>
        <v>3061.1</v>
      </c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5.75" customHeight="1">
      <c r="A104" s="122">
        <v>46085.0</v>
      </c>
      <c r="B104" s="156">
        <v>1682.0</v>
      </c>
      <c r="C104" s="126" t="s">
        <v>242</v>
      </c>
      <c r="D104" s="127" t="s">
        <v>250</v>
      </c>
      <c r="E104" s="126" t="s">
        <v>226</v>
      </c>
      <c r="F104" s="133">
        <v>3948.0</v>
      </c>
      <c r="G104" s="125">
        <v>1220.0</v>
      </c>
      <c r="H104" s="132"/>
      <c r="I104" s="119">
        <f t="shared" ref="I104:I169" si="16">F:F-G:G-H:H</f>
        <v>2728</v>
      </c>
      <c r="J104" s="120">
        <f t="shared" si="6"/>
        <v>0.6909827761</v>
      </c>
      <c r="K104" s="121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22">
        <v>46087.0</v>
      </c>
      <c r="B105" s="123">
        <v>1683.0</v>
      </c>
      <c r="C105" s="126" t="s">
        <v>251</v>
      </c>
      <c r="D105" s="127" t="s">
        <v>213</v>
      </c>
      <c r="E105" s="115"/>
      <c r="F105" s="128">
        <v>678.0</v>
      </c>
      <c r="G105" s="125">
        <v>547.0</v>
      </c>
      <c r="H105" s="132"/>
      <c r="I105" s="119">
        <f t="shared" si="16"/>
        <v>131</v>
      </c>
      <c r="J105" s="120">
        <f t="shared" si="6"/>
        <v>0.1932153392</v>
      </c>
      <c r="K105" s="121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22">
        <v>46087.0</v>
      </c>
      <c r="B106" s="123">
        <v>1684.0</v>
      </c>
      <c r="C106" s="126" t="s">
        <v>251</v>
      </c>
      <c r="D106" s="127" t="s">
        <v>213</v>
      </c>
      <c r="E106" s="115"/>
      <c r="F106" s="128">
        <v>230.0</v>
      </c>
      <c r="G106" s="125">
        <v>170.0</v>
      </c>
      <c r="H106" s="132"/>
      <c r="I106" s="119">
        <f t="shared" si="16"/>
        <v>60</v>
      </c>
      <c r="J106" s="120">
        <f t="shared" si="6"/>
        <v>0.2608695652</v>
      </c>
      <c r="K106" s="121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22">
        <v>46085.0</v>
      </c>
      <c r="B107" s="123">
        <v>1730.0</v>
      </c>
      <c r="C107" s="126" t="s">
        <v>252</v>
      </c>
      <c r="D107" s="127" t="s">
        <v>215</v>
      </c>
      <c r="E107" s="115"/>
      <c r="F107" s="133">
        <v>380.0</v>
      </c>
      <c r="G107" s="125">
        <v>230.0</v>
      </c>
      <c r="H107" s="132"/>
      <c r="I107" s="119">
        <f t="shared" si="16"/>
        <v>150</v>
      </c>
      <c r="J107" s="120">
        <f t="shared" si="6"/>
        <v>0.3947368421</v>
      </c>
      <c r="K107" s="121">
        <f t="shared" ref="K107:K119" si="17">F107*0.01</f>
        <v>3.8</v>
      </c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13"/>
      <c r="B108" s="123">
        <v>1731.0</v>
      </c>
      <c r="C108" s="126" t="s">
        <v>246</v>
      </c>
      <c r="D108" s="127" t="s">
        <v>215</v>
      </c>
      <c r="E108" s="115"/>
      <c r="F108" s="128">
        <v>3700.0</v>
      </c>
      <c r="G108" s="125">
        <v>2400.0</v>
      </c>
      <c r="H108" s="132"/>
      <c r="I108" s="119">
        <f t="shared" si="16"/>
        <v>1300</v>
      </c>
      <c r="J108" s="120">
        <f t="shared" si="6"/>
        <v>0.3513513514</v>
      </c>
      <c r="K108" s="121">
        <f t="shared" si="17"/>
        <v>37</v>
      </c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13"/>
      <c r="B109" s="123">
        <v>1732.0</v>
      </c>
      <c r="C109" s="126" t="s">
        <v>217</v>
      </c>
      <c r="D109" s="127" t="s">
        <v>215</v>
      </c>
      <c r="E109" s="115"/>
      <c r="F109" s="133">
        <v>9400.0</v>
      </c>
      <c r="G109" s="125">
        <v>8372.0</v>
      </c>
      <c r="H109" s="132"/>
      <c r="I109" s="119">
        <f t="shared" si="16"/>
        <v>1028</v>
      </c>
      <c r="J109" s="120">
        <f t="shared" si="6"/>
        <v>0.1093617021</v>
      </c>
      <c r="K109" s="121">
        <f t="shared" si="17"/>
        <v>94</v>
      </c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22">
        <v>46085.0</v>
      </c>
      <c r="B110" s="123">
        <v>1733.0</v>
      </c>
      <c r="C110" s="126" t="s">
        <v>246</v>
      </c>
      <c r="D110" s="127" t="s">
        <v>215</v>
      </c>
      <c r="E110" s="115"/>
      <c r="F110" s="128">
        <v>1400.0</v>
      </c>
      <c r="G110" s="125">
        <v>780.0</v>
      </c>
      <c r="H110" s="132"/>
      <c r="I110" s="119">
        <f t="shared" si="16"/>
        <v>620</v>
      </c>
      <c r="J110" s="120">
        <f t="shared" si="6"/>
        <v>0.4428571429</v>
      </c>
      <c r="K110" s="121">
        <f t="shared" si="17"/>
        <v>14</v>
      </c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13"/>
      <c r="B111" s="123">
        <v>1734.0</v>
      </c>
      <c r="C111" s="126" t="s">
        <v>219</v>
      </c>
      <c r="D111" s="127" t="s">
        <v>215</v>
      </c>
      <c r="E111" s="115"/>
      <c r="F111" s="128">
        <v>1500.0</v>
      </c>
      <c r="G111" s="125">
        <v>1050.0</v>
      </c>
      <c r="H111" s="132"/>
      <c r="I111" s="119">
        <f t="shared" si="16"/>
        <v>450</v>
      </c>
      <c r="J111" s="120">
        <f t="shared" si="6"/>
        <v>0.3</v>
      </c>
      <c r="K111" s="121">
        <f t="shared" si="17"/>
        <v>15</v>
      </c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13"/>
      <c r="B112" s="157">
        <v>1735.0</v>
      </c>
      <c r="C112" s="158" t="s">
        <v>253</v>
      </c>
      <c r="D112" s="127" t="s">
        <v>215</v>
      </c>
      <c r="E112" s="115"/>
      <c r="F112" s="119"/>
      <c r="G112" s="117"/>
      <c r="H112" s="132"/>
      <c r="I112" s="119">
        <f t="shared" si="16"/>
        <v>0</v>
      </c>
      <c r="J112" s="120" t="str">
        <f t="shared" si="6"/>
        <v>#DIV/0!</v>
      </c>
      <c r="K112" s="121">
        <f t="shared" si="17"/>
        <v>0</v>
      </c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22">
        <v>46086.0</v>
      </c>
      <c r="B113" s="123">
        <v>1736.0</v>
      </c>
      <c r="C113" s="126" t="s">
        <v>254</v>
      </c>
      <c r="D113" s="127" t="s">
        <v>215</v>
      </c>
      <c r="E113" s="115"/>
      <c r="F113" s="128">
        <v>9400.0</v>
      </c>
      <c r="G113" s="125">
        <v>7852.0</v>
      </c>
      <c r="H113" s="132"/>
      <c r="I113" s="119">
        <f t="shared" si="16"/>
        <v>1548</v>
      </c>
      <c r="J113" s="120">
        <f t="shared" si="6"/>
        <v>0.1646808511</v>
      </c>
      <c r="K113" s="121">
        <f t="shared" si="17"/>
        <v>94</v>
      </c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13"/>
      <c r="B114" s="123">
        <v>1737.0</v>
      </c>
      <c r="C114" s="126" t="s">
        <v>243</v>
      </c>
      <c r="D114" s="127" t="s">
        <v>215</v>
      </c>
      <c r="E114" s="115"/>
      <c r="F114" s="133">
        <v>17900.0</v>
      </c>
      <c r="G114" s="125">
        <v>11832.0</v>
      </c>
      <c r="H114" s="132"/>
      <c r="I114" s="119">
        <f t="shared" si="16"/>
        <v>6068</v>
      </c>
      <c r="J114" s="120">
        <f t="shared" si="6"/>
        <v>0.3389944134</v>
      </c>
      <c r="K114" s="121">
        <f t="shared" si="17"/>
        <v>179</v>
      </c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13"/>
      <c r="B115" s="123">
        <v>1738.0</v>
      </c>
      <c r="C115" s="126" t="s">
        <v>254</v>
      </c>
      <c r="D115" s="127" t="s">
        <v>215</v>
      </c>
      <c r="E115" s="115"/>
      <c r="F115" s="128">
        <v>1300.0</v>
      </c>
      <c r="G115" s="125">
        <v>1560.0</v>
      </c>
      <c r="H115" s="132"/>
      <c r="I115" s="119">
        <f t="shared" si="16"/>
        <v>-260</v>
      </c>
      <c r="J115" s="120">
        <f t="shared" si="6"/>
        <v>-0.2</v>
      </c>
      <c r="K115" s="121">
        <f t="shared" si="17"/>
        <v>13</v>
      </c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13"/>
      <c r="B116" s="123">
        <v>1739.0</v>
      </c>
      <c r="C116" s="126" t="s">
        <v>217</v>
      </c>
      <c r="D116" s="127" t="s">
        <v>215</v>
      </c>
      <c r="E116" s="115"/>
      <c r="F116" s="128">
        <v>11200.0</v>
      </c>
      <c r="G116" s="125">
        <v>7640.0</v>
      </c>
      <c r="H116" s="132"/>
      <c r="I116" s="119">
        <f t="shared" si="16"/>
        <v>3560</v>
      </c>
      <c r="J116" s="120">
        <f t="shared" si="6"/>
        <v>0.3178571429</v>
      </c>
      <c r="K116" s="121">
        <f t="shared" si="17"/>
        <v>112</v>
      </c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13"/>
      <c r="B117" s="123">
        <v>1740.0</v>
      </c>
      <c r="C117" s="126" t="s">
        <v>216</v>
      </c>
      <c r="D117" s="127" t="s">
        <v>215</v>
      </c>
      <c r="E117" s="115"/>
      <c r="F117" s="133">
        <v>9490.0</v>
      </c>
      <c r="G117" s="125">
        <v>6514.0</v>
      </c>
      <c r="H117" s="132"/>
      <c r="I117" s="119">
        <f t="shared" si="16"/>
        <v>2976</v>
      </c>
      <c r="J117" s="120">
        <f t="shared" si="6"/>
        <v>0.3135932561</v>
      </c>
      <c r="K117" s="121">
        <f t="shared" si="17"/>
        <v>94.9</v>
      </c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13"/>
      <c r="B118" s="123">
        <v>1741.0</v>
      </c>
      <c r="C118" s="126" t="s">
        <v>255</v>
      </c>
      <c r="D118" s="127" t="s">
        <v>215</v>
      </c>
      <c r="E118" s="115"/>
      <c r="F118" s="128">
        <v>1800.0</v>
      </c>
      <c r="G118" s="125">
        <v>1100.0</v>
      </c>
      <c r="H118" s="132"/>
      <c r="I118" s="119">
        <f t="shared" si="16"/>
        <v>700</v>
      </c>
      <c r="J118" s="120">
        <f t="shared" si="6"/>
        <v>0.3888888889</v>
      </c>
      <c r="K118" s="121">
        <f t="shared" si="17"/>
        <v>18</v>
      </c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13"/>
      <c r="B119" s="156">
        <v>1742.0</v>
      </c>
      <c r="C119" s="126" t="s">
        <v>246</v>
      </c>
      <c r="D119" s="127" t="s">
        <v>215</v>
      </c>
      <c r="E119" s="115"/>
      <c r="F119" s="128">
        <v>1000.0</v>
      </c>
      <c r="G119" s="125">
        <v>800.0</v>
      </c>
      <c r="H119" s="132"/>
      <c r="I119" s="119">
        <f t="shared" si="16"/>
        <v>200</v>
      </c>
      <c r="J119" s="120">
        <f t="shared" si="6"/>
        <v>0.2</v>
      </c>
      <c r="K119" s="121">
        <f t="shared" si="17"/>
        <v>10</v>
      </c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22">
        <v>46094.0</v>
      </c>
      <c r="B120" s="123">
        <v>1685.0</v>
      </c>
      <c r="C120" s="126" t="s">
        <v>256</v>
      </c>
      <c r="D120" s="127" t="s">
        <v>213</v>
      </c>
      <c r="E120" s="115"/>
      <c r="F120" s="128">
        <v>4500.0</v>
      </c>
      <c r="G120" s="125">
        <v>3000.0</v>
      </c>
      <c r="H120" s="132"/>
      <c r="I120" s="119">
        <f t="shared" si="16"/>
        <v>1500</v>
      </c>
      <c r="J120" s="120">
        <f t="shared" si="6"/>
        <v>0.3333333333</v>
      </c>
      <c r="K120" s="121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59"/>
      <c r="B121" s="160">
        <v>1686.0</v>
      </c>
      <c r="C121" s="161" t="s">
        <v>253</v>
      </c>
      <c r="D121" s="162"/>
      <c r="E121" s="163"/>
      <c r="F121" s="164"/>
      <c r="G121" s="165"/>
      <c r="H121" s="166"/>
      <c r="I121" s="167">
        <f t="shared" si="16"/>
        <v>0</v>
      </c>
      <c r="J121" s="168" t="str">
        <f t="shared" si="6"/>
        <v>#DIV/0!</v>
      </c>
      <c r="K121" s="169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ht="15.75" customHeight="1">
      <c r="A122" s="122">
        <v>46099.0</v>
      </c>
      <c r="B122" s="123">
        <v>1687.0</v>
      </c>
      <c r="C122" s="126" t="s">
        <v>251</v>
      </c>
      <c r="D122" s="127" t="s">
        <v>213</v>
      </c>
      <c r="E122" s="115"/>
      <c r="F122" s="128">
        <v>1313.0</v>
      </c>
      <c r="G122" s="125">
        <v>953.0</v>
      </c>
      <c r="H122" s="132"/>
      <c r="I122" s="119">
        <f t="shared" si="16"/>
        <v>360</v>
      </c>
      <c r="J122" s="120">
        <f t="shared" si="6"/>
        <v>0.2741812643</v>
      </c>
      <c r="K122" s="121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22">
        <v>46102.0</v>
      </c>
      <c r="B123" s="123">
        <v>1688.0</v>
      </c>
      <c r="C123" s="126" t="s">
        <v>257</v>
      </c>
      <c r="D123" s="127" t="s">
        <v>213</v>
      </c>
      <c r="E123" s="115"/>
      <c r="F123" s="128">
        <v>4200.0</v>
      </c>
      <c r="G123" s="125">
        <v>2142.4</v>
      </c>
      <c r="H123" s="132"/>
      <c r="I123" s="119">
        <f t="shared" si="16"/>
        <v>2057.6</v>
      </c>
      <c r="J123" s="120">
        <f t="shared" si="6"/>
        <v>0.4899047619</v>
      </c>
      <c r="K123" s="121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22"/>
      <c r="B124" s="123">
        <v>1689.0</v>
      </c>
      <c r="C124" s="126" t="s">
        <v>258</v>
      </c>
      <c r="D124" s="127" t="s">
        <v>213</v>
      </c>
      <c r="E124" s="115"/>
      <c r="F124" s="128">
        <v>98026.0</v>
      </c>
      <c r="G124" s="125">
        <v>86436.68</v>
      </c>
      <c r="H124" s="132"/>
      <c r="I124" s="119">
        <f t="shared" si="16"/>
        <v>11589.32</v>
      </c>
      <c r="J124" s="120">
        <f t="shared" si="6"/>
        <v>0.118227001</v>
      </c>
      <c r="K124" s="121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22"/>
      <c r="B125" s="123">
        <v>1690.0</v>
      </c>
      <c r="C125" s="126" t="s">
        <v>258</v>
      </c>
      <c r="D125" s="127" t="s">
        <v>213</v>
      </c>
      <c r="E125" s="115"/>
      <c r="F125" s="128">
        <v>9685.0</v>
      </c>
      <c r="G125" s="125">
        <v>5784.0</v>
      </c>
      <c r="H125" s="132"/>
      <c r="I125" s="119">
        <f t="shared" si="16"/>
        <v>3901</v>
      </c>
      <c r="J125" s="120">
        <f t="shared" si="6"/>
        <v>0.4027878162</v>
      </c>
      <c r="K125" s="121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22">
        <v>46104.0</v>
      </c>
      <c r="B126" s="123">
        <v>1691.0</v>
      </c>
      <c r="C126" s="126" t="s">
        <v>251</v>
      </c>
      <c r="D126" s="127" t="s">
        <v>213</v>
      </c>
      <c r="E126" s="115"/>
      <c r="F126" s="128">
        <v>7240.0</v>
      </c>
      <c r="G126" s="125">
        <v>4605.0</v>
      </c>
      <c r="H126" s="132"/>
      <c r="I126" s="119">
        <f t="shared" si="16"/>
        <v>2635</v>
      </c>
      <c r="J126" s="120">
        <f t="shared" si="6"/>
        <v>0.3639502762</v>
      </c>
      <c r="K126" s="121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22">
        <v>46097.0</v>
      </c>
      <c r="B127" s="123">
        <v>1692.0</v>
      </c>
      <c r="C127" s="126" t="s">
        <v>258</v>
      </c>
      <c r="D127" s="127" t="s">
        <v>213</v>
      </c>
      <c r="E127" s="115"/>
      <c r="F127" s="128">
        <v>222999.0</v>
      </c>
      <c r="G127" s="125">
        <v>192040.72</v>
      </c>
      <c r="H127" s="132"/>
      <c r="I127" s="119">
        <f t="shared" si="16"/>
        <v>30958.28</v>
      </c>
      <c r="J127" s="120">
        <f t="shared" si="6"/>
        <v>0.1388269903</v>
      </c>
      <c r="K127" s="121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71">
        <v>46105.0</v>
      </c>
      <c r="B128" s="123">
        <v>1693.0</v>
      </c>
      <c r="C128" s="126" t="s">
        <v>258</v>
      </c>
      <c r="D128" s="127" t="s">
        <v>213</v>
      </c>
      <c r="E128" s="115"/>
      <c r="F128" s="133">
        <v>8800.0</v>
      </c>
      <c r="G128" s="125">
        <v>6040.0</v>
      </c>
      <c r="H128" s="172">
        <v>5500.0</v>
      </c>
      <c r="I128" s="119">
        <f t="shared" si="16"/>
        <v>-2740</v>
      </c>
      <c r="J128" s="120">
        <f t="shared" si="6"/>
        <v>-0.3113636364</v>
      </c>
      <c r="K128" s="121"/>
      <c r="L128" s="127" t="s">
        <v>259</v>
      </c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22">
        <v>46106.0</v>
      </c>
      <c r="B129" s="123">
        <v>1694.0</v>
      </c>
      <c r="C129" s="126" t="s">
        <v>241</v>
      </c>
      <c r="D129" s="127" t="s">
        <v>213</v>
      </c>
      <c r="E129" s="115"/>
      <c r="F129" s="128">
        <v>14050.0</v>
      </c>
      <c r="G129" s="125">
        <v>9250.0</v>
      </c>
      <c r="H129" s="132"/>
      <c r="I129" s="119">
        <f t="shared" si="16"/>
        <v>4800</v>
      </c>
      <c r="J129" s="120">
        <f t="shared" si="6"/>
        <v>0.3416370107</v>
      </c>
      <c r="K129" s="121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22">
        <v>46086.0</v>
      </c>
      <c r="B130" s="123">
        <v>1743.0</v>
      </c>
      <c r="C130" s="126" t="s">
        <v>217</v>
      </c>
      <c r="D130" s="127" t="s">
        <v>215</v>
      </c>
      <c r="E130" s="115"/>
      <c r="F130" s="128">
        <v>5200.0</v>
      </c>
      <c r="G130" s="125">
        <v>2800.0</v>
      </c>
      <c r="H130" s="132"/>
      <c r="I130" s="119">
        <f t="shared" si="16"/>
        <v>2400</v>
      </c>
      <c r="J130" s="120">
        <f t="shared" si="6"/>
        <v>0.4615384615</v>
      </c>
      <c r="K130" s="121">
        <f t="shared" ref="K130:K163" si="18">F130*0.01</f>
        <v>52</v>
      </c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22">
        <v>46086.0</v>
      </c>
      <c r="B131" s="123">
        <v>1744.0</v>
      </c>
      <c r="C131" s="126" t="s">
        <v>216</v>
      </c>
      <c r="D131" s="127" t="s">
        <v>215</v>
      </c>
      <c r="E131" s="115"/>
      <c r="F131" s="128">
        <v>2500.0</v>
      </c>
      <c r="G131" s="125">
        <v>2000.0</v>
      </c>
      <c r="H131" s="132"/>
      <c r="I131" s="119">
        <f t="shared" si="16"/>
        <v>500</v>
      </c>
      <c r="J131" s="120">
        <f t="shared" si="6"/>
        <v>0.2</v>
      </c>
      <c r="K131" s="121">
        <f t="shared" si="18"/>
        <v>25</v>
      </c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73"/>
      <c r="B132" s="123">
        <v>1745.0</v>
      </c>
      <c r="C132" s="126" t="s">
        <v>246</v>
      </c>
      <c r="D132" s="127" t="s">
        <v>215</v>
      </c>
      <c r="E132" s="115"/>
      <c r="F132" s="128">
        <v>8500.0</v>
      </c>
      <c r="G132" s="125">
        <v>5950.0</v>
      </c>
      <c r="H132" s="132"/>
      <c r="I132" s="119">
        <f t="shared" si="16"/>
        <v>2550</v>
      </c>
      <c r="J132" s="120">
        <f t="shared" si="6"/>
        <v>0.3</v>
      </c>
      <c r="K132" s="121">
        <f t="shared" si="18"/>
        <v>85</v>
      </c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13"/>
      <c r="B133" s="123">
        <v>1746.0</v>
      </c>
      <c r="C133" s="126" t="s">
        <v>246</v>
      </c>
      <c r="D133" s="127" t="s">
        <v>215</v>
      </c>
      <c r="E133" s="115"/>
      <c r="F133" s="133">
        <v>3800.0</v>
      </c>
      <c r="G133" s="125">
        <v>2600.0</v>
      </c>
      <c r="H133" s="132"/>
      <c r="I133" s="119">
        <f t="shared" si="16"/>
        <v>1200</v>
      </c>
      <c r="J133" s="120">
        <f t="shared" si="6"/>
        <v>0.3157894737</v>
      </c>
      <c r="K133" s="121">
        <f t="shared" si="18"/>
        <v>38</v>
      </c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13"/>
      <c r="B134" s="123">
        <v>1747.0</v>
      </c>
      <c r="C134" s="126" t="s">
        <v>216</v>
      </c>
      <c r="D134" s="127" t="s">
        <v>215</v>
      </c>
      <c r="E134" s="115"/>
      <c r="F134" s="128">
        <v>2500.0</v>
      </c>
      <c r="G134" s="125">
        <v>1650.0</v>
      </c>
      <c r="H134" s="132"/>
      <c r="I134" s="119">
        <f t="shared" si="16"/>
        <v>850</v>
      </c>
      <c r="J134" s="120">
        <f t="shared" si="6"/>
        <v>0.34</v>
      </c>
      <c r="K134" s="121">
        <f t="shared" si="18"/>
        <v>25</v>
      </c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13"/>
      <c r="B135" s="123">
        <v>1748.0</v>
      </c>
      <c r="C135" s="126" t="s">
        <v>246</v>
      </c>
      <c r="D135" s="127" t="s">
        <v>215</v>
      </c>
      <c r="E135" s="115"/>
      <c r="F135" s="128">
        <v>1520.0</v>
      </c>
      <c r="G135" s="125">
        <v>920.0</v>
      </c>
      <c r="H135" s="132"/>
      <c r="I135" s="119">
        <f t="shared" si="16"/>
        <v>600</v>
      </c>
      <c r="J135" s="120">
        <f t="shared" si="6"/>
        <v>0.3947368421</v>
      </c>
      <c r="K135" s="121">
        <f t="shared" si="18"/>
        <v>15.2</v>
      </c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13"/>
      <c r="B136" s="123">
        <v>1749.0</v>
      </c>
      <c r="C136" s="126" t="s">
        <v>246</v>
      </c>
      <c r="D136" s="127" t="s">
        <v>215</v>
      </c>
      <c r="E136" s="115"/>
      <c r="F136" s="128">
        <v>4200.0</v>
      </c>
      <c r="G136" s="125">
        <v>2550.0</v>
      </c>
      <c r="H136" s="132"/>
      <c r="I136" s="119">
        <f t="shared" si="16"/>
        <v>1650</v>
      </c>
      <c r="J136" s="120">
        <f t="shared" si="6"/>
        <v>0.3928571429</v>
      </c>
      <c r="K136" s="121">
        <f t="shared" si="18"/>
        <v>42</v>
      </c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13"/>
      <c r="B137" s="156">
        <v>1750.0</v>
      </c>
      <c r="C137" s="126">
        <v>2011.0</v>
      </c>
      <c r="D137" s="127" t="s">
        <v>215</v>
      </c>
      <c r="E137" s="115"/>
      <c r="F137" s="128">
        <v>5900.0</v>
      </c>
      <c r="G137" s="125">
        <v>3880.0</v>
      </c>
      <c r="H137" s="132"/>
      <c r="I137" s="119">
        <f t="shared" si="16"/>
        <v>2020</v>
      </c>
      <c r="J137" s="120">
        <f t="shared" si="6"/>
        <v>0.3423728814</v>
      </c>
      <c r="K137" s="121">
        <f t="shared" si="18"/>
        <v>59</v>
      </c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13"/>
      <c r="B138" s="123">
        <v>1560.0</v>
      </c>
      <c r="C138" s="126" t="s">
        <v>217</v>
      </c>
      <c r="D138" s="127" t="s">
        <v>215</v>
      </c>
      <c r="E138" s="115"/>
      <c r="F138" s="128">
        <v>15600.0</v>
      </c>
      <c r="G138" s="125">
        <v>9760.0</v>
      </c>
      <c r="H138" s="132"/>
      <c r="I138" s="119">
        <f t="shared" si="16"/>
        <v>5840</v>
      </c>
      <c r="J138" s="120">
        <f t="shared" si="6"/>
        <v>0.3743589744</v>
      </c>
      <c r="K138" s="121">
        <f t="shared" si="18"/>
        <v>156</v>
      </c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13"/>
      <c r="B139" s="123">
        <v>1561.0</v>
      </c>
      <c r="C139" s="126" t="s">
        <v>216</v>
      </c>
      <c r="D139" s="127" t="s">
        <v>215</v>
      </c>
      <c r="E139" s="115"/>
      <c r="F139" s="128">
        <v>8000.0</v>
      </c>
      <c r="G139" s="125">
        <v>5100.0</v>
      </c>
      <c r="H139" s="132"/>
      <c r="I139" s="119">
        <f t="shared" si="16"/>
        <v>2900</v>
      </c>
      <c r="J139" s="120">
        <f t="shared" si="6"/>
        <v>0.3625</v>
      </c>
      <c r="K139" s="121">
        <f t="shared" si="18"/>
        <v>80</v>
      </c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13"/>
      <c r="B140" s="123">
        <v>1562.0</v>
      </c>
      <c r="C140" s="126" t="s">
        <v>214</v>
      </c>
      <c r="D140" s="127" t="s">
        <v>215</v>
      </c>
      <c r="E140" s="115"/>
      <c r="F140" s="133">
        <v>9200.0</v>
      </c>
      <c r="G140" s="125">
        <v>5000.0</v>
      </c>
      <c r="H140" s="132"/>
      <c r="I140" s="119">
        <f t="shared" si="16"/>
        <v>4200</v>
      </c>
      <c r="J140" s="120">
        <f t="shared" si="6"/>
        <v>0.4565217391</v>
      </c>
      <c r="K140" s="121">
        <f t="shared" si="18"/>
        <v>92</v>
      </c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13"/>
      <c r="B141" s="123">
        <v>1563.0</v>
      </c>
      <c r="C141" s="126" t="s">
        <v>214</v>
      </c>
      <c r="D141" s="127" t="s">
        <v>215</v>
      </c>
      <c r="E141" s="115"/>
      <c r="F141" s="133">
        <v>16200.0</v>
      </c>
      <c r="G141" s="125">
        <v>14144.0</v>
      </c>
      <c r="H141" s="132"/>
      <c r="I141" s="119">
        <f t="shared" si="16"/>
        <v>2056</v>
      </c>
      <c r="J141" s="120">
        <f t="shared" si="6"/>
        <v>0.1269135802</v>
      </c>
      <c r="K141" s="121">
        <f t="shared" si="18"/>
        <v>162</v>
      </c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13"/>
      <c r="B142" s="123">
        <v>1564.0</v>
      </c>
      <c r="C142" s="126" t="s">
        <v>244</v>
      </c>
      <c r="D142" s="127" t="s">
        <v>215</v>
      </c>
      <c r="E142" s="115"/>
      <c r="F142" s="128">
        <v>9950.0</v>
      </c>
      <c r="G142" s="125">
        <v>5960.0</v>
      </c>
      <c r="H142" s="132"/>
      <c r="I142" s="119">
        <f t="shared" si="16"/>
        <v>3990</v>
      </c>
      <c r="J142" s="120">
        <f t="shared" si="6"/>
        <v>0.4010050251</v>
      </c>
      <c r="K142" s="121">
        <f t="shared" si="18"/>
        <v>99.5</v>
      </c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13"/>
      <c r="B143" s="123">
        <v>1565.0</v>
      </c>
      <c r="C143" s="126" t="s">
        <v>223</v>
      </c>
      <c r="D143" s="127" t="s">
        <v>215</v>
      </c>
      <c r="E143" s="115"/>
      <c r="F143" s="128">
        <v>4300.0</v>
      </c>
      <c r="G143" s="125">
        <v>2680.0</v>
      </c>
      <c r="H143" s="132"/>
      <c r="I143" s="119">
        <f t="shared" si="16"/>
        <v>1620</v>
      </c>
      <c r="J143" s="120">
        <f t="shared" si="6"/>
        <v>0.376744186</v>
      </c>
      <c r="K143" s="121">
        <f t="shared" si="18"/>
        <v>43</v>
      </c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22">
        <v>46094.0</v>
      </c>
      <c r="B144" s="123">
        <v>1566.0</v>
      </c>
      <c r="C144" s="126">
        <v>2011.0</v>
      </c>
      <c r="D144" s="127" t="s">
        <v>215</v>
      </c>
      <c r="E144" s="115"/>
      <c r="F144" s="128">
        <v>1500.0</v>
      </c>
      <c r="G144" s="125">
        <v>900.0</v>
      </c>
      <c r="H144" s="132"/>
      <c r="I144" s="119">
        <f t="shared" si="16"/>
        <v>600</v>
      </c>
      <c r="J144" s="120">
        <f t="shared" si="6"/>
        <v>0.4</v>
      </c>
      <c r="K144" s="121">
        <f t="shared" si="18"/>
        <v>15</v>
      </c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13"/>
      <c r="B145" s="123">
        <v>1567.0</v>
      </c>
      <c r="C145" s="126">
        <v>2011.0</v>
      </c>
      <c r="D145" s="127" t="s">
        <v>215</v>
      </c>
      <c r="E145" s="115"/>
      <c r="F145" s="128">
        <v>1520.0</v>
      </c>
      <c r="G145" s="125">
        <v>1040.0</v>
      </c>
      <c r="H145" s="132"/>
      <c r="I145" s="119">
        <f t="shared" si="16"/>
        <v>480</v>
      </c>
      <c r="J145" s="120">
        <f t="shared" si="6"/>
        <v>0.3157894737</v>
      </c>
      <c r="K145" s="121">
        <f t="shared" si="18"/>
        <v>15.2</v>
      </c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13"/>
      <c r="B146" s="123">
        <v>1568.0</v>
      </c>
      <c r="C146" s="126" t="s">
        <v>246</v>
      </c>
      <c r="D146" s="127" t="s">
        <v>215</v>
      </c>
      <c r="E146" s="115"/>
      <c r="F146" s="128">
        <v>900.0</v>
      </c>
      <c r="G146" s="125">
        <v>350.0</v>
      </c>
      <c r="H146" s="132"/>
      <c r="I146" s="119">
        <f t="shared" si="16"/>
        <v>550</v>
      </c>
      <c r="J146" s="120">
        <f t="shared" si="6"/>
        <v>0.6111111111</v>
      </c>
      <c r="K146" s="121">
        <f t="shared" si="18"/>
        <v>9</v>
      </c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13"/>
      <c r="B147" s="123">
        <v>1569.0</v>
      </c>
      <c r="C147" s="126" t="s">
        <v>246</v>
      </c>
      <c r="D147" s="127" t="s">
        <v>215</v>
      </c>
      <c r="E147" s="115"/>
      <c r="F147" s="128">
        <v>8200.0</v>
      </c>
      <c r="G147" s="125">
        <v>2550.0</v>
      </c>
      <c r="H147" s="132"/>
      <c r="I147" s="119">
        <f t="shared" si="16"/>
        <v>5650</v>
      </c>
      <c r="J147" s="120">
        <f t="shared" si="6"/>
        <v>0.6890243902</v>
      </c>
      <c r="K147" s="121">
        <f t="shared" si="18"/>
        <v>82</v>
      </c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13"/>
      <c r="B148" s="123">
        <v>1570.0</v>
      </c>
      <c r="C148" s="126" t="s">
        <v>246</v>
      </c>
      <c r="D148" s="127" t="s">
        <v>215</v>
      </c>
      <c r="E148" s="115"/>
      <c r="F148" s="128">
        <v>4800.0</v>
      </c>
      <c r="G148" s="125">
        <v>3600.0</v>
      </c>
      <c r="H148" s="132"/>
      <c r="I148" s="119">
        <f t="shared" si="16"/>
        <v>1200</v>
      </c>
      <c r="J148" s="120">
        <f t="shared" si="6"/>
        <v>0.25</v>
      </c>
      <c r="K148" s="121">
        <f t="shared" si="18"/>
        <v>48</v>
      </c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13"/>
      <c r="B149" s="123">
        <v>1571.0</v>
      </c>
      <c r="C149" s="126">
        <v>2011.0</v>
      </c>
      <c r="D149" s="127" t="s">
        <v>215</v>
      </c>
      <c r="E149" s="115"/>
      <c r="F149" s="128">
        <v>3760.0</v>
      </c>
      <c r="G149" s="125">
        <v>2670.0</v>
      </c>
      <c r="H149" s="132"/>
      <c r="I149" s="119">
        <f t="shared" si="16"/>
        <v>1090</v>
      </c>
      <c r="J149" s="120">
        <f t="shared" si="6"/>
        <v>0.289893617</v>
      </c>
      <c r="K149" s="121">
        <f t="shared" si="18"/>
        <v>37.6</v>
      </c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22">
        <v>46100.0</v>
      </c>
      <c r="B150" s="123">
        <v>1572.0</v>
      </c>
      <c r="C150" s="126" t="s">
        <v>217</v>
      </c>
      <c r="D150" s="127" t="s">
        <v>215</v>
      </c>
      <c r="E150" s="115"/>
      <c r="F150" s="128">
        <v>6100.0</v>
      </c>
      <c r="G150" s="125">
        <v>4270.0</v>
      </c>
      <c r="H150" s="132"/>
      <c r="I150" s="119">
        <f t="shared" si="16"/>
        <v>1830</v>
      </c>
      <c r="J150" s="120">
        <f t="shared" si="6"/>
        <v>0.3</v>
      </c>
      <c r="K150" s="121">
        <f t="shared" si="18"/>
        <v>61</v>
      </c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22"/>
      <c r="B151" s="123">
        <v>1573.0</v>
      </c>
      <c r="C151" s="126" t="s">
        <v>214</v>
      </c>
      <c r="D151" s="127" t="s">
        <v>215</v>
      </c>
      <c r="E151" s="115"/>
      <c r="F151" s="133">
        <v>6400.0</v>
      </c>
      <c r="G151" s="125">
        <v>3280.0</v>
      </c>
      <c r="H151" s="132"/>
      <c r="I151" s="119">
        <f t="shared" si="16"/>
        <v>3120</v>
      </c>
      <c r="J151" s="120">
        <f t="shared" si="6"/>
        <v>0.4875</v>
      </c>
      <c r="K151" s="121">
        <f t="shared" si="18"/>
        <v>64</v>
      </c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22"/>
      <c r="B152" s="123">
        <v>1574.0</v>
      </c>
      <c r="C152" s="126" t="s">
        <v>216</v>
      </c>
      <c r="D152" s="127" t="s">
        <v>215</v>
      </c>
      <c r="E152" s="115"/>
      <c r="F152" s="128">
        <v>5900.0</v>
      </c>
      <c r="G152" s="125">
        <v>3960.0</v>
      </c>
      <c r="H152" s="132"/>
      <c r="I152" s="119">
        <f t="shared" si="16"/>
        <v>1940</v>
      </c>
      <c r="J152" s="120">
        <f t="shared" si="6"/>
        <v>0.3288135593</v>
      </c>
      <c r="K152" s="121">
        <f t="shared" si="18"/>
        <v>59</v>
      </c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22"/>
      <c r="B153" s="123">
        <v>1575.0</v>
      </c>
      <c r="C153" s="126" t="s">
        <v>244</v>
      </c>
      <c r="D153" s="127" t="s">
        <v>215</v>
      </c>
      <c r="E153" s="115"/>
      <c r="F153" s="128">
        <v>3010.0</v>
      </c>
      <c r="G153" s="125">
        <v>2315.0</v>
      </c>
      <c r="H153" s="132"/>
      <c r="I153" s="119">
        <f t="shared" si="16"/>
        <v>695</v>
      </c>
      <c r="J153" s="120">
        <f t="shared" si="6"/>
        <v>0.23089701</v>
      </c>
      <c r="K153" s="121">
        <f t="shared" si="18"/>
        <v>30.1</v>
      </c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22"/>
      <c r="B154" s="123">
        <v>1576.0</v>
      </c>
      <c r="C154" s="126" t="s">
        <v>223</v>
      </c>
      <c r="D154" s="127" t="s">
        <v>215</v>
      </c>
      <c r="E154" s="115"/>
      <c r="F154" s="128">
        <v>1800.0</v>
      </c>
      <c r="G154" s="125">
        <v>1400.0</v>
      </c>
      <c r="H154" s="132"/>
      <c r="I154" s="119">
        <f t="shared" si="16"/>
        <v>400</v>
      </c>
      <c r="J154" s="120">
        <f t="shared" si="6"/>
        <v>0.2222222222</v>
      </c>
      <c r="K154" s="121">
        <f t="shared" si="18"/>
        <v>18</v>
      </c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22"/>
      <c r="B155" s="123">
        <v>1577.0</v>
      </c>
      <c r="C155" s="126" t="s">
        <v>246</v>
      </c>
      <c r="D155" s="127" t="s">
        <v>215</v>
      </c>
      <c r="E155" s="115"/>
      <c r="F155" s="133">
        <v>3800.0</v>
      </c>
      <c r="G155" s="125">
        <v>2500.0</v>
      </c>
      <c r="H155" s="132"/>
      <c r="I155" s="119">
        <f t="shared" si="16"/>
        <v>1300</v>
      </c>
      <c r="J155" s="120">
        <f t="shared" si="6"/>
        <v>0.3421052632</v>
      </c>
      <c r="K155" s="121">
        <f t="shared" si="18"/>
        <v>38</v>
      </c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22">
        <v>46101.0</v>
      </c>
      <c r="B156" s="123">
        <v>1578.0</v>
      </c>
      <c r="C156" s="126" t="s">
        <v>246</v>
      </c>
      <c r="D156" s="127" t="s">
        <v>215</v>
      </c>
      <c r="E156" s="115"/>
      <c r="F156" s="128">
        <v>760.0</v>
      </c>
      <c r="G156" s="125">
        <v>600.0</v>
      </c>
      <c r="H156" s="132"/>
      <c r="I156" s="119">
        <f t="shared" si="16"/>
        <v>160</v>
      </c>
      <c r="J156" s="120">
        <f t="shared" si="6"/>
        <v>0.2105263158</v>
      </c>
      <c r="K156" s="121">
        <f t="shared" si="18"/>
        <v>7.6</v>
      </c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22">
        <v>46105.0</v>
      </c>
      <c r="B157" s="123">
        <v>1579.0</v>
      </c>
      <c r="C157" s="126" t="s">
        <v>246</v>
      </c>
      <c r="D157" s="127" t="s">
        <v>215</v>
      </c>
      <c r="E157" s="115"/>
      <c r="F157" s="128">
        <v>760.0</v>
      </c>
      <c r="G157" s="125">
        <v>520.0</v>
      </c>
      <c r="H157" s="132"/>
      <c r="I157" s="119">
        <f t="shared" si="16"/>
        <v>240</v>
      </c>
      <c r="J157" s="120">
        <f t="shared" si="6"/>
        <v>0.3157894737</v>
      </c>
      <c r="K157" s="121">
        <f t="shared" si="18"/>
        <v>7.6</v>
      </c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13"/>
      <c r="B158" s="123">
        <v>1580.0</v>
      </c>
      <c r="C158" s="126" t="s">
        <v>222</v>
      </c>
      <c r="D158" s="127" t="s">
        <v>215</v>
      </c>
      <c r="E158" s="115"/>
      <c r="F158" s="128">
        <v>10000.0</v>
      </c>
      <c r="G158" s="125">
        <v>6180.0</v>
      </c>
      <c r="H158" s="132"/>
      <c r="I158" s="119">
        <f t="shared" si="16"/>
        <v>3820</v>
      </c>
      <c r="J158" s="120">
        <f t="shared" si="6"/>
        <v>0.382</v>
      </c>
      <c r="K158" s="121">
        <f t="shared" si="18"/>
        <v>100</v>
      </c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22">
        <v>46106.0</v>
      </c>
      <c r="B159" s="123">
        <v>1581.0</v>
      </c>
      <c r="C159" s="126" t="s">
        <v>219</v>
      </c>
      <c r="D159" s="127" t="s">
        <v>215</v>
      </c>
      <c r="E159" s="115"/>
      <c r="F159" s="128">
        <v>1500.0</v>
      </c>
      <c r="G159" s="125">
        <v>950.0</v>
      </c>
      <c r="H159" s="132"/>
      <c r="I159" s="119">
        <f t="shared" si="16"/>
        <v>550</v>
      </c>
      <c r="J159" s="120">
        <f t="shared" si="6"/>
        <v>0.3666666667</v>
      </c>
      <c r="K159" s="121">
        <f t="shared" si="18"/>
        <v>15</v>
      </c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22">
        <v>46107.0</v>
      </c>
      <c r="B160" s="123">
        <v>1582.0</v>
      </c>
      <c r="C160" s="126" t="s">
        <v>246</v>
      </c>
      <c r="D160" s="127" t="s">
        <v>215</v>
      </c>
      <c r="E160" s="115"/>
      <c r="F160" s="133">
        <v>4400.0</v>
      </c>
      <c r="G160" s="125">
        <v>2940.0</v>
      </c>
      <c r="H160" s="132"/>
      <c r="I160" s="119">
        <f t="shared" si="16"/>
        <v>1460</v>
      </c>
      <c r="J160" s="120">
        <f t="shared" si="6"/>
        <v>0.3318181818</v>
      </c>
      <c r="K160" s="121">
        <f t="shared" si="18"/>
        <v>44</v>
      </c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13"/>
      <c r="B161" s="123">
        <v>1583.0</v>
      </c>
      <c r="C161" s="126" t="s">
        <v>217</v>
      </c>
      <c r="D161" s="127" t="s">
        <v>215</v>
      </c>
      <c r="E161" s="115"/>
      <c r="F161" s="128">
        <v>12100.0</v>
      </c>
      <c r="G161" s="125">
        <v>8130.0</v>
      </c>
      <c r="H161" s="132"/>
      <c r="I161" s="119">
        <f t="shared" si="16"/>
        <v>3970</v>
      </c>
      <c r="J161" s="120">
        <f t="shared" si="6"/>
        <v>0.3280991736</v>
      </c>
      <c r="K161" s="121">
        <f t="shared" si="18"/>
        <v>121</v>
      </c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13"/>
      <c r="B162" s="123">
        <v>1584.0</v>
      </c>
      <c r="C162" s="126" t="s">
        <v>216</v>
      </c>
      <c r="D162" s="127" t="s">
        <v>215</v>
      </c>
      <c r="E162" s="115"/>
      <c r="F162" s="128">
        <v>2280.0</v>
      </c>
      <c r="G162" s="125">
        <v>1560.0</v>
      </c>
      <c r="H162" s="132"/>
      <c r="I162" s="119">
        <f t="shared" si="16"/>
        <v>720</v>
      </c>
      <c r="J162" s="120">
        <f t="shared" si="6"/>
        <v>0.3157894737</v>
      </c>
      <c r="K162" s="121">
        <f t="shared" si="18"/>
        <v>22.8</v>
      </c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13"/>
      <c r="B163" s="156">
        <v>1585.0</v>
      </c>
      <c r="C163" s="126" t="s">
        <v>245</v>
      </c>
      <c r="D163" s="127" t="s">
        <v>215</v>
      </c>
      <c r="E163" s="115"/>
      <c r="F163" s="128">
        <v>1480.0</v>
      </c>
      <c r="G163" s="125">
        <v>960.0</v>
      </c>
      <c r="H163" s="132"/>
      <c r="I163" s="119">
        <f t="shared" si="16"/>
        <v>520</v>
      </c>
      <c r="J163" s="120">
        <f t="shared" si="6"/>
        <v>0.3513513514</v>
      </c>
      <c r="K163" s="121">
        <f t="shared" si="18"/>
        <v>14.8</v>
      </c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22">
        <v>46107.0</v>
      </c>
      <c r="B164" s="134">
        <v>1695.0</v>
      </c>
      <c r="C164" s="126" t="s">
        <v>260</v>
      </c>
      <c r="D164" s="127" t="s">
        <v>213</v>
      </c>
      <c r="E164" s="115"/>
      <c r="F164" s="128">
        <v>750.0</v>
      </c>
      <c r="G164" s="125">
        <v>446.0</v>
      </c>
      <c r="H164" s="132"/>
      <c r="I164" s="119">
        <f t="shared" si="16"/>
        <v>304</v>
      </c>
      <c r="J164" s="120">
        <f t="shared" si="6"/>
        <v>0.4053333333</v>
      </c>
      <c r="K164" s="121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73"/>
      <c r="B165" s="123">
        <v>1696.0</v>
      </c>
      <c r="C165" s="126" t="s">
        <v>258</v>
      </c>
      <c r="D165" s="127" t="s">
        <v>213</v>
      </c>
      <c r="E165" s="115"/>
      <c r="F165" s="133">
        <v>10029.0</v>
      </c>
      <c r="G165" s="125">
        <v>7257.0</v>
      </c>
      <c r="H165" s="132"/>
      <c r="I165" s="119">
        <f t="shared" si="16"/>
        <v>2772</v>
      </c>
      <c r="J165" s="120">
        <f t="shared" si="6"/>
        <v>0.2763984445</v>
      </c>
      <c r="K165" s="121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13"/>
      <c r="B166" s="123">
        <v>1697.0</v>
      </c>
      <c r="C166" s="126" t="s">
        <v>241</v>
      </c>
      <c r="D166" s="127" t="s">
        <v>84</v>
      </c>
      <c r="E166" s="115"/>
      <c r="F166" s="128">
        <v>2500.0</v>
      </c>
      <c r="G166" s="125">
        <v>1750.0</v>
      </c>
      <c r="H166" s="132"/>
      <c r="I166" s="119">
        <f t="shared" si="16"/>
        <v>750</v>
      </c>
      <c r="J166" s="120">
        <f t="shared" si="6"/>
        <v>0.3</v>
      </c>
      <c r="K166" s="121">
        <f>I166*0.2</f>
        <v>150</v>
      </c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22">
        <v>46109.0</v>
      </c>
      <c r="B167" s="123">
        <v>1698.0</v>
      </c>
      <c r="C167" s="126" t="s">
        <v>258</v>
      </c>
      <c r="D167" s="127" t="s">
        <v>213</v>
      </c>
      <c r="E167" s="115"/>
      <c r="F167" s="133">
        <v>33620.0</v>
      </c>
      <c r="G167" s="125">
        <v>30275.0</v>
      </c>
      <c r="H167" s="132"/>
      <c r="I167" s="119">
        <f t="shared" si="16"/>
        <v>3345</v>
      </c>
      <c r="J167" s="120">
        <f t="shared" si="6"/>
        <v>0.0994943486</v>
      </c>
      <c r="K167" s="121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22">
        <v>46111.0</v>
      </c>
      <c r="B168" s="123">
        <v>1699.0</v>
      </c>
      <c r="C168" s="126" t="s">
        <v>267</v>
      </c>
      <c r="D168" s="127" t="s">
        <v>84</v>
      </c>
      <c r="E168" s="115"/>
      <c r="F168" s="128">
        <v>5000.0</v>
      </c>
      <c r="G168" s="125">
        <v>2785.0</v>
      </c>
      <c r="H168" s="132"/>
      <c r="I168" s="119">
        <f t="shared" si="16"/>
        <v>2215</v>
      </c>
      <c r="J168" s="120">
        <f t="shared" si="6"/>
        <v>0.443</v>
      </c>
      <c r="K168" s="121">
        <f>I168*0.2</f>
        <v>443</v>
      </c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22">
        <v>46112.0</v>
      </c>
      <c r="B169" s="123">
        <v>1700.0</v>
      </c>
      <c r="C169" s="126" t="s">
        <v>258</v>
      </c>
      <c r="D169" s="127" t="s">
        <v>213</v>
      </c>
      <c r="E169" s="115"/>
      <c r="F169" s="128">
        <v>1690.0</v>
      </c>
      <c r="G169" s="125">
        <v>1192.0</v>
      </c>
      <c r="H169" s="132"/>
      <c r="I169" s="119">
        <f t="shared" si="16"/>
        <v>498</v>
      </c>
      <c r="J169" s="120">
        <f t="shared" si="6"/>
        <v>0.2946745562</v>
      </c>
      <c r="K169" s="121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24.0" customHeight="1">
      <c r="A170" s="154" t="s">
        <v>270</v>
      </c>
      <c r="B170" s="143"/>
      <c r="C170" s="144" t="s">
        <v>272</v>
      </c>
      <c r="D170" s="143"/>
      <c r="E170" s="143"/>
      <c r="F170" s="145">
        <f t="shared" ref="F170:G170" si="19">sum(F171:F238)</f>
        <v>664972.26</v>
      </c>
      <c r="G170" s="146">
        <f t="shared" si="19"/>
        <v>500048.32</v>
      </c>
      <c r="H170" s="147">
        <f>sum(H171:H212)</f>
        <v>0</v>
      </c>
      <c r="I170" s="146">
        <f>sum(I171:I238)</f>
        <v>164923.94</v>
      </c>
      <c r="J170" s="148">
        <f t="shared" si="6"/>
        <v>0.2480162706</v>
      </c>
      <c r="K170" s="146">
        <f>sum(K171:K238)</f>
        <v>6234.4</v>
      </c>
      <c r="L170" s="192" t="s">
        <v>274</v>
      </c>
      <c r="M170" s="149">
        <f>sum(F179,F187,F188,F203,F236,F253,F266,F276,F280,F285,F294,F323,F336,F337,F341,F347,F356)</f>
        <v>323095.06</v>
      </c>
      <c r="N170" s="149">
        <f>M170*0.03</f>
        <v>9692.8518</v>
      </c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5.75" customHeight="1">
      <c r="A171" s="122">
        <v>46113.0</v>
      </c>
      <c r="B171" s="123">
        <v>1751.0</v>
      </c>
      <c r="C171" s="126" t="s">
        <v>278</v>
      </c>
      <c r="D171" s="127" t="s">
        <v>279</v>
      </c>
      <c r="E171" s="115"/>
      <c r="F171" s="128">
        <v>3500.0</v>
      </c>
      <c r="G171" s="125">
        <v>1437.0</v>
      </c>
      <c r="H171" s="132"/>
      <c r="I171" s="119">
        <f t="shared" ref="I171:I238" si="20">F:F-G:G-H:H</f>
        <v>2063</v>
      </c>
      <c r="J171" s="120">
        <f t="shared" si="6"/>
        <v>0.5894285714</v>
      </c>
      <c r="K171" s="121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22">
        <v>46114.0</v>
      </c>
      <c r="B172" s="123">
        <v>1752.0</v>
      </c>
      <c r="C172" s="126" t="s">
        <v>280</v>
      </c>
      <c r="D172" s="127" t="s">
        <v>279</v>
      </c>
      <c r="E172" s="115"/>
      <c r="F172" s="128">
        <v>4450.0</v>
      </c>
      <c r="G172" s="125">
        <v>2307.4</v>
      </c>
      <c r="H172" s="132"/>
      <c r="I172" s="119">
        <f t="shared" si="20"/>
        <v>2142.6</v>
      </c>
      <c r="J172" s="120">
        <f t="shared" si="6"/>
        <v>0.4814831461</v>
      </c>
      <c r="K172" s="121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22">
        <v>46119.0</v>
      </c>
      <c r="B173" s="123">
        <v>1753.0</v>
      </c>
      <c r="C173" s="126" t="s">
        <v>281</v>
      </c>
      <c r="D173" s="127" t="s">
        <v>279</v>
      </c>
      <c r="E173" s="115"/>
      <c r="F173" s="128">
        <v>127420.0</v>
      </c>
      <c r="G173" s="125">
        <v>109375.0</v>
      </c>
      <c r="H173" s="132"/>
      <c r="I173" s="119">
        <f t="shared" si="20"/>
        <v>18045</v>
      </c>
      <c r="J173" s="120">
        <f t="shared" si="6"/>
        <v>0.1416182703</v>
      </c>
      <c r="K173" s="121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13"/>
      <c r="B174" s="123">
        <v>1754.0</v>
      </c>
      <c r="C174" s="126" t="s">
        <v>281</v>
      </c>
      <c r="D174" s="127" t="s">
        <v>279</v>
      </c>
      <c r="E174" s="115"/>
      <c r="F174" s="128">
        <v>7070.0</v>
      </c>
      <c r="G174" s="125">
        <v>5260.0</v>
      </c>
      <c r="H174" s="132"/>
      <c r="I174" s="119">
        <f t="shared" si="20"/>
        <v>1810</v>
      </c>
      <c r="J174" s="120">
        <f t="shared" si="6"/>
        <v>0.2560113154</v>
      </c>
      <c r="K174" s="121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22">
        <v>46129.0</v>
      </c>
      <c r="B175" s="123">
        <v>1755.0</v>
      </c>
      <c r="C175" s="126" t="s">
        <v>241</v>
      </c>
      <c r="D175" s="127" t="s">
        <v>84</v>
      </c>
      <c r="E175" s="115"/>
      <c r="F175" s="128">
        <v>4940.0</v>
      </c>
      <c r="G175" s="125">
        <v>2637.4</v>
      </c>
      <c r="H175" s="118"/>
      <c r="I175" s="119">
        <f t="shared" si="20"/>
        <v>2302.6</v>
      </c>
      <c r="J175" s="120">
        <f t="shared" si="6"/>
        <v>0.4661133603</v>
      </c>
      <c r="K175" s="121">
        <f>I175*0.2</f>
        <v>460.52</v>
      </c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99"/>
      <c r="B176" s="160">
        <v>1756.0</v>
      </c>
      <c r="C176" s="161" t="s">
        <v>224</v>
      </c>
      <c r="D176" s="170"/>
      <c r="E176" s="163"/>
      <c r="F176" s="167"/>
      <c r="G176" s="202"/>
      <c r="H176" s="203"/>
      <c r="I176" s="167">
        <f t="shared" si="20"/>
        <v>0</v>
      </c>
      <c r="J176" s="168" t="str">
        <f t="shared" si="6"/>
        <v>#DIV/0!</v>
      </c>
      <c r="K176" s="169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ht="15.75" customHeight="1">
      <c r="A177" s="199"/>
      <c r="B177" s="160">
        <v>1757.0</v>
      </c>
      <c r="C177" s="161" t="s">
        <v>224</v>
      </c>
      <c r="D177" s="170"/>
      <c r="E177" s="163"/>
      <c r="F177" s="167"/>
      <c r="G177" s="202"/>
      <c r="H177" s="203"/>
      <c r="I177" s="167">
        <f t="shared" si="20"/>
        <v>0</v>
      </c>
      <c r="J177" s="168" t="str">
        <f t="shared" si="6"/>
        <v>#DIV/0!</v>
      </c>
      <c r="K177" s="169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ht="15.75" customHeight="1">
      <c r="A178" s="199"/>
      <c r="B178" s="160">
        <v>1758.0</v>
      </c>
      <c r="C178" s="161" t="s">
        <v>224</v>
      </c>
      <c r="D178" s="170"/>
      <c r="E178" s="163"/>
      <c r="F178" s="167"/>
      <c r="G178" s="202"/>
      <c r="H178" s="203"/>
      <c r="I178" s="167">
        <f t="shared" si="20"/>
        <v>0</v>
      </c>
      <c r="J178" s="168" t="str">
        <f t="shared" si="6"/>
        <v>#DIV/0!</v>
      </c>
      <c r="K178" s="169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ht="15.75" customHeight="1">
      <c r="A179" s="122">
        <v>46129.0</v>
      </c>
      <c r="B179" s="123">
        <v>1759.0</v>
      </c>
      <c r="C179" s="126" t="s">
        <v>285</v>
      </c>
      <c r="D179" s="127" t="s">
        <v>279</v>
      </c>
      <c r="E179" s="115"/>
      <c r="F179" s="209">
        <v>37888.46</v>
      </c>
      <c r="G179" s="125">
        <v>31520.0</v>
      </c>
      <c r="H179" s="118"/>
      <c r="I179" s="119">
        <f t="shared" si="20"/>
        <v>6368.46</v>
      </c>
      <c r="J179" s="120">
        <f t="shared" si="6"/>
        <v>0.1680844247</v>
      </c>
      <c r="K179" s="210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22">
        <v>46127.0</v>
      </c>
      <c r="B180" s="123">
        <v>1760.0</v>
      </c>
      <c r="C180" s="126" t="s">
        <v>286</v>
      </c>
      <c r="D180" s="127" t="s">
        <v>279</v>
      </c>
      <c r="E180" s="115"/>
      <c r="F180" s="128">
        <v>5484.0</v>
      </c>
      <c r="G180" s="117"/>
      <c r="H180" s="118"/>
      <c r="I180" s="119">
        <f t="shared" si="20"/>
        <v>5484</v>
      </c>
      <c r="J180" s="120">
        <f t="shared" si="6"/>
        <v>1</v>
      </c>
      <c r="K180" s="210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22">
        <v>46129.0</v>
      </c>
      <c r="B181" s="123">
        <v>1761.0</v>
      </c>
      <c r="C181" s="126" t="s">
        <v>287</v>
      </c>
      <c r="D181" s="127" t="s">
        <v>84</v>
      </c>
      <c r="E181" s="115"/>
      <c r="F181" s="128">
        <v>4200.0</v>
      </c>
      <c r="G181" s="125">
        <v>2142.4</v>
      </c>
      <c r="H181" s="118"/>
      <c r="I181" s="119">
        <f t="shared" si="20"/>
        <v>2057.6</v>
      </c>
      <c r="J181" s="120">
        <f t="shared" si="6"/>
        <v>0.4899047619</v>
      </c>
      <c r="K181" s="121">
        <f>I181*0.2</f>
        <v>411.52</v>
      </c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22"/>
      <c r="B182" s="123">
        <v>1762.0</v>
      </c>
      <c r="C182" s="126" t="s">
        <v>281</v>
      </c>
      <c r="D182" s="127" t="s">
        <v>279</v>
      </c>
      <c r="E182" s="115"/>
      <c r="F182" s="128">
        <v>77890.0</v>
      </c>
      <c r="G182" s="125">
        <v>61677.12</v>
      </c>
      <c r="H182" s="118"/>
      <c r="I182" s="119">
        <f t="shared" si="20"/>
        <v>16212.88</v>
      </c>
      <c r="J182" s="120">
        <f t="shared" si="6"/>
        <v>0.2081509822</v>
      </c>
      <c r="K182" s="210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22">
        <v>46130.0</v>
      </c>
      <c r="B183" s="123">
        <v>1763.0</v>
      </c>
      <c r="C183" s="126" t="s">
        <v>289</v>
      </c>
      <c r="D183" s="127" t="s">
        <v>84</v>
      </c>
      <c r="E183" s="115"/>
      <c r="F183" s="128">
        <v>4400.0</v>
      </c>
      <c r="G183" s="125">
        <v>2472.4</v>
      </c>
      <c r="H183" s="118"/>
      <c r="I183" s="119">
        <f t="shared" si="20"/>
        <v>1927.6</v>
      </c>
      <c r="J183" s="120">
        <f t="shared" si="6"/>
        <v>0.4380909091</v>
      </c>
      <c r="K183" s="121">
        <f t="shared" ref="K183:K184" si="21">I183*0.2</f>
        <v>385.52</v>
      </c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22">
        <v>46132.0</v>
      </c>
      <c r="B184" s="123">
        <v>1764.0</v>
      </c>
      <c r="C184" s="126" t="s">
        <v>290</v>
      </c>
      <c r="D184" s="127" t="s">
        <v>84</v>
      </c>
      <c r="E184" s="115"/>
      <c r="F184" s="128">
        <v>2500.0</v>
      </c>
      <c r="G184" s="125">
        <v>1600.0</v>
      </c>
      <c r="H184" s="118"/>
      <c r="I184" s="119">
        <f t="shared" si="20"/>
        <v>900</v>
      </c>
      <c r="J184" s="120">
        <f t="shared" si="6"/>
        <v>0.36</v>
      </c>
      <c r="K184" s="121">
        <f t="shared" si="21"/>
        <v>180</v>
      </c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13"/>
      <c r="B185" s="123">
        <v>1765.0</v>
      </c>
      <c r="C185" s="126" t="s">
        <v>281</v>
      </c>
      <c r="D185" s="127" t="s">
        <v>279</v>
      </c>
      <c r="E185" s="115"/>
      <c r="F185" s="128">
        <v>8175.0</v>
      </c>
      <c r="G185" s="125">
        <v>7360.0</v>
      </c>
      <c r="H185" s="118"/>
      <c r="I185" s="119">
        <f t="shared" si="20"/>
        <v>815</v>
      </c>
      <c r="J185" s="120">
        <f t="shared" si="6"/>
        <v>0.0996941896</v>
      </c>
      <c r="K185" s="210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22">
        <v>46133.0</v>
      </c>
      <c r="B186" s="123">
        <v>1766.0</v>
      </c>
      <c r="C186" s="126" t="s">
        <v>291</v>
      </c>
      <c r="D186" s="127" t="s">
        <v>84</v>
      </c>
      <c r="E186" s="115"/>
      <c r="F186" s="128">
        <v>2400.0</v>
      </c>
      <c r="G186" s="125">
        <v>1500.0</v>
      </c>
      <c r="H186" s="118"/>
      <c r="I186" s="119">
        <f t="shared" si="20"/>
        <v>900</v>
      </c>
      <c r="J186" s="120">
        <f t="shared" si="6"/>
        <v>0.375</v>
      </c>
      <c r="K186" s="121">
        <f>I186*0.2</f>
        <v>180</v>
      </c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22">
        <v>46133.0</v>
      </c>
      <c r="B187" s="123">
        <v>1767.0</v>
      </c>
      <c r="C187" s="126" t="s">
        <v>285</v>
      </c>
      <c r="D187" s="127" t="s">
        <v>279</v>
      </c>
      <c r="E187" s="115"/>
      <c r="F187" s="209">
        <v>4000.0</v>
      </c>
      <c r="G187" s="125">
        <v>1200.0</v>
      </c>
      <c r="H187" s="118"/>
      <c r="I187" s="119">
        <f t="shared" si="20"/>
        <v>2800</v>
      </c>
      <c r="J187" s="120">
        <f t="shared" si="6"/>
        <v>0.7</v>
      </c>
      <c r="K187" s="210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22">
        <v>46133.0</v>
      </c>
      <c r="B188" s="123">
        <v>1768.0</v>
      </c>
      <c r="C188" s="126" t="s">
        <v>285</v>
      </c>
      <c r="D188" s="127" t="s">
        <v>279</v>
      </c>
      <c r="E188" s="115"/>
      <c r="F188" s="209">
        <v>40320.0</v>
      </c>
      <c r="G188" s="125">
        <v>30800.0</v>
      </c>
      <c r="H188" s="118"/>
      <c r="I188" s="119">
        <f t="shared" si="20"/>
        <v>9520</v>
      </c>
      <c r="J188" s="120">
        <f t="shared" si="6"/>
        <v>0.2361111111</v>
      </c>
      <c r="K188" s="210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22">
        <v>46134.0</v>
      </c>
      <c r="B189" s="123">
        <v>1769.0</v>
      </c>
      <c r="C189" s="126" t="s">
        <v>292</v>
      </c>
      <c r="D189" s="127" t="s">
        <v>84</v>
      </c>
      <c r="E189" s="115"/>
      <c r="F189" s="128">
        <v>2930.0</v>
      </c>
      <c r="G189" s="125">
        <v>2177.0</v>
      </c>
      <c r="H189" s="118"/>
      <c r="I189" s="119">
        <f t="shared" si="20"/>
        <v>753</v>
      </c>
      <c r="J189" s="120">
        <f t="shared" si="6"/>
        <v>0.256996587</v>
      </c>
      <c r="K189" s="121">
        <f>I189*0.2</f>
        <v>150.6</v>
      </c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13"/>
      <c r="B190" s="123">
        <v>1770.0</v>
      </c>
      <c r="C190" s="126" t="s">
        <v>286</v>
      </c>
      <c r="D190" s="127" t="s">
        <v>213</v>
      </c>
      <c r="E190" s="115"/>
      <c r="F190" s="128">
        <v>2684.8</v>
      </c>
      <c r="G190" s="125">
        <v>1800.4</v>
      </c>
      <c r="H190" s="118"/>
      <c r="I190" s="119">
        <f t="shared" si="20"/>
        <v>884.4</v>
      </c>
      <c r="J190" s="120">
        <f t="shared" si="6"/>
        <v>0.3294100119</v>
      </c>
      <c r="K190" s="210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22">
        <v>46139.0</v>
      </c>
      <c r="B191" s="123">
        <v>1771.0</v>
      </c>
      <c r="C191" s="126" t="s">
        <v>293</v>
      </c>
      <c r="D191" s="127" t="s">
        <v>84</v>
      </c>
      <c r="E191" s="115"/>
      <c r="F191" s="128">
        <v>2500.0</v>
      </c>
      <c r="G191" s="125">
        <v>1500.0</v>
      </c>
      <c r="H191" s="118"/>
      <c r="I191" s="119">
        <f t="shared" si="20"/>
        <v>1000</v>
      </c>
      <c r="J191" s="120">
        <f t="shared" si="6"/>
        <v>0.4</v>
      </c>
      <c r="K191" s="121">
        <f t="shared" ref="K191:K192" si="22">I191*0.2</f>
        <v>200</v>
      </c>
      <c r="L191" s="121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22">
        <v>46140.0</v>
      </c>
      <c r="B192" s="123">
        <v>1772.0</v>
      </c>
      <c r="C192" s="126" t="s">
        <v>294</v>
      </c>
      <c r="D192" s="127" t="s">
        <v>84</v>
      </c>
      <c r="E192" s="115"/>
      <c r="F192" s="128">
        <v>2500.0</v>
      </c>
      <c r="G192" s="125">
        <v>1800.0</v>
      </c>
      <c r="H192" s="118"/>
      <c r="I192" s="119">
        <f t="shared" si="20"/>
        <v>700</v>
      </c>
      <c r="J192" s="120">
        <f t="shared" si="6"/>
        <v>0.28</v>
      </c>
      <c r="K192" s="121">
        <f t="shared" si="22"/>
        <v>140</v>
      </c>
      <c r="L192" s="121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13"/>
      <c r="B193" s="123">
        <v>1773.0</v>
      </c>
      <c r="C193" s="126"/>
      <c r="D193" s="127"/>
      <c r="E193" s="115"/>
      <c r="F193" s="128"/>
      <c r="G193" s="125"/>
      <c r="H193" s="118"/>
      <c r="I193" s="119">
        <f t="shared" si="20"/>
        <v>0</v>
      </c>
      <c r="J193" s="120" t="str">
        <f t="shared" si="6"/>
        <v>#DIV/0!</v>
      </c>
      <c r="K193" s="121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215">
        <v>46141.0</v>
      </c>
      <c r="B194" s="216">
        <v>1774.0</v>
      </c>
      <c r="C194" s="217" t="s">
        <v>231</v>
      </c>
      <c r="D194" s="218" t="s">
        <v>84</v>
      </c>
      <c r="E194" s="219"/>
      <c r="F194" s="220">
        <v>9400.0</v>
      </c>
      <c r="G194" s="221">
        <v>4284.8</v>
      </c>
      <c r="H194" s="223"/>
      <c r="I194" s="224">
        <f t="shared" si="20"/>
        <v>5115.2</v>
      </c>
      <c r="J194" s="225">
        <f t="shared" si="6"/>
        <v>0.5441702128</v>
      </c>
      <c r="K194" s="121">
        <f>I194*0.2</f>
        <v>1023.04</v>
      </c>
      <c r="L194" s="218" t="s">
        <v>295</v>
      </c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</row>
    <row r="195" ht="15.75" customHeight="1">
      <c r="A195" s="122">
        <v>46121.0</v>
      </c>
      <c r="B195" s="123">
        <v>1801.0</v>
      </c>
      <c r="C195" s="126" t="s">
        <v>246</v>
      </c>
      <c r="D195" s="127" t="s">
        <v>215</v>
      </c>
      <c r="E195" s="115"/>
      <c r="F195" s="128">
        <v>8940.0</v>
      </c>
      <c r="G195" s="125">
        <v>5830.0</v>
      </c>
      <c r="H195" s="118"/>
      <c r="I195" s="119">
        <f t="shared" si="20"/>
        <v>3110</v>
      </c>
      <c r="J195" s="120">
        <f t="shared" si="6"/>
        <v>0.3478747204</v>
      </c>
      <c r="K195" s="121">
        <f t="shared" ref="K195:K238" si="23">F195*0.01</f>
        <v>89.4</v>
      </c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13"/>
      <c r="B196" s="123">
        <v>1802.0</v>
      </c>
      <c r="C196" s="126" t="s">
        <v>217</v>
      </c>
      <c r="D196" s="127" t="s">
        <v>215</v>
      </c>
      <c r="E196" s="115"/>
      <c r="F196" s="128">
        <v>17120.0</v>
      </c>
      <c r="G196" s="125">
        <v>12700.0</v>
      </c>
      <c r="H196" s="118"/>
      <c r="I196" s="119">
        <f t="shared" si="20"/>
        <v>4420</v>
      </c>
      <c r="J196" s="120">
        <f t="shared" si="6"/>
        <v>0.2581775701</v>
      </c>
      <c r="K196" s="121">
        <f t="shared" si="23"/>
        <v>171.2</v>
      </c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13"/>
      <c r="B197" s="123">
        <v>1803.0</v>
      </c>
      <c r="C197" s="126" t="s">
        <v>297</v>
      </c>
      <c r="D197" s="127" t="s">
        <v>215</v>
      </c>
      <c r="E197" s="115"/>
      <c r="F197" s="128">
        <v>2300.0</v>
      </c>
      <c r="G197" s="125">
        <v>1500.0</v>
      </c>
      <c r="H197" s="118"/>
      <c r="I197" s="119">
        <f t="shared" si="20"/>
        <v>800</v>
      </c>
      <c r="J197" s="120">
        <f t="shared" si="6"/>
        <v>0.347826087</v>
      </c>
      <c r="K197" s="121">
        <f t="shared" si="23"/>
        <v>23</v>
      </c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13"/>
      <c r="B198" s="123">
        <v>1804.0</v>
      </c>
      <c r="C198" s="126" t="s">
        <v>216</v>
      </c>
      <c r="D198" s="127" t="s">
        <v>215</v>
      </c>
      <c r="E198" s="115"/>
      <c r="F198" s="128">
        <v>3860.0</v>
      </c>
      <c r="G198" s="125">
        <v>2300.0</v>
      </c>
      <c r="H198" s="118"/>
      <c r="I198" s="119">
        <f t="shared" si="20"/>
        <v>1560</v>
      </c>
      <c r="J198" s="120">
        <f t="shared" si="6"/>
        <v>0.4041450777</v>
      </c>
      <c r="K198" s="121">
        <f t="shared" si="23"/>
        <v>38.6</v>
      </c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13"/>
      <c r="B199" s="123">
        <v>1805.0</v>
      </c>
      <c r="C199" s="126" t="s">
        <v>218</v>
      </c>
      <c r="D199" s="127" t="s">
        <v>215</v>
      </c>
      <c r="E199" s="115"/>
      <c r="F199" s="128">
        <v>3650.0</v>
      </c>
      <c r="G199" s="125">
        <v>1780.0</v>
      </c>
      <c r="H199" s="118"/>
      <c r="I199" s="119">
        <f t="shared" si="20"/>
        <v>1870</v>
      </c>
      <c r="J199" s="120">
        <f t="shared" si="6"/>
        <v>0.5123287671</v>
      </c>
      <c r="K199" s="121">
        <f t="shared" si="23"/>
        <v>36.5</v>
      </c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13"/>
      <c r="B200" s="123">
        <v>1806.0</v>
      </c>
      <c r="C200" s="126" t="s">
        <v>223</v>
      </c>
      <c r="D200" s="127" t="s">
        <v>215</v>
      </c>
      <c r="E200" s="115"/>
      <c r="F200" s="128">
        <v>3200.0</v>
      </c>
      <c r="G200" s="125">
        <v>2090.0</v>
      </c>
      <c r="H200" s="118"/>
      <c r="I200" s="119">
        <f t="shared" si="20"/>
        <v>1110</v>
      </c>
      <c r="J200" s="120">
        <f t="shared" si="6"/>
        <v>0.346875</v>
      </c>
      <c r="K200" s="121">
        <f t="shared" si="23"/>
        <v>32</v>
      </c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22">
        <v>46122.0</v>
      </c>
      <c r="B201" s="123">
        <v>1807.0</v>
      </c>
      <c r="C201" s="126" t="s">
        <v>246</v>
      </c>
      <c r="D201" s="127" t="s">
        <v>215</v>
      </c>
      <c r="E201" s="115"/>
      <c r="F201" s="128">
        <v>1500.0</v>
      </c>
      <c r="G201" s="125">
        <v>1050.0</v>
      </c>
      <c r="H201" s="118"/>
      <c r="I201" s="119">
        <f t="shared" si="20"/>
        <v>450</v>
      </c>
      <c r="J201" s="120">
        <f t="shared" si="6"/>
        <v>0.3</v>
      </c>
      <c r="K201" s="121">
        <f t="shared" si="23"/>
        <v>15</v>
      </c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13"/>
      <c r="B202" s="123">
        <v>1808.0</v>
      </c>
      <c r="C202" s="126" t="s">
        <v>216</v>
      </c>
      <c r="D202" s="127" t="s">
        <v>215</v>
      </c>
      <c r="E202" s="115"/>
      <c r="F202" s="128">
        <v>8500.0</v>
      </c>
      <c r="G202" s="125">
        <v>7700.0</v>
      </c>
      <c r="H202" s="118"/>
      <c r="I202" s="119">
        <f t="shared" si="20"/>
        <v>800</v>
      </c>
      <c r="J202" s="120">
        <f t="shared" si="6"/>
        <v>0.09411764706</v>
      </c>
      <c r="K202" s="121">
        <f t="shared" si="23"/>
        <v>85</v>
      </c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13"/>
      <c r="B203" s="123">
        <v>1809.0</v>
      </c>
      <c r="C203" s="126" t="s">
        <v>214</v>
      </c>
      <c r="D203" s="127" t="s">
        <v>215</v>
      </c>
      <c r="E203" s="115"/>
      <c r="F203" s="209">
        <v>9000.0</v>
      </c>
      <c r="G203" s="125">
        <v>6400.0</v>
      </c>
      <c r="H203" s="118"/>
      <c r="I203" s="119">
        <f t="shared" si="20"/>
        <v>2600</v>
      </c>
      <c r="J203" s="120">
        <f t="shared" si="6"/>
        <v>0.2888888889</v>
      </c>
      <c r="K203" s="121">
        <f t="shared" si="23"/>
        <v>90</v>
      </c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13"/>
      <c r="B204" s="123">
        <v>1810.0</v>
      </c>
      <c r="C204" s="126" t="s">
        <v>227</v>
      </c>
      <c r="D204" s="127" t="s">
        <v>215</v>
      </c>
      <c r="E204" s="115"/>
      <c r="F204" s="128">
        <v>5200.0</v>
      </c>
      <c r="G204" s="125">
        <v>2142.4</v>
      </c>
      <c r="H204" s="118"/>
      <c r="I204" s="119">
        <f t="shared" si="20"/>
        <v>3057.6</v>
      </c>
      <c r="J204" s="120">
        <f t="shared" si="6"/>
        <v>0.588</v>
      </c>
      <c r="K204" s="121">
        <f t="shared" si="23"/>
        <v>52</v>
      </c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22">
        <v>46127.0</v>
      </c>
      <c r="B205" s="123">
        <v>1811.0</v>
      </c>
      <c r="C205" s="126" t="s">
        <v>246</v>
      </c>
      <c r="D205" s="127" t="s">
        <v>215</v>
      </c>
      <c r="E205" s="115"/>
      <c r="F205" s="128">
        <v>2800.0</v>
      </c>
      <c r="G205" s="125">
        <v>1600.0</v>
      </c>
      <c r="H205" s="118"/>
      <c r="I205" s="119">
        <f t="shared" si="20"/>
        <v>1200</v>
      </c>
      <c r="J205" s="120">
        <f t="shared" si="6"/>
        <v>0.4285714286</v>
      </c>
      <c r="K205" s="121">
        <f t="shared" si="23"/>
        <v>28</v>
      </c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22">
        <v>46126.0</v>
      </c>
      <c r="B206" s="123">
        <v>1812.0</v>
      </c>
      <c r="C206" s="126">
        <v>2011.0</v>
      </c>
      <c r="D206" s="127" t="s">
        <v>215</v>
      </c>
      <c r="E206" s="115"/>
      <c r="F206" s="128">
        <v>3000.0</v>
      </c>
      <c r="G206" s="125">
        <v>2200.0</v>
      </c>
      <c r="H206" s="118"/>
      <c r="I206" s="119">
        <f t="shared" si="20"/>
        <v>800</v>
      </c>
      <c r="J206" s="120">
        <f t="shared" si="6"/>
        <v>0.2666666667</v>
      </c>
      <c r="K206" s="121">
        <f t="shared" si="23"/>
        <v>30</v>
      </c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13"/>
      <c r="B207" s="123">
        <v>1813.0</v>
      </c>
      <c r="C207" s="126" t="s">
        <v>246</v>
      </c>
      <c r="D207" s="127" t="s">
        <v>215</v>
      </c>
      <c r="E207" s="115"/>
      <c r="F207" s="128">
        <v>7060.0</v>
      </c>
      <c r="G207" s="125">
        <v>4840.0</v>
      </c>
      <c r="H207" s="118"/>
      <c r="I207" s="119">
        <f t="shared" si="20"/>
        <v>2220</v>
      </c>
      <c r="J207" s="120">
        <f t="shared" si="6"/>
        <v>0.3144475921</v>
      </c>
      <c r="K207" s="121">
        <f t="shared" si="23"/>
        <v>70.6</v>
      </c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13"/>
      <c r="B208" s="123">
        <v>1814.0</v>
      </c>
      <c r="C208" s="126" t="s">
        <v>254</v>
      </c>
      <c r="D208" s="127" t="s">
        <v>215</v>
      </c>
      <c r="E208" s="115"/>
      <c r="F208" s="128">
        <v>8500.0</v>
      </c>
      <c r="G208" s="125">
        <v>7700.0</v>
      </c>
      <c r="H208" s="118"/>
      <c r="I208" s="119">
        <f t="shared" si="20"/>
        <v>800</v>
      </c>
      <c r="J208" s="120">
        <f t="shared" si="6"/>
        <v>0.09411764706</v>
      </c>
      <c r="K208" s="121">
        <f t="shared" si="23"/>
        <v>85</v>
      </c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13"/>
      <c r="B209" s="123">
        <v>1815.0</v>
      </c>
      <c r="C209" s="126" t="s">
        <v>217</v>
      </c>
      <c r="D209" s="127" t="s">
        <v>215</v>
      </c>
      <c r="E209" s="115"/>
      <c r="F209" s="128">
        <v>27620.0</v>
      </c>
      <c r="G209" s="125">
        <v>22470.0</v>
      </c>
      <c r="H209" s="118"/>
      <c r="I209" s="119">
        <f t="shared" si="20"/>
        <v>5150</v>
      </c>
      <c r="J209" s="120">
        <f t="shared" si="6"/>
        <v>0.1864590876</v>
      </c>
      <c r="K209" s="121">
        <f t="shared" si="23"/>
        <v>276.2</v>
      </c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13"/>
      <c r="B210" s="123">
        <v>1816.0</v>
      </c>
      <c r="C210" s="126" t="s">
        <v>216</v>
      </c>
      <c r="D210" s="127" t="s">
        <v>215</v>
      </c>
      <c r="E210" s="115"/>
      <c r="F210" s="128">
        <v>5560.0</v>
      </c>
      <c r="G210" s="125">
        <v>4165.0</v>
      </c>
      <c r="H210" s="118"/>
      <c r="I210" s="119">
        <f t="shared" si="20"/>
        <v>1395</v>
      </c>
      <c r="J210" s="120">
        <f t="shared" si="6"/>
        <v>0.2508992806</v>
      </c>
      <c r="K210" s="121">
        <f t="shared" si="23"/>
        <v>55.6</v>
      </c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13"/>
      <c r="B211" s="123">
        <v>1817.0</v>
      </c>
      <c r="C211" s="126" t="s">
        <v>218</v>
      </c>
      <c r="D211" s="127" t="s">
        <v>215</v>
      </c>
      <c r="E211" s="115"/>
      <c r="F211" s="128">
        <v>4500.0</v>
      </c>
      <c r="G211" s="125">
        <v>3150.0</v>
      </c>
      <c r="H211" s="118"/>
      <c r="I211" s="119">
        <f t="shared" si="20"/>
        <v>1350</v>
      </c>
      <c r="J211" s="120">
        <f t="shared" si="6"/>
        <v>0.3</v>
      </c>
      <c r="K211" s="121">
        <f t="shared" si="23"/>
        <v>45</v>
      </c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13"/>
      <c r="B212" s="123">
        <v>1818.0</v>
      </c>
      <c r="C212" s="126" t="s">
        <v>255</v>
      </c>
      <c r="D212" s="127" t="s">
        <v>215</v>
      </c>
      <c r="E212" s="115"/>
      <c r="F212" s="128">
        <v>1500.0</v>
      </c>
      <c r="G212" s="125">
        <v>850.0</v>
      </c>
      <c r="H212" s="118"/>
      <c r="I212" s="119">
        <f t="shared" si="20"/>
        <v>650</v>
      </c>
      <c r="J212" s="120">
        <f t="shared" si="6"/>
        <v>0.4333333333</v>
      </c>
      <c r="K212" s="121">
        <f t="shared" si="23"/>
        <v>15</v>
      </c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13"/>
      <c r="B213" s="123">
        <v>1819.0</v>
      </c>
      <c r="C213" s="126" t="s">
        <v>223</v>
      </c>
      <c r="D213" s="127" t="s">
        <v>215</v>
      </c>
      <c r="E213" s="115"/>
      <c r="F213" s="128">
        <v>9680.0</v>
      </c>
      <c r="G213" s="125">
        <v>4870.0</v>
      </c>
      <c r="H213" s="118"/>
      <c r="I213" s="119">
        <f t="shared" si="20"/>
        <v>4810</v>
      </c>
      <c r="J213" s="120">
        <f t="shared" si="6"/>
        <v>0.4969008264</v>
      </c>
      <c r="K213" s="121">
        <f t="shared" si="23"/>
        <v>96.8</v>
      </c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22">
        <v>46133.0</v>
      </c>
      <c r="B214" s="123">
        <v>1820.0</v>
      </c>
      <c r="C214" s="126" t="s">
        <v>219</v>
      </c>
      <c r="D214" s="127" t="s">
        <v>215</v>
      </c>
      <c r="E214" s="115"/>
      <c r="F214" s="128">
        <v>1500.0</v>
      </c>
      <c r="G214" s="125">
        <v>1150.0</v>
      </c>
      <c r="H214" s="118"/>
      <c r="I214" s="119">
        <f t="shared" si="20"/>
        <v>350</v>
      </c>
      <c r="J214" s="120">
        <f t="shared" si="6"/>
        <v>0.2333333333</v>
      </c>
      <c r="K214" s="121">
        <f t="shared" si="23"/>
        <v>15</v>
      </c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13"/>
      <c r="B215" s="123">
        <v>1821.0</v>
      </c>
      <c r="C215" s="126"/>
      <c r="D215" s="127" t="s">
        <v>215</v>
      </c>
      <c r="E215" s="115"/>
      <c r="F215" s="119"/>
      <c r="G215" s="117"/>
      <c r="H215" s="118"/>
      <c r="I215" s="119">
        <f t="shared" si="20"/>
        <v>0</v>
      </c>
      <c r="J215" s="120" t="str">
        <f t="shared" si="6"/>
        <v>#DIV/0!</v>
      </c>
      <c r="K215" s="121">
        <f t="shared" si="23"/>
        <v>0</v>
      </c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13"/>
      <c r="B216" s="123">
        <v>1822.0</v>
      </c>
      <c r="C216" s="126" t="s">
        <v>298</v>
      </c>
      <c r="D216" s="127" t="s">
        <v>215</v>
      </c>
      <c r="E216" s="115"/>
      <c r="F216" s="128">
        <v>2380.0</v>
      </c>
      <c r="G216" s="125">
        <v>2010.0</v>
      </c>
      <c r="H216" s="118"/>
      <c r="I216" s="119">
        <f t="shared" si="20"/>
        <v>370</v>
      </c>
      <c r="J216" s="120">
        <f t="shared" si="6"/>
        <v>0.1554621849</v>
      </c>
      <c r="K216" s="121">
        <f t="shared" si="23"/>
        <v>23.8</v>
      </c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13"/>
      <c r="B217" s="123">
        <v>1823.0</v>
      </c>
      <c r="C217" s="126" t="s">
        <v>298</v>
      </c>
      <c r="D217" s="127" t="s">
        <v>215</v>
      </c>
      <c r="E217" s="115"/>
      <c r="F217" s="128">
        <v>2800.0</v>
      </c>
      <c r="G217" s="125">
        <v>1700.0</v>
      </c>
      <c r="H217" s="118"/>
      <c r="I217" s="119">
        <f t="shared" si="20"/>
        <v>1100</v>
      </c>
      <c r="J217" s="120">
        <f t="shared" si="6"/>
        <v>0.3928571429</v>
      </c>
      <c r="K217" s="121">
        <f t="shared" si="23"/>
        <v>28</v>
      </c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13"/>
      <c r="B218" s="123">
        <v>1824.0</v>
      </c>
      <c r="C218" s="173"/>
      <c r="D218" s="127" t="s">
        <v>215</v>
      </c>
      <c r="E218" s="115"/>
      <c r="F218" s="119"/>
      <c r="G218" s="117"/>
      <c r="H218" s="118"/>
      <c r="I218" s="119">
        <f t="shared" si="20"/>
        <v>0</v>
      </c>
      <c r="J218" s="120" t="str">
        <f t="shared" si="6"/>
        <v>#DIV/0!</v>
      </c>
      <c r="K218" s="121">
        <f t="shared" si="23"/>
        <v>0</v>
      </c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22">
        <v>46135.0</v>
      </c>
      <c r="B219" s="123">
        <v>1825.0</v>
      </c>
      <c r="C219" s="126" t="s">
        <v>217</v>
      </c>
      <c r="D219" s="127" t="s">
        <v>215</v>
      </c>
      <c r="E219" s="115"/>
      <c r="F219" s="128">
        <v>18400.0</v>
      </c>
      <c r="G219" s="125">
        <v>14670.0</v>
      </c>
      <c r="H219" s="118"/>
      <c r="I219" s="119">
        <f t="shared" si="20"/>
        <v>3730</v>
      </c>
      <c r="J219" s="120">
        <f t="shared" si="6"/>
        <v>0.2027173913</v>
      </c>
      <c r="K219" s="121">
        <f t="shared" si="23"/>
        <v>184</v>
      </c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13"/>
      <c r="B220" s="123">
        <v>1826.0</v>
      </c>
      <c r="C220" s="126" t="s">
        <v>216</v>
      </c>
      <c r="D220" s="127" t="s">
        <v>215</v>
      </c>
      <c r="E220" s="115"/>
      <c r="F220" s="128">
        <v>9460.0</v>
      </c>
      <c r="G220" s="125">
        <v>8220.0</v>
      </c>
      <c r="H220" s="118"/>
      <c r="I220" s="119">
        <f t="shared" si="20"/>
        <v>1240</v>
      </c>
      <c r="J220" s="120">
        <f t="shared" si="6"/>
        <v>0.1310782241</v>
      </c>
      <c r="K220" s="121">
        <f t="shared" si="23"/>
        <v>94.6</v>
      </c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13"/>
      <c r="B221" s="123">
        <v>1827.0</v>
      </c>
      <c r="C221" s="126" t="s">
        <v>216</v>
      </c>
      <c r="D221" s="127" t="s">
        <v>215</v>
      </c>
      <c r="E221" s="115"/>
      <c r="F221" s="128">
        <v>1140.0</v>
      </c>
      <c r="G221" s="125">
        <v>990.0</v>
      </c>
      <c r="H221" s="118"/>
      <c r="I221" s="119">
        <f t="shared" si="20"/>
        <v>150</v>
      </c>
      <c r="J221" s="120">
        <f t="shared" si="6"/>
        <v>0.1315789474</v>
      </c>
      <c r="K221" s="121">
        <f t="shared" si="23"/>
        <v>11.4</v>
      </c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13"/>
      <c r="B222" s="123">
        <v>1828.0</v>
      </c>
      <c r="C222" s="126" t="s">
        <v>214</v>
      </c>
      <c r="D222" s="127" t="s">
        <v>215</v>
      </c>
      <c r="E222" s="115"/>
      <c r="F222" s="128">
        <v>7900.0</v>
      </c>
      <c r="G222" s="125">
        <v>5050.0</v>
      </c>
      <c r="H222" s="118"/>
      <c r="I222" s="119">
        <f t="shared" si="20"/>
        <v>2850</v>
      </c>
      <c r="J222" s="120">
        <f t="shared" si="6"/>
        <v>0.3607594937</v>
      </c>
      <c r="K222" s="121">
        <f t="shared" si="23"/>
        <v>79</v>
      </c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13"/>
      <c r="B223" s="123">
        <v>1829.0</v>
      </c>
      <c r="C223" s="126" t="s">
        <v>218</v>
      </c>
      <c r="D223" s="127" t="s">
        <v>215</v>
      </c>
      <c r="E223" s="115"/>
      <c r="F223" s="128">
        <v>11900.0</v>
      </c>
      <c r="G223" s="125">
        <v>8200.0</v>
      </c>
      <c r="H223" s="118"/>
      <c r="I223" s="119">
        <f t="shared" si="20"/>
        <v>3700</v>
      </c>
      <c r="J223" s="120">
        <f t="shared" si="6"/>
        <v>0.3109243697</v>
      </c>
      <c r="K223" s="121">
        <f t="shared" si="23"/>
        <v>119</v>
      </c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22">
        <v>46136.0</v>
      </c>
      <c r="B224" s="123">
        <v>1830.0</v>
      </c>
      <c r="C224" s="126">
        <v>2011.0</v>
      </c>
      <c r="D224" s="127" t="s">
        <v>215</v>
      </c>
      <c r="E224" s="115"/>
      <c r="F224" s="128">
        <v>1900.0</v>
      </c>
      <c r="G224" s="125">
        <v>1300.0</v>
      </c>
      <c r="H224" s="118"/>
      <c r="I224" s="119">
        <f t="shared" si="20"/>
        <v>600</v>
      </c>
      <c r="J224" s="120">
        <f t="shared" si="6"/>
        <v>0.3157894737</v>
      </c>
      <c r="K224" s="121">
        <f t="shared" si="23"/>
        <v>19</v>
      </c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13"/>
      <c r="B225" s="123">
        <v>1831.0</v>
      </c>
      <c r="C225" s="126" t="s">
        <v>222</v>
      </c>
      <c r="D225" s="127" t="s">
        <v>215</v>
      </c>
      <c r="E225" s="115"/>
      <c r="F225" s="128">
        <v>9600.0</v>
      </c>
      <c r="G225" s="125">
        <v>7000.0</v>
      </c>
      <c r="H225" s="118"/>
      <c r="I225" s="119">
        <f t="shared" si="20"/>
        <v>2600</v>
      </c>
      <c r="J225" s="120">
        <f t="shared" si="6"/>
        <v>0.2708333333</v>
      </c>
      <c r="K225" s="121">
        <f t="shared" si="23"/>
        <v>96</v>
      </c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13"/>
      <c r="B226" s="123">
        <v>1832.0</v>
      </c>
      <c r="C226" s="126" t="s">
        <v>299</v>
      </c>
      <c r="D226" s="127" t="s">
        <v>215</v>
      </c>
      <c r="E226" s="115"/>
      <c r="F226" s="128">
        <v>900.0</v>
      </c>
      <c r="G226" s="125">
        <v>750.0</v>
      </c>
      <c r="H226" s="118"/>
      <c r="I226" s="119">
        <f t="shared" si="20"/>
        <v>150</v>
      </c>
      <c r="J226" s="120">
        <f t="shared" si="6"/>
        <v>0.1666666667</v>
      </c>
      <c r="K226" s="121">
        <f t="shared" si="23"/>
        <v>9</v>
      </c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13"/>
      <c r="B227" s="123">
        <v>1833.0</v>
      </c>
      <c r="C227" s="126" t="s">
        <v>300</v>
      </c>
      <c r="D227" s="127" t="s">
        <v>215</v>
      </c>
      <c r="E227" s="115"/>
      <c r="F227" s="128">
        <v>2660.0</v>
      </c>
      <c r="G227" s="125">
        <v>2090.0</v>
      </c>
      <c r="H227" s="118"/>
      <c r="I227" s="119">
        <f t="shared" si="20"/>
        <v>570</v>
      </c>
      <c r="J227" s="120">
        <f t="shared" si="6"/>
        <v>0.2142857143</v>
      </c>
      <c r="K227" s="121">
        <f t="shared" si="23"/>
        <v>26.6</v>
      </c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22">
        <v>46137.0</v>
      </c>
      <c r="B228" s="123">
        <v>1834.0</v>
      </c>
      <c r="C228" s="126" t="s">
        <v>216</v>
      </c>
      <c r="D228" s="127" t="s">
        <v>215</v>
      </c>
      <c r="E228" s="115"/>
      <c r="F228" s="128">
        <v>34000.0</v>
      </c>
      <c r="G228" s="153">
        <v>30800.0</v>
      </c>
      <c r="H228" s="118"/>
      <c r="I228" s="119">
        <f t="shared" si="20"/>
        <v>3200</v>
      </c>
      <c r="J228" s="120">
        <f t="shared" si="6"/>
        <v>0.09411764706</v>
      </c>
      <c r="K228" s="121">
        <f t="shared" si="23"/>
        <v>340</v>
      </c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22">
        <v>46139.0</v>
      </c>
      <c r="B229" s="123">
        <v>1835.0</v>
      </c>
      <c r="C229" s="126" t="s">
        <v>219</v>
      </c>
      <c r="D229" s="127" t="s">
        <v>215</v>
      </c>
      <c r="E229" s="115"/>
      <c r="F229" s="128">
        <v>5500.0</v>
      </c>
      <c r="G229" s="153">
        <v>3850.0</v>
      </c>
      <c r="H229" s="118"/>
      <c r="I229" s="119">
        <f t="shared" si="20"/>
        <v>1650</v>
      </c>
      <c r="J229" s="120">
        <f t="shared" si="6"/>
        <v>0.3</v>
      </c>
      <c r="K229" s="121">
        <f t="shared" si="23"/>
        <v>55</v>
      </c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13"/>
      <c r="B230" s="123">
        <v>1836.0</v>
      </c>
      <c r="C230" s="126" t="s">
        <v>301</v>
      </c>
      <c r="D230" s="127" t="s">
        <v>215</v>
      </c>
      <c r="E230" s="115"/>
      <c r="F230" s="128">
        <v>1400.0</v>
      </c>
      <c r="G230" s="153">
        <v>850.0</v>
      </c>
      <c r="H230" s="118"/>
      <c r="I230" s="119">
        <f t="shared" si="20"/>
        <v>550</v>
      </c>
      <c r="J230" s="120">
        <f t="shared" si="6"/>
        <v>0.3928571429</v>
      </c>
      <c r="K230" s="121">
        <f t="shared" si="23"/>
        <v>14</v>
      </c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22">
        <v>45776.0</v>
      </c>
      <c r="B231" s="123">
        <v>1837.0</v>
      </c>
      <c r="C231" s="126">
        <v>2011.0</v>
      </c>
      <c r="D231" s="127" t="s">
        <v>215</v>
      </c>
      <c r="E231" s="115"/>
      <c r="F231" s="128">
        <v>3200.0</v>
      </c>
      <c r="G231" s="153">
        <v>2300.0</v>
      </c>
      <c r="H231" s="118"/>
      <c r="I231" s="119">
        <f t="shared" si="20"/>
        <v>900</v>
      </c>
      <c r="J231" s="120">
        <f t="shared" si="6"/>
        <v>0.28125</v>
      </c>
      <c r="K231" s="121">
        <f t="shared" si="23"/>
        <v>32</v>
      </c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13"/>
      <c r="B232" s="123">
        <v>1838.0</v>
      </c>
      <c r="C232" s="126" t="s">
        <v>220</v>
      </c>
      <c r="D232" s="127" t="s">
        <v>215</v>
      </c>
      <c r="E232" s="115"/>
      <c r="F232" s="128">
        <v>14510.0</v>
      </c>
      <c r="G232" s="153">
        <v>9680.0</v>
      </c>
      <c r="H232" s="118"/>
      <c r="I232" s="119">
        <f t="shared" si="20"/>
        <v>4830</v>
      </c>
      <c r="J232" s="120">
        <f t="shared" si="6"/>
        <v>0.3328738801</v>
      </c>
      <c r="K232" s="121">
        <f t="shared" si="23"/>
        <v>145.1</v>
      </c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13"/>
      <c r="B233" s="123">
        <v>1839.0</v>
      </c>
      <c r="C233" s="126" t="s">
        <v>220</v>
      </c>
      <c r="D233" s="127" t="s">
        <v>215</v>
      </c>
      <c r="E233" s="115"/>
      <c r="F233" s="128">
        <v>5720.0</v>
      </c>
      <c r="G233" s="153">
        <v>3590.0</v>
      </c>
      <c r="H233" s="118"/>
      <c r="I233" s="119">
        <f t="shared" si="20"/>
        <v>2130</v>
      </c>
      <c r="J233" s="120">
        <f t="shared" si="6"/>
        <v>0.3723776224</v>
      </c>
      <c r="K233" s="121">
        <f t="shared" si="23"/>
        <v>57.2</v>
      </c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13"/>
      <c r="B234" s="123">
        <v>1840.0</v>
      </c>
      <c r="C234" s="126" t="s">
        <v>217</v>
      </c>
      <c r="D234" s="127" t="s">
        <v>215</v>
      </c>
      <c r="E234" s="115"/>
      <c r="F234" s="128">
        <v>14800.0</v>
      </c>
      <c r="G234" s="153">
        <v>10600.0</v>
      </c>
      <c r="H234" s="118"/>
      <c r="I234" s="119">
        <f t="shared" si="20"/>
        <v>4200</v>
      </c>
      <c r="J234" s="120">
        <f t="shared" si="6"/>
        <v>0.2837837838</v>
      </c>
      <c r="K234" s="121">
        <f t="shared" si="23"/>
        <v>148</v>
      </c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13"/>
      <c r="B235" s="123">
        <v>1841.0</v>
      </c>
      <c r="C235" s="126" t="s">
        <v>216</v>
      </c>
      <c r="D235" s="127" t="s">
        <v>215</v>
      </c>
      <c r="E235" s="115"/>
      <c r="F235" s="128">
        <v>7160.0</v>
      </c>
      <c r="G235" s="153">
        <v>4360.0</v>
      </c>
      <c r="H235" s="118"/>
      <c r="I235" s="119">
        <f t="shared" si="20"/>
        <v>2800</v>
      </c>
      <c r="J235" s="120">
        <f t="shared" si="6"/>
        <v>0.3910614525</v>
      </c>
      <c r="K235" s="121">
        <f t="shared" si="23"/>
        <v>71.6</v>
      </c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13"/>
      <c r="B236" s="123">
        <v>1842.0</v>
      </c>
      <c r="C236" s="126" t="s">
        <v>214</v>
      </c>
      <c r="D236" s="127" t="s">
        <v>215</v>
      </c>
      <c r="E236" s="115"/>
      <c r="F236" s="209">
        <v>6100.0</v>
      </c>
      <c r="G236" s="153">
        <v>3450.0</v>
      </c>
      <c r="H236" s="118"/>
      <c r="I236" s="119">
        <f t="shared" si="20"/>
        <v>2650</v>
      </c>
      <c r="J236" s="120">
        <f t="shared" si="6"/>
        <v>0.4344262295</v>
      </c>
      <c r="K236" s="121">
        <f t="shared" si="23"/>
        <v>61</v>
      </c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13"/>
      <c r="B237" s="123">
        <v>1843.0</v>
      </c>
      <c r="C237" s="126" t="s">
        <v>218</v>
      </c>
      <c r="D237" s="127" t="s">
        <v>215</v>
      </c>
      <c r="E237" s="115"/>
      <c r="F237" s="128">
        <v>7600.0</v>
      </c>
      <c r="G237" s="153">
        <v>5050.0</v>
      </c>
      <c r="H237" s="118"/>
      <c r="I237" s="119">
        <f t="shared" si="20"/>
        <v>2550</v>
      </c>
      <c r="J237" s="120">
        <f t="shared" si="6"/>
        <v>0.3355263158</v>
      </c>
      <c r="K237" s="121">
        <f t="shared" si="23"/>
        <v>76</v>
      </c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73"/>
      <c r="B238" s="123">
        <v>1844.0</v>
      </c>
      <c r="C238" s="126" t="s">
        <v>245</v>
      </c>
      <c r="D238" s="127" t="s">
        <v>215</v>
      </c>
      <c r="E238" s="115"/>
      <c r="F238" s="128">
        <v>6300.0</v>
      </c>
      <c r="G238" s="153">
        <v>4200.0</v>
      </c>
      <c r="H238" s="118"/>
      <c r="I238" s="119">
        <f t="shared" si="20"/>
        <v>2100</v>
      </c>
      <c r="J238" s="120">
        <f t="shared" si="6"/>
        <v>0.3333333333</v>
      </c>
      <c r="K238" s="121">
        <f t="shared" si="23"/>
        <v>63</v>
      </c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54" t="s">
        <v>302</v>
      </c>
      <c r="B239" s="143"/>
      <c r="C239" s="144" t="s">
        <v>303</v>
      </c>
      <c r="D239" s="143"/>
      <c r="E239" s="143"/>
      <c r="F239" s="145">
        <f t="shared" ref="F239:I239" si="24">sum(F240:F290)</f>
        <v>341484.6</v>
      </c>
      <c r="G239" s="146">
        <f t="shared" si="24"/>
        <v>222972</v>
      </c>
      <c r="H239" s="146">
        <f t="shared" si="24"/>
        <v>0</v>
      </c>
      <c r="I239" s="146">
        <f t="shared" si="24"/>
        <v>118512.6</v>
      </c>
      <c r="J239" s="148">
        <f t="shared" si="6"/>
        <v>0.3470510822</v>
      </c>
      <c r="K239" s="146">
        <f>sum(K240:K290)</f>
        <v>6360.22</v>
      </c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22">
        <v>46148.0</v>
      </c>
      <c r="B240" s="123">
        <v>1845.0</v>
      </c>
      <c r="C240" s="126" t="s">
        <v>246</v>
      </c>
      <c r="D240" s="127" t="s">
        <v>215</v>
      </c>
      <c r="E240" s="115"/>
      <c r="F240" s="128">
        <v>8800.0</v>
      </c>
      <c r="G240" s="125">
        <v>5340.0</v>
      </c>
      <c r="H240" s="118"/>
      <c r="I240" s="119">
        <f t="shared" ref="I240:I290" si="25">F:F-G:G-H:H</f>
        <v>3460</v>
      </c>
      <c r="J240" s="120">
        <f t="shared" si="6"/>
        <v>0.3931818182</v>
      </c>
      <c r="K240" s="121">
        <f t="shared" ref="K240:K276" si="26">F240*0.01</f>
        <v>88</v>
      </c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13"/>
      <c r="B241" s="123">
        <v>1846.0</v>
      </c>
      <c r="C241" s="126" t="s">
        <v>246</v>
      </c>
      <c r="D241" s="127" t="s">
        <v>215</v>
      </c>
      <c r="E241" s="115"/>
      <c r="F241" s="128">
        <v>2800.0</v>
      </c>
      <c r="G241" s="125">
        <v>1700.0</v>
      </c>
      <c r="H241" s="118"/>
      <c r="I241" s="119">
        <f t="shared" si="25"/>
        <v>1100</v>
      </c>
      <c r="J241" s="120">
        <f t="shared" si="6"/>
        <v>0.3928571429</v>
      </c>
      <c r="K241" s="121">
        <f t="shared" si="26"/>
        <v>28</v>
      </c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22">
        <v>46149.0</v>
      </c>
      <c r="B242" s="123">
        <v>1847.0</v>
      </c>
      <c r="C242" s="126">
        <v>2011.0</v>
      </c>
      <c r="D242" s="127" t="s">
        <v>215</v>
      </c>
      <c r="E242" s="115"/>
      <c r="F242" s="128">
        <v>2540.0</v>
      </c>
      <c r="G242" s="125">
        <v>1630.0</v>
      </c>
      <c r="H242" s="118"/>
      <c r="I242" s="119">
        <f t="shared" si="25"/>
        <v>910</v>
      </c>
      <c r="J242" s="120">
        <f t="shared" si="6"/>
        <v>0.3582677165</v>
      </c>
      <c r="K242" s="121">
        <f t="shared" si="26"/>
        <v>25.4</v>
      </c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13"/>
      <c r="B243" s="123">
        <v>1848.0</v>
      </c>
      <c r="C243" s="126" t="s">
        <v>246</v>
      </c>
      <c r="D243" s="127" t="s">
        <v>215</v>
      </c>
      <c r="E243" s="115"/>
      <c r="F243" s="128">
        <v>8400.0</v>
      </c>
      <c r="G243" s="125">
        <v>5700.0</v>
      </c>
      <c r="H243" s="118"/>
      <c r="I243" s="119">
        <f t="shared" si="25"/>
        <v>2700</v>
      </c>
      <c r="J243" s="120">
        <f t="shared" si="6"/>
        <v>0.3214285714</v>
      </c>
      <c r="K243" s="121">
        <f t="shared" si="26"/>
        <v>84</v>
      </c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13"/>
      <c r="B244" s="123">
        <v>1849.0</v>
      </c>
      <c r="C244" s="126" t="s">
        <v>217</v>
      </c>
      <c r="D244" s="127" t="s">
        <v>215</v>
      </c>
      <c r="E244" s="115"/>
      <c r="F244" s="128">
        <v>17520.0</v>
      </c>
      <c r="G244" s="125">
        <v>11620.0</v>
      </c>
      <c r="H244" s="118"/>
      <c r="I244" s="119">
        <f t="shared" si="25"/>
        <v>5900</v>
      </c>
      <c r="J244" s="120">
        <f t="shared" si="6"/>
        <v>0.3367579909</v>
      </c>
      <c r="K244" s="121">
        <f t="shared" si="26"/>
        <v>175.2</v>
      </c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13"/>
      <c r="B245" s="123">
        <v>1850.0</v>
      </c>
      <c r="C245" s="126" t="s">
        <v>216</v>
      </c>
      <c r="D245" s="127" t="s">
        <v>215</v>
      </c>
      <c r="E245" s="115"/>
      <c r="F245" s="128">
        <v>6100.0</v>
      </c>
      <c r="G245" s="125">
        <v>3890.0</v>
      </c>
      <c r="H245" s="118"/>
      <c r="I245" s="119">
        <f t="shared" si="25"/>
        <v>2210</v>
      </c>
      <c r="J245" s="120">
        <f t="shared" si="6"/>
        <v>0.362295082</v>
      </c>
      <c r="K245" s="121">
        <f t="shared" si="26"/>
        <v>61</v>
      </c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13"/>
      <c r="B246" s="123">
        <v>1851.0</v>
      </c>
      <c r="C246" s="126" t="s">
        <v>218</v>
      </c>
      <c r="D246" s="127" t="s">
        <v>215</v>
      </c>
      <c r="E246" s="115"/>
      <c r="F246" s="128">
        <v>4600.0</v>
      </c>
      <c r="G246" s="125">
        <v>3250.0</v>
      </c>
      <c r="H246" s="118"/>
      <c r="I246" s="119">
        <f t="shared" si="25"/>
        <v>1350</v>
      </c>
      <c r="J246" s="120">
        <f t="shared" si="6"/>
        <v>0.2934782609</v>
      </c>
      <c r="K246" s="121">
        <f t="shared" si="26"/>
        <v>46</v>
      </c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22">
        <v>46151.0</v>
      </c>
      <c r="B247" s="123">
        <v>1852.0</v>
      </c>
      <c r="C247" s="126" t="s">
        <v>219</v>
      </c>
      <c r="D247" s="127" t="s">
        <v>215</v>
      </c>
      <c r="E247" s="115"/>
      <c r="F247" s="128">
        <v>4500.0</v>
      </c>
      <c r="G247" s="125">
        <v>3050.0</v>
      </c>
      <c r="H247" s="118"/>
      <c r="I247" s="119">
        <f t="shared" si="25"/>
        <v>1450</v>
      </c>
      <c r="J247" s="120">
        <f t="shared" si="6"/>
        <v>0.3222222222</v>
      </c>
      <c r="K247" s="121">
        <f t="shared" si="26"/>
        <v>45</v>
      </c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22">
        <v>46153.0</v>
      </c>
      <c r="B248" s="123">
        <v>1853.0</v>
      </c>
      <c r="C248" s="126">
        <v>2011.0</v>
      </c>
      <c r="D248" s="127" t="s">
        <v>215</v>
      </c>
      <c r="E248" s="115"/>
      <c r="F248" s="128">
        <v>2820.0</v>
      </c>
      <c r="G248" s="125">
        <v>1890.0</v>
      </c>
      <c r="H248" s="118"/>
      <c r="I248" s="119">
        <f t="shared" si="25"/>
        <v>930</v>
      </c>
      <c r="J248" s="120">
        <f t="shared" si="6"/>
        <v>0.329787234</v>
      </c>
      <c r="K248" s="121">
        <f t="shared" si="26"/>
        <v>28.2</v>
      </c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22">
        <v>46154.0</v>
      </c>
      <c r="B249" s="123">
        <v>1854.0</v>
      </c>
      <c r="C249" s="126" t="s">
        <v>299</v>
      </c>
      <c r="D249" s="127" t="s">
        <v>215</v>
      </c>
      <c r="E249" s="115"/>
      <c r="F249" s="128">
        <v>400.0</v>
      </c>
      <c r="G249" s="125">
        <v>260.0</v>
      </c>
      <c r="H249" s="118"/>
      <c r="I249" s="119">
        <f t="shared" si="25"/>
        <v>140</v>
      </c>
      <c r="J249" s="120">
        <f t="shared" si="6"/>
        <v>0.35</v>
      </c>
      <c r="K249" s="121">
        <f t="shared" si="26"/>
        <v>4</v>
      </c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22">
        <v>46156.0</v>
      </c>
      <c r="B250" s="123">
        <v>1855.0</v>
      </c>
      <c r="C250" s="126">
        <v>2011.0</v>
      </c>
      <c r="D250" s="127" t="s">
        <v>215</v>
      </c>
      <c r="E250" s="115"/>
      <c r="F250" s="128">
        <v>7260.0</v>
      </c>
      <c r="G250" s="125">
        <v>5530.0</v>
      </c>
      <c r="H250" s="118"/>
      <c r="I250" s="119">
        <f t="shared" si="25"/>
        <v>1730</v>
      </c>
      <c r="J250" s="120">
        <f t="shared" si="6"/>
        <v>0.238292011</v>
      </c>
      <c r="K250" s="121">
        <f t="shared" si="26"/>
        <v>72.6</v>
      </c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13"/>
      <c r="B251" s="123">
        <v>1856.0</v>
      </c>
      <c r="C251" s="126" t="s">
        <v>217</v>
      </c>
      <c r="D251" s="127" t="s">
        <v>215</v>
      </c>
      <c r="E251" s="115"/>
      <c r="F251" s="128">
        <v>18480.0</v>
      </c>
      <c r="G251" s="125">
        <v>12540.0</v>
      </c>
      <c r="H251" s="118"/>
      <c r="I251" s="119">
        <f t="shared" si="25"/>
        <v>5940</v>
      </c>
      <c r="J251" s="120">
        <f t="shared" si="6"/>
        <v>0.3214285714</v>
      </c>
      <c r="K251" s="121">
        <f t="shared" si="26"/>
        <v>184.8</v>
      </c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13"/>
      <c r="B252" s="123">
        <v>1857.0</v>
      </c>
      <c r="C252" s="126" t="s">
        <v>299</v>
      </c>
      <c r="D252" s="127" t="s">
        <v>215</v>
      </c>
      <c r="E252" s="115"/>
      <c r="F252" s="128">
        <v>3380.0</v>
      </c>
      <c r="G252" s="125">
        <v>2840.0</v>
      </c>
      <c r="H252" s="118"/>
      <c r="I252" s="119">
        <f t="shared" si="25"/>
        <v>540</v>
      </c>
      <c r="J252" s="120">
        <f t="shared" si="6"/>
        <v>0.1597633136</v>
      </c>
      <c r="K252" s="121">
        <f t="shared" si="26"/>
        <v>33.8</v>
      </c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13"/>
      <c r="B253" s="123">
        <v>1858.0</v>
      </c>
      <c r="C253" s="126" t="s">
        <v>214</v>
      </c>
      <c r="D253" s="127" t="s">
        <v>215</v>
      </c>
      <c r="E253" s="115"/>
      <c r="F253" s="209">
        <v>14800.0</v>
      </c>
      <c r="G253" s="125">
        <v>9100.0</v>
      </c>
      <c r="H253" s="118"/>
      <c r="I253" s="119">
        <f t="shared" si="25"/>
        <v>5700</v>
      </c>
      <c r="J253" s="120">
        <f t="shared" si="6"/>
        <v>0.3851351351</v>
      </c>
      <c r="K253" s="121">
        <f t="shared" si="26"/>
        <v>148</v>
      </c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13"/>
      <c r="B254" s="123">
        <v>1859.0</v>
      </c>
      <c r="C254" s="126" t="s">
        <v>216</v>
      </c>
      <c r="D254" s="127" t="s">
        <v>215</v>
      </c>
      <c r="E254" s="115"/>
      <c r="F254" s="128">
        <v>4900.0</v>
      </c>
      <c r="G254" s="125">
        <v>4100.0</v>
      </c>
      <c r="H254" s="118"/>
      <c r="I254" s="119">
        <f t="shared" si="25"/>
        <v>800</v>
      </c>
      <c r="J254" s="120">
        <f t="shared" si="6"/>
        <v>0.1632653061</v>
      </c>
      <c r="K254" s="121">
        <f t="shared" si="26"/>
        <v>49</v>
      </c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13"/>
      <c r="B255" s="123">
        <v>1860.0</v>
      </c>
      <c r="C255" s="126" t="s">
        <v>218</v>
      </c>
      <c r="D255" s="127" t="s">
        <v>215</v>
      </c>
      <c r="E255" s="115"/>
      <c r="F255" s="128">
        <v>8300.0</v>
      </c>
      <c r="G255" s="125">
        <v>4660.0</v>
      </c>
      <c r="H255" s="118"/>
      <c r="I255" s="119">
        <f t="shared" si="25"/>
        <v>3640</v>
      </c>
      <c r="J255" s="120">
        <f t="shared" si="6"/>
        <v>0.4385542169</v>
      </c>
      <c r="K255" s="121">
        <f t="shared" si="26"/>
        <v>83</v>
      </c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13"/>
      <c r="B256" s="123">
        <v>1861.0</v>
      </c>
      <c r="C256" s="126" t="s">
        <v>223</v>
      </c>
      <c r="D256" s="127" t="s">
        <v>215</v>
      </c>
      <c r="E256" s="115"/>
      <c r="F256" s="128">
        <v>8560.0</v>
      </c>
      <c r="G256" s="125">
        <v>5090.0</v>
      </c>
      <c r="H256" s="118"/>
      <c r="I256" s="119">
        <f t="shared" si="25"/>
        <v>3470</v>
      </c>
      <c r="J256" s="120">
        <f t="shared" si="6"/>
        <v>0.4053738318</v>
      </c>
      <c r="K256" s="121">
        <f t="shared" si="26"/>
        <v>85.6</v>
      </c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22">
        <v>46157.0</v>
      </c>
      <c r="B257" s="123">
        <v>1862.0</v>
      </c>
      <c r="C257" s="126" t="s">
        <v>246</v>
      </c>
      <c r="D257" s="127" t="s">
        <v>215</v>
      </c>
      <c r="E257" s="115"/>
      <c r="F257" s="128">
        <v>16200.0</v>
      </c>
      <c r="G257" s="125">
        <v>9900.0</v>
      </c>
      <c r="H257" s="118"/>
      <c r="I257" s="119">
        <f t="shared" si="25"/>
        <v>6300</v>
      </c>
      <c r="J257" s="120">
        <f t="shared" si="6"/>
        <v>0.3888888889</v>
      </c>
      <c r="K257" s="121">
        <f t="shared" si="26"/>
        <v>162</v>
      </c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13"/>
      <c r="B258" s="123">
        <v>1863.0</v>
      </c>
      <c r="C258" s="126" t="s">
        <v>217</v>
      </c>
      <c r="D258" s="127" t="s">
        <v>215</v>
      </c>
      <c r="E258" s="115"/>
      <c r="F258" s="128">
        <v>1700.0</v>
      </c>
      <c r="G258" s="125">
        <v>1100.0</v>
      </c>
      <c r="H258" s="118"/>
      <c r="I258" s="119">
        <f t="shared" si="25"/>
        <v>600</v>
      </c>
      <c r="J258" s="120">
        <f t="shared" si="6"/>
        <v>0.3529411765</v>
      </c>
      <c r="K258" s="121">
        <f t="shared" si="26"/>
        <v>17</v>
      </c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22">
        <v>46160.0</v>
      </c>
      <c r="B259" s="123">
        <v>1864.0</v>
      </c>
      <c r="C259" s="126" t="s">
        <v>246</v>
      </c>
      <c r="D259" s="127" t="s">
        <v>215</v>
      </c>
      <c r="E259" s="115"/>
      <c r="F259" s="128">
        <v>5560.0</v>
      </c>
      <c r="G259" s="125">
        <v>3720.0</v>
      </c>
      <c r="H259" s="118"/>
      <c r="I259" s="119">
        <f t="shared" si="25"/>
        <v>1840</v>
      </c>
      <c r="J259" s="120">
        <f t="shared" si="6"/>
        <v>0.3309352518</v>
      </c>
      <c r="K259" s="121">
        <f t="shared" si="26"/>
        <v>55.6</v>
      </c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22">
        <v>46161.0</v>
      </c>
      <c r="B260" s="123">
        <v>1865.0</v>
      </c>
      <c r="C260" s="126" t="s">
        <v>246</v>
      </c>
      <c r="D260" s="127" t="s">
        <v>215</v>
      </c>
      <c r="E260" s="115"/>
      <c r="F260" s="128">
        <v>760.0</v>
      </c>
      <c r="G260" s="125">
        <v>480.0</v>
      </c>
      <c r="H260" s="118"/>
      <c r="I260" s="119">
        <f t="shared" si="25"/>
        <v>280</v>
      </c>
      <c r="J260" s="120">
        <f t="shared" si="6"/>
        <v>0.3684210526</v>
      </c>
      <c r="K260" s="121">
        <f t="shared" si="26"/>
        <v>7.6</v>
      </c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22">
        <v>46163.0</v>
      </c>
      <c r="B261" s="123">
        <v>1866.0</v>
      </c>
      <c r="C261" s="126">
        <v>2011.0</v>
      </c>
      <c r="D261" s="127" t="s">
        <v>215</v>
      </c>
      <c r="E261" s="115"/>
      <c r="F261" s="128">
        <v>7460.0</v>
      </c>
      <c r="G261" s="125">
        <v>4930.0</v>
      </c>
      <c r="H261" s="118"/>
      <c r="I261" s="119">
        <f t="shared" si="25"/>
        <v>2530</v>
      </c>
      <c r="J261" s="120">
        <f t="shared" si="6"/>
        <v>0.3391420912</v>
      </c>
      <c r="K261" s="121">
        <f t="shared" si="26"/>
        <v>74.6</v>
      </c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13"/>
      <c r="B262" s="123">
        <v>1867.0</v>
      </c>
      <c r="C262" s="126" t="s">
        <v>246</v>
      </c>
      <c r="D262" s="127" t="s">
        <v>215</v>
      </c>
      <c r="E262" s="115"/>
      <c r="F262" s="128">
        <v>2800.0</v>
      </c>
      <c r="G262" s="125">
        <v>1600.0</v>
      </c>
      <c r="H262" s="118"/>
      <c r="I262" s="119">
        <f t="shared" si="25"/>
        <v>1200</v>
      </c>
      <c r="J262" s="120">
        <f t="shared" si="6"/>
        <v>0.4285714286</v>
      </c>
      <c r="K262" s="121">
        <f t="shared" si="26"/>
        <v>28</v>
      </c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13"/>
      <c r="B263" s="123">
        <v>1868.0</v>
      </c>
      <c r="C263" s="126" t="s">
        <v>246</v>
      </c>
      <c r="D263" s="127" t="s">
        <v>215</v>
      </c>
      <c r="E263" s="115"/>
      <c r="F263" s="128">
        <v>1250.0</v>
      </c>
      <c r="G263" s="125">
        <v>1125.0</v>
      </c>
      <c r="H263" s="118"/>
      <c r="I263" s="119">
        <f t="shared" si="25"/>
        <v>125</v>
      </c>
      <c r="J263" s="120">
        <f t="shared" si="6"/>
        <v>0.1</v>
      </c>
      <c r="K263" s="121">
        <f t="shared" si="26"/>
        <v>12.5</v>
      </c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13"/>
      <c r="B264" s="123">
        <v>1869.0</v>
      </c>
      <c r="C264" s="126" t="s">
        <v>217</v>
      </c>
      <c r="D264" s="127" t="s">
        <v>215</v>
      </c>
      <c r="E264" s="115"/>
      <c r="F264" s="128">
        <v>11100.0</v>
      </c>
      <c r="G264" s="125">
        <v>7170.0</v>
      </c>
      <c r="H264" s="118"/>
      <c r="I264" s="119">
        <f t="shared" si="25"/>
        <v>3930</v>
      </c>
      <c r="J264" s="120">
        <f t="shared" si="6"/>
        <v>0.3540540541</v>
      </c>
      <c r="K264" s="121">
        <f t="shared" si="26"/>
        <v>111</v>
      </c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13"/>
      <c r="B265" s="123">
        <v>1870.0</v>
      </c>
      <c r="C265" s="126" t="s">
        <v>300</v>
      </c>
      <c r="D265" s="127" t="s">
        <v>215</v>
      </c>
      <c r="E265" s="115"/>
      <c r="F265" s="128">
        <v>9250.0</v>
      </c>
      <c r="G265" s="125">
        <v>7370.0</v>
      </c>
      <c r="H265" s="118"/>
      <c r="I265" s="119">
        <f t="shared" si="25"/>
        <v>1880</v>
      </c>
      <c r="J265" s="120">
        <f t="shared" si="6"/>
        <v>0.2032432432</v>
      </c>
      <c r="K265" s="121">
        <f t="shared" si="26"/>
        <v>92.5</v>
      </c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13"/>
      <c r="B266" s="123">
        <v>1871.0</v>
      </c>
      <c r="C266" s="126" t="s">
        <v>214</v>
      </c>
      <c r="D266" s="127" t="s">
        <v>215</v>
      </c>
      <c r="E266" s="115"/>
      <c r="F266" s="209">
        <v>5600.0</v>
      </c>
      <c r="G266" s="125">
        <v>3900.0</v>
      </c>
      <c r="H266" s="118"/>
      <c r="I266" s="119">
        <f t="shared" si="25"/>
        <v>1700</v>
      </c>
      <c r="J266" s="120">
        <f t="shared" si="6"/>
        <v>0.3035714286</v>
      </c>
      <c r="K266" s="121">
        <f t="shared" si="26"/>
        <v>56</v>
      </c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113"/>
      <c r="B267" s="123">
        <v>1872.0</v>
      </c>
      <c r="C267" s="126" t="s">
        <v>216</v>
      </c>
      <c r="D267" s="127" t="s">
        <v>215</v>
      </c>
      <c r="E267" s="115"/>
      <c r="F267" s="128">
        <v>6510.0</v>
      </c>
      <c r="G267" s="125">
        <v>5140.0</v>
      </c>
      <c r="H267" s="118"/>
      <c r="I267" s="119">
        <f t="shared" si="25"/>
        <v>1370</v>
      </c>
      <c r="J267" s="120">
        <f t="shared" si="6"/>
        <v>0.2104454685</v>
      </c>
      <c r="K267" s="121">
        <f t="shared" si="26"/>
        <v>65.1</v>
      </c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5.75" customHeight="1">
      <c r="A268" s="113"/>
      <c r="B268" s="123">
        <v>1873.0</v>
      </c>
      <c r="C268" s="126" t="s">
        <v>218</v>
      </c>
      <c r="D268" s="127" t="s">
        <v>215</v>
      </c>
      <c r="E268" s="115"/>
      <c r="F268" s="128">
        <v>1700.0</v>
      </c>
      <c r="G268" s="125">
        <v>1050.0</v>
      </c>
      <c r="H268" s="118"/>
      <c r="I268" s="119">
        <f t="shared" si="25"/>
        <v>650</v>
      </c>
      <c r="J268" s="120">
        <f t="shared" si="6"/>
        <v>0.3823529412</v>
      </c>
      <c r="K268" s="121">
        <f t="shared" si="26"/>
        <v>17</v>
      </c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5.75" customHeight="1">
      <c r="A269" s="113"/>
      <c r="B269" s="123">
        <v>1874.0</v>
      </c>
      <c r="C269" s="126" t="s">
        <v>223</v>
      </c>
      <c r="D269" s="127" t="s">
        <v>215</v>
      </c>
      <c r="E269" s="115"/>
      <c r="F269" s="128">
        <v>5120.0</v>
      </c>
      <c r="G269" s="125">
        <v>3905.0</v>
      </c>
      <c r="H269" s="118"/>
      <c r="I269" s="119">
        <f t="shared" si="25"/>
        <v>1215</v>
      </c>
      <c r="J269" s="120">
        <f t="shared" si="6"/>
        <v>0.2373046875</v>
      </c>
      <c r="K269" s="121">
        <f t="shared" si="26"/>
        <v>51.2</v>
      </c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5.75" customHeight="1">
      <c r="A270" s="113"/>
      <c r="B270" s="123">
        <v>1875.0</v>
      </c>
      <c r="C270" s="126" t="s">
        <v>246</v>
      </c>
      <c r="D270" s="127" t="s">
        <v>215</v>
      </c>
      <c r="E270" s="115"/>
      <c r="F270" s="128">
        <v>1900.0</v>
      </c>
      <c r="G270" s="125">
        <v>1150.0</v>
      </c>
      <c r="H270" s="118"/>
      <c r="I270" s="119">
        <f t="shared" si="25"/>
        <v>750</v>
      </c>
      <c r="J270" s="120">
        <f t="shared" si="6"/>
        <v>0.3947368421</v>
      </c>
      <c r="K270" s="121">
        <f t="shared" si="26"/>
        <v>19</v>
      </c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5.75" customHeight="1">
      <c r="A271" s="113"/>
      <c r="B271" s="123">
        <v>1876.0</v>
      </c>
      <c r="C271" s="126" t="s">
        <v>246</v>
      </c>
      <c r="D271" s="127" t="s">
        <v>215</v>
      </c>
      <c r="E271" s="115"/>
      <c r="F271" s="128">
        <v>7000.0</v>
      </c>
      <c r="G271" s="125">
        <v>4500.0</v>
      </c>
      <c r="H271" s="118"/>
      <c r="I271" s="119">
        <f t="shared" si="25"/>
        <v>2500</v>
      </c>
      <c r="J271" s="120">
        <f t="shared" si="6"/>
        <v>0.3571428571</v>
      </c>
      <c r="K271" s="121">
        <f t="shared" si="26"/>
        <v>70</v>
      </c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5.75" customHeight="1">
      <c r="A272" s="113"/>
      <c r="B272" s="123">
        <v>1877.0</v>
      </c>
      <c r="C272" s="126">
        <v>2011.0</v>
      </c>
      <c r="D272" s="127" t="s">
        <v>215</v>
      </c>
      <c r="E272" s="115"/>
      <c r="F272" s="128">
        <v>7860.0</v>
      </c>
      <c r="G272" s="125">
        <v>5170.0</v>
      </c>
      <c r="H272" s="118"/>
      <c r="I272" s="119">
        <f t="shared" si="25"/>
        <v>2690</v>
      </c>
      <c r="J272" s="120">
        <f t="shared" si="6"/>
        <v>0.3422391858</v>
      </c>
      <c r="K272" s="121">
        <f t="shared" si="26"/>
        <v>78.6</v>
      </c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5.75" customHeight="1">
      <c r="A273" s="113"/>
      <c r="B273" s="123">
        <v>1878.0</v>
      </c>
      <c r="C273" s="126" t="s">
        <v>217</v>
      </c>
      <c r="D273" s="127" t="s">
        <v>215</v>
      </c>
      <c r="E273" s="115"/>
      <c r="F273" s="128">
        <v>22120.0</v>
      </c>
      <c r="G273" s="125">
        <v>15618.0</v>
      </c>
      <c r="H273" s="118"/>
      <c r="I273" s="119">
        <f t="shared" si="25"/>
        <v>6502</v>
      </c>
      <c r="J273" s="120">
        <f t="shared" si="6"/>
        <v>0.2939421338</v>
      </c>
      <c r="K273" s="121">
        <f t="shared" si="26"/>
        <v>221.2</v>
      </c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5.75" customHeight="1">
      <c r="A274" s="113"/>
      <c r="B274" s="123">
        <v>1879.0</v>
      </c>
      <c r="C274" s="126" t="s">
        <v>304</v>
      </c>
      <c r="D274" s="127" t="s">
        <v>215</v>
      </c>
      <c r="E274" s="115"/>
      <c r="F274" s="128">
        <v>9120.0</v>
      </c>
      <c r="G274" s="125">
        <v>6720.0</v>
      </c>
      <c r="H274" s="118"/>
      <c r="I274" s="119">
        <f t="shared" si="25"/>
        <v>2400</v>
      </c>
      <c r="J274" s="120">
        <f t="shared" si="6"/>
        <v>0.2631578947</v>
      </c>
      <c r="K274" s="121">
        <f t="shared" si="26"/>
        <v>91.2</v>
      </c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5.75" customHeight="1">
      <c r="A275" s="113"/>
      <c r="B275" s="123">
        <v>1880.0</v>
      </c>
      <c r="C275" s="126" t="s">
        <v>216</v>
      </c>
      <c r="D275" s="127" t="s">
        <v>215</v>
      </c>
      <c r="E275" s="115"/>
      <c r="F275" s="128">
        <v>11120.0</v>
      </c>
      <c r="G275" s="125">
        <v>8140.0</v>
      </c>
      <c r="H275" s="118"/>
      <c r="I275" s="119">
        <f t="shared" si="25"/>
        <v>2980</v>
      </c>
      <c r="J275" s="120">
        <f t="shared" si="6"/>
        <v>0.2679856115</v>
      </c>
      <c r="K275" s="121">
        <f t="shared" si="26"/>
        <v>111.2</v>
      </c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5.75" customHeight="1">
      <c r="A276" s="113"/>
      <c r="B276" s="157">
        <v>1881.0</v>
      </c>
      <c r="C276" s="126" t="s">
        <v>214</v>
      </c>
      <c r="D276" s="127" t="s">
        <v>215</v>
      </c>
      <c r="E276" s="115"/>
      <c r="F276" s="209">
        <v>7900.0</v>
      </c>
      <c r="G276" s="125">
        <v>4500.0</v>
      </c>
      <c r="H276" s="118"/>
      <c r="I276" s="119">
        <f t="shared" si="25"/>
        <v>3400</v>
      </c>
      <c r="J276" s="120">
        <f t="shared" si="6"/>
        <v>0.4303797468</v>
      </c>
      <c r="K276" s="121">
        <f t="shared" si="26"/>
        <v>79</v>
      </c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5.75" customHeight="1">
      <c r="A277" s="122">
        <v>46147.0</v>
      </c>
      <c r="B277" s="123">
        <v>1775.0</v>
      </c>
      <c r="C277" s="126" t="s">
        <v>235</v>
      </c>
      <c r="D277" s="127" t="s">
        <v>213</v>
      </c>
      <c r="E277" s="115"/>
      <c r="F277" s="128">
        <v>773.0</v>
      </c>
      <c r="G277" s="125">
        <v>530.6</v>
      </c>
      <c r="H277" s="118"/>
      <c r="I277" s="119">
        <f t="shared" si="25"/>
        <v>242.4</v>
      </c>
      <c r="J277" s="120">
        <f t="shared" si="6"/>
        <v>0.3135834411</v>
      </c>
      <c r="K277" s="121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5.75" customHeight="1">
      <c r="A278" s="122">
        <v>46149.0</v>
      </c>
      <c r="B278" s="123">
        <v>1776.0</v>
      </c>
      <c r="C278" s="152" t="s">
        <v>305</v>
      </c>
      <c r="D278" s="127" t="s">
        <v>213</v>
      </c>
      <c r="E278" s="115"/>
      <c r="F278" s="128">
        <v>4800.0</v>
      </c>
      <c r="G278" s="125">
        <v>2785.0</v>
      </c>
      <c r="H278" s="118"/>
      <c r="I278" s="119">
        <f t="shared" si="25"/>
        <v>2015</v>
      </c>
      <c r="J278" s="120">
        <f t="shared" si="6"/>
        <v>0.4197916667</v>
      </c>
      <c r="K278" s="121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5.75" customHeight="1">
      <c r="A279" s="122">
        <v>46150.0</v>
      </c>
      <c r="B279" s="123">
        <v>1777.0</v>
      </c>
      <c r="C279" s="126" t="s">
        <v>305</v>
      </c>
      <c r="D279" s="127" t="s">
        <v>84</v>
      </c>
      <c r="E279" s="115"/>
      <c r="F279" s="128">
        <v>2500.0</v>
      </c>
      <c r="G279" s="125">
        <v>1500.0</v>
      </c>
      <c r="H279" s="118"/>
      <c r="I279" s="119">
        <f t="shared" si="25"/>
        <v>1000</v>
      </c>
      <c r="J279" s="120">
        <f t="shared" si="6"/>
        <v>0.4</v>
      </c>
      <c r="K279" s="121">
        <f>I279*0.2</f>
        <v>200</v>
      </c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5.75" customHeight="1">
      <c r="A280" s="122">
        <v>46151.0</v>
      </c>
      <c r="B280" s="123">
        <v>1778.0</v>
      </c>
      <c r="C280" s="126" t="s">
        <v>212</v>
      </c>
      <c r="D280" s="127" t="s">
        <v>213</v>
      </c>
      <c r="E280" s="115"/>
      <c r="F280" s="209">
        <v>8000.0</v>
      </c>
      <c r="G280" s="125">
        <v>3600.0</v>
      </c>
      <c r="H280" s="118"/>
      <c r="I280" s="119">
        <f t="shared" si="25"/>
        <v>4400</v>
      </c>
      <c r="J280" s="120">
        <f t="shared" si="6"/>
        <v>0.55</v>
      </c>
      <c r="K280" s="121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5.75" customHeight="1">
      <c r="A281" s="122">
        <v>46157.0</v>
      </c>
      <c r="B281" s="123">
        <v>1779.0</v>
      </c>
      <c r="C281" s="126" t="s">
        <v>306</v>
      </c>
      <c r="D281" s="127" t="s">
        <v>213</v>
      </c>
      <c r="E281" s="115"/>
      <c r="F281" s="128">
        <v>7050.0</v>
      </c>
      <c r="G281" s="125">
        <v>4500.0</v>
      </c>
      <c r="H281" s="118"/>
      <c r="I281" s="119">
        <f t="shared" si="25"/>
        <v>2550</v>
      </c>
      <c r="J281" s="120">
        <f t="shared" si="6"/>
        <v>0.3617021277</v>
      </c>
      <c r="K281" s="121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5.75" customHeight="1">
      <c r="A282" s="122">
        <v>46158.0</v>
      </c>
      <c r="B282" s="123">
        <v>1780.0</v>
      </c>
      <c r="C282" s="126" t="s">
        <v>307</v>
      </c>
      <c r="D282" s="127" t="s">
        <v>84</v>
      </c>
      <c r="E282" s="115"/>
      <c r="F282" s="128">
        <v>6900.0</v>
      </c>
      <c r="G282" s="125">
        <v>4500.0</v>
      </c>
      <c r="H282" s="118"/>
      <c r="I282" s="119">
        <f t="shared" si="25"/>
        <v>2400</v>
      </c>
      <c r="J282" s="120">
        <f t="shared" si="6"/>
        <v>0.347826087</v>
      </c>
      <c r="K282" s="121">
        <f t="shared" ref="K282:K283" si="27">I282*0.2</f>
        <v>480</v>
      </c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5.75" customHeight="1">
      <c r="A283" s="113"/>
      <c r="B283" s="123">
        <v>1781.0</v>
      </c>
      <c r="C283" s="126" t="s">
        <v>305</v>
      </c>
      <c r="D283" s="127" t="s">
        <v>84</v>
      </c>
      <c r="E283" s="115"/>
      <c r="F283" s="128">
        <v>12300.0</v>
      </c>
      <c r="G283" s="125">
        <v>7490.0</v>
      </c>
      <c r="H283" s="118"/>
      <c r="I283" s="119">
        <f t="shared" si="25"/>
        <v>4810</v>
      </c>
      <c r="J283" s="120">
        <f t="shared" si="6"/>
        <v>0.3910569106</v>
      </c>
      <c r="K283" s="121">
        <f t="shared" si="27"/>
        <v>962</v>
      </c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5.75" customHeight="1">
      <c r="A284" s="122">
        <v>46160.0</v>
      </c>
      <c r="B284" s="123">
        <v>1782.0</v>
      </c>
      <c r="C284" s="126" t="s">
        <v>308</v>
      </c>
      <c r="D284" s="127" t="s">
        <v>213</v>
      </c>
      <c r="E284" s="115"/>
      <c r="F284" s="128">
        <v>4400.0</v>
      </c>
      <c r="G284" s="153">
        <v>3000.0</v>
      </c>
      <c r="H284" s="118"/>
      <c r="I284" s="119">
        <f t="shared" si="25"/>
        <v>1400</v>
      </c>
      <c r="J284" s="120">
        <f t="shared" si="6"/>
        <v>0.3181818182</v>
      </c>
      <c r="K284" s="121">
        <f>F284*0.01</f>
        <v>44</v>
      </c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5.75" customHeight="1">
      <c r="A285" s="122">
        <v>46177.0</v>
      </c>
      <c r="B285" s="123">
        <v>1783.0</v>
      </c>
      <c r="C285" s="152" t="s">
        <v>212</v>
      </c>
      <c r="D285" s="151" t="s">
        <v>213</v>
      </c>
      <c r="F285" s="232">
        <v>4021.6</v>
      </c>
      <c r="G285" s="233">
        <v>1200.0</v>
      </c>
      <c r="H285" s="118"/>
      <c r="I285" s="119">
        <f t="shared" si="25"/>
        <v>2821.6</v>
      </c>
      <c r="J285" s="120">
        <f t="shared" si="6"/>
        <v>0.701611299</v>
      </c>
      <c r="K285" s="121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5.75" customHeight="1">
      <c r="A286" s="113"/>
      <c r="B286" s="123">
        <v>1784.0</v>
      </c>
      <c r="C286" s="152" t="s">
        <v>309</v>
      </c>
      <c r="D286" s="127" t="s">
        <v>84</v>
      </c>
      <c r="F286" s="234">
        <v>5250.0</v>
      </c>
      <c r="G286" s="233">
        <v>3165.0</v>
      </c>
      <c r="H286" s="118"/>
      <c r="I286" s="119">
        <f t="shared" si="25"/>
        <v>2085</v>
      </c>
      <c r="J286" s="120">
        <f t="shared" si="6"/>
        <v>0.3971428571</v>
      </c>
      <c r="K286" s="121">
        <f t="shared" ref="K286:K290" si="28">I286*0.2</f>
        <v>417</v>
      </c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5.75" customHeight="1">
      <c r="A287" s="113"/>
      <c r="B287" s="123">
        <v>1785.0</v>
      </c>
      <c r="C287" s="152" t="s">
        <v>310</v>
      </c>
      <c r="D287" s="127" t="s">
        <v>84</v>
      </c>
      <c r="F287" s="234">
        <v>4500.0</v>
      </c>
      <c r="G287" s="233">
        <v>2785.0</v>
      </c>
      <c r="H287" s="118"/>
      <c r="I287" s="119">
        <f t="shared" si="25"/>
        <v>1715</v>
      </c>
      <c r="J287" s="120">
        <f t="shared" si="6"/>
        <v>0.3811111111</v>
      </c>
      <c r="K287" s="121">
        <f t="shared" si="28"/>
        <v>343</v>
      </c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5.75" customHeight="1">
      <c r="A288" s="113"/>
      <c r="B288" s="123">
        <v>1786.0</v>
      </c>
      <c r="C288" s="152" t="s">
        <v>305</v>
      </c>
      <c r="D288" s="127" t="s">
        <v>84</v>
      </c>
      <c r="F288" s="234">
        <v>8100.0</v>
      </c>
      <c r="G288" s="233">
        <v>4896.0</v>
      </c>
      <c r="H288" s="118"/>
      <c r="I288" s="119">
        <f t="shared" si="25"/>
        <v>3204</v>
      </c>
      <c r="J288" s="120">
        <f t="shared" si="6"/>
        <v>0.3955555556</v>
      </c>
      <c r="K288" s="121">
        <f t="shared" si="28"/>
        <v>640.8</v>
      </c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5.75" customHeight="1">
      <c r="A289" s="113"/>
      <c r="B289" s="123">
        <v>1787.0</v>
      </c>
      <c r="C289" s="152" t="s">
        <v>227</v>
      </c>
      <c r="D289" s="127" t="s">
        <v>84</v>
      </c>
      <c r="F289" s="234">
        <v>2500.0</v>
      </c>
      <c r="G289" s="233">
        <v>1500.0</v>
      </c>
      <c r="H289" s="118"/>
      <c r="I289" s="119">
        <f t="shared" si="25"/>
        <v>1000</v>
      </c>
      <c r="J289" s="120">
        <f t="shared" si="6"/>
        <v>0.4</v>
      </c>
      <c r="K289" s="121">
        <f t="shared" si="28"/>
        <v>200</v>
      </c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5.75" customHeight="1">
      <c r="A290" s="113"/>
      <c r="B290" s="123">
        <v>1788.0</v>
      </c>
      <c r="C290" s="152" t="s">
        <v>311</v>
      </c>
      <c r="D290" s="127" t="s">
        <v>84</v>
      </c>
      <c r="F290" s="234">
        <v>4200.0</v>
      </c>
      <c r="G290" s="233">
        <v>2142.4</v>
      </c>
      <c r="H290" s="118"/>
      <c r="I290" s="119">
        <f t="shared" si="25"/>
        <v>2057.6</v>
      </c>
      <c r="J290" s="120">
        <f t="shared" si="6"/>
        <v>0.4899047619</v>
      </c>
      <c r="K290" s="121">
        <f t="shared" si="28"/>
        <v>411.52</v>
      </c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5.75" customHeight="1">
      <c r="A291" s="154" t="s">
        <v>312</v>
      </c>
      <c r="B291" s="143"/>
      <c r="C291" s="144" t="s">
        <v>313</v>
      </c>
      <c r="D291" s="143"/>
      <c r="E291" s="143"/>
      <c r="F291" s="145">
        <f t="shared" ref="F291:I291" si="29">sum(F292:F357)</f>
        <v>461234</v>
      </c>
      <c r="G291" s="146">
        <f t="shared" si="29"/>
        <v>319265.8</v>
      </c>
      <c r="H291" s="146">
        <f t="shared" si="29"/>
        <v>0</v>
      </c>
      <c r="I291" s="146">
        <f t="shared" si="29"/>
        <v>141968.2</v>
      </c>
      <c r="J291" s="148">
        <f t="shared" si="6"/>
        <v>0.3078008126</v>
      </c>
      <c r="K291" s="146">
        <f>sum(K292:K357)</f>
        <v>11371.94</v>
      </c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5.75" customHeight="1">
      <c r="A292" s="122">
        <v>46175.0</v>
      </c>
      <c r="B292" s="123"/>
      <c r="C292" s="173"/>
      <c r="F292" s="235"/>
      <c r="G292" s="236"/>
      <c r="H292" s="118"/>
      <c r="I292" s="119">
        <f t="shared" ref="I292:I354" si="30">F:F-G:G-H:H</f>
        <v>0</v>
      </c>
      <c r="J292" s="120"/>
      <c r="K292" s="121">
        <f>F292*0.01</f>
        <v>0</v>
      </c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5.75" customHeight="1">
      <c r="A293" s="113"/>
      <c r="B293" s="123">
        <v>1789.0</v>
      </c>
      <c r="C293" s="152" t="s">
        <v>314</v>
      </c>
      <c r="D293" s="151" t="s">
        <v>213</v>
      </c>
      <c r="F293" s="234">
        <v>1242.0</v>
      </c>
      <c r="G293" s="233">
        <v>721.0</v>
      </c>
      <c r="H293" s="118"/>
      <c r="I293" s="119">
        <f t="shared" si="30"/>
        <v>521</v>
      </c>
      <c r="J293" s="120">
        <f t="shared" ref="J293:J357" si="31">I293/F293</f>
        <v>0.4194847021</v>
      </c>
      <c r="K293" s="121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5.75" customHeight="1">
      <c r="A294" s="113"/>
      <c r="B294" s="123">
        <v>1790.0</v>
      </c>
      <c r="C294" s="152" t="s">
        <v>242</v>
      </c>
      <c r="D294" s="151" t="s">
        <v>213</v>
      </c>
      <c r="F294" s="232">
        <v>2125.0</v>
      </c>
      <c r="G294" s="233">
        <v>1900.0</v>
      </c>
      <c r="H294" s="118"/>
      <c r="I294" s="119">
        <f t="shared" si="30"/>
        <v>225</v>
      </c>
      <c r="J294" s="120">
        <f t="shared" si="31"/>
        <v>0.1058823529</v>
      </c>
      <c r="K294" s="121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5.75" customHeight="1">
      <c r="A295" s="113"/>
      <c r="B295" s="123">
        <v>1791.0</v>
      </c>
      <c r="C295" s="152" t="s">
        <v>315</v>
      </c>
      <c r="D295" s="180" t="s">
        <v>84</v>
      </c>
      <c r="F295" s="234">
        <v>4200.0</v>
      </c>
      <c r="G295" s="233">
        <v>2142.4</v>
      </c>
      <c r="H295" s="118"/>
      <c r="I295" s="119">
        <f t="shared" si="30"/>
        <v>2057.6</v>
      </c>
      <c r="J295" s="120">
        <f t="shared" si="31"/>
        <v>0.4899047619</v>
      </c>
      <c r="K295" s="121">
        <f t="shared" ref="K295:K304" si="32">I295*0.2</f>
        <v>411.52</v>
      </c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113"/>
      <c r="B296" s="123">
        <v>1792.0</v>
      </c>
      <c r="C296" s="152" t="s">
        <v>305</v>
      </c>
      <c r="D296" s="180" t="s">
        <v>84</v>
      </c>
      <c r="F296" s="234">
        <v>2500.0</v>
      </c>
      <c r="G296" s="233">
        <v>2142.4</v>
      </c>
      <c r="H296" s="118"/>
      <c r="I296" s="119">
        <f t="shared" si="30"/>
        <v>357.6</v>
      </c>
      <c r="J296" s="120">
        <f t="shared" si="31"/>
        <v>0.14304</v>
      </c>
      <c r="K296" s="121">
        <f t="shared" si="32"/>
        <v>71.52</v>
      </c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173"/>
      <c r="B297" s="123">
        <v>1793.0</v>
      </c>
      <c r="C297" s="152" t="s">
        <v>305</v>
      </c>
      <c r="D297" s="180" t="s">
        <v>84</v>
      </c>
      <c r="F297" s="234">
        <v>2500.0</v>
      </c>
      <c r="G297" s="233">
        <v>1500.0</v>
      </c>
      <c r="H297" s="118"/>
      <c r="I297" s="119">
        <f t="shared" si="30"/>
        <v>1000</v>
      </c>
      <c r="J297" s="120">
        <f t="shared" si="31"/>
        <v>0.4</v>
      </c>
      <c r="K297" s="121">
        <f t="shared" si="32"/>
        <v>200</v>
      </c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173"/>
      <c r="B298" s="123">
        <v>1794.0</v>
      </c>
      <c r="C298" s="152" t="s">
        <v>316</v>
      </c>
      <c r="D298" s="180" t="s">
        <v>84</v>
      </c>
      <c r="F298" s="234">
        <v>4800.0</v>
      </c>
      <c r="G298" s="233">
        <v>1500.0</v>
      </c>
      <c r="H298" s="118"/>
      <c r="I298" s="119">
        <f t="shared" si="30"/>
        <v>3300</v>
      </c>
      <c r="J298" s="120">
        <f t="shared" si="31"/>
        <v>0.6875</v>
      </c>
      <c r="K298" s="121">
        <f t="shared" si="32"/>
        <v>660</v>
      </c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5.75" customHeight="1">
      <c r="A299" s="173"/>
      <c r="B299" s="123">
        <v>1795.0</v>
      </c>
      <c r="C299" s="152" t="s">
        <v>305</v>
      </c>
      <c r="D299" s="180" t="s">
        <v>84</v>
      </c>
      <c r="F299" s="234">
        <v>4800.0</v>
      </c>
      <c r="G299" s="233">
        <v>2785.0</v>
      </c>
      <c r="H299" s="118"/>
      <c r="I299" s="119">
        <f t="shared" si="30"/>
        <v>2015</v>
      </c>
      <c r="J299" s="120">
        <f t="shared" si="31"/>
        <v>0.4197916667</v>
      </c>
      <c r="K299" s="121">
        <f t="shared" si="32"/>
        <v>403</v>
      </c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5.75" customHeight="1">
      <c r="A300" s="173"/>
      <c r="B300" s="123">
        <v>1796.0</v>
      </c>
      <c r="C300" s="152" t="s">
        <v>305</v>
      </c>
      <c r="D300" s="180" t="s">
        <v>84</v>
      </c>
      <c r="F300" s="234">
        <v>4800.0</v>
      </c>
      <c r="G300" s="233">
        <v>2785.0</v>
      </c>
      <c r="H300" s="118"/>
      <c r="I300" s="119">
        <f t="shared" si="30"/>
        <v>2015</v>
      </c>
      <c r="J300" s="120">
        <f t="shared" si="31"/>
        <v>0.4197916667</v>
      </c>
      <c r="K300" s="121">
        <f t="shared" si="32"/>
        <v>403</v>
      </c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173"/>
      <c r="B301" s="123">
        <v>1797.0</v>
      </c>
      <c r="C301" s="152" t="s">
        <v>317</v>
      </c>
      <c r="D301" s="180" t="s">
        <v>84</v>
      </c>
      <c r="F301" s="234">
        <v>6800.0</v>
      </c>
      <c r="G301" s="233">
        <v>2874.0</v>
      </c>
      <c r="H301" s="118"/>
      <c r="I301" s="119">
        <f t="shared" si="30"/>
        <v>3926</v>
      </c>
      <c r="J301" s="120">
        <f t="shared" si="31"/>
        <v>0.5773529412</v>
      </c>
      <c r="K301" s="121">
        <f t="shared" si="32"/>
        <v>785.2</v>
      </c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4.25" customHeight="1">
      <c r="A302" s="173"/>
      <c r="B302" s="123">
        <v>1798.0</v>
      </c>
      <c r="C302" s="152" t="s">
        <v>318</v>
      </c>
      <c r="D302" s="180" t="s">
        <v>84</v>
      </c>
      <c r="F302" s="234">
        <v>4800.0</v>
      </c>
      <c r="G302" s="233">
        <v>3000.0</v>
      </c>
      <c r="H302" s="118"/>
      <c r="I302" s="119">
        <f t="shared" si="30"/>
        <v>1800</v>
      </c>
      <c r="J302" s="120">
        <f t="shared" si="31"/>
        <v>0.375</v>
      </c>
      <c r="K302" s="121">
        <f t="shared" si="32"/>
        <v>360</v>
      </c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5.75" customHeight="1">
      <c r="A303" s="173"/>
      <c r="B303" s="123">
        <v>1799.0</v>
      </c>
      <c r="C303" s="152" t="s">
        <v>319</v>
      </c>
      <c r="D303" s="180" t="s">
        <v>84</v>
      </c>
      <c r="F303" s="234">
        <v>5000.0</v>
      </c>
      <c r="G303" s="233">
        <v>2785.0</v>
      </c>
      <c r="I303" s="119">
        <f t="shared" si="30"/>
        <v>2215</v>
      </c>
      <c r="J303" s="120">
        <f t="shared" si="31"/>
        <v>0.443</v>
      </c>
      <c r="K303" s="121">
        <f t="shared" si="32"/>
        <v>443</v>
      </c>
    </row>
    <row r="304" ht="15.75" customHeight="1">
      <c r="A304" s="173"/>
      <c r="B304" s="123">
        <v>1800.0</v>
      </c>
      <c r="C304" s="152" t="s">
        <v>320</v>
      </c>
      <c r="D304" s="180" t="s">
        <v>84</v>
      </c>
      <c r="F304" s="234">
        <v>2400.0</v>
      </c>
      <c r="G304" s="233">
        <v>1500.0</v>
      </c>
      <c r="I304" s="119">
        <f t="shared" si="30"/>
        <v>900</v>
      </c>
      <c r="J304" s="120">
        <f t="shared" si="31"/>
        <v>0.375</v>
      </c>
      <c r="K304" s="121">
        <f t="shared" si="32"/>
        <v>180</v>
      </c>
    </row>
    <row r="305" ht="15.75" customHeight="1">
      <c r="A305" s="237">
        <v>46177.0</v>
      </c>
      <c r="B305" s="157">
        <v>1882.0</v>
      </c>
      <c r="C305" s="126" t="s">
        <v>246</v>
      </c>
      <c r="D305" s="127" t="s">
        <v>215</v>
      </c>
      <c r="E305" s="115"/>
      <c r="F305" s="128">
        <v>1520.0</v>
      </c>
      <c r="G305" s="153">
        <v>1120.0</v>
      </c>
      <c r="I305" s="119">
        <f t="shared" si="30"/>
        <v>400</v>
      </c>
      <c r="J305" s="120">
        <f t="shared" si="31"/>
        <v>0.2631578947</v>
      </c>
      <c r="K305" s="121">
        <f t="shared" ref="K305:K323" si="33">F305*0.01</f>
        <v>15.2</v>
      </c>
    </row>
    <row r="306" ht="15.75" customHeight="1">
      <c r="A306" s="237">
        <v>46177.0</v>
      </c>
      <c r="B306" s="123">
        <v>1883.0</v>
      </c>
      <c r="C306" s="126">
        <v>2011.0</v>
      </c>
      <c r="D306" s="127" t="s">
        <v>215</v>
      </c>
      <c r="E306" s="115"/>
      <c r="F306" s="128">
        <v>3700.0</v>
      </c>
      <c r="G306" s="125">
        <v>2430.0</v>
      </c>
      <c r="I306" s="119">
        <f t="shared" si="30"/>
        <v>1270</v>
      </c>
      <c r="J306" s="120">
        <f t="shared" si="31"/>
        <v>0.3432432432</v>
      </c>
      <c r="K306" s="121">
        <f t="shared" si="33"/>
        <v>37</v>
      </c>
    </row>
    <row r="307" ht="15.75" customHeight="1">
      <c r="A307" s="237">
        <v>46177.0</v>
      </c>
      <c r="B307" s="123">
        <v>1884.0</v>
      </c>
      <c r="C307" s="126" t="s">
        <v>217</v>
      </c>
      <c r="D307" s="127" t="s">
        <v>215</v>
      </c>
      <c r="E307" s="115"/>
      <c r="F307" s="128">
        <v>17420.0</v>
      </c>
      <c r="G307" s="125">
        <v>11620.0</v>
      </c>
      <c r="I307" s="119">
        <f t="shared" si="30"/>
        <v>5800</v>
      </c>
      <c r="J307" s="120">
        <f t="shared" si="31"/>
        <v>0.3329506315</v>
      </c>
      <c r="K307" s="121">
        <f t="shared" si="33"/>
        <v>174.2</v>
      </c>
    </row>
    <row r="308" ht="15.75" customHeight="1">
      <c r="A308" s="237">
        <v>46177.0</v>
      </c>
      <c r="B308" s="123">
        <v>1885.0</v>
      </c>
      <c r="C308" s="126" t="s">
        <v>304</v>
      </c>
      <c r="D308" s="127" t="s">
        <v>215</v>
      </c>
      <c r="E308" s="115"/>
      <c r="F308" s="128">
        <v>700.0</v>
      </c>
      <c r="G308" s="125">
        <v>300.0</v>
      </c>
      <c r="I308" s="119">
        <f t="shared" si="30"/>
        <v>400</v>
      </c>
      <c r="J308" s="120">
        <f t="shared" si="31"/>
        <v>0.5714285714</v>
      </c>
      <c r="K308" s="121">
        <f t="shared" si="33"/>
        <v>7</v>
      </c>
    </row>
    <row r="309" ht="15.75" customHeight="1">
      <c r="A309" s="237">
        <v>46177.0</v>
      </c>
      <c r="B309" s="123">
        <v>1886.0</v>
      </c>
      <c r="C309" s="126" t="s">
        <v>216</v>
      </c>
      <c r="D309" s="127" t="s">
        <v>215</v>
      </c>
      <c r="E309" s="115"/>
      <c r="F309" s="128">
        <v>7400.0</v>
      </c>
      <c r="G309" s="125">
        <v>5250.0</v>
      </c>
      <c r="I309" s="119">
        <f t="shared" si="30"/>
        <v>2150</v>
      </c>
      <c r="J309" s="120">
        <f t="shared" si="31"/>
        <v>0.2905405405</v>
      </c>
      <c r="K309" s="121">
        <f t="shared" si="33"/>
        <v>74</v>
      </c>
    </row>
    <row r="310" ht="15.75" customHeight="1">
      <c r="A310" s="237">
        <v>46177.0</v>
      </c>
      <c r="B310" s="123">
        <v>1887.0</v>
      </c>
      <c r="C310" s="126" t="s">
        <v>214</v>
      </c>
      <c r="D310" s="127" t="s">
        <v>215</v>
      </c>
      <c r="E310" s="115"/>
      <c r="F310" s="128">
        <v>6000.0</v>
      </c>
      <c r="G310" s="125">
        <v>3600.0</v>
      </c>
      <c r="I310" s="119">
        <f t="shared" si="30"/>
        <v>2400</v>
      </c>
      <c r="J310" s="120">
        <f t="shared" si="31"/>
        <v>0.4</v>
      </c>
      <c r="K310" s="121">
        <f t="shared" si="33"/>
        <v>60</v>
      </c>
    </row>
    <row r="311" ht="15.75" customHeight="1">
      <c r="A311" s="237">
        <v>46177.0</v>
      </c>
      <c r="B311" s="123">
        <v>1888.0</v>
      </c>
      <c r="C311" s="126" t="s">
        <v>218</v>
      </c>
      <c r="D311" s="127" t="s">
        <v>215</v>
      </c>
      <c r="E311" s="115"/>
      <c r="F311" s="128">
        <v>6700.0</v>
      </c>
      <c r="G311" s="125">
        <v>4300.0</v>
      </c>
      <c r="I311" s="119">
        <f t="shared" si="30"/>
        <v>2400</v>
      </c>
      <c r="J311" s="120">
        <f t="shared" si="31"/>
        <v>0.3582089552</v>
      </c>
      <c r="K311" s="121">
        <f t="shared" si="33"/>
        <v>67</v>
      </c>
    </row>
    <row r="312" ht="15.75" customHeight="1">
      <c r="A312" s="237">
        <v>46177.0</v>
      </c>
      <c r="B312" s="123">
        <v>1889.0</v>
      </c>
      <c r="C312" s="126" t="s">
        <v>223</v>
      </c>
      <c r="D312" s="127" t="s">
        <v>215</v>
      </c>
      <c r="E312" s="115"/>
      <c r="F312" s="128">
        <v>9650.0</v>
      </c>
      <c r="G312" s="125">
        <v>6560.0</v>
      </c>
      <c r="I312" s="119">
        <f t="shared" si="30"/>
        <v>3090</v>
      </c>
      <c r="J312" s="120">
        <f t="shared" si="31"/>
        <v>0.3202072539</v>
      </c>
      <c r="K312" s="121">
        <f t="shared" si="33"/>
        <v>96.5</v>
      </c>
    </row>
    <row r="313" ht="15.75" customHeight="1">
      <c r="A313" s="237">
        <v>46177.0</v>
      </c>
      <c r="B313" s="123">
        <v>1890.0</v>
      </c>
      <c r="C313" s="152" t="s">
        <v>246</v>
      </c>
      <c r="D313" s="127" t="s">
        <v>215</v>
      </c>
      <c r="F313" s="234">
        <v>4000.0</v>
      </c>
      <c r="G313" s="125">
        <v>3000.0</v>
      </c>
      <c r="H313" s="118"/>
      <c r="I313" s="119">
        <f t="shared" si="30"/>
        <v>1000</v>
      </c>
      <c r="J313" s="120">
        <f t="shared" si="31"/>
        <v>0.25</v>
      </c>
      <c r="K313" s="121">
        <f t="shared" si="33"/>
        <v>40</v>
      </c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5.75" customHeight="1">
      <c r="A314" s="237">
        <v>46177.0</v>
      </c>
      <c r="B314" s="123">
        <v>1891.0</v>
      </c>
      <c r="C314" s="152" t="s">
        <v>246</v>
      </c>
      <c r="D314" s="127" t="s">
        <v>215</v>
      </c>
      <c r="F314" s="234">
        <v>1500.0</v>
      </c>
      <c r="G314" s="125">
        <v>1200.0</v>
      </c>
      <c r="H314" s="118"/>
      <c r="I314" s="119">
        <f t="shared" si="30"/>
        <v>300</v>
      </c>
      <c r="J314" s="120">
        <f t="shared" si="31"/>
        <v>0.2</v>
      </c>
      <c r="K314" s="121">
        <f t="shared" si="33"/>
        <v>15</v>
      </c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5.75" customHeight="1">
      <c r="A315" s="122">
        <v>46184.0</v>
      </c>
      <c r="B315" s="123">
        <v>1892.0</v>
      </c>
      <c r="C315" s="152" t="s">
        <v>217</v>
      </c>
      <c r="D315" s="127" t="s">
        <v>215</v>
      </c>
      <c r="F315" s="234">
        <v>18720.0</v>
      </c>
      <c r="G315" s="125">
        <v>7360.0</v>
      </c>
      <c r="H315" s="118"/>
      <c r="I315" s="119">
        <f t="shared" si="30"/>
        <v>11360</v>
      </c>
      <c r="J315" s="120">
        <f t="shared" si="31"/>
        <v>0.6068376068</v>
      </c>
      <c r="K315" s="121">
        <f t="shared" si="33"/>
        <v>187.2</v>
      </c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5.75" customHeight="1">
      <c r="A316" s="122">
        <v>46184.0</v>
      </c>
      <c r="B316" s="123">
        <v>1893.0</v>
      </c>
      <c r="C316" s="152" t="s">
        <v>304</v>
      </c>
      <c r="D316" s="127" t="s">
        <v>215</v>
      </c>
      <c r="F316" s="234">
        <v>2000.0</v>
      </c>
      <c r="G316" s="233">
        <v>1290.0</v>
      </c>
      <c r="H316" s="118"/>
      <c r="I316" s="119">
        <f t="shared" si="30"/>
        <v>710</v>
      </c>
      <c r="J316" s="120">
        <f t="shared" si="31"/>
        <v>0.355</v>
      </c>
      <c r="K316" s="121">
        <f t="shared" si="33"/>
        <v>20</v>
      </c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5.75" customHeight="1">
      <c r="A317" s="122">
        <v>46184.0</v>
      </c>
      <c r="B317" s="123">
        <v>1894.0</v>
      </c>
      <c r="C317" s="152" t="s">
        <v>321</v>
      </c>
      <c r="D317" s="127" t="s">
        <v>215</v>
      </c>
      <c r="F317" s="234">
        <v>3860.0</v>
      </c>
      <c r="G317" s="233">
        <v>2480.0</v>
      </c>
      <c r="H317" s="118"/>
      <c r="I317" s="119">
        <f t="shared" si="30"/>
        <v>1380</v>
      </c>
      <c r="J317" s="120">
        <f t="shared" si="31"/>
        <v>0.3575129534</v>
      </c>
      <c r="K317" s="121">
        <f t="shared" si="33"/>
        <v>38.6</v>
      </c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5.75" customHeight="1">
      <c r="A318" s="122">
        <v>46184.0</v>
      </c>
      <c r="B318" s="123">
        <v>1895.0</v>
      </c>
      <c r="C318" s="152" t="s">
        <v>255</v>
      </c>
      <c r="D318" s="127" t="s">
        <v>215</v>
      </c>
      <c r="F318" s="234">
        <v>3500.0</v>
      </c>
      <c r="G318" s="233">
        <v>2600.0</v>
      </c>
      <c r="H318" s="118"/>
      <c r="I318" s="119">
        <f t="shared" si="30"/>
        <v>900</v>
      </c>
      <c r="J318" s="120">
        <f t="shared" si="31"/>
        <v>0.2571428571</v>
      </c>
      <c r="K318" s="121">
        <f t="shared" si="33"/>
        <v>35</v>
      </c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5.75" customHeight="1">
      <c r="A319" s="122">
        <v>46184.0</v>
      </c>
      <c r="B319" s="123">
        <v>1896.0</v>
      </c>
      <c r="C319" s="152" t="s">
        <v>246</v>
      </c>
      <c r="D319" s="127" t="s">
        <v>215</v>
      </c>
      <c r="F319" s="234">
        <v>11660.0</v>
      </c>
      <c r="G319" s="233">
        <v>8830.0</v>
      </c>
      <c r="H319" s="118"/>
      <c r="I319" s="119">
        <f t="shared" si="30"/>
        <v>2830</v>
      </c>
      <c r="J319" s="120">
        <f t="shared" si="31"/>
        <v>0.2427101201</v>
      </c>
      <c r="K319" s="121">
        <f t="shared" si="33"/>
        <v>116.6</v>
      </c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5.75" customHeight="1">
      <c r="A320" s="122">
        <v>46184.0</v>
      </c>
      <c r="B320" s="123">
        <v>1897.0</v>
      </c>
      <c r="C320" s="152" t="s">
        <v>254</v>
      </c>
      <c r="D320" s="127" t="s">
        <v>215</v>
      </c>
      <c r="F320" s="234">
        <v>3000.0</v>
      </c>
      <c r="G320" s="233">
        <v>2500.0</v>
      </c>
      <c r="H320" s="118"/>
      <c r="I320" s="119">
        <f t="shared" si="30"/>
        <v>500</v>
      </c>
      <c r="J320" s="120">
        <f t="shared" si="31"/>
        <v>0.1666666667</v>
      </c>
      <c r="K320" s="121">
        <f t="shared" si="33"/>
        <v>30</v>
      </c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5.75" customHeight="1">
      <c r="A321" s="122">
        <v>46189.0</v>
      </c>
      <c r="B321" s="123">
        <v>1898.0</v>
      </c>
      <c r="C321" s="152" t="s">
        <v>252</v>
      </c>
      <c r="D321" s="127" t="s">
        <v>215</v>
      </c>
      <c r="F321" s="234">
        <v>3000.0</v>
      </c>
      <c r="G321" s="233">
        <v>2000.0</v>
      </c>
      <c r="H321" s="118"/>
      <c r="I321" s="119">
        <f t="shared" si="30"/>
        <v>1000</v>
      </c>
      <c r="J321" s="120">
        <f t="shared" si="31"/>
        <v>0.3333333333</v>
      </c>
      <c r="K321" s="121">
        <f t="shared" si="33"/>
        <v>30</v>
      </c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5.75" customHeight="1">
      <c r="A322" s="122">
        <v>46189.0</v>
      </c>
      <c r="B322" s="123">
        <v>1899.0</v>
      </c>
      <c r="C322" s="152">
        <v>2011.0</v>
      </c>
      <c r="D322" s="127" t="s">
        <v>215</v>
      </c>
      <c r="F322" s="234">
        <v>1140.0</v>
      </c>
      <c r="G322" s="233">
        <v>990.0</v>
      </c>
      <c r="H322" s="118"/>
      <c r="I322" s="119">
        <f t="shared" si="30"/>
        <v>150</v>
      </c>
      <c r="J322" s="120">
        <f t="shared" si="31"/>
        <v>0.1315789474</v>
      </c>
      <c r="K322" s="121">
        <f t="shared" si="33"/>
        <v>11.4</v>
      </c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5.75" customHeight="1">
      <c r="A323" s="122">
        <v>46189.0</v>
      </c>
      <c r="B323" s="123">
        <v>1900.0</v>
      </c>
      <c r="C323" s="152" t="s">
        <v>214</v>
      </c>
      <c r="D323" s="127" t="s">
        <v>215</v>
      </c>
      <c r="F323" s="232">
        <v>3000.0</v>
      </c>
      <c r="G323" s="233">
        <v>1800.0</v>
      </c>
      <c r="H323" s="118"/>
      <c r="I323" s="119">
        <f t="shared" si="30"/>
        <v>1200</v>
      </c>
      <c r="J323" s="120">
        <f t="shared" si="31"/>
        <v>0.4</v>
      </c>
      <c r="K323" s="121">
        <f t="shared" si="33"/>
        <v>30</v>
      </c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5.75" customHeight="1">
      <c r="A324" s="122">
        <v>46189.0</v>
      </c>
      <c r="B324" s="123">
        <v>1901.0</v>
      </c>
      <c r="C324" s="152">
        <v>2011.0</v>
      </c>
      <c r="D324" s="151" t="s">
        <v>213</v>
      </c>
      <c r="F324" s="234">
        <v>3900.0</v>
      </c>
      <c r="G324" s="238">
        <v>2970.0</v>
      </c>
      <c r="H324" s="118"/>
      <c r="I324" s="119">
        <f t="shared" si="30"/>
        <v>930</v>
      </c>
      <c r="J324" s="120">
        <f t="shared" si="31"/>
        <v>0.2384615385</v>
      </c>
      <c r="K324" s="121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5.75" customHeight="1">
      <c r="A325" s="122">
        <v>46189.0</v>
      </c>
      <c r="B325" s="123">
        <v>1902.0</v>
      </c>
      <c r="C325" s="152" t="s">
        <v>220</v>
      </c>
      <c r="D325" s="127" t="s">
        <v>215</v>
      </c>
      <c r="F325" s="234">
        <v>4320.0</v>
      </c>
      <c r="G325" s="233">
        <v>2910.0</v>
      </c>
      <c r="H325" s="118"/>
      <c r="I325" s="119">
        <f t="shared" si="30"/>
        <v>1410</v>
      </c>
      <c r="J325" s="120">
        <f t="shared" si="31"/>
        <v>0.3263888889</v>
      </c>
      <c r="K325" s="121">
        <f t="shared" ref="K325:K335" si="34">F325*0.01</f>
        <v>43.2</v>
      </c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5.75" customHeight="1">
      <c r="A326" s="122">
        <v>46189.0</v>
      </c>
      <c r="B326" s="123">
        <v>1903.0</v>
      </c>
      <c r="C326" s="152" t="s">
        <v>219</v>
      </c>
      <c r="D326" s="127" t="s">
        <v>215</v>
      </c>
      <c r="F326" s="234">
        <v>1900.0</v>
      </c>
      <c r="G326" s="233">
        <v>1400.0</v>
      </c>
      <c r="H326" s="118"/>
      <c r="I326" s="119">
        <f t="shared" si="30"/>
        <v>500</v>
      </c>
      <c r="J326" s="120">
        <f t="shared" si="31"/>
        <v>0.2631578947</v>
      </c>
      <c r="K326" s="121">
        <f t="shared" si="34"/>
        <v>19</v>
      </c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5.75" customHeight="1">
      <c r="A327" s="122">
        <v>46191.0</v>
      </c>
      <c r="B327" s="123">
        <v>1904.0</v>
      </c>
      <c r="C327" s="126" t="s">
        <v>246</v>
      </c>
      <c r="D327" s="127" t="s">
        <v>215</v>
      </c>
      <c r="E327" s="115"/>
      <c r="F327" s="128">
        <v>4900.0</v>
      </c>
      <c r="G327" s="125">
        <v>3600.0</v>
      </c>
      <c r="H327" s="118"/>
      <c r="I327" s="119">
        <f t="shared" si="30"/>
        <v>1300</v>
      </c>
      <c r="J327" s="120">
        <f t="shared" si="31"/>
        <v>0.2653061224</v>
      </c>
      <c r="K327" s="121">
        <f t="shared" si="34"/>
        <v>49</v>
      </c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5.75" customHeight="1">
      <c r="A328" s="122">
        <v>46191.0</v>
      </c>
      <c r="B328" s="123">
        <v>1905.0</v>
      </c>
      <c r="C328" s="126" t="s">
        <v>217</v>
      </c>
      <c r="D328" s="127" t="s">
        <v>215</v>
      </c>
      <c r="E328" s="115"/>
      <c r="F328" s="128">
        <v>11400.0</v>
      </c>
      <c r="G328" s="125">
        <v>8600.0</v>
      </c>
      <c r="H328" s="118"/>
      <c r="I328" s="119">
        <f t="shared" si="30"/>
        <v>2800</v>
      </c>
      <c r="J328" s="120">
        <f t="shared" si="31"/>
        <v>0.2456140351</v>
      </c>
      <c r="K328" s="121">
        <f t="shared" si="34"/>
        <v>114</v>
      </c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5.75" customHeight="1">
      <c r="A329" s="122">
        <v>46191.0</v>
      </c>
      <c r="B329" s="123">
        <v>1906.0</v>
      </c>
      <c r="C329" s="126" t="s">
        <v>216</v>
      </c>
      <c r="D329" s="127" t="s">
        <v>215</v>
      </c>
      <c r="E329" s="115"/>
      <c r="F329" s="128">
        <v>5200.0</v>
      </c>
      <c r="G329" s="125">
        <v>3600.0</v>
      </c>
      <c r="H329" s="118"/>
      <c r="I329" s="119">
        <f t="shared" si="30"/>
        <v>1600</v>
      </c>
      <c r="J329" s="120">
        <f t="shared" si="31"/>
        <v>0.3076923077</v>
      </c>
      <c r="K329" s="121">
        <f t="shared" si="34"/>
        <v>52</v>
      </c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5.75" customHeight="1">
      <c r="A330" s="122">
        <v>46191.0</v>
      </c>
      <c r="B330" s="123">
        <v>1907.0</v>
      </c>
      <c r="C330" s="126" t="s">
        <v>218</v>
      </c>
      <c r="D330" s="127" t="s">
        <v>215</v>
      </c>
      <c r="E330" s="115"/>
      <c r="F330" s="128">
        <v>3200.0</v>
      </c>
      <c r="G330" s="125">
        <v>2200.0</v>
      </c>
      <c r="H330" s="118"/>
      <c r="I330" s="119">
        <f t="shared" si="30"/>
        <v>1000</v>
      </c>
      <c r="J330" s="120">
        <f t="shared" si="31"/>
        <v>0.3125</v>
      </c>
      <c r="K330" s="121">
        <f t="shared" si="34"/>
        <v>32</v>
      </c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5.75" customHeight="1">
      <c r="A331" s="122">
        <v>46191.0</v>
      </c>
      <c r="B331" s="123">
        <v>1908.0</v>
      </c>
      <c r="C331" s="126" t="s">
        <v>223</v>
      </c>
      <c r="D331" s="127" t="s">
        <v>215</v>
      </c>
      <c r="E331" s="115"/>
      <c r="F331" s="128">
        <v>2740.0</v>
      </c>
      <c r="G331" s="125">
        <v>1820.0</v>
      </c>
      <c r="H331" s="118"/>
      <c r="I331" s="119">
        <f t="shared" si="30"/>
        <v>920</v>
      </c>
      <c r="J331" s="120">
        <f t="shared" si="31"/>
        <v>0.3357664234</v>
      </c>
      <c r="K331" s="121">
        <f t="shared" si="34"/>
        <v>27.4</v>
      </c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5.75" customHeight="1">
      <c r="A332" s="122">
        <v>46192.0</v>
      </c>
      <c r="B332" s="123">
        <v>1909.0</v>
      </c>
      <c r="C332" s="152">
        <v>2011.0</v>
      </c>
      <c r="D332" s="127" t="s">
        <v>215</v>
      </c>
      <c r="F332" s="234">
        <v>3120.0</v>
      </c>
      <c r="G332" s="233">
        <v>1940.0</v>
      </c>
      <c r="H332" s="118"/>
      <c r="I332" s="119">
        <f t="shared" si="30"/>
        <v>1180</v>
      </c>
      <c r="J332" s="120">
        <f t="shared" si="31"/>
        <v>0.3782051282</v>
      </c>
      <c r="K332" s="121">
        <f t="shared" si="34"/>
        <v>31.2</v>
      </c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5.75" customHeight="1">
      <c r="A333" s="122">
        <v>46195.0</v>
      </c>
      <c r="B333" s="123">
        <v>1910.0</v>
      </c>
      <c r="C333" s="152">
        <v>2011.0</v>
      </c>
      <c r="D333" s="127" t="s">
        <v>215</v>
      </c>
      <c r="F333" s="234">
        <v>3960.0</v>
      </c>
      <c r="G333" s="233">
        <v>2800.0</v>
      </c>
      <c r="H333" s="118"/>
      <c r="I333" s="119">
        <f t="shared" si="30"/>
        <v>1160</v>
      </c>
      <c r="J333" s="120">
        <f t="shared" si="31"/>
        <v>0.2929292929</v>
      </c>
      <c r="K333" s="121">
        <f t="shared" si="34"/>
        <v>39.6</v>
      </c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5.75" customHeight="1">
      <c r="A334" s="122">
        <v>46195.0</v>
      </c>
      <c r="B334" s="123">
        <v>1911.0</v>
      </c>
      <c r="C334" s="152" t="s">
        <v>246</v>
      </c>
      <c r="D334" s="127" t="s">
        <v>215</v>
      </c>
      <c r="F334" s="234">
        <v>6800.0</v>
      </c>
      <c r="G334" s="233">
        <v>4150.0</v>
      </c>
      <c r="H334" s="118"/>
      <c r="I334" s="119">
        <f t="shared" si="30"/>
        <v>2650</v>
      </c>
      <c r="J334" s="120">
        <f t="shared" si="31"/>
        <v>0.3897058824</v>
      </c>
      <c r="K334" s="121">
        <f t="shared" si="34"/>
        <v>68</v>
      </c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5.75" customHeight="1">
      <c r="A335" s="122">
        <v>46195.0</v>
      </c>
      <c r="B335" s="123">
        <v>1912.0</v>
      </c>
      <c r="C335" s="152" t="s">
        <v>219</v>
      </c>
      <c r="D335" s="127" t="s">
        <v>215</v>
      </c>
      <c r="F335" s="234">
        <v>3000.0</v>
      </c>
      <c r="G335" s="233">
        <v>2500.0</v>
      </c>
      <c r="H335" s="118"/>
      <c r="I335" s="119">
        <f t="shared" si="30"/>
        <v>500</v>
      </c>
      <c r="J335" s="120">
        <f t="shared" si="31"/>
        <v>0.1666666667</v>
      </c>
      <c r="K335" s="121">
        <f t="shared" si="34"/>
        <v>30</v>
      </c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5.75" customHeight="1">
      <c r="A336" s="122">
        <v>46195.0</v>
      </c>
      <c r="B336" s="156">
        <v>1951.0</v>
      </c>
      <c r="C336" s="126" t="s">
        <v>242</v>
      </c>
      <c r="D336" s="151" t="s">
        <v>213</v>
      </c>
      <c r="E336" s="115"/>
      <c r="F336" s="209">
        <v>40320.0</v>
      </c>
      <c r="G336" s="125">
        <v>31600.0</v>
      </c>
      <c r="H336" s="118"/>
      <c r="I336" s="119">
        <f t="shared" si="30"/>
        <v>8720</v>
      </c>
      <c r="J336" s="120">
        <f t="shared" si="31"/>
        <v>0.2162698413</v>
      </c>
      <c r="K336" s="121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5.75" customHeight="1">
      <c r="A337" s="122">
        <v>46195.0</v>
      </c>
      <c r="B337" s="156">
        <v>1952.0</v>
      </c>
      <c r="C337" s="126" t="s">
        <v>212</v>
      </c>
      <c r="D337" s="151" t="s">
        <v>213</v>
      </c>
      <c r="E337" s="115"/>
      <c r="F337" s="209">
        <v>40320.0</v>
      </c>
      <c r="G337" s="125">
        <v>31600.0</v>
      </c>
      <c r="H337" s="118"/>
      <c r="I337" s="119">
        <f t="shared" si="30"/>
        <v>8720</v>
      </c>
      <c r="J337" s="120">
        <f t="shared" si="31"/>
        <v>0.2162698413</v>
      </c>
      <c r="K337" s="121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5.75" customHeight="1">
      <c r="A338" s="122">
        <v>46196.0</v>
      </c>
      <c r="B338" s="123">
        <v>1913.0</v>
      </c>
      <c r="C338" s="152" t="s">
        <v>246</v>
      </c>
      <c r="D338" s="127" t="s">
        <v>215</v>
      </c>
      <c r="F338" s="234">
        <v>3800.0</v>
      </c>
      <c r="G338" s="233">
        <v>2500.0</v>
      </c>
      <c r="H338" s="118"/>
      <c r="I338" s="119">
        <f t="shared" si="30"/>
        <v>1300</v>
      </c>
      <c r="J338" s="120">
        <f t="shared" si="31"/>
        <v>0.3421052632</v>
      </c>
      <c r="K338" s="121">
        <f t="shared" ref="K338:K346" si="35">F338*0.01</f>
        <v>38</v>
      </c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5.75" customHeight="1">
      <c r="A339" s="122">
        <v>46198.0</v>
      </c>
      <c r="B339" s="123">
        <v>1914.0</v>
      </c>
      <c r="C339" s="152" t="s">
        <v>216</v>
      </c>
      <c r="D339" s="127" t="s">
        <v>215</v>
      </c>
      <c r="F339" s="234">
        <v>1700.0</v>
      </c>
      <c r="G339" s="233">
        <v>1120.0</v>
      </c>
      <c r="H339" s="118"/>
      <c r="I339" s="119">
        <f t="shared" si="30"/>
        <v>580</v>
      </c>
      <c r="J339" s="120">
        <f t="shared" si="31"/>
        <v>0.3411764706</v>
      </c>
      <c r="K339" s="121">
        <f t="shared" si="35"/>
        <v>17</v>
      </c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5.75" customHeight="1">
      <c r="A340" s="122">
        <v>46198.0</v>
      </c>
      <c r="B340" s="157">
        <v>1915.0</v>
      </c>
      <c r="C340" s="239" t="s">
        <v>224</v>
      </c>
      <c r="D340" s="127" t="s">
        <v>215</v>
      </c>
      <c r="F340" s="240"/>
      <c r="G340" s="241"/>
      <c r="H340" s="118"/>
      <c r="I340" s="119">
        <f t="shared" si="30"/>
        <v>0</v>
      </c>
      <c r="J340" s="120" t="str">
        <f t="shared" si="31"/>
        <v>#DIV/0!</v>
      </c>
      <c r="K340" s="121">
        <f t="shared" si="35"/>
        <v>0</v>
      </c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5.75" customHeight="1">
      <c r="A341" s="122">
        <v>46198.0</v>
      </c>
      <c r="B341" s="123">
        <v>1916.0</v>
      </c>
      <c r="C341" s="152" t="s">
        <v>214</v>
      </c>
      <c r="D341" s="127" t="s">
        <v>215</v>
      </c>
      <c r="F341" s="232">
        <v>56600.0</v>
      </c>
      <c r="G341" s="233">
        <v>47450.0</v>
      </c>
      <c r="H341" s="118"/>
      <c r="I341" s="119">
        <f t="shared" si="30"/>
        <v>9150</v>
      </c>
      <c r="J341" s="120">
        <f t="shared" si="31"/>
        <v>0.1616607774</v>
      </c>
      <c r="K341" s="121">
        <f t="shared" si="35"/>
        <v>566</v>
      </c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5.75" customHeight="1">
      <c r="A342" s="122">
        <v>46198.0</v>
      </c>
      <c r="B342" s="123">
        <v>1917.0</v>
      </c>
      <c r="C342" s="126" t="s">
        <v>218</v>
      </c>
      <c r="D342" s="127" t="s">
        <v>215</v>
      </c>
      <c r="E342" s="115"/>
      <c r="F342" s="128">
        <v>3600.0</v>
      </c>
      <c r="G342" s="125">
        <v>2300.0</v>
      </c>
      <c r="H342" s="118"/>
      <c r="I342" s="119">
        <f t="shared" si="30"/>
        <v>1300</v>
      </c>
      <c r="J342" s="120">
        <f t="shared" si="31"/>
        <v>0.3611111111</v>
      </c>
      <c r="K342" s="121">
        <f t="shared" si="35"/>
        <v>36</v>
      </c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5.75" customHeight="1">
      <c r="A343" s="122">
        <v>46198.0</v>
      </c>
      <c r="B343" s="123">
        <v>1918.0</v>
      </c>
      <c r="C343" s="126" t="s">
        <v>254</v>
      </c>
      <c r="D343" s="127" t="s">
        <v>215</v>
      </c>
      <c r="E343" s="115"/>
      <c r="F343" s="128">
        <v>8800.0</v>
      </c>
      <c r="G343" s="125">
        <v>7900.0</v>
      </c>
      <c r="H343" s="118"/>
      <c r="I343" s="119">
        <f t="shared" si="30"/>
        <v>900</v>
      </c>
      <c r="J343" s="120">
        <f t="shared" si="31"/>
        <v>0.1022727273</v>
      </c>
      <c r="K343" s="121">
        <f t="shared" si="35"/>
        <v>88</v>
      </c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5.75" customHeight="1">
      <c r="A344" s="122">
        <v>46198.0</v>
      </c>
      <c r="B344" s="123">
        <v>1919.0</v>
      </c>
      <c r="C344" s="126" t="s">
        <v>304</v>
      </c>
      <c r="D344" s="127" t="s">
        <v>215</v>
      </c>
      <c r="E344" s="115"/>
      <c r="F344" s="128">
        <v>2160.0</v>
      </c>
      <c r="G344" s="125">
        <v>1350.0</v>
      </c>
      <c r="H344" s="118"/>
      <c r="I344" s="119">
        <f t="shared" si="30"/>
        <v>810</v>
      </c>
      <c r="J344" s="120">
        <f t="shared" si="31"/>
        <v>0.375</v>
      </c>
      <c r="K344" s="121">
        <f t="shared" si="35"/>
        <v>21.6</v>
      </c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5.75" customHeight="1">
      <c r="A345" s="122">
        <v>46198.0</v>
      </c>
      <c r="B345" s="123">
        <v>1920.0</v>
      </c>
      <c r="C345" s="126">
        <v>2011.0</v>
      </c>
      <c r="D345" s="127" t="s">
        <v>215</v>
      </c>
      <c r="E345" s="115"/>
      <c r="F345" s="128">
        <v>1500.0</v>
      </c>
      <c r="G345" s="125">
        <v>1200.0</v>
      </c>
      <c r="H345" s="118"/>
      <c r="I345" s="119">
        <f t="shared" si="30"/>
        <v>300</v>
      </c>
      <c r="J345" s="120">
        <f t="shared" si="31"/>
        <v>0.2</v>
      </c>
      <c r="K345" s="121">
        <f t="shared" si="35"/>
        <v>15</v>
      </c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5.75" customHeight="1">
      <c r="A346" s="122">
        <v>46198.0</v>
      </c>
      <c r="B346" s="123">
        <v>1921.0</v>
      </c>
      <c r="C346" s="126" t="s">
        <v>246</v>
      </c>
      <c r="D346" s="127" t="s">
        <v>215</v>
      </c>
      <c r="E346" s="115"/>
      <c r="F346" s="128">
        <v>3100.0</v>
      </c>
      <c r="G346" s="125">
        <v>2600.0</v>
      </c>
      <c r="H346" s="118"/>
      <c r="I346" s="119">
        <f t="shared" si="30"/>
        <v>500</v>
      </c>
      <c r="J346" s="120">
        <f t="shared" si="31"/>
        <v>0.1612903226</v>
      </c>
      <c r="K346" s="121">
        <f t="shared" si="35"/>
        <v>31</v>
      </c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5.75" customHeight="1">
      <c r="A347" s="122"/>
      <c r="B347" s="156">
        <v>1953.0</v>
      </c>
      <c r="C347" s="126" t="s">
        <v>322</v>
      </c>
      <c r="D347" s="180" t="s">
        <v>84</v>
      </c>
      <c r="E347" s="115"/>
      <c r="F347" s="209">
        <v>19100.0</v>
      </c>
      <c r="G347" s="125">
        <v>11500.8</v>
      </c>
      <c r="H347" s="118"/>
      <c r="I347" s="119">
        <f t="shared" si="30"/>
        <v>7599.2</v>
      </c>
      <c r="J347" s="120">
        <f t="shared" si="31"/>
        <v>0.3978638743</v>
      </c>
      <c r="K347" s="121">
        <f>I347*0.2</f>
        <v>1519.84</v>
      </c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5.75" customHeight="1">
      <c r="A348" s="122">
        <v>46199.0</v>
      </c>
      <c r="B348" s="123">
        <v>1922.0</v>
      </c>
      <c r="C348" s="126" t="s">
        <v>217</v>
      </c>
      <c r="D348" s="127" t="s">
        <v>215</v>
      </c>
      <c r="E348" s="115"/>
      <c r="F348" s="128">
        <v>18780.0</v>
      </c>
      <c r="G348" s="125">
        <v>13460.0</v>
      </c>
      <c r="H348" s="118"/>
      <c r="I348" s="119">
        <f t="shared" si="30"/>
        <v>5320</v>
      </c>
      <c r="J348" s="120">
        <f t="shared" si="31"/>
        <v>0.2832800852</v>
      </c>
      <c r="K348" s="121">
        <f t="shared" ref="K348:K352" si="36">F348*0.01</f>
        <v>187.8</v>
      </c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5.75" customHeight="1">
      <c r="A349" s="122">
        <v>46199.0</v>
      </c>
      <c r="B349" s="123">
        <v>1923.0</v>
      </c>
      <c r="C349" s="126" t="s">
        <v>216</v>
      </c>
      <c r="D349" s="127" t="s">
        <v>215</v>
      </c>
      <c r="E349" s="115"/>
      <c r="F349" s="128">
        <v>4160.0</v>
      </c>
      <c r="G349" s="125">
        <v>2820.0</v>
      </c>
      <c r="H349" s="118"/>
      <c r="I349" s="119">
        <f t="shared" si="30"/>
        <v>1340</v>
      </c>
      <c r="J349" s="120">
        <f t="shared" si="31"/>
        <v>0.3221153846</v>
      </c>
      <c r="K349" s="121">
        <f t="shared" si="36"/>
        <v>41.6</v>
      </c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5.75" customHeight="1">
      <c r="A350" s="122">
        <v>46199.0</v>
      </c>
      <c r="B350" s="123">
        <v>1924.0</v>
      </c>
      <c r="C350" s="126" t="s">
        <v>299</v>
      </c>
      <c r="D350" s="127" t="s">
        <v>215</v>
      </c>
      <c r="E350" s="115"/>
      <c r="F350" s="128">
        <v>3000.0</v>
      </c>
      <c r="G350" s="125">
        <v>2285.0</v>
      </c>
      <c r="H350" s="118"/>
      <c r="I350" s="119">
        <f t="shared" si="30"/>
        <v>715</v>
      </c>
      <c r="J350" s="120">
        <f t="shared" si="31"/>
        <v>0.2383333333</v>
      </c>
      <c r="K350" s="121">
        <f t="shared" si="36"/>
        <v>30</v>
      </c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5.75" customHeight="1">
      <c r="A351" s="122">
        <v>46202.0</v>
      </c>
      <c r="B351" s="123">
        <v>1925.0</v>
      </c>
      <c r="C351" s="126" t="s">
        <v>219</v>
      </c>
      <c r="D351" s="127" t="s">
        <v>215</v>
      </c>
      <c r="E351" s="115"/>
      <c r="F351" s="128">
        <v>1300.0</v>
      </c>
      <c r="G351" s="242">
        <v>850.0</v>
      </c>
      <c r="H351" s="118"/>
      <c r="I351" s="119">
        <f t="shared" si="30"/>
        <v>450</v>
      </c>
      <c r="J351" s="120">
        <f t="shared" si="31"/>
        <v>0.3461538462</v>
      </c>
      <c r="K351" s="121">
        <f t="shared" si="36"/>
        <v>13</v>
      </c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5.75" customHeight="1">
      <c r="A352" s="122">
        <v>46202.0</v>
      </c>
      <c r="B352" s="123">
        <v>1926.0</v>
      </c>
      <c r="C352" s="126" t="s">
        <v>246</v>
      </c>
      <c r="D352" s="127" t="s">
        <v>215</v>
      </c>
      <c r="E352" s="115"/>
      <c r="F352" s="128">
        <v>3740.0</v>
      </c>
      <c r="G352" s="153">
        <v>2560.0</v>
      </c>
      <c r="H352" s="118"/>
      <c r="I352" s="119">
        <f t="shared" si="30"/>
        <v>1180</v>
      </c>
      <c r="J352" s="120">
        <f t="shared" si="31"/>
        <v>0.3155080214</v>
      </c>
      <c r="K352" s="121">
        <f t="shared" si="36"/>
        <v>37.4</v>
      </c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5.75" customHeight="1">
      <c r="A353" s="122">
        <v>46202.0</v>
      </c>
      <c r="B353" s="156">
        <v>1954.0</v>
      </c>
      <c r="C353" s="126" t="s">
        <v>323</v>
      </c>
      <c r="D353" s="180" t="s">
        <v>84</v>
      </c>
      <c r="E353" s="115"/>
      <c r="F353" s="128">
        <v>4400.0</v>
      </c>
      <c r="G353" s="153">
        <v>2142.4</v>
      </c>
      <c r="H353" s="118"/>
      <c r="I353" s="119">
        <f t="shared" si="30"/>
        <v>2257.6</v>
      </c>
      <c r="J353" s="120">
        <f t="shared" si="31"/>
        <v>0.5130909091</v>
      </c>
      <c r="K353" s="121">
        <f t="shared" ref="K353:K354" si="37">I353*0.2</f>
        <v>451.52</v>
      </c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5.75" customHeight="1">
      <c r="A354" s="122">
        <v>46202.0</v>
      </c>
      <c r="B354" s="156">
        <v>1955.0</v>
      </c>
      <c r="C354" s="126" t="s">
        <v>227</v>
      </c>
      <c r="D354" s="180" t="s">
        <v>84</v>
      </c>
      <c r="E354" s="115"/>
      <c r="F354" s="128">
        <v>9077.0</v>
      </c>
      <c r="G354" s="153">
        <v>5442.8</v>
      </c>
      <c r="H354" s="118"/>
      <c r="I354" s="119">
        <f t="shared" si="30"/>
        <v>3634.2</v>
      </c>
      <c r="J354" s="120">
        <f t="shared" si="31"/>
        <v>0.4003745731</v>
      </c>
      <c r="K354" s="121">
        <f t="shared" si="37"/>
        <v>726.84</v>
      </c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5.75" customHeight="1">
      <c r="A355" s="122">
        <v>46202.0</v>
      </c>
      <c r="B355" s="243">
        <v>1956.0</v>
      </c>
      <c r="C355" s="126" t="s">
        <v>253</v>
      </c>
      <c r="D355" s="127"/>
      <c r="E355" s="115"/>
      <c r="F355" s="128"/>
      <c r="G355" s="150"/>
      <c r="H355" s="118"/>
      <c r="I355" s="119"/>
      <c r="J355" s="120" t="str">
        <f t="shared" si="31"/>
        <v>#DIV/0!</v>
      </c>
      <c r="K355" s="121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5.75" customHeight="1">
      <c r="A356" s="122">
        <v>46202.0</v>
      </c>
      <c r="B356" s="156">
        <v>1957.0</v>
      </c>
      <c r="C356" s="126" t="s">
        <v>324</v>
      </c>
      <c r="D356" s="180" t="s">
        <v>84</v>
      </c>
      <c r="E356" s="115"/>
      <c r="F356" s="209">
        <v>24000.0</v>
      </c>
      <c r="G356" s="153">
        <v>13780.0</v>
      </c>
      <c r="H356" s="118"/>
      <c r="I356" s="119">
        <f t="shared" ref="I356:I357" si="38">F:F-G:G-H:H</f>
        <v>10220</v>
      </c>
      <c r="J356" s="120">
        <f t="shared" si="31"/>
        <v>0.4258333333</v>
      </c>
      <c r="K356" s="121">
        <f>I356*0.2</f>
        <v>2044</v>
      </c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5.75" customHeight="1">
      <c r="A357" s="122">
        <v>46202.0</v>
      </c>
      <c r="B357" s="156">
        <v>1958.0</v>
      </c>
      <c r="C357" s="126" t="s">
        <v>235</v>
      </c>
      <c r="D357" s="151" t="s">
        <v>213</v>
      </c>
      <c r="E357" s="115"/>
      <c r="F357" s="128">
        <v>2900.0</v>
      </c>
      <c r="G357" s="153">
        <v>1450.0</v>
      </c>
      <c r="H357" s="118"/>
      <c r="I357" s="119">
        <f t="shared" si="38"/>
        <v>1450</v>
      </c>
      <c r="J357" s="120">
        <f t="shared" si="31"/>
        <v>0.5</v>
      </c>
      <c r="K357" s="121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5.75" customHeight="1">
      <c r="A358" s="154" t="s">
        <v>325</v>
      </c>
      <c r="B358" s="143"/>
      <c r="C358" s="144" t="s">
        <v>326</v>
      </c>
      <c r="D358" s="143"/>
      <c r="E358" s="143"/>
      <c r="F358" s="145">
        <f t="shared" ref="F358:K358" si="39">sum(F359:F435)</f>
        <v>799834.6</v>
      </c>
      <c r="G358" s="145">
        <f t="shared" si="39"/>
        <v>593187</v>
      </c>
      <c r="H358" s="145">
        <f t="shared" si="39"/>
        <v>0</v>
      </c>
      <c r="I358" s="145">
        <f t="shared" si="39"/>
        <v>206647.6</v>
      </c>
      <c r="J358" s="145">
        <f t="shared" si="39"/>
        <v>23.16587586</v>
      </c>
      <c r="K358" s="145">
        <f t="shared" si="39"/>
        <v>9635.78</v>
      </c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5.75" customHeight="1">
      <c r="A359" s="122">
        <v>46205.0</v>
      </c>
      <c r="B359" s="123">
        <v>1927.0</v>
      </c>
      <c r="C359" s="126" t="s">
        <v>246</v>
      </c>
      <c r="D359" s="127" t="s">
        <v>215</v>
      </c>
      <c r="E359" s="115"/>
      <c r="F359" s="128">
        <v>760.0</v>
      </c>
      <c r="G359" s="125">
        <v>520.0</v>
      </c>
      <c r="H359" s="118"/>
      <c r="I359" s="119">
        <f t="shared" ref="I359:I435" si="40">F:F-G:G-H:H</f>
        <v>240</v>
      </c>
      <c r="J359" s="120">
        <f t="shared" ref="J359:J673" si="41">I359/F359</f>
        <v>0.3157894737</v>
      </c>
      <c r="K359" s="121">
        <f t="shared" ref="K359:K382" si="42">F359*0.01</f>
        <v>7.6</v>
      </c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5.75" customHeight="1">
      <c r="A360" s="122">
        <v>46205.0</v>
      </c>
      <c r="B360" s="123">
        <v>1928.0</v>
      </c>
      <c r="C360" s="126" t="s">
        <v>246</v>
      </c>
      <c r="D360" s="127" t="s">
        <v>215</v>
      </c>
      <c r="E360" s="115"/>
      <c r="F360" s="128">
        <v>380.0</v>
      </c>
      <c r="G360" s="125">
        <v>240.0</v>
      </c>
      <c r="H360" s="118"/>
      <c r="I360" s="119">
        <f t="shared" si="40"/>
        <v>140</v>
      </c>
      <c r="J360" s="120">
        <f t="shared" si="41"/>
        <v>0.3684210526</v>
      </c>
      <c r="K360" s="121">
        <f t="shared" si="42"/>
        <v>3.8</v>
      </c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5.75" customHeight="1">
      <c r="A361" s="122">
        <v>46205.0</v>
      </c>
      <c r="B361" s="123">
        <v>1929.0</v>
      </c>
      <c r="C361" s="126" t="s">
        <v>217</v>
      </c>
      <c r="D361" s="127" t="s">
        <v>215</v>
      </c>
      <c r="E361" s="115"/>
      <c r="F361" s="128">
        <v>9200.0</v>
      </c>
      <c r="G361" s="125">
        <v>6350.0</v>
      </c>
      <c r="H361" s="118"/>
      <c r="I361" s="119">
        <f t="shared" si="40"/>
        <v>2850</v>
      </c>
      <c r="J361" s="120">
        <f t="shared" si="41"/>
        <v>0.3097826087</v>
      </c>
      <c r="K361" s="121">
        <f t="shared" si="42"/>
        <v>92</v>
      </c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5.75" customHeight="1">
      <c r="A362" s="122">
        <v>46205.0</v>
      </c>
      <c r="B362" s="123">
        <v>1930.0</v>
      </c>
      <c r="C362" s="126" t="s">
        <v>304</v>
      </c>
      <c r="D362" s="127" t="s">
        <v>215</v>
      </c>
      <c r="E362" s="115"/>
      <c r="F362" s="128">
        <v>3800.0</v>
      </c>
      <c r="G362" s="125">
        <v>3200.0</v>
      </c>
      <c r="H362" s="118"/>
      <c r="I362" s="119">
        <f t="shared" si="40"/>
        <v>600</v>
      </c>
      <c r="J362" s="120">
        <f t="shared" si="41"/>
        <v>0.1578947368</v>
      </c>
      <c r="K362" s="121">
        <f t="shared" si="42"/>
        <v>38</v>
      </c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5.75" customHeight="1">
      <c r="A363" s="122">
        <v>46205.0</v>
      </c>
      <c r="B363" s="123">
        <v>1931.0</v>
      </c>
      <c r="C363" s="126" t="s">
        <v>327</v>
      </c>
      <c r="D363" s="127" t="s">
        <v>215</v>
      </c>
      <c r="E363" s="115"/>
      <c r="F363" s="128">
        <v>960.0</v>
      </c>
      <c r="G363" s="125">
        <v>674.0</v>
      </c>
      <c r="H363" s="118"/>
      <c r="I363" s="119">
        <f t="shared" si="40"/>
        <v>286</v>
      </c>
      <c r="J363" s="120">
        <f t="shared" si="41"/>
        <v>0.2979166667</v>
      </c>
      <c r="K363" s="121">
        <f t="shared" si="42"/>
        <v>9.6</v>
      </c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5.75" customHeight="1">
      <c r="A364" s="122">
        <v>46205.0</v>
      </c>
      <c r="B364" s="123">
        <v>1932.0</v>
      </c>
      <c r="C364" s="152" t="s">
        <v>217</v>
      </c>
      <c r="D364" s="127" t="s">
        <v>215</v>
      </c>
      <c r="E364" s="115"/>
      <c r="F364" s="128">
        <v>7800.0</v>
      </c>
      <c r="G364" s="125">
        <v>5400.0</v>
      </c>
      <c r="H364" s="118"/>
      <c r="I364" s="119">
        <f t="shared" si="40"/>
        <v>2400</v>
      </c>
      <c r="J364" s="120">
        <f t="shared" si="41"/>
        <v>0.3076923077</v>
      </c>
      <c r="K364" s="121">
        <f t="shared" si="42"/>
        <v>78</v>
      </c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5.75" customHeight="1">
      <c r="A365" s="122">
        <v>46205.0</v>
      </c>
      <c r="B365" s="123">
        <v>1933.0</v>
      </c>
      <c r="C365" s="126" t="s">
        <v>214</v>
      </c>
      <c r="D365" s="127" t="s">
        <v>215</v>
      </c>
      <c r="E365" s="115"/>
      <c r="F365" s="128">
        <v>22725.0</v>
      </c>
      <c r="G365" s="125">
        <v>12360.0</v>
      </c>
      <c r="H365" s="118"/>
      <c r="I365" s="119">
        <f t="shared" si="40"/>
        <v>10365</v>
      </c>
      <c r="J365" s="120">
        <f t="shared" si="41"/>
        <v>0.4561056106</v>
      </c>
      <c r="K365" s="121">
        <f t="shared" si="42"/>
        <v>227.25</v>
      </c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5.75" customHeight="1">
      <c r="A366" s="122">
        <v>46205.0</v>
      </c>
      <c r="B366" s="123">
        <v>1934.0</v>
      </c>
      <c r="C366" s="126" t="s">
        <v>216</v>
      </c>
      <c r="D366" s="127" t="s">
        <v>215</v>
      </c>
      <c r="E366" s="115"/>
      <c r="F366" s="128">
        <v>3255.0</v>
      </c>
      <c r="G366" s="125">
        <v>2330.0</v>
      </c>
      <c r="H366" s="118"/>
      <c r="I366" s="119">
        <f t="shared" si="40"/>
        <v>925</v>
      </c>
      <c r="J366" s="120">
        <f t="shared" si="41"/>
        <v>0.2841781874</v>
      </c>
      <c r="K366" s="121">
        <f t="shared" si="42"/>
        <v>32.55</v>
      </c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5.75" customHeight="1">
      <c r="A367" s="122">
        <v>46205.0</v>
      </c>
      <c r="B367" s="123">
        <v>1935.0</v>
      </c>
      <c r="C367" s="126" t="s">
        <v>218</v>
      </c>
      <c r="D367" s="127" t="s">
        <v>215</v>
      </c>
      <c r="E367" s="115"/>
      <c r="F367" s="128">
        <v>6400.0</v>
      </c>
      <c r="G367" s="125">
        <v>4400.0</v>
      </c>
      <c r="H367" s="118"/>
      <c r="I367" s="119">
        <f t="shared" si="40"/>
        <v>2000</v>
      </c>
      <c r="J367" s="120">
        <f t="shared" si="41"/>
        <v>0.3125</v>
      </c>
      <c r="K367" s="121">
        <f t="shared" si="42"/>
        <v>64</v>
      </c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5.75" customHeight="1">
      <c r="A368" s="122">
        <v>46205.0</v>
      </c>
      <c r="B368" s="123">
        <v>1936.0</v>
      </c>
      <c r="C368" s="126" t="s">
        <v>223</v>
      </c>
      <c r="D368" s="127" t="s">
        <v>215</v>
      </c>
      <c r="E368" s="115"/>
      <c r="F368" s="128">
        <v>6050.0</v>
      </c>
      <c r="G368" s="125">
        <v>3830.0</v>
      </c>
      <c r="H368" s="118"/>
      <c r="I368" s="119">
        <f t="shared" si="40"/>
        <v>2220</v>
      </c>
      <c r="J368" s="120">
        <f t="shared" si="41"/>
        <v>0.3669421488</v>
      </c>
      <c r="K368" s="121">
        <f t="shared" si="42"/>
        <v>60.5</v>
      </c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5.75" customHeight="1">
      <c r="A369" s="122">
        <v>46206.0</v>
      </c>
      <c r="B369" s="123">
        <v>1937.0</v>
      </c>
      <c r="C369" s="126">
        <v>2011.0</v>
      </c>
      <c r="D369" s="127" t="s">
        <v>215</v>
      </c>
      <c r="E369" s="115"/>
      <c r="F369" s="128">
        <v>2700.0</v>
      </c>
      <c r="G369" s="125">
        <v>1750.0</v>
      </c>
      <c r="H369" s="118"/>
      <c r="I369" s="119">
        <f t="shared" si="40"/>
        <v>950</v>
      </c>
      <c r="J369" s="120">
        <f t="shared" si="41"/>
        <v>0.3518518519</v>
      </c>
      <c r="K369" s="121">
        <f t="shared" si="42"/>
        <v>27</v>
      </c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5.75" customHeight="1">
      <c r="A370" s="113"/>
      <c r="B370" s="123">
        <v>1938.0</v>
      </c>
      <c r="C370" s="126" t="s">
        <v>299</v>
      </c>
      <c r="D370" s="127" t="s">
        <v>215</v>
      </c>
      <c r="E370" s="115"/>
      <c r="F370" s="128">
        <v>1500.0</v>
      </c>
      <c r="G370" s="125">
        <v>1060.0</v>
      </c>
      <c r="H370" s="118"/>
      <c r="I370" s="119">
        <f t="shared" si="40"/>
        <v>440</v>
      </c>
      <c r="J370" s="120">
        <f t="shared" si="41"/>
        <v>0.2933333333</v>
      </c>
      <c r="K370" s="121">
        <f t="shared" si="42"/>
        <v>15</v>
      </c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5.75" customHeight="1">
      <c r="A371" s="122">
        <v>46211.0</v>
      </c>
      <c r="B371" s="123">
        <v>1939.0</v>
      </c>
      <c r="C371" s="126" t="s">
        <v>216</v>
      </c>
      <c r="D371" s="127" t="s">
        <v>215</v>
      </c>
      <c r="E371" s="115"/>
      <c r="F371" s="128">
        <v>1850.0</v>
      </c>
      <c r="G371" s="125">
        <v>1160.0</v>
      </c>
      <c r="H371" s="118"/>
      <c r="I371" s="119">
        <f t="shared" si="40"/>
        <v>690</v>
      </c>
      <c r="J371" s="120">
        <f t="shared" si="41"/>
        <v>0.372972973</v>
      </c>
      <c r="K371" s="121">
        <f t="shared" si="42"/>
        <v>18.5</v>
      </c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5.75" customHeight="1">
      <c r="A372" s="113"/>
      <c r="B372" s="123">
        <v>1940.0</v>
      </c>
      <c r="C372" s="126" t="s">
        <v>246</v>
      </c>
      <c r="D372" s="127" t="s">
        <v>215</v>
      </c>
      <c r="E372" s="115"/>
      <c r="F372" s="128">
        <v>1520.0</v>
      </c>
      <c r="G372" s="125">
        <v>1180.0</v>
      </c>
      <c r="H372" s="118"/>
      <c r="I372" s="119">
        <f t="shared" si="40"/>
        <v>340</v>
      </c>
      <c r="J372" s="120">
        <f t="shared" si="41"/>
        <v>0.2236842105</v>
      </c>
      <c r="K372" s="121">
        <f t="shared" si="42"/>
        <v>15.2</v>
      </c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5.75" customHeight="1">
      <c r="A373" s="113"/>
      <c r="B373" s="123">
        <v>1941.0</v>
      </c>
      <c r="C373" s="126" t="s">
        <v>246</v>
      </c>
      <c r="D373" s="127" t="s">
        <v>215</v>
      </c>
      <c r="E373" s="115"/>
      <c r="F373" s="128">
        <v>2800.0</v>
      </c>
      <c r="G373" s="125">
        <v>1700.0</v>
      </c>
      <c r="H373" s="118"/>
      <c r="I373" s="119">
        <f t="shared" si="40"/>
        <v>1100</v>
      </c>
      <c r="J373" s="120">
        <f t="shared" si="41"/>
        <v>0.3928571429</v>
      </c>
      <c r="K373" s="121">
        <f t="shared" si="42"/>
        <v>28</v>
      </c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5.75" customHeight="1">
      <c r="A374" s="113"/>
      <c r="B374" s="123">
        <v>1942.0</v>
      </c>
      <c r="C374" s="152" t="s">
        <v>246</v>
      </c>
      <c r="D374" s="127" t="s">
        <v>215</v>
      </c>
      <c r="E374" s="115"/>
      <c r="F374" s="234">
        <v>1700.0</v>
      </c>
      <c r="G374" s="238">
        <v>1200.0</v>
      </c>
      <c r="H374" s="118"/>
      <c r="I374" s="119">
        <f t="shared" si="40"/>
        <v>500</v>
      </c>
      <c r="J374" s="120">
        <f t="shared" si="41"/>
        <v>0.2941176471</v>
      </c>
      <c r="K374" s="121">
        <f t="shared" si="42"/>
        <v>17</v>
      </c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5.75" customHeight="1">
      <c r="A375" s="113"/>
      <c r="B375" s="123">
        <v>1943.0</v>
      </c>
      <c r="C375" s="126" t="s">
        <v>117</v>
      </c>
      <c r="D375" s="127" t="s">
        <v>215</v>
      </c>
      <c r="F375" s="128">
        <v>10500.0</v>
      </c>
      <c r="G375" s="125">
        <v>6750.0</v>
      </c>
      <c r="H375" s="118"/>
      <c r="I375" s="119">
        <f t="shared" si="40"/>
        <v>3750</v>
      </c>
      <c r="J375" s="120">
        <f t="shared" si="41"/>
        <v>0.3571428571</v>
      </c>
      <c r="K375" s="121">
        <f t="shared" si="42"/>
        <v>105</v>
      </c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5.75" customHeight="1">
      <c r="A376" s="113"/>
      <c r="B376" s="123">
        <v>1944.0</v>
      </c>
      <c r="C376" s="126" t="s">
        <v>216</v>
      </c>
      <c r="D376" s="127" t="s">
        <v>215</v>
      </c>
      <c r="E376" s="115"/>
      <c r="F376" s="128">
        <v>19150.0</v>
      </c>
      <c r="G376" s="125">
        <v>16580.0</v>
      </c>
      <c r="H376" s="118"/>
      <c r="I376" s="119">
        <f t="shared" si="40"/>
        <v>2570</v>
      </c>
      <c r="J376" s="120">
        <f t="shared" si="41"/>
        <v>0.1342036554</v>
      </c>
      <c r="K376" s="121">
        <f t="shared" si="42"/>
        <v>191.5</v>
      </c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5.75" customHeight="1">
      <c r="A377" s="122">
        <v>46212.0</v>
      </c>
      <c r="B377" s="123">
        <v>1945.0</v>
      </c>
      <c r="C377" s="126" t="s">
        <v>217</v>
      </c>
      <c r="D377" s="127" t="s">
        <v>215</v>
      </c>
      <c r="E377" s="115"/>
      <c r="F377" s="128">
        <v>15500.0</v>
      </c>
      <c r="G377" s="125">
        <v>11450.0</v>
      </c>
      <c r="H377" s="118"/>
      <c r="I377" s="119">
        <f t="shared" si="40"/>
        <v>4050</v>
      </c>
      <c r="J377" s="120">
        <f t="shared" si="41"/>
        <v>0.2612903226</v>
      </c>
      <c r="K377" s="121">
        <f t="shared" si="42"/>
        <v>155</v>
      </c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5.75" customHeight="1">
      <c r="A378" s="113"/>
      <c r="B378" s="123">
        <v>1946.0</v>
      </c>
      <c r="C378" s="126" t="s">
        <v>217</v>
      </c>
      <c r="D378" s="127" t="s">
        <v>215</v>
      </c>
      <c r="E378" s="115"/>
      <c r="F378" s="128">
        <v>44500.0</v>
      </c>
      <c r="G378" s="125">
        <v>39500.0</v>
      </c>
      <c r="H378" s="118"/>
      <c r="I378" s="119">
        <f t="shared" si="40"/>
        <v>5000</v>
      </c>
      <c r="J378" s="120">
        <f t="shared" si="41"/>
        <v>0.1123595506</v>
      </c>
      <c r="K378" s="121">
        <f t="shared" si="42"/>
        <v>445</v>
      </c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5.75" customHeight="1">
      <c r="A379" s="113"/>
      <c r="B379" s="123">
        <v>1947.0</v>
      </c>
      <c r="C379" s="126" t="s">
        <v>246</v>
      </c>
      <c r="D379" s="127" t="s">
        <v>215</v>
      </c>
      <c r="E379" s="115"/>
      <c r="F379" s="128">
        <v>3580.0</v>
      </c>
      <c r="G379" s="125">
        <v>2900.0</v>
      </c>
      <c r="H379" s="118"/>
      <c r="I379" s="119">
        <f t="shared" si="40"/>
        <v>680</v>
      </c>
      <c r="J379" s="120">
        <f t="shared" si="41"/>
        <v>0.1899441341</v>
      </c>
      <c r="K379" s="121">
        <f t="shared" si="42"/>
        <v>35.8</v>
      </c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5.75" customHeight="1">
      <c r="A380" s="113"/>
      <c r="B380" s="123">
        <v>1948.0</v>
      </c>
      <c r="C380" s="126" t="s">
        <v>223</v>
      </c>
      <c r="D380" s="127" t="s">
        <v>215</v>
      </c>
      <c r="E380" s="115"/>
      <c r="F380" s="128">
        <v>6850.0</v>
      </c>
      <c r="G380" s="125">
        <v>3700.0</v>
      </c>
      <c r="H380" s="118"/>
      <c r="I380" s="119">
        <f t="shared" si="40"/>
        <v>3150</v>
      </c>
      <c r="J380" s="120">
        <f t="shared" si="41"/>
        <v>0.4598540146</v>
      </c>
      <c r="K380" s="121">
        <f t="shared" si="42"/>
        <v>68.5</v>
      </c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113"/>
      <c r="B381" s="123">
        <v>1949.0</v>
      </c>
      <c r="C381" s="126" t="s">
        <v>214</v>
      </c>
      <c r="D381" s="127" t="s">
        <v>215</v>
      </c>
      <c r="E381" s="115"/>
      <c r="F381" s="128">
        <v>11500.0</v>
      </c>
      <c r="G381" s="125">
        <v>6070.0</v>
      </c>
      <c r="H381" s="118"/>
      <c r="I381" s="119">
        <f t="shared" si="40"/>
        <v>5430</v>
      </c>
      <c r="J381" s="120">
        <f t="shared" si="41"/>
        <v>0.472173913</v>
      </c>
      <c r="K381" s="121">
        <f t="shared" si="42"/>
        <v>115</v>
      </c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5.75" customHeight="1">
      <c r="A382" s="113"/>
      <c r="B382" s="123">
        <v>1950.0</v>
      </c>
      <c r="C382" s="126" t="s">
        <v>216</v>
      </c>
      <c r="D382" s="127" t="s">
        <v>215</v>
      </c>
      <c r="E382" s="115"/>
      <c r="F382" s="128">
        <v>5300.0</v>
      </c>
      <c r="G382" s="125">
        <v>3710.0</v>
      </c>
      <c r="H382" s="118"/>
      <c r="I382" s="119">
        <f t="shared" si="40"/>
        <v>1590</v>
      </c>
      <c r="J382" s="120">
        <f t="shared" si="41"/>
        <v>0.3</v>
      </c>
      <c r="K382" s="121">
        <f t="shared" si="42"/>
        <v>53</v>
      </c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122">
        <v>46207.0</v>
      </c>
      <c r="B383" s="256">
        <v>1959.0</v>
      </c>
      <c r="C383" s="152" t="s">
        <v>335</v>
      </c>
      <c r="D383" s="151" t="s">
        <v>84</v>
      </c>
      <c r="F383" s="234">
        <v>2500.0</v>
      </c>
      <c r="G383" s="233">
        <v>1500.0</v>
      </c>
      <c r="H383" s="118"/>
      <c r="I383" s="119">
        <f t="shared" si="40"/>
        <v>1000</v>
      </c>
      <c r="J383" s="120">
        <f t="shared" si="41"/>
        <v>0.4</v>
      </c>
      <c r="K383" s="121">
        <f t="shared" ref="K383:K386" si="43">I383*0.2</f>
        <v>200</v>
      </c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5.75" customHeight="1">
      <c r="A384" s="122">
        <v>46210.0</v>
      </c>
      <c r="B384" s="205">
        <v>1960.0</v>
      </c>
      <c r="C384" s="152" t="s">
        <v>335</v>
      </c>
      <c r="D384" s="151" t="s">
        <v>84</v>
      </c>
      <c r="F384" s="234">
        <v>2500.0</v>
      </c>
      <c r="G384" s="233">
        <v>1500.0</v>
      </c>
      <c r="H384" s="118"/>
      <c r="I384" s="119">
        <f t="shared" si="40"/>
        <v>1000</v>
      </c>
      <c r="J384" s="120">
        <f t="shared" si="41"/>
        <v>0.4</v>
      </c>
      <c r="K384" s="121">
        <f t="shared" si="43"/>
        <v>200</v>
      </c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5.75" customHeight="1">
      <c r="A385" s="122">
        <v>46210.0</v>
      </c>
      <c r="B385" s="259">
        <v>1961.0</v>
      </c>
      <c r="C385" s="152" t="s">
        <v>241</v>
      </c>
      <c r="D385" s="151" t="s">
        <v>84</v>
      </c>
      <c r="F385" s="234">
        <v>4000.0</v>
      </c>
      <c r="G385" s="233">
        <v>2142.4</v>
      </c>
      <c r="H385" s="118"/>
      <c r="I385" s="119">
        <f t="shared" si="40"/>
        <v>1857.6</v>
      </c>
      <c r="J385" s="120">
        <f t="shared" si="41"/>
        <v>0.4644</v>
      </c>
      <c r="K385" s="121">
        <f t="shared" si="43"/>
        <v>371.52</v>
      </c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5.75" customHeight="1">
      <c r="A386" s="122">
        <v>46212.0</v>
      </c>
      <c r="B386" s="259">
        <v>1962.0</v>
      </c>
      <c r="C386" s="152" t="s">
        <v>336</v>
      </c>
      <c r="D386" s="151" t="s">
        <v>84</v>
      </c>
      <c r="F386" s="234">
        <v>4000.0</v>
      </c>
      <c r="G386" s="233">
        <v>2142.4</v>
      </c>
      <c r="H386" s="118"/>
      <c r="I386" s="119">
        <f t="shared" si="40"/>
        <v>1857.6</v>
      </c>
      <c r="J386" s="120">
        <f t="shared" si="41"/>
        <v>0.4644</v>
      </c>
      <c r="K386" s="121">
        <f t="shared" si="43"/>
        <v>371.52</v>
      </c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5.75" customHeight="1">
      <c r="A387" s="122">
        <v>46213.0</v>
      </c>
      <c r="B387" s="259">
        <v>1963.0</v>
      </c>
      <c r="C387" s="152" t="s">
        <v>242</v>
      </c>
      <c r="D387" s="151" t="s">
        <v>213</v>
      </c>
      <c r="F387" s="234">
        <v>8000.0</v>
      </c>
      <c r="G387" s="233">
        <v>3600.0</v>
      </c>
      <c r="H387" s="118"/>
      <c r="I387" s="119">
        <f t="shared" si="40"/>
        <v>4400</v>
      </c>
      <c r="J387" s="120">
        <f t="shared" si="41"/>
        <v>0.55</v>
      </c>
      <c r="K387" s="121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5.75" customHeight="1">
      <c r="A388" s="122">
        <v>46213.0</v>
      </c>
      <c r="B388" s="259">
        <v>1964.0</v>
      </c>
      <c r="C388" s="152" t="s">
        <v>339</v>
      </c>
      <c r="D388" s="151" t="s">
        <v>84</v>
      </c>
      <c r="F388" s="234">
        <v>4200.0</v>
      </c>
      <c r="G388" s="233">
        <v>2142.4</v>
      </c>
      <c r="H388" s="118"/>
      <c r="I388" s="119">
        <f t="shared" si="40"/>
        <v>2057.6</v>
      </c>
      <c r="J388" s="120">
        <f t="shared" si="41"/>
        <v>0.4899047619</v>
      </c>
      <c r="K388" s="121">
        <f t="shared" ref="K388:K390" si="44">I388*0.2</f>
        <v>411.52</v>
      </c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5.75" customHeight="1">
      <c r="A389" s="122">
        <v>46216.0</v>
      </c>
      <c r="B389" s="259">
        <v>1965.0</v>
      </c>
      <c r="C389" s="152" t="s">
        <v>342</v>
      </c>
      <c r="D389" s="151" t="s">
        <v>84</v>
      </c>
      <c r="F389" s="234">
        <v>4800.0</v>
      </c>
      <c r="G389" s="233">
        <v>2785.0</v>
      </c>
      <c r="H389" s="118"/>
      <c r="I389" s="119">
        <f t="shared" si="40"/>
        <v>2015</v>
      </c>
      <c r="J389" s="120">
        <f t="shared" si="41"/>
        <v>0.4197916667</v>
      </c>
      <c r="K389" s="121">
        <f t="shared" si="44"/>
        <v>403</v>
      </c>
      <c r="L389" s="119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5.75" customHeight="1">
      <c r="A390" s="113"/>
      <c r="B390" s="259">
        <v>1966.0</v>
      </c>
      <c r="C390" s="152" t="s">
        <v>305</v>
      </c>
      <c r="D390" s="151" t="s">
        <v>84</v>
      </c>
      <c r="F390" s="234">
        <v>14400.0</v>
      </c>
      <c r="G390" s="233">
        <v>8355.0</v>
      </c>
      <c r="H390" s="118"/>
      <c r="I390" s="119">
        <f t="shared" si="40"/>
        <v>6045</v>
      </c>
      <c r="J390" s="120">
        <f t="shared" si="41"/>
        <v>0.4197916667</v>
      </c>
      <c r="K390" s="121">
        <f t="shared" si="44"/>
        <v>1209</v>
      </c>
      <c r="L390" s="119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5.75" customHeight="1">
      <c r="A391" s="122">
        <v>46212.0</v>
      </c>
      <c r="B391" s="259">
        <v>1967.0</v>
      </c>
      <c r="C391" s="152" t="s">
        <v>314</v>
      </c>
      <c r="D391" s="151" t="s">
        <v>213</v>
      </c>
      <c r="F391" s="234">
        <v>9605.0</v>
      </c>
      <c r="G391" s="233">
        <v>8462.0</v>
      </c>
      <c r="H391" s="118"/>
      <c r="I391" s="119">
        <f t="shared" si="40"/>
        <v>1143</v>
      </c>
      <c r="J391" s="120">
        <f t="shared" si="41"/>
        <v>0.1190005206</v>
      </c>
      <c r="K391" s="121"/>
      <c r="L391" s="119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5.75" customHeight="1">
      <c r="A392" s="122">
        <v>46217.0</v>
      </c>
      <c r="B392" s="259">
        <v>1968.0</v>
      </c>
      <c r="C392" s="152" t="s">
        <v>346</v>
      </c>
      <c r="D392" s="151" t="s">
        <v>213</v>
      </c>
      <c r="F392" s="234">
        <v>4250.0</v>
      </c>
      <c r="G392" s="233">
        <v>2177.4</v>
      </c>
      <c r="H392" s="118"/>
      <c r="I392" s="119">
        <f t="shared" si="40"/>
        <v>2072.6</v>
      </c>
      <c r="J392" s="120">
        <f t="shared" si="41"/>
        <v>0.4876705882</v>
      </c>
      <c r="K392" s="210">
        <v>0.0</v>
      </c>
      <c r="L392" s="119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5.75" customHeight="1">
      <c r="A393" s="113"/>
      <c r="B393" s="259">
        <v>1969.0</v>
      </c>
      <c r="C393" s="152" t="s">
        <v>314</v>
      </c>
      <c r="D393" s="151" t="s">
        <v>213</v>
      </c>
      <c r="F393" s="234">
        <v>8556.0</v>
      </c>
      <c r="G393" s="233">
        <v>7489.0</v>
      </c>
      <c r="H393" s="118"/>
      <c r="I393" s="119">
        <f t="shared" si="40"/>
        <v>1067</v>
      </c>
      <c r="J393" s="120">
        <f t="shared" si="41"/>
        <v>0.1247078074</v>
      </c>
      <c r="K393" s="121"/>
      <c r="L393" s="119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5.75" customHeight="1">
      <c r="A394" s="122">
        <v>46220.0</v>
      </c>
      <c r="B394" s="259">
        <v>1970.0</v>
      </c>
      <c r="C394" s="152" t="s">
        <v>348</v>
      </c>
      <c r="D394" s="151" t="s">
        <v>84</v>
      </c>
      <c r="F394" s="234">
        <v>2500.0</v>
      </c>
      <c r="G394" s="233">
        <v>1600.0</v>
      </c>
      <c r="H394" s="118"/>
      <c r="I394" s="119">
        <f t="shared" si="40"/>
        <v>900</v>
      </c>
      <c r="J394" s="120">
        <f t="shared" si="41"/>
        <v>0.36</v>
      </c>
      <c r="K394" s="121">
        <f>I394*0.2</f>
        <v>180</v>
      </c>
      <c r="L394" s="119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5.75" customHeight="1">
      <c r="A395" s="113"/>
      <c r="B395" s="259">
        <v>1971.0</v>
      </c>
      <c r="C395" s="152" t="s">
        <v>242</v>
      </c>
      <c r="D395" s="151" t="s">
        <v>213</v>
      </c>
      <c r="F395" s="234">
        <v>2365.0</v>
      </c>
      <c r="G395" s="233">
        <v>655.0</v>
      </c>
      <c r="H395" s="118"/>
      <c r="I395" s="119">
        <f t="shared" si="40"/>
        <v>1710</v>
      </c>
      <c r="J395" s="120">
        <f t="shared" si="41"/>
        <v>0.7230443975</v>
      </c>
      <c r="K395" s="121"/>
      <c r="L395" s="119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5.75" customHeight="1">
      <c r="A396" s="122">
        <v>46225.0</v>
      </c>
      <c r="B396" s="259">
        <v>1972.0</v>
      </c>
      <c r="C396" s="152" t="s">
        <v>241</v>
      </c>
      <c r="D396" s="151" t="s">
        <v>84</v>
      </c>
      <c r="F396" s="234">
        <v>4200.0</v>
      </c>
      <c r="G396" s="233">
        <v>2142.4</v>
      </c>
      <c r="H396" s="118"/>
      <c r="I396" s="119">
        <f t="shared" si="40"/>
        <v>2057.6</v>
      </c>
      <c r="J396" s="120">
        <f t="shared" si="41"/>
        <v>0.4899047619</v>
      </c>
      <c r="K396" s="121">
        <f>I396*0.2</f>
        <v>411.52</v>
      </c>
      <c r="L396" s="119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5.75" customHeight="1">
      <c r="A397" s="122">
        <v>46227.0</v>
      </c>
      <c r="B397" s="259">
        <v>1973.0</v>
      </c>
      <c r="C397" s="152" t="s">
        <v>242</v>
      </c>
      <c r="D397" s="151" t="s">
        <v>213</v>
      </c>
      <c r="F397" s="234">
        <v>40320.0</v>
      </c>
      <c r="G397" s="233">
        <v>31600.0</v>
      </c>
      <c r="H397" s="118"/>
      <c r="I397" s="119">
        <f t="shared" si="40"/>
        <v>8720</v>
      </c>
      <c r="J397" s="120">
        <f t="shared" si="41"/>
        <v>0.2162698413</v>
      </c>
      <c r="K397" s="121"/>
      <c r="L397" s="119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5.75" customHeight="1">
      <c r="A398" s="113"/>
      <c r="B398" s="259">
        <v>1974.0</v>
      </c>
      <c r="C398" s="152" t="s">
        <v>242</v>
      </c>
      <c r="D398" s="151" t="s">
        <v>213</v>
      </c>
      <c r="F398" s="234">
        <v>4000.0</v>
      </c>
      <c r="G398" s="233">
        <v>1200.0</v>
      </c>
      <c r="H398" s="118"/>
      <c r="I398" s="119">
        <f t="shared" si="40"/>
        <v>2800</v>
      </c>
      <c r="J398" s="120">
        <f t="shared" si="41"/>
        <v>0.7</v>
      </c>
      <c r="K398" s="121"/>
      <c r="L398" s="119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5.75" customHeight="1">
      <c r="A399" s="122">
        <v>46230.0</v>
      </c>
      <c r="B399" s="259">
        <v>1975.0</v>
      </c>
      <c r="C399" s="152" t="s">
        <v>358</v>
      </c>
      <c r="D399" s="151" t="s">
        <v>213</v>
      </c>
      <c r="F399" s="234">
        <v>46793.6</v>
      </c>
      <c r="G399" s="238">
        <v>31625.0</v>
      </c>
      <c r="H399" s="118"/>
      <c r="I399" s="119">
        <f t="shared" si="40"/>
        <v>15168.6</v>
      </c>
      <c r="J399" s="120">
        <f t="shared" si="41"/>
        <v>0.3241597141</v>
      </c>
      <c r="K399" s="121"/>
      <c r="L399" s="128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5.75" customHeight="1">
      <c r="A400" s="113"/>
      <c r="B400" s="259">
        <v>1976.0</v>
      </c>
      <c r="C400" s="152" t="s">
        <v>358</v>
      </c>
      <c r="D400" s="151" t="s">
        <v>213</v>
      </c>
      <c r="F400" s="234">
        <v>45075.0</v>
      </c>
      <c r="G400" s="233">
        <v>35790.0</v>
      </c>
      <c r="H400" s="118"/>
      <c r="I400" s="119">
        <f t="shared" si="40"/>
        <v>9285</v>
      </c>
      <c r="J400" s="120">
        <f t="shared" si="41"/>
        <v>0.2059900166</v>
      </c>
      <c r="K400" s="121"/>
      <c r="L400" s="119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5.75" customHeight="1">
      <c r="A401" s="237">
        <v>46212.0</v>
      </c>
      <c r="B401" s="259">
        <v>2002.0</v>
      </c>
      <c r="C401" s="152" t="s">
        <v>361</v>
      </c>
      <c r="D401" s="127" t="s">
        <v>215</v>
      </c>
      <c r="F401" s="234">
        <v>1800.0</v>
      </c>
      <c r="G401" s="233">
        <v>1450.0</v>
      </c>
      <c r="H401" s="118"/>
      <c r="I401" s="119">
        <f t="shared" si="40"/>
        <v>350</v>
      </c>
      <c r="J401" s="120">
        <f t="shared" si="41"/>
        <v>0.1944444444</v>
      </c>
      <c r="K401" s="121">
        <f t="shared" ref="K401:K673" si="45">F401*0.01</f>
        <v>18</v>
      </c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5.75" customHeight="1">
      <c r="A402" s="237">
        <v>46219.0</v>
      </c>
      <c r="B402" s="259">
        <v>2001.0</v>
      </c>
      <c r="C402" s="152" t="s">
        <v>218</v>
      </c>
      <c r="D402" s="127" t="s">
        <v>215</v>
      </c>
      <c r="F402" s="234">
        <v>17600.0</v>
      </c>
      <c r="G402" s="233">
        <v>15800.0</v>
      </c>
      <c r="H402" s="118"/>
      <c r="I402" s="119">
        <f t="shared" si="40"/>
        <v>1800</v>
      </c>
      <c r="J402" s="120">
        <f t="shared" si="41"/>
        <v>0.1022727273</v>
      </c>
      <c r="K402" s="121">
        <f t="shared" si="45"/>
        <v>176</v>
      </c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5.75" customHeight="1">
      <c r="A403" s="237">
        <v>46217.0</v>
      </c>
      <c r="B403" s="259">
        <v>2003.0</v>
      </c>
      <c r="C403" s="152" t="s">
        <v>216</v>
      </c>
      <c r="D403" s="127" t="s">
        <v>215</v>
      </c>
      <c r="F403" s="234">
        <v>11540.0</v>
      </c>
      <c r="G403" s="233">
        <v>9820.0</v>
      </c>
      <c r="H403" s="118"/>
      <c r="I403" s="119">
        <f t="shared" si="40"/>
        <v>1720</v>
      </c>
      <c r="J403" s="120">
        <f t="shared" si="41"/>
        <v>0.1490467938</v>
      </c>
      <c r="K403" s="121">
        <f t="shared" si="45"/>
        <v>115.4</v>
      </c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5.75" customHeight="1">
      <c r="A404" s="237">
        <v>46217.0</v>
      </c>
      <c r="B404" s="259">
        <v>2004.0</v>
      </c>
      <c r="C404" s="152" t="s">
        <v>220</v>
      </c>
      <c r="D404" s="127" t="s">
        <v>215</v>
      </c>
      <c r="F404" s="234">
        <v>1750.0</v>
      </c>
      <c r="G404" s="233">
        <v>1225.0</v>
      </c>
      <c r="H404" s="118"/>
      <c r="I404" s="119">
        <f t="shared" si="40"/>
        <v>525</v>
      </c>
      <c r="J404" s="120">
        <f t="shared" si="41"/>
        <v>0.3</v>
      </c>
      <c r="K404" s="121">
        <f t="shared" si="45"/>
        <v>17.5</v>
      </c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5.75" customHeight="1">
      <c r="A405" s="237">
        <v>46217.0</v>
      </c>
      <c r="B405" s="259">
        <v>2005.0</v>
      </c>
      <c r="C405" s="152" t="s">
        <v>220</v>
      </c>
      <c r="D405" s="127" t="s">
        <v>215</v>
      </c>
      <c r="F405" s="234">
        <v>380.0</v>
      </c>
      <c r="G405" s="233">
        <v>340.0</v>
      </c>
      <c r="H405" s="118"/>
      <c r="I405" s="119">
        <f t="shared" si="40"/>
        <v>40</v>
      </c>
      <c r="J405" s="120">
        <f t="shared" si="41"/>
        <v>0.1052631579</v>
      </c>
      <c r="K405" s="121">
        <f t="shared" si="45"/>
        <v>3.8</v>
      </c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5.75" customHeight="1">
      <c r="A406" s="237">
        <v>46219.0</v>
      </c>
      <c r="B406" s="259">
        <v>2006.0</v>
      </c>
      <c r="C406" s="152" t="s">
        <v>220</v>
      </c>
      <c r="D406" s="127" t="s">
        <v>215</v>
      </c>
      <c r="F406" s="234">
        <v>1600.0</v>
      </c>
      <c r="G406" s="233">
        <v>1260.0</v>
      </c>
      <c r="H406" s="118"/>
      <c r="I406" s="119">
        <f t="shared" si="40"/>
        <v>340</v>
      </c>
      <c r="J406" s="120">
        <f t="shared" si="41"/>
        <v>0.2125</v>
      </c>
      <c r="K406" s="121">
        <f t="shared" si="45"/>
        <v>16</v>
      </c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5.75" customHeight="1">
      <c r="A407" s="237">
        <v>46219.0</v>
      </c>
      <c r="B407" s="259">
        <v>2007.0</v>
      </c>
      <c r="C407" s="152" t="s">
        <v>220</v>
      </c>
      <c r="D407" s="127" t="s">
        <v>215</v>
      </c>
      <c r="E407" s="115"/>
      <c r="F407" s="128">
        <v>4000.0</v>
      </c>
      <c r="G407" s="125">
        <v>2700.0</v>
      </c>
      <c r="H407" s="118"/>
      <c r="I407" s="119">
        <f t="shared" si="40"/>
        <v>1300</v>
      </c>
      <c r="J407" s="120">
        <f t="shared" si="41"/>
        <v>0.325</v>
      </c>
      <c r="K407" s="121">
        <f t="shared" si="45"/>
        <v>40</v>
      </c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5.75" customHeight="1">
      <c r="A408" s="237">
        <v>46219.0</v>
      </c>
      <c r="B408" s="259">
        <v>2008.0</v>
      </c>
      <c r="C408" s="126" t="s">
        <v>217</v>
      </c>
      <c r="D408" s="127" t="s">
        <v>215</v>
      </c>
      <c r="E408" s="115"/>
      <c r="F408" s="128">
        <v>11600.0</v>
      </c>
      <c r="G408" s="125">
        <v>8400.0</v>
      </c>
      <c r="H408" s="118"/>
      <c r="I408" s="119">
        <f t="shared" si="40"/>
        <v>3200</v>
      </c>
      <c r="J408" s="120">
        <f t="shared" si="41"/>
        <v>0.275862069</v>
      </c>
      <c r="K408" s="121">
        <f t="shared" si="45"/>
        <v>116</v>
      </c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5.75" customHeight="1">
      <c r="A409" s="237">
        <v>46219.0</v>
      </c>
      <c r="B409" s="259">
        <v>2009.0</v>
      </c>
      <c r="C409" s="126" t="s">
        <v>366</v>
      </c>
      <c r="D409" s="127" t="s">
        <v>215</v>
      </c>
      <c r="E409" s="115"/>
      <c r="F409" s="128">
        <v>13840.0</v>
      </c>
      <c r="G409" s="125">
        <v>11170.0</v>
      </c>
      <c r="H409" s="118"/>
      <c r="I409" s="119">
        <f t="shared" si="40"/>
        <v>2670</v>
      </c>
      <c r="J409" s="120">
        <f t="shared" si="41"/>
        <v>0.1929190751</v>
      </c>
      <c r="K409" s="121">
        <f t="shared" si="45"/>
        <v>138.4</v>
      </c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5.75" customHeight="1">
      <c r="A410" s="237">
        <v>46219.0</v>
      </c>
      <c r="B410" s="259">
        <v>2010.0</v>
      </c>
      <c r="C410" s="126" t="s">
        <v>216</v>
      </c>
      <c r="D410" s="127" t="s">
        <v>215</v>
      </c>
      <c r="E410" s="115"/>
      <c r="F410" s="128">
        <v>45000.0</v>
      </c>
      <c r="G410" s="125">
        <v>40340.0</v>
      </c>
      <c r="H410" s="118"/>
      <c r="I410" s="119">
        <f t="shared" si="40"/>
        <v>4660</v>
      </c>
      <c r="J410" s="120">
        <f t="shared" si="41"/>
        <v>0.1035555556</v>
      </c>
      <c r="K410" s="121">
        <f t="shared" si="45"/>
        <v>450</v>
      </c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5.75" customHeight="1">
      <c r="A411" s="237">
        <v>46219.0</v>
      </c>
      <c r="B411" s="259">
        <v>2011.0</v>
      </c>
      <c r="C411" s="126" t="s">
        <v>214</v>
      </c>
      <c r="D411" s="127" t="s">
        <v>215</v>
      </c>
      <c r="E411" s="115"/>
      <c r="F411" s="128">
        <v>9100.0</v>
      </c>
      <c r="G411" s="125">
        <v>5300.0</v>
      </c>
      <c r="H411" s="118"/>
      <c r="I411" s="119">
        <f t="shared" si="40"/>
        <v>3800</v>
      </c>
      <c r="J411" s="120">
        <f t="shared" si="41"/>
        <v>0.4175824176</v>
      </c>
      <c r="K411" s="121">
        <f t="shared" si="45"/>
        <v>91</v>
      </c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5.75" customHeight="1">
      <c r="A412" s="237">
        <v>46219.0</v>
      </c>
      <c r="B412" s="259">
        <v>2012.0</v>
      </c>
      <c r="C412" s="126" t="s">
        <v>218</v>
      </c>
      <c r="D412" s="127" t="s">
        <v>215</v>
      </c>
      <c r="E412" s="115"/>
      <c r="F412" s="128">
        <v>5500.0</v>
      </c>
      <c r="G412" s="125">
        <v>4450.0</v>
      </c>
      <c r="H412" s="118"/>
      <c r="I412" s="119">
        <f t="shared" si="40"/>
        <v>1050</v>
      </c>
      <c r="J412" s="120">
        <f t="shared" si="41"/>
        <v>0.1909090909</v>
      </c>
      <c r="K412" s="121">
        <f t="shared" si="45"/>
        <v>55</v>
      </c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5.75" customHeight="1">
      <c r="A413" s="122">
        <v>46220.0</v>
      </c>
      <c r="B413" s="259">
        <v>2013.0</v>
      </c>
      <c r="C413" s="126" t="s">
        <v>246</v>
      </c>
      <c r="D413" s="127" t="s">
        <v>215</v>
      </c>
      <c r="E413" s="115"/>
      <c r="F413" s="128">
        <v>1520.0</v>
      </c>
      <c r="G413" s="125">
        <v>1360.0</v>
      </c>
      <c r="H413" s="118"/>
      <c r="I413" s="119">
        <f t="shared" si="40"/>
        <v>160</v>
      </c>
      <c r="J413" s="120">
        <f t="shared" si="41"/>
        <v>0.1052631579</v>
      </c>
      <c r="K413" s="121">
        <f t="shared" si="45"/>
        <v>15.2</v>
      </c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5.75" customHeight="1">
      <c r="A414" s="122">
        <v>46220.0</v>
      </c>
      <c r="B414" s="259">
        <v>2014.0</v>
      </c>
      <c r="C414" s="126" t="s">
        <v>217</v>
      </c>
      <c r="D414" s="127" t="s">
        <v>215</v>
      </c>
      <c r="E414" s="115"/>
      <c r="F414" s="128">
        <v>17600.0</v>
      </c>
      <c r="G414" s="125">
        <v>15800.0</v>
      </c>
      <c r="H414" s="118"/>
      <c r="I414" s="119">
        <f t="shared" si="40"/>
        <v>1800</v>
      </c>
      <c r="J414" s="120">
        <f t="shared" si="41"/>
        <v>0.1022727273</v>
      </c>
      <c r="K414" s="121">
        <f t="shared" si="45"/>
        <v>176</v>
      </c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5.75" customHeight="1">
      <c r="A415" s="122">
        <v>46223.0</v>
      </c>
      <c r="B415" s="259">
        <v>2015.0</v>
      </c>
      <c r="C415" s="126">
        <v>2011.0</v>
      </c>
      <c r="D415" s="127" t="s">
        <v>215</v>
      </c>
      <c r="E415" s="115"/>
      <c r="F415" s="128">
        <v>6360.0</v>
      </c>
      <c r="G415" s="125">
        <v>4080.0</v>
      </c>
      <c r="H415" s="118"/>
      <c r="I415" s="119">
        <f t="shared" si="40"/>
        <v>2280</v>
      </c>
      <c r="J415" s="120">
        <f t="shared" si="41"/>
        <v>0.358490566</v>
      </c>
      <c r="K415" s="121">
        <f t="shared" si="45"/>
        <v>63.6</v>
      </c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5.75" customHeight="1">
      <c r="A416" s="122">
        <v>46223.0</v>
      </c>
      <c r="B416" s="259">
        <v>2016.0</v>
      </c>
      <c r="C416" s="126" t="s">
        <v>246</v>
      </c>
      <c r="D416" s="127" t="s">
        <v>215</v>
      </c>
      <c r="E416" s="115"/>
      <c r="F416" s="128">
        <v>14000.0</v>
      </c>
      <c r="G416" s="125">
        <v>9900.0</v>
      </c>
      <c r="H416" s="118"/>
      <c r="I416" s="119">
        <f t="shared" si="40"/>
        <v>4100</v>
      </c>
      <c r="J416" s="120">
        <f t="shared" si="41"/>
        <v>0.2928571429</v>
      </c>
      <c r="K416" s="121">
        <f t="shared" si="45"/>
        <v>140</v>
      </c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5.75" customHeight="1">
      <c r="A417" s="122">
        <v>46223.0</v>
      </c>
      <c r="B417" s="259">
        <v>2017.0</v>
      </c>
      <c r="C417" s="126" t="s">
        <v>246</v>
      </c>
      <c r="D417" s="127" t="s">
        <v>215</v>
      </c>
      <c r="E417" s="115"/>
      <c r="F417" s="128">
        <v>7200.0</v>
      </c>
      <c r="G417" s="125">
        <v>5000.0</v>
      </c>
      <c r="H417" s="118"/>
      <c r="I417" s="119">
        <f t="shared" si="40"/>
        <v>2200</v>
      </c>
      <c r="J417" s="120">
        <f t="shared" si="41"/>
        <v>0.3055555556</v>
      </c>
      <c r="K417" s="121">
        <f t="shared" si="45"/>
        <v>72</v>
      </c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5.75" customHeight="1">
      <c r="A418" s="122">
        <v>46224.0</v>
      </c>
      <c r="B418" s="259">
        <v>2018.0</v>
      </c>
      <c r="C418" s="126" t="s">
        <v>246</v>
      </c>
      <c r="D418" s="127" t="s">
        <v>215</v>
      </c>
      <c r="E418" s="115"/>
      <c r="F418" s="128">
        <v>9000.0</v>
      </c>
      <c r="G418" s="125">
        <v>6250.0</v>
      </c>
      <c r="H418" s="118"/>
      <c r="I418" s="119">
        <f t="shared" si="40"/>
        <v>2750</v>
      </c>
      <c r="J418" s="120">
        <f t="shared" si="41"/>
        <v>0.3055555556</v>
      </c>
      <c r="K418" s="121">
        <f t="shared" si="45"/>
        <v>90</v>
      </c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5.75" customHeight="1">
      <c r="A419" s="122">
        <v>46224.0</v>
      </c>
      <c r="B419" s="259">
        <v>2019.0</v>
      </c>
      <c r="C419" s="126" t="s">
        <v>217</v>
      </c>
      <c r="D419" s="127" t="s">
        <v>215</v>
      </c>
      <c r="E419" s="115"/>
      <c r="F419" s="128">
        <v>17600.0</v>
      </c>
      <c r="G419" s="125">
        <v>15600.0</v>
      </c>
      <c r="H419" s="118"/>
      <c r="I419" s="119">
        <f t="shared" si="40"/>
        <v>2000</v>
      </c>
      <c r="J419" s="120">
        <f t="shared" si="41"/>
        <v>0.1136363636</v>
      </c>
      <c r="K419" s="121">
        <f t="shared" si="45"/>
        <v>176</v>
      </c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5.75" customHeight="1">
      <c r="A420" s="122">
        <v>46226.0</v>
      </c>
      <c r="B420" s="259">
        <v>2020.0</v>
      </c>
      <c r="C420" s="126" t="s">
        <v>216</v>
      </c>
      <c r="D420" s="127" t="s">
        <v>215</v>
      </c>
      <c r="E420" s="115"/>
      <c r="F420" s="128">
        <v>19100.0</v>
      </c>
      <c r="G420" s="125">
        <v>17050.0</v>
      </c>
      <c r="H420" s="118"/>
      <c r="I420" s="119">
        <f t="shared" si="40"/>
        <v>2050</v>
      </c>
      <c r="J420" s="120">
        <f t="shared" si="41"/>
        <v>0.1073298429</v>
      </c>
      <c r="K420" s="121">
        <f t="shared" si="45"/>
        <v>191</v>
      </c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5.75" customHeight="1">
      <c r="A421" s="122">
        <v>46226.0</v>
      </c>
      <c r="B421" s="259">
        <v>2021.0</v>
      </c>
      <c r="C421" s="126" t="s">
        <v>214</v>
      </c>
      <c r="D421" s="127" t="s">
        <v>215</v>
      </c>
      <c r="E421" s="115"/>
      <c r="F421" s="128">
        <v>62000.0</v>
      </c>
      <c r="G421" s="125">
        <v>48400.0</v>
      </c>
      <c r="H421" s="118"/>
      <c r="I421" s="119">
        <f t="shared" si="40"/>
        <v>13600</v>
      </c>
      <c r="J421" s="120">
        <f t="shared" si="41"/>
        <v>0.2193548387</v>
      </c>
      <c r="K421" s="121">
        <f t="shared" si="45"/>
        <v>620</v>
      </c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5.75" customHeight="1">
      <c r="A422" s="122">
        <v>46226.0</v>
      </c>
      <c r="B422" s="259">
        <v>2022.0</v>
      </c>
      <c r="C422" s="126" t="s">
        <v>218</v>
      </c>
      <c r="D422" s="127" t="s">
        <v>215</v>
      </c>
      <c r="E422" s="115"/>
      <c r="F422" s="128">
        <v>7800.0</v>
      </c>
      <c r="G422" s="125">
        <v>6250.0</v>
      </c>
      <c r="H422" s="118"/>
      <c r="I422" s="119">
        <f t="shared" si="40"/>
        <v>1550</v>
      </c>
      <c r="J422" s="120">
        <f t="shared" si="41"/>
        <v>0.1987179487</v>
      </c>
      <c r="K422" s="121">
        <f t="shared" si="45"/>
        <v>78</v>
      </c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5.75" customHeight="1">
      <c r="A423" s="122">
        <v>46226.0</v>
      </c>
      <c r="B423" s="259">
        <v>2023.0</v>
      </c>
      <c r="C423" s="126" t="s">
        <v>223</v>
      </c>
      <c r="D423" s="127" t="s">
        <v>215</v>
      </c>
      <c r="E423" s="115"/>
      <c r="F423" s="128">
        <v>4500.0</v>
      </c>
      <c r="G423" s="125">
        <v>4020.0</v>
      </c>
      <c r="H423" s="118"/>
      <c r="I423" s="119">
        <f t="shared" si="40"/>
        <v>480</v>
      </c>
      <c r="J423" s="120">
        <f t="shared" si="41"/>
        <v>0.1066666667</v>
      </c>
      <c r="K423" s="121">
        <f t="shared" si="45"/>
        <v>45</v>
      </c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5.75" customHeight="1">
      <c r="A424" s="122">
        <v>46227.0</v>
      </c>
      <c r="B424" s="259">
        <v>2024.0</v>
      </c>
      <c r="C424" s="126" t="s">
        <v>246</v>
      </c>
      <c r="D424" s="127" t="s">
        <v>215</v>
      </c>
      <c r="E424" s="115"/>
      <c r="F424" s="128">
        <v>1800.0</v>
      </c>
      <c r="G424" s="153">
        <v>1250.0</v>
      </c>
      <c r="H424" s="118"/>
      <c r="I424" s="119">
        <f t="shared" si="40"/>
        <v>550</v>
      </c>
      <c r="J424" s="120">
        <f t="shared" si="41"/>
        <v>0.3055555556</v>
      </c>
      <c r="K424" s="121">
        <f t="shared" si="45"/>
        <v>18</v>
      </c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5.75" customHeight="1">
      <c r="A425" s="122"/>
      <c r="B425" s="259">
        <v>2025.0</v>
      </c>
      <c r="C425" s="126" t="s">
        <v>218</v>
      </c>
      <c r="D425" s="127" t="s">
        <v>215</v>
      </c>
      <c r="E425" s="115"/>
      <c r="F425" s="128">
        <v>17600.0</v>
      </c>
      <c r="G425" s="153">
        <v>15800.0</v>
      </c>
      <c r="H425" s="118"/>
      <c r="I425" s="119">
        <f t="shared" si="40"/>
        <v>1800</v>
      </c>
      <c r="J425" s="120">
        <f t="shared" si="41"/>
        <v>0.1022727273</v>
      </c>
      <c r="K425" s="121">
        <f t="shared" si="45"/>
        <v>176</v>
      </c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5.75" customHeight="1">
      <c r="A426" s="122"/>
      <c r="B426" s="259">
        <v>2026.0</v>
      </c>
      <c r="C426" s="126" t="s">
        <v>217</v>
      </c>
      <c r="D426" s="127" t="s">
        <v>215</v>
      </c>
      <c r="E426" s="115"/>
      <c r="F426" s="128">
        <v>31400.0</v>
      </c>
      <c r="G426" s="153">
        <v>17400.0</v>
      </c>
      <c r="H426" s="118"/>
      <c r="I426" s="119">
        <f t="shared" si="40"/>
        <v>14000</v>
      </c>
      <c r="J426" s="120">
        <f t="shared" si="41"/>
        <v>0.4458598726</v>
      </c>
      <c r="K426" s="121">
        <f t="shared" si="45"/>
        <v>314</v>
      </c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5.75" customHeight="1">
      <c r="B427" s="259">
        <v>2027.0</v>
      </c>
      <c r="C427" s="126" t="s">
        <v>246</v>
      </c>
      <c r="D427" s="127" t="s">
        <v>215</v>
      </c>
      <c r="E427" s="115"/>
      <c r="F427" s="128">
        <v>5600.0</v>
      </c>
      <c r="G427" s="153">
        <v>3600.0</v>
      </c>
      <c r="H427" s="118"/>
      <c r="I427" s="119">
        <f t="shared" si="40"/>
        <v>2000</v>
      </c>
      <c r="J427" s="120">
        <f t="shared" si="41"/>
        <v>0.3571428571</v>
      </c>
      <c r="K427" s="121">
        <f t="shared" si="45"/>
        <v>56</v>
      </c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5.75" customHeight="1">
      <c r="A428" s="122">
        <v>46231.0</v>
      </c>
      <c r="B428" s="259">
        <v>2028.0</v>
      </c>
      <c r="C428" s="126" t="s">
        <v>246</v>
      </c>
      <c r="D428" s="127" t="s">
        <v>215</v>
      </c>
      <c r="E428" s="115"/>
      <c r="F428" s="128">
        <v>4200.0</v>
      </c>
      <c r="G428" s="153">
        <v>2800.0</v>
      </c>
      <c r="H428" s="118"/>
      <c r="I428" s="119">
        <f t="shared" si="40"/>
        <v>1400</v>
      </c>
      <c r="J428" s="120">
        <f t="shared" si="41"/>
        <v>0.3333333333</v>
      </c>
      <c r="K428" s="121">
        <f t="shared" si="45"/>
        <v>42</v>
      </c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5.75" customHeight="1">
      <c r="A429" s="122"/>
      <c r="B429" s="259">
        <v>2029.0</v>
      </c>
      <c r="C429" s="126" t="s">
        <v>246</v>
      </c>
      <c r="D429" s="127" t="s">
        <v>215</v>
      </c>
      <c r="E429" s="115"/>
      <c r="F429" s="128">
        <v>1600.0</v>
      </c>
      <c r="G429" s="153">
        <v>1100.0</v>
      </c>
      <c r="H429" s="118"/>
      <c r="I429" s="119">
        <f t="shared" si="40"/>
        <v>500</v>
      </c>
      <c r="J429" s="120">
        <f t="shared" si="41"/>
        <v>0.3125</v>
      </c>
      <c r="K429" s="121">
        <f t="shared" si="45"/>
        <v>16</v>
      </c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5.75" customHeight="1">
      <c r="A430" s="122">
        <v>46233.0</v>
      </c>
      <c r="B430" s="259">
        <v>2030.0</v>
      </c>
      <c r="C430" s="126" t="s">
        <v>246</v>
      </c>
      <c r="D430" s="127" t="s">
        <v>215</v>
      </c>
      <c r="E430" s="115"/>
      <c r="F430" s="128">
        <v>3800.0</v>
      </c>
      <c r="G430" s="153">
        <v>3200.0</v>
      </c>
      <c r="H430" s="118"/>
      <c r="I430" s="119">
        <f t="shared" si="40"/>
        <v>600</v>
      </c>
      <c r="J430" s="120">
        <f t="shared" si="41"/>
        <v>0.1578947368</v>
      </c>
      <c r="K430" s="121">
        <f t="shared" si="45"/>
        <v>38</v>
      </c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5.75" customHeight="1">
      <c r="A431" s="122"/>
      <c r="B431" s="259">
        <v>2031.0</v>
      </c>
      <c r="C431" s="126" t="s">
        <v>246</v>
      </c>
      <c r="D431" s="127" t="s">
        <v>215</v>
      </c>
      <c r="E431" s="115"/>
      <c r="F431" s="128">
        <v>8900.0</v>
      </c>
      <c r="G431" s="153">
        <v>6050.0</v>
      </c>
      <c r="H431" s="118"/>
      <c r="I431" s="119">
        <f t="shared" si="40"/>
        <v>2850</v>
      </c>
      <c r="J431" s="120">
        <f t="shared" si="41"/>
        <v>0.3202247191</v>
      </c>
      <c r="K431" s="121">
        <f t="shared" si="45"/>
        <v>89</v>
      </c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5.75" customHeight="1">
      <c r="A432" s="122"/>
      <c r="B432" s="259">
        <v>2032.0</v>
      </c>
      <c r="C432" s="126" t="s">
        <v>217</v>
      </c>
      <c r="D432" s="127" t="s">
        <v>215</v>
      </c>
      <c r="E432" s="115"/>
      <c r="F432" s="128">
        <v>7800.0</v>
      </c>
      <c r="G432" s="153">
        <v>5400.0</v>
      </c>
      <c r="H432" s="118"/>
      <c r="I432" s="119">
        <f t="shared" si="40"/>
        <v>2400</v>
      </c>
      <c r="J432" s="120">
        <f t="shared" si="41"/>
        <v>0.3076923077</v>
      </c>
      <c r="K432" s="121">
        <f t="shared" si="45"/>
        <v>78</v>
      </c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5.75" customHeight="1">
      <c r="A433" s="122"/>
      <c r="B433" s="259">
        <v>2033.0</v>
      </c>
      <c r="C433" s="126" t="s">
        <v>216</v>
      </c>
      <c r="D433" s="127" t="s">
        <v>215</v>
      </c>
      <c r="E433" s="115"/>
      <c r="F433" s="128">
        <v>7600.0</v>
      </c>
      <c r="G433" s="153">
        <v>6000.0</v>
      </c>
      <c r="H433" s="118"/>
      <c r="I433" s="119">
        <f t="shared" si="40"/>
        <v>1600</v>
      </c>
      <c r="J433" s="120">
        <f t="shared" si="41"/>
        <v>0.2105263158</v>
      </c>
      <c r="K433" s="121">
        <f t="shared" si="45"/>
        <v>76</v>
      </c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5.75" customHeight="1">
      <c r="A434" s="122"/>
      <c r="B434" s="259">
        <v>2034.0</v>
      </c>
      <c r="C434" s="126" t="s">
        <v>214</v>
      </c>
      <c r="D434" s="127" t="s">
        <v>215</v>
      </c>
      <c r="E434" s="115"/>
      <c r="F434" s="128">
        <v>10900.0</v>
      </c>
      <c r="G434" s="153">
        <v>5400.0</v>
      </c>
      <c r="H434" s="118"/>
      <c r="I434" s="119">
        <f t="shared" si="40"/>
        <v>5500</v>
      </c>
      <c r="J434" s="120">
        <f t="shared" si="41"/>
        <v>0.504587156</v>
      </c>
      <c r="K434" s="121">
        <f t="shared" si="45"/>
        <v>109</v>
      </c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5.75" customHeight="1">
      <c r="A435" s="122"/>
      <c r="B435" s="259">
        <v>2035.0</v>
      </c>
      <c r="C435" s="126" t="s">
        <v>223</v>
      </c>
      <c r="D435" s="127" t="s">
        <v>215</v>
      </c>
      <c r="E435" s="115"/>
      <c r="F435" s="128">
        <v>5900.0</v>
      </c>
      <c r="G435" s="153">
        <v>4300.0</v>
      </c>
      <c r="H435" s="118"/>
      <c r="I435" s="119">
        <f t="shared" si="40"/>
        <v>1600</v>
      </c>
      <c r="J435" s="120">
        <f t="shared" si="41"/>
        <v>0.2711864407</v>
      </c>
      <c r="K435" s="121">
        <f t="shared" si="45"/>
        <v>59</v>
      </c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5.75" customHeight="1">
      <c r="A436" s="300">
        <f>TODAY()</f>
        <v>46311</v>
      </c>
      <c r="B436" s="143"/>
      <c r="C436" s="144" t="s">
        <v>383</v>
      </c>
      <c r="D436" s="143"/>
      <c r="E436" s="143"/>
      <c r="F436" s="145">
        <f>sum(F437:F477)</f>
        <v>316295</v>
      </c>
      <c r="G436" s="146">
        <f>sum(G437:G539)</f>
        <v>749473.4</v>
      </c>
      <c r="H436" s="147" t="str">
        <f>sum(H436:H476)</f>
        <v>#REF!</v>
      </c>
      <c r="I436" s="146">
        <f>sum(I437:I481)</f>
        <v>162812.6</v>
      </c>
      <c r="J436" s="120">
        <f t="shared" si="41"/>
        <v>0.5147492056</v>
      </c>
      <c r="K436" s="303">
        <f t="shared" si="45"/>
        <v>3162.95</v>
      </c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5.75" customHeight="1">
      <c r="A437" s="122">
        <v>46235.0</v>
      </c>
      <c r="B437" s="259">
        <v>1977.0</v>
      </c>
      <c r="C437" s="126" t="s">
        <v>385</v>
      </c>
      <c r="D437" s="102"/>
      <c r="E437" s="115"/>
      <c r="F437" s="128">
        <v>15000.0</v>
      </c>
      <c r="G437" s="125">
        <v>9750.0</v>
      </c>
      <c r="H437" s="118"/>
      <c r="I437" s="119">
        <f t="shared" ref="I437:I477" si="46">F:F-G:G-H:H</f>
        <v>5250</v>
      </c>
      <c r="J437" s="120">
        <f t="shared" si="41"/>
        <v>0.35</v>
      </c>
      <c r="K437" s="121">
        <f t="shared" si="45"/>
        <v>150</v>
      </c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5.75" customHeight="1">
      <c r="A438" s="122">
        <v>46236.0</v>
      </c>
      <c r="B438" s="259">
        <v>1978.0</v>
      </c>
      <c r="C438" s="126" t="s">
        <v>388</v>
      </c>
      <c r="D438" s="102"/>
      <c r="E438" s="115"/>
      <c r="F438" s="128">
        <v>4000.0</v>
      </c>
      <c r="G438" s="125">
        <v>2212.4</v>
      </c>
      <c r="H438" s="118"/>
      <c r="I438" s="119">
        <f t="shared" si="46"/>
        <v>1787.6</v>
      </c>
      <c r="J438" s="120">
        <f t="shared" si="41"/>
        <v>0.4469</v>
      </c>
      <c r="K438" s="121">
        <f t="shared" si="45"/>
        <v>40</v>
      </c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5.75" customHeight="1">
      <c r="A439" s="113"/>
      <c r="B439" s="305">
        <v>1979.0</v>
      </c>
      <c r="C439" s="126" t="s">
        <v>392</v>
      </c>
      <c r="D439" s="102"/>
      <c r="E439" s="115"/>
      <c r="F439" s="128"/>
      <c r="G439" s="306"/>
      <c r="H439" s="118"/>
      <c r="I439" s="119">
        <f t="shared" si="46"/>
        <v>0</v>
      </c>
      <c r="J439" s="120" t="str">
        <f t="shared" si="41"/>
        <v>#DIV/0!</v>
      </c>
      <c r="K439" s="121">
        <f t="shared" si="45"/>
        <v>0</v>
      </c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5.75" customHeight="1">
      <c r="A440" s="122">
        <v>46241.0</v>
      </c>
      <c r="B440" s="259">
        <v>1980.0</v>
      </c>
      <c r="C440" s="126" t="s">
        <v>396</v>
      </c>
      <c r="D440" s="102"/>
      <c r="E440" s="115"/>
      <c r="F440" s="128">
        <v>2500.0</v>
      </c>
      <c r="G440" s="125">
        <v>1600.0</v>
      </c>
      <c r="H440" s="118"/>
      <c r="I440" s="119">
        <f t="shared" si="46"/>
        <v>900</v>
      </c>
      <c r="J440" s="120">
        <f t="shared" si="41"/>
        <v>0.36</v>
      </c>
      <c r="K440" s="121">
        <f t="shared" si="45"/>
        <v>25</v>
      </c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5.75" customHeight="1">
      <c r="A441" s="122">
        <v>46241.0</v>
      </c>
      <c r="B441" s="259">
        <v>1981.0</v>
      </c>
      <c r="C441" s="126" t="s">
        <v>212</v>
      </c>
      <c r="D441" s="102"/>
      <c r="E441" s="115"/>
      <c r="F441" s="128">
        <v>16000.0</v>
      </c>
      <c r="G441" s="125">
        <v>12000.0</v>
      </c>
      <c r="H441" s="118"/>
      <c r="I441" s="119">
        <f t="shared" si="46"/>
        <v>4000</v>
      </c>
      <c r="J441" s="120">
        <f t="shared" si="41"/>
        <v>0.25</v>
      </c>
      <c r="K441" s="121">
        <f t="shared" si="45"/>
        <v>160</v>
      </c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5.75" customHeight="1">
      <c r="A442" s="122">
        <v>46246.0</v>
      </c>
      <c r="B442" s="259">
        <v>1982.0</v>
      </c>
      <c r="C442" s="126" t="s">
        <v>399</v>
      </c>
      <c r="D442" s="102"/>
      <c r="E442" s="115"/>
      <c r="F442" s="128">
        <v>1440.0</v>
      </c>
      <c r="G442" s="125">
        <v>984.0</v>
      </c>
      <c r="H442" s="118"/>
      <c r="I442" s="119">
        <f t="shared" si="46"/>
        <v>456</v>
      </c>
      <c r="J442" s="120">
        <f t="shared" si="41"/>
        <v>0.3166666667</v>
      </c>
      <c r="K442" s="121">
        <f t="shared" si="45"/>
        <v>14.4</v>
      </c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5.75" customHeight="1">
      <c r="A443" s="122">
        <v>46249.0</v>
      </c>
      <c r="B443" s="259">
        <v>1983.0</v>
      </c>
      <c r="C443" s="126" t="s">
        <v>399</v>
      </c>
      <c r="D443" s="102"/>
      <c r="E443" s="115"/>
      <c r="F443" s="128">
        <v>5000.0</v>
      </c>
      <c r="G443" s="125">
        <v>3200.0</v>
      </c>
      <c r="H443" s="118"/>
      <c r="I443" s="119">
        <f t="shared" si="46"/>
        <v>1800</v>
      </c>
      <c r="J443" s="120">
        <f t="shared" si="41"/>
        <v>0.36</v>
      </c>
      <c r="K443" s="121">
        <f t="shared" si="45"/>
        <v>50</v>
      </c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5.75" customHeight="1">
      <c r="A444" s="122">
        <v>46249.0</v>
      </c>
      <c r="B444" s="259">
        <v>1984.0</v>
      </c>
      <c r="C444" s="126" t="s">
        <v>402</v>
      </c>
      <c r="D444" s="102"/>
      <c r="E444" s="115"/>
      <c r="F444" s="128">
        <v>2500.0</v>
      </c>
      <c r="G444" s="125">
        <v>1600.0</v>
      </c>
      <c r="H444" s="118"/>
      <c r="I444" s="119">
        <f t="shared" si="46"/>
        <v>900</v>
      </c>
      <c r="J444" s="120">
        <f t="shared" si="41"/>
        <v>0.36</v>
      </c>
      <c r="K444" s="121">
        <f t="shared" si="45"/>
        <v>25</v>
      </c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5.75" customHeight="1">
      <c r="A445" s="122">
        <v>46249.0</v>
      </c>
      <c r="B445" s="259">
        <v>1985.0</v>
      </c>
      <c r="C445" s="126" t="s">
        <v>402</v>
      </c>
      <c r="D445" s="102"/>
      <c r="E445" s="115"/>
      <c r="F445" s="128">
        <v>150.0</v>
      </c>
      <c r="G445" s="125">
        <v>105.0</v>
      </c>
      <c r="H445" s="118"/>
      <c r="I445" s="119">
        <f t="shared" si="46"/>
        <v>45</v>
      </c>
      <c r="J445" s="120">
        <f t="shared" si="41"/>
        <v>0.3</v>
      </c>
      <c r="K445" s="121">
        <f t="shared" si="45"/>
        <v>1.5</v>
      </c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5.75" customHeight="1">
      <c r="A446" s="122">
        <v>46253.0</v>
      </c>
      <c r="B446" s="259">
        <v>1986.0</v>
      </c>
      <c r="C446" s="126" t="s">
        <v>342</v>
      </c>
      <c r="D446" s="102"/>
      <c r="E446" s="115"/>
      <c r="F446" s="128">
        <v>4800.0</v>
      </c>
      <c r="G446" s="125">
        <v>2785.0</v>
      </c>
      <c r="H446" s="118"/>
      <c r="I446" s="119">
        <f t="shared" si="46"/>
        <v>2015</v>
      </c>
      <c r="J446" s="120">
        <f t="shared" si="41"/>
        <v>0.4197916667</v>
      </c>
      <c r="K446" s="121">
        <f t="shared" si="45"/>
        <v>48</v>
      </c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5.75" customHeight="1">
      <c r="A447" s="122">
        <v>46256.0</v>
      </c>
      <c r="B447" s="259">
        <v>1987.0</v>
      </c>
      <c r="C447" s="126" t="s">
        <v>408</v>
      </c>
      <c r="D447" s="102"/>
      <c r="E447" s="115"/>
      <c r="F447" s="128">
        <v>2500.0</v>
      </c>
      <c r="G447" s="125">
        <v>1600.0</v>
      </c>
      <c r="H447" s="118"/>
      <c r="I447" s="119">
        <f t="shared" si="46"/>
        <v>900</v>
      </c>
      <c r="J447" s="120">
        <f t="shared" si="41"/>
        <v>0.36</v>
      </c>
      <c r="K447" s="121">
        <f t="shared" si="45"/>
        <v>25</v>
      </c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5.75" customHeight="1">
      <c r="A448" s="122">
        <v>46256.0</v>
      </c>
      <c r="B448" s="259">
        <v>1988.0</v>
      </c>
      <c r="C448" s="126" t="s">
        <v>410</v>
      </c>
      <c r="D448" s="102"/>
      <c r="E448" s="115"/>
      <c r="F448" s="128">
        <v>2500.0</v>
      </c>
      <c r="G448" s="125">
        <v>1600.0</v>
      </c>
      <c r="H448" s="118"/>
      <c r="I448" s="119">
        <f t="shared" si="46"/>
        <v>900</v>
      </c>
      <c r="J448" s="120">
        <f t="shared" si="41"/>
        <v>0.36</v>
      </c>
      <c r="K448" s="121">
        <f t="shared" si="45"/>
        <v>25</v>
      </c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5.75" customHeight="1">
      <c r="A449" s="122">
        <v>46240.0</v>
      </c>
      <c r="B449" s="123">
        <v>2036.0</v>
      </c>
      <c r="C449" s="126">
        <v>2011.0</v>
      </c>
      <c r="D449" s="127" t="s">
        <v>215</v>
      </c>
      <c r="E449" s="115"/>
      <c r="F449" s="128">
        <v>4500.0</v>
      </c>
      <c r="G449" s="125">
        <v>3190.0</v>
      </c>
      <c r="H449" s="118"/>
      <c r="I449" s="119">
        <f t="shared" si="46"/>
        <v>1310</v>
      </c>
      <c r="J449" s="120">
        <f t="shared" si="41"/>
        <v>0.2911111111</v>
      </c>
      <c r="K449" s="121">
        <f t="shared" si="45"/>
        <v>45</v>
      </c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5.75" customHeight="1">
      <c r="A450" s="122">
        <v>46240.0</v>
      </c>
      <c r="B450" s="123">
        <v>2037.0</v>
      </c>
      <c r="C450" s="126" t="s">
        <v>246</v>
      </c>
      <c r="D450" s="127" t="s">
        <v>215</v>
      </c>
      <c r="E450" s="115"/>
      <c r="F450" s="128">
        <v>7400.0</v>
      </c>
      <c r="G450" s="125">
        <v>5350.0</v>
      </c>
      <c r="H450" s="118"/>
      <c r="I450" s="119">
        <f t="shared" si="46"/>
        <v>2050</v>
      </c>
      <c r="J450" s="120">
        <f t="shared" si="41"/>
        <v>0.277027027</v>
      </c>
      <c r="K450" s="121">
        <f t="shared" si="45"/>
        <v>74</v>
      </c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5.75" customHeight="1">
      <c r="A451" s="122">
        <v>46240.0</v>
      </c>
      <c r="B451" s="123">
        <v>2038.0</v>
      </c>
      <c r="C451" s="126" t="s">
        <v>246</v>
      </c>
      <c r="D451" s="127" t="s">
        <v>215</v>
      </c>
      <c r="E451" s="115"/>
      <c r="F451" s="128">
        <v>760.0</v>
      </c>
      <c r="G451" s="125">
        <v>600.0</v>
      </c>
      <c r="H451" s="118"/>
      <c r="I451" s="119">
        <f t="shared" si="46"/>
        <v>160</v>
      </c>
      <c r="J451" s="120">
        <f t="shared" si="41"/>
        <v>0.2105263158</v>
      </c>
      <c r="K451" s="121">
        <f t="shared" si="45"/>
        <v>7.6</v>
      </c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122">
        <v>46240.0</v>
      </c>
      <c r="B452" s="123">
        <v>2039.0</v>
      </c>
      <c r="C452" s="126" t="s">
        <v>415</v>
      </c>
      <c r="D452" s="127" t="s">
        <v>215</v>
      </c>
      <c r="E452" s="115"/>
      <c r="F452" s="128">
        <v>4260.0</v>
      </c>
      <c r="G452" s="125">
        <v>3500.0</v>
      </c>
      <c r="H452" s="118"/>
      <c r="I452" s="119">
        <f t="shared" si="46"/>
        <v>760</v>
      </c>
      <c r="J452" s="120">
        <f t="shared" si="41"/>
        <v>0.1784037559</v>
      </c>
      <c r="K452" s="121">
        <f t="shared" si="45"/>
        <v>42.6</v>
      </c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122">
        <v>46240.0</v>
      </c>
      <c r="B453" s="123">
        <v>2040.0</v>
      </c>
      <c r="C453" s="126" t="s">
        <v>217</v>
      </c>
      <c r="D453" s="127" t="s">
        <v>215</v>
      </c>
      <c r="E453" s="115"/>
      <c r="F453" s="128">
        <v>16680.0</v>
      </c>
      <c r="G453" s="125">
        <v>12330.0</v>
      </c>
      <c r="H453" s="118"/>
      <c r="I453" s="119">
        <f t="shared" si="46"/>
        <v>4350</v>
      </c>
      <c r="J453" s="120">
        <f t="shared" si="41"/>
        <v>0.2607913669</v>
      </c>
      <c r="K453" s="121">
        <f t="shared" si="45"/>
        <v>166.8</v>
      </c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122">
        <v>46240.0</v>
      </c>
      <c r="B454" s="123">
        <v>2041.0</v>
      </c>
      <c r="C454" s="126" t="s">
        <v>214</v>
      </c>
      <c r="D454" s="127" t="s">
        <v>215</v>
      </c>
      <c r="E454" s="115"/>
      <c r="F454" s="128">
        <v>10650.0</v>
      </c>
      <c r="G454" s="125">
        <v>5600.0</v>
      </c>
      <c r="H454" s="118"/>
      <c r="I454" s="119">
        <f t="shared" si="46"/>
        <v>5050</v>
      </c>
      <c r="J454" s="120">
        <f t="shared" si="41"/>
        <v>0.4741784038</v>
      </c>
      <c r="K454" s="121">
        <f t="shared" si="45"/>
        <v>106.5</v>
      </c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5.75" customHeight="1">
      <c r="A455" s="122">
        <v>46240.0</v>
      </c>
      <c r="B455" s="123">
        <v>2042.0</v>
      </c>
      <c r="C455" s="126" t="s">
        <v>216</v>
      </c>
      <c r="D455" s="127" t="s">
        <v>215</v>
      </c>
      <c r="E455" s="115"/>
      <c r="F455" s="128">
        <v>3600.0</v>
      </c>
      <c r="G455" s="125">
        <v>2600.0</v>
      </c>
      <c r="H455" s="118"/>
      <c r="I455" s="119">
        <f t="shared" si="46"/>
        <v>1000</v>
      </c>
      <c r="J455" s="120">
        <f t="shared" si="41"/>
        <v>0.2777777778</v>
      </c>
      <c r="K455" s="121">
        <f t="shared" si="45"/>
        <v>36</v>
      </c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5.75" customHeight="1">
      <c r="A456" s="122">
        <v>46240.0</v>
      </c>
      <c r="B456" s="123">
        <v>2043.0</v>
      </c>
      <c r="C456" s="126" t="s">
        <v>218</v>
      </c>
      <c r="D456" s="127" t="s">
        <v>215</v>
      </c>
      <c r="E456" s="115"/>
      <c r="F456" s="128">
        <v>4100.0</v>
      </c>
      <c r="G456" s="125">
        <v>3180.0</v>
      </c>
      <c r="H456" s="118"/>
      <c r="I456" s="119">
        <f t="shared" si="46"/>
        <v>920</v>
      </c>
      <c r="J456" s="120">
        <f t="shared" si="41"/>
        <v>0.2243902439</v>
      </c>
      <c r="K456" s="121">
        <f t="shared" si="45"/>
        <v>41</v>
      </c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122">
        <v>46241.0</v>
      </c>
      <c r="B457" s="123">
        <v>2044.0</v>
      </c>
      <c r="C457" s="126" t="s">
        <v>217</v>
      </c>
      <c r="D457" s="127" t="s">
        <v>215</v>
      </c>
      <c r="E457" s="115"/>
      <c r="F457" s="128">
        <v>44500.0</v>
      </c>
      <c r="G457" s="125">
        <v>39500.0</v>
      </c>
      <c r="H457" s="118"/>
      <c r="I457" s="119">
        <f t="shared" si="46"/>
        <v>5000</v>
      </c>
      <c r="J457" s="120">
        <f t="shared" si="41"/>
        <v>0.1123595506</v>
      </c>
      <c r="K457" s="121">
        <f t="shared" si="45"/>
        <v>445</v>
      </c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5.75" customHeight="1">
      <c r="A458" s="122">
        <v>46244.0</v>
      </c>
      <c r="B458" s="123">
        <v>2045.0</v>
      </c>
      <c r="C458" s="126" t="s">
        <v>246</v>
      </c>
      <c r="D458" s="127" t="s">
        <v>215</v>
      </c>
      <c r="E458" s="115"/>
      <c r="F458" s="128">
        <v>760.0</v>
      </c>
      <c r="G458" s="125">
        <v>480.0</v>
      </c>
      <c r="H458" s="118"/>
      <c r="I458" s="119">
        <f t="shared" si="46"/>
        <v>280</v>
      </c>
      <c r="J458" s="120">
        <f t="shared" si="41"/>
        <v>0.3684210526</v>
      </c>
      <c r="K458" s="121">
        <f t="shared" si="45"/>
        <v>7.6</v>
      </c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5.75" customHeight="1">
      <c r="A459" s="122">
        <v>46248.0</v>
      </c>
      <c r="B459" s="123">
        <v>2046.0</v>
      </c>
      <c r="C459" s="126" t="s">
        <v>217</v>
      </c>
      <c r="D459" s="127" t="s">
        <v>215</v>
      </c>
      <c r="E459" s="115"/>
      <c r="F459" s="128">
        <v>7170.0</v>
      </c>
      <c r="G459" s="125">
        <v>4855.0</v>
      </c>
      <c r="H459" s="118"/>
      <c r="I459" s="119">
        <f t="shared" si="46"/>
        <v>2315</v>
      </c>
      <c r="J459" s="120">
        <f t="shared" si="41"/>
        <v>0.3228730823</v>
      </c>
      <c r="K459" s="121">
        <f t="shared" si="45"/>
        <v>71.7</v>
      </c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5.75" customHeight="1">
      <c r="A460" s="122">
        <v>46246.0</v>
      </c>
      <c r="B460" s="123">
        <v>2047.0</v>
      </c>
      <c r="C460" s="126" t="s">
        <v>218</v>
      </c>
      <c r="D460" s="127" t="s">
        <v>215</v>
      </c>
      <c r="E460" s="115"/>
      <c r="F460" s="128">
        <v>8800.0</v>
      </c>
      <c r="G460" s="125">
        <v>7900.0</v>
      </c>
      <c r="H460" s="118"/>
      <c r="I460" s="119">
        <f t="shared" si="46"/>
        <v>900</v>
      </c>
      <c r="J460" s="120">
        <f t="shared" si="41"/>
        <v>0.1022727273</v>
      </c>
      <c r="K460" s="121">
        <f t="shared" si="45"/>
        <v>88</v>
      </c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5.75" customHeight="1">
      <c r="A461" s="122">
        <v>46248.0</v>
      </c>
      <c r="B461" s="123">
        <v>2048.0</v>
      </c>
      <c r="C461" s="126" t="s">
        <v>214</v>
      </c>
      <c r="D461" s="127" t="s">
        <v>215</v>
      </c>
      <c r="E461" s="115"/>
      <c r="F461" s="128">
        <v>22395.0</v>
      </c>
      <c r="G461" s="125">
        <v>13450.0</v>
      </c>
      <c r="H461" s="118"/>
      <c r="I461" s="119">
        <f t="shared" si="46"/>
        <v>8945</v>
      </c>
      <c r="J461" s="120">
        <f t="shared" si="41"/>
        <v>0.3994195133</v>
      </c>
      <c r="K461" s="121">
        <f t="shared" si="45"/>
        <v>223.95</v>
      </c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5.75" customHeight="1">
      <c r="A462" s="122">
        <v>46248.0</v>
      </c>
      <c r="B462" s="123">
        <v>2049.0</v>
      </c>
      <c r="C462" s="126" t="s">
        <v>218</v>
      </c>
      <c r="D462" s="127" t="s">
        <v>215</v>
      </c>
      <c r="E462" s="115"/>
      <c r="F462" s="128">
        <v>5200.0</v>
      </c>
      <c r="G462" s="125">
        <v>4400.0</v>
      </c>
      <c r="H462" s="118"/>
      <c r="I462" s="119">
        <f t="shared" si="46"/>
        <v>800</v>
      </c>
      <c r="J462" s="120">
        <f t="shared" si="41"/>
        <v>0.1538461538</v>
      </c>
      <c r="K462" s="121">
        <f t="shared" si="45"/>
        <v>52</v>
      </c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5.75" customHeight="1">
      <c r="A463" s="122">
        <v>46252.0</v>
      </c>
      <c r="B463" s="123">
        <v>2050.0</v>
      </c>
      <c r="C463" s="126" t="s">
        <v>246</v>
      </c>
      <c r="D463" s="127" t="s">
        <v>215</v>
      </c>
      <c r="E463" s="115"/>
      <c r="F463" s="128">
        <v>6200.0</v>
      </c>
      <c r="G463" s="125">
        <v>4750.0</v>
      </c>
      <c r="H463" s="118"/>
      <c r="I463" s="119">
        <f t="shared" si="46"/>
        <v>1450</v>
      </c>
      <c r="J463" s="120">
        <f t="shared" si="41"/>
        <v>0.2338709677</v>
      </c>
      <c r="K463" s="121">
        <f t="shared" si="45"/>
        <v>62</v>
      </c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5.75" customHeight="1">
      <c r="A464" s="122">
        <v>46254.0</v>
      </c>
      <c r="B464" s="123">
        <v>2051.0</v>
      </c>
      <c r="C464" s="126">
        <v>2011.0</v>
      </c>
      <c r="D464" s="127" t="s">
        <v>215</v>
      </c>
      <c r="E464" s="115"/>
      <c r="F464" s="128">
        <v>6540.0</v>
      </c>
      <c r="G464" s="125">
        <v>5170.0</v>
      </c>
      <c r="H464" s="118"/>
      <c r="I464" s="119">
        <f t="shared" si="46"/>
        <v>1370</v>
      </c>
      <c r="J464" s="120">
        <f t="shared" si="41"/>
        <v>0.2094801223</v>
      </c>
      <c r="K464" s="121">
        <f t="shared" si="45"/>
        <v>65.4</v>
      </c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5.75" customHeight="1">
      <c r="A465" s="122">
        <v>46254.0</v>
      </c>
      <c r="B465" s="123">
        <v>2052.0</v>
      </c>
      <c r="C465" s="126" t="s">
        <v>429</v>
      </c>
      <c r="D465" s="127" t="s">
        <v>215</v>
      </c>
      <c r="E465" s="115"/>
      <c r="F465" s="128">
        <v>9300.0</v>
      </c>
      <c r="G465" s="125">
        <v>8420.0</v>
      </c>
      <c r="H465" s="118"/>
      <c r="I465" s="119">
        <f t="shared" si="46"/>
        <v>880</v>
      </c>
      <c r="J465" s="120">
        <f t="shared" si="41"/>
        <v>0.09462365591</v>
      </c>
      <c r="K465" s="121">
        <f t="shared" si="45"/>
        <v>93</v>
      </c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5.75" customHeight="1">
      <c r="A466" s="122">
        <v>46254.0</v>
      </c>
      <c r="B466" s="123">
        <v>2053.0</v>
      </c>
      <c r="C466" s="126" t="s">
        <v>254</v>
      </c>
      <c r="D466" s="127" t="s">
        <v>215</v>
      </c>
      <c r="E466" s="115"/>
      <c r="F466" s="128">
        <v>2900.0</v>
      </c>
      <c r="G466" s="125">
        <v>1900.0</v>
      </c>
      <c r="H466" s="118"/>
      <c r="I466" s="119">
        <f t="shared" si="46"/>
        <v>1000</v>
      </c>
      <c r="J466" s="120">
        <f t="shared" si="41"/>
        <v>0.3448275862</v>
      </c>
      <c r="K466" s="121">
        <f t="shared" si="45"/>
        <v>29</v>
      </c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5.75" customHeight="1">
      <c r="A467" s="122">
        <v>46254.0</v>
      </c>
      <c r="B467" s="123">
        <v>2054.0</v>
      </c>
      <c r="C467" s="126" t="s">
        <v>217</v>
      </c>
      <c r="D467" s="127" t="s">
        <v>215</v>
      </c>
      <c r="E467" s="115"/>
      <c r="F467" s="128">
        <v>10600.0</v>
      </c>
      <c r="G467" s="125">
        <v>7050.0</v>
      </c>
      <c r="H467" s="118"/>
      <c r="I467" s="119">
        <f t="shared" si="46"/>
        <v>3550</v>
      </c>
      <c r="J467" s="120">
        <f t="shared" si="41"/>
        <v>0.3349056604</v>
      </c>
      <c r="K467" s="121">
        <f t="shared" si="45"/>
        <v>106</v>
      </c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5.75" customHeight="1">
      <c r="A468" s="122">
        <v>46254.0</v>
      </c>
      <c r="B468" s="123">
        <v>2055.0</v>
      </c>
      <c r="C468" s="126" t="s">
        <v>217</v>
      </c>
      <c r="D468" s="127" t="s">
        <v>215</v>
      </c>
      <c r="E468" s="115"/>
      <c r="F468" s="128">
        <v>17800.0</v>
      </c>
      <c r="G468" s="125">
        <v>16200.0</v>
      </c>
      <c r="H468" s="118"/>
      <c r="I468" s="119">
        <f t="shared" si="46"/>
        <v>1600</v>
      </c>
      <c r="J468" s="120">
        <f t="shared" si="41"/>
        <v>0.08988764045</v>
      </c>
      <c r="K468" s="121">
        <f t="shared" si="45"/>
        <v>178</v>
      </c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5.75" customHeight="1">
      <c r="A469" s="122">
        <v>46254.0</v>
      </c>
      <c r="B469" s="123">
        <v>2056.0</v>
      </c>
      <c r="C469" s="126" t="s">
        <v>216</v>
      </c>
      <c r="D469" s="127" t="s">
        <v>215</v>
      </c>
      <c r="E469" s="115"/>
      <c r="F469" s="128">
        <v>5560.0</v>
      </c>
      <c r="G469" s="125">
        <v>3900.0</v>
      </c>
      <c r="H469" s="118"/>
      <c r="I469" s="119">
        <f t="shared" si="46"/>
        <v>1660</v>
      </c>
      <c r="J469" s="120">
        <f t="shared" si="41"/>
        <v>0.2985611511</v>
      </c>
      <c r="K469" s="121">
        <f t="shared" si="45"/>
        <v>55.6</v>
      </c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5.75" customHeight="1">
      <c r="A470" s="122">
        <v>46254.0</v>
      </c>
      <c r="B470" s="123">
        <v>2057.0</v>
      </c>
      <c r="C470" s="126" t="s">
        <v>218</v>
      </c>
      <c r="D470" s="127" t="s">
        <v>215</v>
      </c>
      <c r="E470" s="115"/>
      <c r="F470" s="128">
        <v>1600.0</v>
      </c>
      <c r="G470" s="125">
        <v>1300.0</v>
      </c>
      <c r="H470" s="118"/>
      <c r="I470" s="119">
        <f t="shared" si="46"/>
        <v>300</v>
      </c>
      <c r="J470" s="120">
        <f t="shared" si="41"/>
        <v>0.1875</v>
      </c>
      <c r="K470" s="121">
        <f t="shared" si="45"/>
        <v>16</v>
      </c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5.75" customHeight="1">
      <c r="A471" s="122">
        <v>46254.0</v>
      </c>
      <c r="B471" s="123">
        <v>2058.0</v>
      </c>
      <c r="C471" s="126" t="s">
        <v>437</v>
      </c>
      <c r="D471" s="127" t="s">
        <v>215</v>
      </c>
      <c r="E471" s="115"/>
      <c r="F471" s="128">
        <v>3020.0</v>
      </c>
      <c r="G471" s="125">
        <v>1980.0</v>
      </c>
      <c r="H471" s="118"/>
      <c r="I471" s="119">
        <f t="shared" si="46"/>
        <v>1040</v>
      </c>
      <c r="J471" s="120">
        <f t="shared" si="41"/>
        <v>0.3443708609</v>
      </c>
      <c r="K471" s="121">
        <f t="shared" si="45"/>
        <v>30.2</v>
      </c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5.75" customHeight="1">
      <c r="A472" s="122">
        <v>46254.0</v>
      </c>
      <c r="B472" s="123">
        <v>2059.0</v>
      </c>
      <c r="C472" s="126" t="s">
        <v>223</v>
      </c>
      <c r="D472" s="127" t="s">
        <v>215</v>
      </c>
      <c r="E472" s="115"/>
      <c r="F472" s="128">
        <v>3800.0</v>
      </c>
      <c r="G472" s="125">
        <v>2450.0</v>
      </c>
      <c r="H472" s="118"/>
      <c r="I472" s="119">
        <f t="shared" si="46"/>
        <v>1350</v>
      </c>
      <c r="J472" s="120">
        <f t="shared" si="41"/>
        <v>0.3552631579</v>
      </c>
      <c r="K472" s="121">
        <f t="shared" si="45"/>
        <v>38</v>
      </c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5.75" customHeight="1">
      <c r="A473" s="122">
        <v>46262.0</v>
      </c>
      <c r="B473" s="123">
        <v>2060.0</v>
      </c>
      <c r="C473" s="126" t="s">
        <v>217</v>
      </c>
      <c r="D473" s="127" t="s">
        <v>215</v>
      </c>
      <c r="E473" s="115"/>
      <c r="F473" s="128">
        <v>22700.0</v>
      </c>
      <c r="G473" s="125">
        <v>19300.0</v>
      </c>
      <c r="H473" s="118"/>
      <c r="I473" s="119">
        <f t="shared" si="46"/>
        <v>3400</v>
      </c>
      <c r="J473" s="120">
        <f t="shared" si="41"/>
        <v>0.1497797357</v>
      </c>
      <c r="K473" s="121">
        <f t="shared" si="45"/>
        <v>227</v>
      </c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5.75" customHeight="1">
      <c r="A474" s="122">
        <v>46262.0</v>
      </c>
      <c r="B474" s="123">
        <v>2061.0</v>
      </c>
      <c r="C474" s="126" t="s">
        <v>218</v>
      </c>
      <c r="D474" s="127" t="s">
        <v>215</v>
      </c>
      <c r="E474" s="115"/>
      <c r="F474" s="128">
        <v>6250.0</v>
      </c>
      <c r="G474" s="125">
        <v>4000.0</v>
      </c>
      <c r="H474" s="118"/>
      <c r="I474" s="119">
        <f t="shared" si="46"/>
        <v>2250</v>
      </c>
      <c r="J474" s="120">
        <f t="shared" si="41"/>
        <v>0.36</v>
      </c>
      <c r="K474" s="121">
        <f t="shared" si="45"/>
        <v>62.5</v>
      </c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5.75" customHeight="1">
      <c r="A475" s="122">
        <v>46262.0</v>
      </c>
      <c r="B475" s="123">
        <v>2062.0</v>
      </c>
      <c r="C475" s="126" t="s">
        <v>218</v>
      </c>
      <c r="D475" s="127" t="s">
        <v>215</v>
      </c>
      <c r="E475" s="115"/>
      <c r="F475" s="128">
        <v>18000.0</v>
      </c>
      <c r="G475" s="125">
        <v>16200.0</v>
      </c>
      <c r="H475" s="118"/>
      <c r="I475" s="119">
        <f t="shared" si="46"/>
        <v>1800</v>
      </c>
      <c r="J475" s="120">
        <f t="shared" si="41"/>
        <v>0.1</v>
      </c>
      <c r="K475" s="121">
        <f t="shared" si="45"/>
        <v>180</v>
      </c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5.75" customHeight="1">
      <c r="A476" s="122">
        <v>46262.0</v>
      </c>
      <c r="B476" s="123">
        <v>2063.0</v>
      </c>
      <c r="C476" s="126">
        <v>2011.0</v>
      </c>
      <c r="D476" s="127" t="s">
        <v>215</v>
      </c>
      <c r="E476" s="115"/>
      <c r="F476" s="128">
        <v>2560.0</v>
      </c>
      <c r="G476" s="125">
        <v>1820.0</v>
      </c>
      <c r="H476" s="118"/>
      <c r="I476" s="119">
        <f t="shared" si="46"/>
        <v>740</v>
      </c>
      <c r="J476" s="120">
        <f t="shared" si="41"/>
        <v>0.2890625</v>
      </c>
      <c r="K476" s="121">
        <f t="shared" si="45"/>
        <v>25.6</v>
      </c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5.75" customHeight="1">
      <c r="A477" s="122">
        <v>46262.0</v>
      </c>
      <c r="B477" s="123">
        <v>1989.0</v>
      </c>
      <c r="C477" s="126" t="s">
        <v>447</v>
      </c>
      <c r="D477" s="127"/>
      <c r="E477" s="115"/>
      <c r="F477" s="128">
        <v>2300.0</v>
      </c>
      <c r="G477" s="153">
        <v>1600.0</v>
      </c>
      <c r="H477" s="118"/>
      <c r="I477" s="119">
        <f t="shared" si="46"/>
        <v>700</v>
      </c>
      <c r="J477" s="120">
        <f t="shared" si="41"/>
        <v>0.3043478261</v>
      </c>
      <c r="K477" s="121">
        <f t="shared" si="45"/>
        <v>23</v>
      </c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5.75" customHeight="1">
      <c r="A478" s="300">
        <f>TODAY()</f>
        <v>46311</v>
      </c>
      <c r="B478" s="143"/>
      <c r="C478" s="144" t="s">
        <v>448</v>
      </c>
      <c r="D478" s="143"/>
      <c r="E478" s="143"/>
      <c r="F478" s="145">
        <f t="shared" ref="F478:G478" si="47">sum(F479:F580)</f>
        <v>335887.7</v>
      </c>
      <c r="G478" s="146">
        <f t="shared" si="47"/>
        <v>254531</v>
      </c>
      <c r="H478" s="147" t="str">
        <f>sum(H478:H586)</f>
        <v>#REF!</v>
      </c>
      <c r="I478" s="146">
        <f>sum(I479:I522)</f>
        <v>79056.7</v>
      </c>
      <c r="J478" s="120">
        <f t="shared" si="41"/>
        <v>0.2353664633</v>
      </c>
      <c r="K478" s="303">
        <f t="shared" si="45"/>
        <v>3358.877</v>
      </c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5.75" customHeight="1">
      <c r="A479" s="122">
        <v>46266.0</v>
      </c>
      <c r="B479" s="123">
        <v>1990.0</v>
      </c>
      <c r="C479" s="126" t="s">
        <v>451</v>
      </c>
      <c r="D479" s="102"/>
      <c r="E479" s="115"/>
      <c r="F479" s="128">
        <v>5000.0</v>
      </c>
      <c r="G479" s="125">
        <v>2785.0</v>
      </c>
      <c r="H479" s="118"/>
      <c r="I479" s="119">
        <f t="shared" ref="I479:I673" si="48">F:F-G:G-H:H</f>
        <v>2215</v>
      </c>
      <c r="J479" s="120">
        <f t="shared" si="41"/>
        <v>0.443</v>
      </c>
      <c r="K479" s="121">
        <f t="shared" si="45"/>
        <v>50</v>
      </c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5.75" customHeight="1">
      <c r="A480" s="122">
        <v>46267.0</v>
      </c>
      <c r="B480" s="123">
        <v>1991.0</v>
      </c>
      <c r="C480" s="126" t="s">
        <v>358</v>
      </c>
      <c r="D480" s="102"/>
      <c r="E480" s="115"/>
      <c r="F480" s="128">
        <v>15232.0</v>
      </c>
      <c r="G480" s="125">
        <v>10260.0</v>
      </c>
      <c r="H480" s="118"/>
      <c r="I480" s="119">
        <f t="shared" si="48"/>
        <v>4972</v>
      </c>
      <c r="J480" s="120">
        <f t="shared" si="41"/>
        <v>0.3264180672</v>
      </c>
      <c r="K480" s="121">
        <f t="shared" si="45"/>
        <v>152.32</v>
      </c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5.75" customHeight="1">
      <c r="A481" s="122">
        <v>46269.0</v>
      </c>
      <c r="B481" s="123">
        <v>1992.0</v>
      </c>
      <c r="C481" s="126" t="s">
        <v>212</v>
      </c>
      <c r="D481" s="102"/>
      <c r="E481" s="115"/>
      <c r="F481" s="128">
        <v>1075.3</v>
      </c>
      <c r="G481" s="125">
        <v>390.0</v>
      </c>
      <c r="H481" s="118"/>
      <c r="I481" s="119">
        <f t="shared" si="48"/>
        <v>685.3</v>
      </c>
      <c r="J481" s="120">
        <f t="shared" si="41"/>
        <v>0.637310518</v>
      </c>
      <c r="K481" s="121">
        <f t="shared" si="45"/>
        <v>10.753</v>
      </c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5.75" customHeight="1">
      <c r="A482" s="122">
        <v>46274.0</v>
      </c>
      <c r="B482" s="123">
        <v>1993.0</v>
      </c>
      <c r="C482" s="126" t="s">
        <v>454</v>
      </c>
      <c r="D482" s="102"/>
      <c r="E482" s="115"/>
      <c r="F482" s="128">
        <v>2400.0</v>
      </c>
      <c r="G482" s="125">
        <v>1600.0</v>
      </c>
      <c r="H482" s="118"/>
      <c r="I482" s="119">
        <f t="shared" si="48"/>
        <v>800</v>
      </c>
      <c r="J482" s="120">
        <f t="shared" si="41"/>
        <v>0.3333333333</v>
      </c>
      <c r="K482" s="121">
        <f t="shared" si="45"/>
        <v>24</v>
      </c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5.75" customHeight="1">
      <c r="A483" s="122">
        <v>46276.0</v>
      </c>
      <c r="B483" s="123">
        <v>1994.0</v>
      </c>
      <c r="C483" s="126" t="s">
        <v>227</v>
      </c>
      <c r="D483" s="102"/>
      <c r="E483" s="115"/>
      <c r="F483" s="128">
        <v>4200.0</v>
      </c>
      <c r="G483" s="125">
        <v>2142.4</v>
      </c>
      <c r="H483" s="118"/>
      <c r="I483" s="119">
        <f t="shared" si="48"/>
        <v>2057.6</v>
      </c>
      <c r="J483" s="120">
        <f t="shared" si="41"/>
        <v>0.4899047619</v>
      </c>
      <c r="K483" s="121">
        <f t="shared" si="45"/>
        <v>42</v>
      </c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5.75" customHeight="1">
      <c r="A484" s="122">
        <v>46278.0</v>
      </c>
      <c r="B484" s="123">
        <v>1995.0</v>
      </c>
      <c r="C484" s="126" t="s">
        <v>459</v>
      </c>
      <c r="D484" s="102"/>
      <c r="E484" s="115"/>
      <c r="F484" s="128">
        <v>5000.0</v>
      </c>
      <c r="G484" s="125">
        <v>3200.0</v>
      </c>
      <c r="H484" s="118"/>
      <c r="I484" s="119">
        <f t="shared" si="48"/>
        <v>1800</v>
      </c>
      <c r="J484" s="120">
        <f t="shared" si="41"/>
        <v>0.36</v>
      </c>
      <c r="K484" s="121">
        <f t="shared" si="45"/>
        <v>50</v>
      </c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5.75" customHeight="1">
      <c r="A485" s="122">
        <v>46281.0</v>
      </c>
      <c r="B485" s="123">
        <v>1996.0</v>
      </c>
      <c r="C485" s="126" t="s">
        <v>462</v>
      </c>
      <c r="D485" s="102"/>
      <c r="E485" s="115"/>
      <c r="F485" s="128">
        <v>9710.4</v>
      </c>
      <c r="G485" s="125">
        <v>7669.0</v>
      </c>
      <c r="H485" s="118"/>
      <c r="I485" s="119">
        <f t="shared" si="48"/>
        <v>2041.4</v>
      </c>
      <c r="J485" s="120">
        <f t="shared" si="41"/>
        <v>0.2102282089</v>
      </c>
      <c r="K485" s="121">
        <f t="shared" si="45"/>
        <v>97.104</v>
      </c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5.75" customHeight="1">
      <c r="A486" s="122">
        <v>46282.0</v>
      </c>
      <c r="B486" s="123">
        <v>1997.0</v>
      </c>
      <c r="C486" s="126" t="s">
        <v>468</v>
      </c>
      <c r="D486" s="102"/>
      <c r="E486" s="115"/>
      <c r="F486" s="128">
        <v>12000.0</v>
      </c>
      <c r="G486" s="125">
        <v>6427.2</v>
      </c>
      <c r="H486" s="118"/>
      <c r="I486" s="119">
        <f t="shared" si="48"/>
        <v>5572.8</v>
      </c>
      <c r="J486" s="120">
        <f t="shared" si="41"/>
        <v>0.4644</v>
      </c>
      <c r="K486" s="121">
        <f t="shared" si="45"/>
        <v>120</v>
      </c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5.75" customHeight="1">
      <c r="A487" s="122">
        <v>46286.0</v>
      </c>
      <c r="B487" s="123">
        <v>1998.0</v>
      </c>
      <c r="C487" s="126" t="s">
        <v>212</v>
      </c>
      <c r="D487" s="102"/>
      <c r="E487" s="115"/>
      <c r="F487" s="128">
        <v>2240.0</v>
      </c>
      <c r="G487" s="125">
        <v>900.0</v>
      </c>
      <c r="H487" s="118"/>
      <c r="I487" s="119">
        <f t="shared" si="48"/>
        <v>1340</v>
      </c>
      <c r="J487" s="120">
        <f t="shared" si="41"/>
        <v>0.5982142857</v>
      </c>
      <c r="K487" s="121">
        <f t="shared" si="45"/>
        <v>22.4</v>
      </c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5.75" customHeight="1">
      <c r="A488" s="122">
        <v>46290.0</v>
      </c>
      <c r="B488" s="123">
        <v>1999.0</v>
      </c>
      <c r="C488" s="126" t="s">
        <v>474</v>
      </c>
      <c r="D488" s="102"/>
      <c r="E488" s="115"/>
      <c r="F488" s="128">
        <v>4200.0</v>
      </c>
      <c r="G488" s="125">
        <v>2142.4</v>
      </c>
      <c r="H488" s="118"/>
      <c r="I488" s="119">
        <f t="shared" si="48"/>
        <v>2057.6</v>
      </c>
      <c r="J488" s="120">
        <f t="shared" si="41"/>
        <v>0.4899047619</v>
      </c>
      <c r="K488" s="121">
        <f t="shared" si="45"/>
        <v>42</v>
      </c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5.75" customHeight="1">
      <c r="A489" s="122">
        <v>46291.0</v>
      </c>
      <c r="B489" s="123">
        <v>2000.0</v>
      </c>
      <c r="C489" s="126" t="s">
        <v>212</v>
      </c>
      <c r="D489" s="102"/>
      <c r="E489" s="115"/>
      <c r="F489" s="128">
        <v>4000.0</v>
      </c>
      <c r="G489" s="125">
        <v>1200.0</v>
      </c>
      <c r="H489" s="118"/>
      <c r="I489" s="119">
        <f t="shared" si="48"/>
        <v>2800</v>
      </c>
      <c r="J489" s="120">
        <f t="shared" si="41"/>
        <v>0.7</v>
      </c>
      <c r="K489" s="121">
        <f t="shared" si="45"/>
        <v>40</v>
      </c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5.75" customHeight="1">
      <c r="A490" s="113"/>
      <c r="B490" s="123">
        <v>2001.0</v>
      </c>
      <c r="C490" s="115"/>
      <c r="D490" s="102"/>
      <c r="E490" s="115"/>
      <c r="F490" s="119"/>
      <c r="G490" s="117"/>
      <c r="H490" s="118"/>
      <c r="I490" s="119">
        <f t="shared" si="48"/>
        <v>0</v>
      </c>
      <c r="J490" s="120" t="str">
        <f t="shared" si="41"/>
        <v>#DIV/0!</v>
      </c>
      <c r="K490" s="121">
        <f t="shared" si="45"/>
        <v>0</v>
      </c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5.75" customHeight="1">
      <c r="A491" s="122">
        <v>46268.0</v>
      </c>
      <c r="B491" s="123">
        <v>2064.0</v>
      </c>
      <c r="C491" s="126">
        <v>2011.0</v>
      </c>
      <c r="D491" s="102"/>
      <c r="E491" s="115"/>
      <c r="F491" s="128">
        <v>2800.0</v>
      </c>
      <c r="G491" s="125">
        <v>2050.0</v>
      </c>
      <c r="H491" s="118"/>
      <c r="I491" s="119">
        <f t="shared" si="48"/>
        <v>750</v>
      </c>
      <c r="J491" s="120">
        <f t="shared" si="41"/>
        <v>0.2678571429</v>
      </c>
      <c r="K491" s="121">
        <f t="shared" si="45"/>
        <v>28</v>
      </c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5.75" customHeight="1">
      <c r="A492" s="122">
        <v>46268.0</v>
      </c>
      <c r="B492" s="123">
        <v>2065.0</v>
      </c>
      <c r="C492" s="126" t="s">
        <v>246</v>
      </c>
      <c r="D492" s="102"/>
      <c r="E492" s="115"/>
      <c r="F492" s="128">
        <v>2600.0</v>
      </c>
      <c r="G492" s="125">
        <v>1700.0</v>
      </c>
      <c r="H492" s="118"/>
      <c r="I492" s="119">
        <f t="shared" si="48"/>
        <v>900</v>
      </c>
      <c r="J492" s="120">
        <f t="shared" si="41"/>
        <v>0.3461538462</v>
      </c>
      <c r="K492" s="121">
        <f t="shared" si="45"/>
        <v>26</v>
      </c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5.75" customHeight="1">
      <c r="A493" s="122">
        <v>46268.0</v>
      </c>
      <c r="B493" s="123">
        <v>2066.0</v>
      </c>
      <c r="C493" s="126" t="s">
        <v>218</v>
      </c>
      <c r="D493" s="102"/>
      <c r="E493" s="115"/>
      <c r="F493" s="128">
        <v>2200.0</v>
      </c>
      <c r="G493" s="125">
        <v>1320.0</v>
      </c>
      <c r="H493" s="118"/>
      <c r="I493" s="119">
        <f t="shared" si="48"/>
        <v>880</v>
      </c>
      <c r="J493" s="120">
        <f t="shared" si="41"/>
        <v>0.4</v>
      </c>
      <c r="K493" s="121">
        <f t="shared" si="45"/>
        <v>22</v>
      </c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5.75" customHeight="1">
      <c r="A494" s="122">
        <v>46268.0</v>
      </c>
      <c r="B494" s="123">
        <v>2067.0</v>
      </c>
      <c r="C494" s="126" t="s">
        <v>217</v>
      </c>
      <c r="D494" s="102"/>
      <c r="E494" s="115"/>
      <c r="F494" s="128">
        <v>14290.0</v>
      </c>
      <c r="G494" s="125">
        <v>10770.0</v>
      </c>
      <c r="H494" s="118"/>
      <c r="I494" s="119">
        <f t="shared" si="48"/>
        <v>3520</v>
      </c>
      <c r="J494" s="120">
        <f t="shared" si="41"/>
        <v>0.2463261022</v>
      </c>
      <c r="K494" s="121">
        <f t="shared" si="45"/>
        <v>142.9</v>
      </c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5.75" customHeight="1">
      <c r="A495" s="122">
        <v>46268.0</v>
      </c>
      <c r="B495" s="123">
        <v>2068.0</v>
      </c>
      <c r="C495" s="126" t="s">
        <v>218</v>
      </c>
      <c r="D495" s="102"/>
      <c r="E495" s="115"/>
      <c r="F495" s="128">
        <v>5000.0</v>
      </c>
      <c r="G495" s="125">
        <v>3400.0</v>
      </c>
      <c r="H495" s="118"/>
      <c r="I495" s="119">
        <f t="shared" si="48"/>
        <v>1600</v>
      </c>
      <c r="J495" s="120">
        <f t="shared" si="41"/>
        <v>0.32</v>
      </c>
      <c r="K495" s="121">
        <f t="shared" si="45"/>
        <v>50</v>
      </c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5.75" customHeight="1">
      <c r="A496" s="122">
        <v>46269.0</v>
      </c>
      <c r="B496" s="123">
        <v>2069.0</v>
      </c>
      <c r="C496" s="126" t="s">
        <v>246</v>
      </c>
      <c r="D496" s="102"/>
      <c r="E496" s="115"/>
      <c r="F496" s="128">
        <v>1900.0</v>
      </c>
      <c r="G496" s="125">
        <v>1300.0</v>
      </c>
      <c r="H496" s="118"/>
      <c r="I496" s="119">
        <f t="shared" si="48"/>
        <v>600</v>
      </c>
      <c r="J496" s="120">
        <f t="shared" si="41"/>
        <v>0.3157894737</v>
      </c>
      <c r="K496" s="121">
        <f t="shared" si="45"/>
        <v>19</v>
      </c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5.75" customHeight="1">
      <c r="A497" s="122">
        <v>46269.0</v>
      </c>
      <c r="B497" s="123">
        <v>2070.0</v>
      </c>
      <c r="C497" s="126" t="s">
        <v>246</v>
      </c>
      <c r="D497" s="102"/>
      <c r="E497" s="115"/>
      <c r="F497" s="128">
        <v>2600.0</v>
      </c>
      <c r="G497" s="125">
        <v>900.0</v>
      </c>
      <c r="H497" s="118"/>
      <c r="I497" s="119">
        <f t="shared" si="48"/>
        <v>1700</v>
      </c>
      <c r="J497" s="120">
        <f t="shared" si="41"/>
        <v>0.6538461538</v>
      </c>
      <c r="K497" s="121">
        <f t="shared" si="45"/>
        <v>26</v>
      </c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5.75" customHeight="1">
      <c r="A498" s="122">
        <v>46269.0</v>
      </c>
      <c r="B498" s="123">
        <v>2071.0</v>
      </c>
      <c r="C498" s="126" t="s">
        <v>429</v>
      </c>
      <c r="D498" s="102"/>
      <c r="E498" s="115"/>
      <c r="F498" s="128">
        <v>1000.0</v>
      </c>
      <c r="G498" s="125">
        <v>585.0</v>
      </c>
      <c r="H498" s="118"/>
      <c r="I498" s="119">
        <f t="shared" si="48"/>
        <v>415</v>
      </c>
      <c r="J498" s="120">
        <f t="shared" si="41"/>
        <v>0.415</v>
      </c>
      <c r="K498" s="121">
        <f t="shared" si="45"/>
        <v>10</v>
      </c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5.75" customHeight="1">
      <c r="A499" s="122">
        <v>46275.0</v>
      </c>
      <c r="B499" s="123">
        <v>2072.0</v>
      </c>
      <c r="C499" s="126" t="s">
        <v>217</v>
      </c>
      <c r="D499" s="102"/>
      <c r="E499" s="115"/>
      <c r="F499" s="128">
        <v>22800.0</v>
      </c>
      <c r="G499" s="125">
        <v>19550.0</v>
      </c>
      <c r="H499" s="118"/>
      <c r="I499" s="119">
        <f t="shared" si="48"/>
        <v>3250</v>
      </c>
      <c r="J499" s="120">
        <f t="shared" si="41"/>
        <v>0.1425438596</v>
      </c>
      <c r="K499" s="121">
        <f t="shared" si="45"/>
        <v>228</v>
      </c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5.75" customHeight="1">
      <c r="A500" s="122">
        <v>46275.0</v>
      </c>
      <c r="B500" s="123">
        <v>2073.0</v>
      </c>
      <c r="C500" s="126" t="s">
        <v>366</v>
      </c>
      <c r="D500" s="102"/>
      <c r="E500" s="115"/>
      <c r="F500" s="128">
        <v>1800.0</v>
      </c>
      <c r="G500" s="125">
        <v>1300.0</v>
      </c>
      <c r="H500" s="118"/>
      <c r="I500" s="119">
        <f t="shared" si="48"/>
        <v>500</v>
      </c>
      <c r="J500" s="120">
        <f t="shared" si="41"/>
        <v>0.2777777778</v>
      </c>
      <c r="K500" s="121">
        <f t="shared" si="45"/>
        <v>18</v>
      </c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5.75" customHeight="1">
      <c r="A501" s="122">
        <v>46275.0</v>
      </c>
      <c r="B501" s="123">
        <v>2074.0</v>
      </c>
      <c r="C501" s="126" t="s">
        <v>216</v>
      </c>
      <c r="D501" s="102"/>
      <c r="E501" s="115"/>
      <c r="F501" s="128">
        <v>1800.0</v>
      </c>
      <c r="G501" s="125">
        <v>1450.0</v>
      </c>
      <c r="H501" s="118"/>
      <c r="I501" s="119">
        <f t="shared" si="48"/>
        <v>350</v>
      </c>
      <c r="J501" s="120">
        <f t="shared" si="41"/>
        <v>0.1944444444</v>
      </c>
      <c r="K501" s="121">
        <f t="shared" si="45"/>
        <v>18</v>
      </c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5.75" customHeight="1">
      <c r="A502" s="122">
        <v>46275.0</v>
      </c>
      <c r="B502" s="123">
        <v>2075.0</v>
      </c>
      <c r="C502" s="126" t="s">
        <v>218</v>
      </c>
      <c r="D502" s="102"/>
      <c r="E502" s="115"/>
      <c r="F502" s="128">
        <v>5300.0</v>
      </c>
      <c r="G502" s="125">
        <v>3800.0</v>
      </c>
      <c r="H502" s="118"/>
      <c r="I502" s="119">
        <f t="shared" si="48"/>
        <v>1500</v>
      </c>
      <c r="J502" s="120">
        <f t="shared" si="41"/>
        <v>0.2830188679</v>
      </c>
      <c r="K502" s="121">
        <f t="shared" si="45"/>
        <v>53</v>
      </c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5.75" customHeight="1">
      <c r="A503" s="122">
        <v>46275.0</v>
      </c>
      <c r="B503" s="123">
        <v>2076.0</v>
      </c>
      <c r="C503" s="126" t="s">
        <v>255</v>
      </c>
      <c r="D503" s="102"/>
      <c r="E503" s="115"/>
      <c r="F503" s="128">
        <v>9600.0</v>
      </c>
      <c r="G503" s="125">
        <v>7100.0</v>
      </c>
      <c r="H503" s="118"/>
      <c r="I503" s="119">
        <f t="shared" si="48"/>
        <v>2500</v>
      </c>
      <c r="J503" s="120">
        <f t="shared" si="41"/>
        <v>0.2604166667</v>
      </c>
      <c r="K503" s="121">
        <f t="shared" si="45"/>
        <v>96</v>
      </c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5.75" customHeight="1">
      <c r="A504" s="122">
        <v>46275.0</v>
      </c>
      <c r="B504" s="123">
        <v>2077.0</v>
      </c>
      <c r="C504" s="126" t="s">
        <v>223</v>
      </c>
      <c r="D504" s="102"/>
      <c r="E504" s="115"/>
      <c r="F504" s="128">
        <v>1800.0</v>
      </c>
      <c r="G504" s="125">
        <v>900.0</v>
      </c>
      <c r="H504" s="118"/>
      <c r="I504" s="119">
        <f t="shared" si="48"/>
        <v>900</v>
      </c>
      <c r="J504" s="120">
        <f t="shared" si="41"/>
        <v>0.5</v>
      </c>
      <c r="K504" s="121">
        <f t="shared" si="45"/>
        <v>18</v>
      </c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5.75" customHeight="1">
      <c r="A505" s="122">
        <v>46279.0</v>
      </c>
      <c r="B505" s="123">
        <v>2078.0</v>
      </c>
      <c r="C505" s="126" t="s">
        <v>246</v>
      </c>
      <c r="D505" s="102"/>
      <c r="E505" s="115"/>
      <c r="F505" s="128">
        <v>3180.0</v>
      </c>
      <c r="G505" s="238">
        <v>2160.0</v>
      </c>
      <c r="H505" s="118"/>
      <c r="I505" s="119">
        <f t="shared" si="48"/>
        <v>1020</v>
      </c>
      <c r="J505" s="120">
        <f t="shared" si="41"/>
        <v>0.320754717</v>
      </c>
      <c r="K505" s="121">
        <f t="shared" si="45"/>
        <v>31.8</v>
      </c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5.75" customHeight="1">
      <c r="A506" s="122">
        <v>46281.0</v>
      </c>
      <c r="B506" s="123">
        <v>2079.0</v>
      </c>
      <c r="C506" s="126" t="s">
        <v>492</v>
      </c>
      <c r="D506" s="102"/>
      <c r="E506" s="115"/>
      <c r="F506" s="128">
        <v>600.0</v>
      </c>
      <c r="G506" s="125">
        <v>500.0</v>
      </c>
      <c r="H506" s="118"/>
      <c r="I506" s="119">
        <f t="shared" si="48"/>
        <v>100</v>
      </c>
      <c r="J506" s="120">
        <f t="shared" si="41"/>
        <v>0.1666666667</v>
      </c>
      <c r="K506" s="121">
        <f t="shared" si="45"/>
        <v>6</v>
      </c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5.75" customHeight="1">
      <c r="A507" s="122">
        <v>46282.0</v>
      </c>
      <c r="B507" s="123">
        <v>2080.0</v>
      </c>
      <c r="C507" s="126" t="s">
        <v>246</v>
      </c>
      <c r="D507" s="102"/>
      <c r="E507" s="115"/>
      <c r="F507" s="128">
        <v>10400.0</v>
      </c>
      <c r="G507" s="125">
        <v>8270.0</v>
      </c>
      <c r="H507" s="118"/>
      <c r="I507" s="119">
        <f t="shared" si="48"/>
        <v>2130</v>
      </c>
      <c r="J507" s="120">
        <f t="shared" si="41"/>
        <v>0.2048076923</v>
      </c>
      <c r="K507" s="121">
        <f t="shared" si="45"/>
        <v>104</v>
      </c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5.75" customHeight="1">
      <c r="A508" s="122">
        <v>46282.0</v>
      </c>
      <c r="B508" s="123">
        <v>2081.0</v>
      </c>
      <c r="C508" s="126" t="s">
        <v>217</v>
      </c>
      <c r="D508" s="102"/>
      <c r="E508" s="115"/>
      <c r="F508" s="128">
        <v>16220.0</v>
      </c>
      <c r="G508" s="125">
        <v>12200.0</v>
      </c>
      <c r="H508" s="118"/>
      <c r="I508" s="119">
        <f t="shared" si="48"/>
        <v>4020</v>
      </c>
      <c r="J508" s="120">
        <f t="shared" si="41"/>
        <v>0.2478421702</v>
      </c>
      <c r="K508" s="121">
        <f t="shared" si="45"/>
        <v>162.2</v>
      </c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5.75" customHeight="1">
      <c r="A509" s="122">
        <v>46283.0</v>
      </c>
      <c r="B509" s="123">
        <v>2082.0</v>
      </c>
      <c r="C509" s="126" t="s">
        <v>429</v>
      </c>
      <c r="D509" s="102"/>
      <c r="E509" s="115"/>
      <c r="F509" s="128">
        <v>8900.0</v>
      </c>
      <c r="G509" s="125">
        <v>8100.0</v>
      </c>
      <c r="H509" s="118"/>
      <c r="I509" s="119">
        <f t="shared" si="48"/>
        <v>800</v>
      </c>
      <c r="J509" s="120">
        <f t="shared" si="41"/>
        <v>0.08988764045</v>
      </c>
      <c r="K509" s="121">
        <f t="shared" si="45"/>
        <v>89</v>
      </c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5.75" customHeight="1">
      <c r="A510" s="122">
        <v>46282.0</v>
      </c>
      <c r="B510" s="123">
        <v>2083.0</v>
      </c>
      <c r="C510" s="126" t="s">
        <v>304</v>
      </c>
      <c r="D510" s="102"/>
      <c r="E510" s="115"/>
      <c r="F510" s="128">
        <v>5100.0</v>
      </c>
      <c r="G510" s="125">
        <v>4200.0</v>
      </c>
      <c r="H510" s="118"/>
      <c r="I510" s="119">
        <f t="shared" si="48"/>
        <v>900</v>
      </c>
      <c r="J510" s="120">
        <f t="shared" si="41"/>
        <v>0.1764705882</v>
      </c>
      <c r="K510" s="121">
        <f t="shared" si="45"/>
        <v>51</v>
      </c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5.75" customHeight="1">
      <c r="A511" s="122">
        <v>46282.0</v>
      </c>
      <c r="B511" s="123">
        <v>2084.0</v>
      </c>
      <c r="C511" s="126" t="s">
        <v>216</v>
      </c>
      <c r="D511" s="102"/>
      <c r="E511" s="115"/>
      <c r="F511" s="128">
        <v>7940.0</v>
      </c>
      <c r="G511" s="125">
        <v>5800.0</v>
      </c>
      <c r="H511" s="118"/>
      <c r="I511" s="119">
        <f t="shared" si="48"/>
        <v>2140</v>
      </c>
      <c r="J511" s="120">
        <f t="shared" si="41"/>
        <v>0.2695214106</v>
      </c>
      <c r="K511" s="121">
        <f t="shared" si="45"/>
        <v>79.4</v>
      </c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5.75" customHeight="1">
      <c r="A512" s="122">
        <v>46282.0</v>
      </c>
      <c r="B512" s="123">
        <v>2085.0</v>
      </c>
      <c r="C512" s="126" t="s">
        <v>218</v>
      </c>
      <c r="D512" s="102"/>
      <c r="E512" s="115"/>
      <c r="F512" s="128">
        <v>5000.0</v>
      </c>
      <c r="G512" s="117"/>
      <c r="H512" s="118"/>
      <c r="I512" s="119">
        <f t="shared" si="48"/>
        <v>5000</v>
      </c>
      <c r="J512" s="120">
        <f t="shared" si="41"/>
        <v>1</v>
      </c>
      <c r="K512" s="121">
        <f t="shared" si="45"/>
        <v>50</v>
      </c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5.75" customHeight="1">
      <c r="A513" s="122">
        <v>46283.0</v>
      </c>
      <c r="B513" s="123">
        <v>2086.0</v>
      </c>
      <c r="C513" s="126" t="s">
        <v>429</v>
      </c>
      <c r="D513" s="102"/>
      <c r="E513" s="115"/>
      <c r="F513" s="128">
        <v>8900.0</v>
      </c>
      <c r="G513" s="125">
        <v>8100.0</v>
      </c>
      <c r="H513" s="118"/>
      <c r="I513" s="119">
        <f t="shared" si="48"/>
        <v>800</v>
      </c>
      <c r="J513" s="120">
        <f t="shared" si="41"/>
        <v>0.08988764045</v>
      </c>
      <c r="K513" s="121">
        <f t="shared" si="45"/>
        <v>89</v>
      </c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5.75" customHeight="1">
      <c r="A514" s="122">
        <v>46283.0</v>
      </c>
      <c r="B514" s="123">
        <v>2087.0</v>
      </c>
      <c r="C514" s="126" t="s">
        <v>217</v>
      </c>
      <c r="D514" s="102"/>
      <c r="E514" s="115"/>
      <c r="F514" s="128">
        <v>17800.0</v>
      </c>
      <c r="G514" s="125">
        <v>16200.0</v>
      </c>
      <c r="H514" s="118"/>
      <c r="I514" s="119">
        <f t="shared" si="48"/>
        <v>1600</v>
      </c>
      <c r="J514" s="120">
        <f t="shared" si="41"/>
        <v>0.08988764045</v>
      </c>
      <c r="K514" s="121">
        <f t="shared" si="45"/>
        <v>178</v>
      </c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5.75" customHeight="1">
      <c r="A515" s="122">
        <v>46283.0</v>
      </c>
      <c r="B515" s="123">
        <v>2088.0</v>
      </c>
      <c r="C515" s="126" t="s">
        <v>214</v>
      </c>
      <c r="D515" s="102"/>
      <c r="E515" s="115"/>
      <c r="F515" s="128">
        <v>28200.0</v>
      </c>
      <c r="G515" s="125">
        <v>24300.0</v>
      </c>
      <c r="H515" s="118"/>
      <c r="I515" s="119">
        <f t="shared" si="48"/>
        <v>3900</v>
      </c>
      <c r="J515" s="120">
        <f t="shared" si="41"/>
        <v>0.1382978723</v>
      </c>
      <c r="K515" s="121">
        <f t="shared" si="45"/>
        <v>282</v>
      </c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5.75" customHeight="1">
      <c r="A516" s="122">
        <v>46284.0</v>
      </c>
      <c r="B516" s="123">
        <v>2089.0</v>
      </c>
      <c r="C516" s="126" t="s">
        <v>246</v>
      </c>
      <c r="D516" s="102"/>
      <c r="E516" s="115"/>
      <c r="F516" s="128">
        <v>1700.0</v>
      </c>
      <c r="G516" s="125">
        <v>1300.0</v>
      </c>
      <c r="H516" s="118"/>
      <c r="I516" s="119">
        <f t="shared" si="48"/>
        <v>400</v>
      </c>
      <c r="J516" s="120">
        <f t="shared" si="41"/>
        <v>0.2352941176</v>
      </c>
      <c r="K516" s="121">
        <f t="shared" si="45"/>
        <v>17</v>
      </c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5.75" customHeight="1">
      <c r="A517" s="122">
        <v>46286.0</v>
      </c>
      <c r="B517" s="123">
        <v>2090.0</v>
      </c>
      <c r="C517" s="126" t="s">
        <v>246</v>
      </c>
      <c r="D517" s="102"/>
      <c r="E517" s="115"/>
      <c r="F517" s="128">
        <v>1500.0</v>
      </c>
      <c r="G517" s="125">
        <v>1200.0</v>
      </c>
      <c r="H517" s="118"/>
      <c r="I517" s="119">
        <f t="shared" si="48"/>
        <v>300</v>
      </c>
      <c r="J517" s="120">
        <f t="shared" si="41"/>
        <v>0.2</v>
      </c>
      <c r="K517" s="121">
        <f t="shared" si="45"/>
        <v>15</v>
      </c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5.75" customHeight="1">
      <c r="A518" s="122">
        <v>46286.0</v>
      </c>
      <c r="B518" s="123">
        <v>2091.0</v>
      </c>
      <c r="C518" s="126" t="s">
        <v>219</v>
      </c>
      <c r="D518" s="102"/>
      <c r="E518" s="115"/>
      <c r="F518" s="128">
        <v>1400.0</v>
      </c>
      <c r="G518" s="125">
        <v>950.0</v>
      </c>
      <c r="H518" s="118"/>
      <c r="I518" s="119">
        <f t="shared" si="48"/>
        <v>450</v>
      </c>
      <c r="J518" s="120">
        <f t="shared" si="41"/>
        <v>0.3214285714</v>
      </c>
      <c r="K518" s="121">
        <f t="shared" si="45"/>
        <v>14</v>
      </c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5.75" customHeight="1">
      <c r="A519" s="122">
        <v>46287.0</v>
      </c>
      <c r="B519" s="123">
        <v>2092.0</v>
      </c>
      <c r="C519" s="126" t="s">
        <v>246</v>
      </c>
      <c r="D519" s="102"/>
      <c r="E519" s="115"/>
      <c r="F519" s="128">
        <v>1700.0</v>
      </c>
      <c r="G519" s="125">
        <v>1300.0</v>
      </c>
      <c r="H519" s="118"/>
      <c r="I519" s="119">
        <f t="shared" si="48"/>
        <v>400</v>
      </c>
      <c r="J519" s="120">
        <f t="shared" si="41"/>
        <v>0.2352941176</v>
      </c>
      <c r="K519" s="121">
        <f t="shared" si="45"/>
        <v>17</v>
      </c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5.75" customHeight="1">
      <c r="A520" s="122">
        <v>46289.0</v>
      </c>
      <c r="B520" s="123">
        <v>2093.0</v>
      </c>
      <c r="C520" s="126" t="s">
        <v>246</v>
      </c>
      <c r="D520" s="102"/>
      <c r="E520" s="115"/>
      <c r="F520" s="128">
        <v>8200.0</v>
      </c>
      <c r="G520" s="125">
        <v>5950.0</v>
      </c>
      <c r="H520" s="118"/>
      <c r="I520" s="119">
        <f t="shared" si="48"/>
        <v>2250</v>
      </c>
      <c r="J520" s="120">
        <f t="shared" si="41"/>
        <v>0.2743902439</v>
      </c>
      <c r="K520" s="121">
        <f t="shared" si="45"/>
        <v>82</v>
      </c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5.75" customHeight="1">
      <c r="A521" s="122">
        <v>46289.0</v>
      </c>
      <c r="B521" s="123">
        <v>2094.0</v>
      </c>
      <c r="C521" s="126" t="s">
        <v>217</v>
      </c>
      <c r="D521" s="102"/>
      <c r="E521" s="115"/>
      <c r="F521" s="128">
        <v>21800.0</v>
      </c>
      <c r="G521" s="125">
        <v>17500.0</v>
      </c>
      <c r="H521" s="118"/>
      <c r="I521" s="119">
        <f t="shared" si="48"/>
        <v>4300</v>
      </c>
      <c r="J521" s="120">
        <f t="shared" si="41"/>
        <v>0.1972477064</v>
      </c>
      <c r="K521" s="121">
        <f t="shared" si="45"/>
        <v>218</v>
      </c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5.75" customHeight="1">
      <c r="A522" s="122">
        <v>46289.0</v>
      </c>
      <c r="B522" s="123">
        <v>2095.0</v>
      </c>
      <c r="C522" s="126" t="s">
        <v>216</v>
      </c>
      <c r="D522" s="102"/>
      <c r="E522" s="115"/>
      <c r="F522" s="128">
        <v>29700.0</v>
      </c>
      <c r="G522" s="125">
        <v>26860.0</v>
      </c>
      <c r="H522" s="118"/>
      <c r="I522" s="119">
        <f t="shared" si="48"/>
        <v>2840</v>
      </c>
      <c r="J522" s="120">
        <f t="shared" si="41"/>
        <v>0.09562289562</v>
      </c>
      <c r="K522" s="121">
        <f t="shared" si="45"/>
        <v>297</v>
      </c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5.75" customHeight="1">
      <c r="A523" s="122">
        <v>46289.0</v>
      </c>
      <c r="B523" s="123">
        <v>2096.0</v>
      </c>
      <c r="C523" s="126" t="s">
        <v>218</v>
      </c>
      <c r="D523" s="102"/>
      <c r="E523" s="115"/>
      <c r="F523" s="128">
        <v>3600.0</v>
      </c>
      <c r="G523" s="125">
        <v>2900.0</v>
      </c>
      <c r="H523" s="118"/>
      <c r="I523" s="119">
        <f t="shared" si="48"/>
        <v>700</v>
      </c>
      <c r="J523" s="120">
        <f t="shared" si="41"/>
        <v>0.1944444444</v>
      </c>
      <c r="K523" s="121">
        <f t="shared" si="45"/>
        <v>36</v>
      </c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5.75" customHeight="1">
      <c r="A524" s="122">
        <v>46289.0</v>
      </c>
      <c r="B524" s="123">
        <v>2097.0</v>
      </c>
      <c r="C524" s="126" t="s">
        <v>518</v>
      </c>
      <c r="D524" s="102"/>
      <c r="E524" s="115"/>
      <c r="F524" s="128">
        <v>9900.0</v>
      </c>
      <c r="G524" s="125">
        <v>8550.0</v>
      </c>
      <c r="H524" s="118"/>
      <c r="I524" s="119">
        <f t="shared" si="48"/>
        <v>1350</v>
      </c>
      <c r="J524" s="120">
        <f t="shared" si="41"/>
        <v>0.1363636364</v>
      </c>
      <c r="K524" s="121">
        <f t="shared" si="45"/>
        <v>99</v>
      </c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5.75" customHeight="1">
      <c r="A525" s="122">
        <v>46289.0</v>
      </c>
      <c r="B525" s="123">
        <v>2098.0</v>
      </c>
      <c r="C525" s="126" t="s">
        <v>223</v>
      </c>
      <c r="D525" s="102"/>
      <c r="E525" s="115"/>
      <c r="F525" s="128">
        <v>3600.0</v>
      </c>
      <c r="G525" s="125">
        <v>3350.0</v>
      </c>
      <c r="H525" s="118"/>
      <c r="I525" s="119">
        <f t="shared" si="48"/>
        <v>250</v>
      </c>
      <c r="J525" s="120">
        <f t="shared" si="41"/>
        <v>0.06944444444</v>
      </c>
      <c r="K525" s="121">
        <f t="shared" si="45"/>
        <v>36</v>
      </c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5.75" customHeight="1">
      <c r="A526" s="113"/>
      <c r="B526" s="129"/>
      <c r="C526" s="115"/>
      <c r="D526" s="102"/>
      <c r="E526" s="115"/>
      <c r="F526" s="119"/>
      <c r="G526" s="117"/>
      <c r="H526" s="118"/>
      <c r="I526" s="119">
        <f t="shared" si="48"/>
        <v>0</v>
      </c>
      <c r="J526" s="120" t="str">
        <f t="shared" si="41"/>
        <v>#DIV/0!</v>
      </c>
      <c r="K526" s="121">
        <f t="shared" si="45"/>
        <v>0</v>
      </c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5.75" customHeight="1">
      <c r="A527" s="113"/>
      <c r="B527" s="129"/>
      <c r="C527" s="115"/>
      <c r="D527" s="102"/>
      <c r="E527" s="115"/>
      <c r="F527" s="119"/>
      <c r="G527" s="117"/>
      <c r="H527" s="118"/>
      <c r="I527" s="119">
        <f t="shared" si="48"/>
        <v>0</v>
      </c>
      <c r="J527" s="120" t="str">
        <f t="shared" si="41"/>
        <v>#DIV/0!</v>
      </c>
      <c r="K527" s="121">
        <f t="shared" si="45"/>
        <v>0</v>
      </c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5.75" customHeight="1">
      <c r="A528" s="113"/>
      <c r="B528" s="129"/>
      <c r="C528" s="115"/>
      <c r="D528" s="102"/>
      <c r="E528" s="115"/>
      <c r="F528" s="119"/>
      <c r="G528" s="117"/>
      <c r="H528" s="118"/>
      <c r="I528" s="119">
        <f t="shared" si="48"/>
        <v>0</v>
      </c>
      <c r="J528" s="120" t="str">
        <f t="shared" si="41"/>
        <v>#DIV/0!</v>
      </c>
      <c r="K528" s="121">
        <f t="shared" si="45"/>
        <v>0</v>
      </c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5.75" customHeight="1">
      <c r="A529" s="113"/>
      <c r="B529" s="129"/>
      <c r="C529" s="115"/>
      <c r="D529" s="102"/>
      <c r="E529" s="115"/>
      <c r="F529" s="119"/>
      <c r="G529" s="117"/>
      <c r="H529" s="118"/>
      <c r="I529" s="119">
        <f t="shared" si="48"/>
        <v>0</v>
      </c>
      <c r="J529" s="120" t="str">
        <f t="shared" si="41"/>
        <v>#DIV/0!</v>
      </c>
      <c r="K529" s="121">
        <f t="shared" si="45"/>
        <v>0</v>
      </c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5.75" customHeight="1">
      <c r="A530" s="113"/>
      <c r="B530" s="129"/>
      <c r="C530" s="115"/>
      <c r="D530" s="102"/>
      <c r="E530" s="115"/>
      <c r="F530" s="119"/>
      <c r="G530" s="117"/>
      <c r="H530" s="118"/>
      <c r="I530" s="119">
        <f t="shared" si="48"/>
        <v>0</v>
      </c>
      <c r="J530" s="120" t="str">
        <f t="shared" si="41"/>
        <v>#DIV/0!</v>
      </c>
      <c r="K530" s="121">
        <f t="shared" si="45"/>
        <v>0</v>
      </c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5.75" customHeight="1">
      <c r="A531" s="113"/>
      <c r="B531" s="129"/>
      <c r="C531" s="115"/>
      <c r="D531" s="102"/>
      <c r="E531" s="115"/>
      <c r="F531" s="119"/>
      <c r="G531" s="117"/>
      <c r="H531" s="118"/>
      <c r="I531" s="119">
        <f t="shared" si="48"/>
        <v>0</v>
      </c>
      <c r="J531" s="120" t="str">
        <f t="shared" si="41"/>
        <v>#DIV/0!</v>
      </c>
      <c r="K531" s="121">
        <f t="shared" si="45"/>
        <v>0</v>
      </c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5.75" customHeight="1">
      <c r="A532" s="113"/>
      <c r="B532" s="129"/>
      <c r="C532" s="115"/>
      <c r="D532" s="102"/>
      <c r="E532" s="115"/>
      <c r="F532" s="119"/>
      <c r="G532" s="117"/>
      <c r="H532" s="118"/>
      <c r="I532" s="119">
        <f t="shared" si="48"/>
        <v>0</v>
      </c>
      <c r="J532" s="120" t="str">
        <f t="shared" si="41"/>
        <v>#DIV/0!</v>
      </c>
      <c r="K532" s="121">
        <f t="shared" si="45"/>
        <v>0</v>
      </c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5.75" customHeight="1">
      <c r="A533" s="113"/>
      <c r="B533" s="129"/>
      <c r="C533" s="115"/>
      <c r="D533" s="102"/>
      <c r="E533" s="115"/>
      <c r="F533" s="119"/>
      <c r="G533" s="117"/>
      <c r="H533" s="118"/>
      <c r="I533" s="119">
        <f t="shared" si="48"/>
        <v>0</v>
      </c>
      <c r="J533" s="120" t="str">
        <f t="shared" si="41"/>
        <v>#DIV/0!</v>
      </c>
      <c r="K533" s="121">
        <f t="shared" si="45"/>
        <v>0</v>
      </c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5.75" customHeight="1">
      <c r="A534" s="113"/>
      <c r="B534" s="129"/>
      <c r="C534" s="115"/>
      <c r="D534" s="102"/>
      <c r="E534" s="115"/>
      <c r="F534" s="119"/>
      <c r="G534" s="117"/>
      <c r="H534" s="118"/>
      <c r="I534" s="119">
        <f t="shared" si="48"/>
        <v>0</v>
      </c>
      <c r="J534" s="120" t="str">
        <f t="shared" si="41"/>
        <v>#DIV/0!</v>
      </c>
      <c r="K534" s="121">
        <f t="shared" si="45"/>
        <v>0</v>
      </c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5.75" customHeight="1">
      <c r="A535" s="113"/>
      <c r="B535" s="129"/>
      <c r="C535" s="115"/>
      <c r="D535" s="102"/>
      <c r="E535" s="115"/>
      <c r="F535" s="119"/>
      <c r="G535" s="117"/>
      <c r="H535" s="118"/>
      <c r="I535" s="119">
        <f t="shared" si="48"/>
        <v>0</v>
      </c>
      <c r="J535" s="120" t="str">
        <f t="shared" si="41"/>
        <v>#DIV/0!</v>
      </c>
      <c r="K535" s="121">
        <f t="shared" si="45"/>
        <v>0</v>
      </c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5.75" customHeight="1">
      <c r="A536" s="113"/>
      <c r="B536" s="129"/>
      <c r="C536" s="115"/>
      <c r="D536" s="102"/>
      <c r="E536" s="115"/>
      <c r="F536" s="119"/>
      <c r="G536" s="117"/>
      <c r="H536" s="118"/>
      <c r="I536" s="119">
        <f t="shared" si="48"/>
        <v>0</v>
      </c>
      <c r="J536" s="120" t="str">
        <f t="shared" si="41"/>
        <v>#DIV/0!</v>
      </c>
      <c r="K536" s="121">
        <f t="shared" si="45"/>
        <v>0</v>
      </c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5.75" customHeight="1">
      <c r="A537" s="113"/>
      <c r="B537" s="129"/>
      <c r="C537" s="115"/>
      <c r="D537" s="102"/>
      <c r="E537" s="115"/>
      <c r="F537" s="119"/>
      <c r="G537" s="117"/>
      <c r="H537" s="118"/>
      <c r="I537" s="119">
        <f t="shared" si="48"/>
        <v>0</v>
      </c>
      <c r="J537" s="120" t="str">
        <f t="shared" si="41"/>
        <v>#DIV/0!</v>
      </c>
      <c r="K537" s="121">
        <f t="shared" si="45"/>
        <v>0</v>
      </c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5.75" customHeight="1">
      <c r="A538" s="113"/>
      <c r="B538" s="129"/>
      <c r="C538" s="115"/>
      <c r="D538" s="102"/>
      <c r="E538" s="115"/>
      <c r="F538" s="119"/>
      <c r="G538" s="117"/>
      <c r="H538" s="118"/>
      <c r="I538" s="119">
        <f t="shared" si="48"/>
        <v>0</v>
      </c>
      <c r="J538" s="120" t="str">
        <f t="shared" si="41"/>
        <v>#DIV/0!</v>
      </c>
      <c r="K538" s="121">
        <f t="shared" si="45"/>
        <v>0</v>
      </c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5.75" customHeight="1">
      <c r="A539" s="113"/>
      <c r="B539" s="129"/>
      <c r="C539" s="115"/>
      <c r="D539" s="102"/>
      <c r="E539" s="115"/>
      <c r="F539" s="119"/>
      <c r="G539" s="117"/>
      <c r="H539" s="118"/>
      <c r="I539" s="119">
        <f t="shared" si="48"/>
        <v>0</v>
      </c>
      <c r="J539" s="120" t="str">
        <f t="shared" si="41"/>
        <v>#DIV/0!</v>
      </c>
      <c r="K539" s="121">
        <f t="shared" si="45"/>
        <v>0</v>
      </c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5.75" customHeight="1">
      <c r="A540" s="113"/>
      <c r="B540" s="129"/>
      <c r="C540" s="115"/>
      <c r="D540" s="102"/>
      <c r="E540" s="115"/>
      <c r="F540" s="119"/>
      <c r="G540" s="117"/>
      <c r="H540" s="118"/>
      <c r="I540" s="119">
        <f t="shared" si="48"/>
        <v>0</v>
      </c>
      <c r="J540" s="120" t="str">
        <f t="shared" si="41"/>
        <v>#DIV/0!</v>
      </c>
      <c r="K540" s="121">
        <f t="shared" si="45"/>
        <v>0</v>
      </c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5.75" customHeight="1">
      <c r="A541" s="113"/>
      <c r="B541" s="129"/>
      <c r="C541" s="115"/>
      <c r="D541" s="102"/>
      <c r="E541" s="115"/>
      <c r="F541" s="119"/>
      <c r="G541" s="117"/>
      <c r="H541" s="118"/>
      <c r="I541" s="119">
        <f t="shared" si="48"/>
        <v>0</v>
      </c>
      <c r="J541" s="120" t="str">
        <f t="shared" si="41"/>
        <v>#DIV/0!</v>
      </c>
      <c r="K541" s="121">
        <f t="shared" si="45"/>
        <v>0</v>
      </c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5.75" customHeight="1">
      <c r="A542" s="113"/>
      <c r="B542" s="129"/>
      <c r="C542" s="115"/>
      <c r="D542" s="102"/>
      <c r="E542" s="115"/>
      <c r="F542" s="119"/>
      <c r="G542" s="117"/>
      <c r="H542" s="118"/>
      <c r="I542" s="119">
        <f t="shared" si="48"/>
        <v>0</v>
      </c>
      <c r="J542" s="120" t="str">
        <f t="shared" si="41"/>
        <v>#DIV/0!</v>
      </c>
      <c r="K542" s="121">
        <f t="shared" si="45"/>
        <v>0</v>
      </c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5.75" customHeight="1">
      <c r="A543" s="113"/>
      <c r="B543" s="129"/>
      <c r="C543" s="115"/>
      <c r="D543" s="102"/>
      <c r="E543" s="115"/>
      <c r="F543" s="119"/>
      <c r="G543" s="117"/>
      <c r="H543" s="118"/>
      <c r="I543" s="119">
        <f t="shared" si="48"/>
        <v>0</v>
      </c>
      <c r="J543" s="120" t="str">
        <f t="shared" si="41"/>
        <v>#DIV/0!</v>
      </c>
      <c r="K543" s="121">
        <f t="shared" si="45"/>
        <v>0</v>
      </c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5.75" customHeight="1">
      <c r="A544" s="113"/>
      <c r="B544" s="129"/>
      <c r="C544" s="115"/>
      <c r="D544" s="102"/>
      <c r="E544" s="115"/>
      <c r="F544" s="119"/>
      <c r="G544" s="117"/>
      <c r="H544" s="118"/>
      <c r="I544" s="119">
        <f t="shared" si="48"/>
        <v>0</v>
      </c>
      <c r="J544" s="120" t="str">
        <f t="shared" si="41"/>
        <v>#DIV/0!</v>
      </c>
      <c r="K544" s="121">
        <f t="shared" si="45"/>
        <v>0</v>
      </c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5.75" customHeight="1">
      <c r="A545" s="113"/>
      <c r="B545" s="129"/>
      <c r="C545" s="115"/>
      <c r="D545" s="102"/>
      <c r="E545" s="115"/>
      <c r="F545" s="119"/>
      <c r="G545" s="117"/>
      <c r="H545" s="118"/>
      <c r="I545" s="119">
        <f t="shared" si="48"/>
        <v>0</v>
      </c>
      <c r="J545" s="120" t="str">
        <f t="shared" si="41"/>
        <v>#DIV/0!</v>
      </c>
      <c r="K545" s="121">
        <f t="shared" si="45"/>
        <v>0</v>
      </c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5.75" customHeight="1">
      <c r="A546" s="113"/>
      <c r="B546" s="129"/>
      <c r="C546" s="115"/>
      <c r="D546" s="102"/>
      <c r="E546" s="115"/>
      <c r="F546" s="119"/>
      <c r="G546" s="117"/>
      <c r="H546" s="118"/>
      <c r="I546" s="119">
        <f t="shared" si="48"/>
        <v>0</v>
      </c>
      <c r="J546" s="120" t="str">
        <f t="shared" si="41"/>
        <v>#DIV/0!</v>
      </c>
      <c r="K546" s="121">
        <f t="shared" si="45"/>
        <v>0</v>
      </c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5.75" customHeight="1">
      <c r="A547" s="113"/>
      <c r="B547" s="129"/>
      <c r="C547" s="115"/>
      <c r="D547" s="102"/>
      <c r="E547" s="115"/>
      <c r="F547" s="119"/>
      <c r="G547" s="117"/>
      <c r="H547" s="118"/>
      <c r="I547" s="119">
        <f t="shared" si="48"/>
        <v>0</v>
      </c>
      <c r="J547" s="120" t="str">
        <f t="shared" si="41"/>
        <v>#DIV/0!</v>
      </c>
      <c r="K547" s="121">
        <f t="shared" si="45"/>
        <v>0</v>
      </c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5.75" customHeight="1">
      <c r="A548" s="113"/>
      <c r="B548" s="129"/>
      <c r="C548" s="115"/>
      <c r="D548" s="102"/>
      <c r="E548" s="115"/>
      <c r="F548" s="119"/>
      <c r="G548" s="117"/>
      <c r="H548" s="118"/>
      <c r="I548" s="119">
        <f t="shared" si="48"/>
        <v>0</v>
      </c>
      <c r="J548" s="120" t="str">
        <f t="shared" si="41"/>
        <v>#DIV/0!</v>
      </c>
      <c r="K548" s="121">
        <f t="shared" si="45"/>
        <v>0</v>
      </c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5.75" customHeight="1">
      <c r="A549" s="113"/>
      <c r="B549" s="129"/>
      <c r="C549" s="115"/>
      <c r="D549" s="102"/>
      <c r="E549" s="115"/>
      <c r="F549" s="119"/>
      <c r="G549" s="117"/>
      <c r="H549" s="118"/>
      <c r="I549" s="119">
        <f t="shared" si="48"/>
        <v>0</v>
      </c>
      <c r="J549" s="120" t="str">
        <f t="shared" si="41"/>
        <v>#DIV/0!</v>
      </c>
      <c r="K549" s="121">
        <f t="shared" si="45"/>
        <v>0</v>
      </c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5.75" customHeight="1">
      <c r="A550" s="113"/>
      <c r="B550" s="129"/>
      <c r="C550" s="115"/>
      <c r="D550" s="102"/>
      <c r="E550" s="115"/>
      <c r="F550" s="119"/>
      <c r="G550" s="117"/>
      <c r="H550" s="118"/>
      <c r="I550" s="119">
        <f t="shared" si="48"/>
        <v>0</v>
      </c>
      <c r="J550" s="120" t="str">
        <f t="shared" si="41"/>
        <v>#DIV/0!</v>
      </c>
      <c r="K550" s="121">
        <f t="shared" si="45"/>
        <v>0</v>
      </c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5.75" customHeight="1">
      <c r="A551" s="113"/>
      <c r="B551" s="129"/>
      <c r="C551" s="115"/>
      <c r="D551" s="102"/>
      <c r="E551" s="115"/>
      <c r="F551" s="119"/>
      <c r="G551" s="117"/>
      <c r="H551" s="118"/>
      <c r="I551" s="119">
        <f t="shared" si="48"/>
        <v>0</v>
      </c>
      <c r="J551" s="120" t="str">
        <f t="shared" si="41"/>
        <v>#DIV/0!</v>
      </c>
      <c r="K551" s="121">
        <f t="shared" si="45"/>
        <v>0</v>
      </c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5.75" customHeight="1">
      <c r="A552" s="113"/>
      <c r="B552" s="129"/>
      <c r="C552" s="115"/>
      <c r="D552" s="102"/>
      <c r="E552" s="115"/>
      <c r="F552" s="119"/>
      <c r="G552" s="117"/>
      <c r="H552" s="118"/>
      <c r="I552" s="119">
        <f t="shared" si="48"/>
        <v>0</v>
      </c>
      <c r="J552" s="120" t="str">
        <f t="shared" si="41"/>
        <v>#DIV/0!</v>
      </c>
      <c r="K552" s="121">
        <f t="shared" si="45"/>
        <v>0</v>
      </c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5.75" customHeight="1">
      <c r="A553" s="113"/>
      <c r="B553" s="129"/>
      <c r="C553" s="115"/>
      <c r="D553" s="102"/>
      <c r="E553" s="115"/>
      <c r="F553" s="119"/>
      <c r="G553" s="117"/>
      <c r="H553" s="118"/>
      <c r="I553" s="119">
        <f t="shared" si="48"/>
        <v>0</v>
      </c>
      <c r="J553" s="120" t="str">
        <f t="shared" si="41"/>
        <v>#DIV/0!</v>
      </c>
      <c r="K553" s="121">
        <f t="shared" si="45"/>
        <v>0</v>
      </c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5.75" customHeight="1">
      <c r="A554" s="113"/>
      <c r="B554" s="129"/>
      <c r="C554" s="115"/>
      <c r="D554" s="102"/>
      <c r="E554" s="115"/>
      <c r="F554" s="119"/>
      <c r="G554" s="117"/>
      <c r="H554" s="118"/>
      <c r="I554" s="119">
        <f t="shared" si="48"/>
        <v>0</v>
      </c>
      <c r="J554" s="120" t="str">
        <f t="shared" si="41"/>
        <v>#DIV/0!</v>
      </c>
      <c r="K554" s="121">
        <f t="shared" si="45"/>
        <v>0</v>
      </c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5.75" customHeight="1">
      <c r="A555" s="113"/>
      <c r="B555" s="129"/>
      <c r="C555" s="115"/>
      <c r="D555" s="102"/>
      <c r="E555" s="115"/>
      <c r="F555" s="119"/>
      <c r="G555" s="117"/>
      <c r="H555" s="118"/>
      <c r="I555" s="119">
        <f t="shared" si="48"/>
        <v>0</v>
      </c>
      <c r="J555" s="120" t="str">
        <f t="shared" si="41"/>
        <v>#DIV/0!</v>
      </c>
      <c r="K555" s="121">
        <f t="shared" si="45"/>
        <v>0</v>
      </c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5.75" customHeight="1">
      <c r="A556" s="113"/>
      <c r="B556" s="129"/>
      <c r="C556" s="115"/>
      <c r="D556" s="102"/>
      <c r="E556" s="115"/>
      <c r="F556" s="119"/>
      <c r="G556" s="117"/>
      <c r="H556" s="118"/>
      <c r="I556" s="119">
        <f t="shared" si="48"/>
        <v>0</v>
      </c>
      <c r="J556" s="120" t="str">
        <f t="shared" si="41"/>
        <v>#DIV/0!</v>
      </c>
      <c r="K556" s="121">
        <f t="shared" si="45"/>
        <v>0</v>
      </c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5.75" customHeight="1">
      <c r="A557" s="113"/>
      <c r="B557" s="129"/>
      <c r="C557" s="115"/>
      <c r="D557" s="102"/>
      <c r="E557" s="115"/>
      <c r="F557" s="119"/>
      <c r="G557" s="117"/>
      <c r="H557" s="118"/>
      <c r="I557" s="119">
        <f t="shared" si="48"/>
        <v>0</v>
      </c>
      <c r="J557" s="120" t="str">
        <f t="shared" si="41"/>
        <v>#DIV/0!</v>
      </c>
      <c r="K557" s="121">
        <f t="shared" si="45"/>
        <v>0</v>
      </c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5.75" customHeight="1">
      <c r="A558" s="113"/>
      <c r="B558" s="129"/>
      <c r="C558" s="115"/>
      <c r="D558" s="102"/>
      <c r="E558" s="115"/>
      <c r="F558" s="119"/>
      <c r="G558" s="117"/>
      <c r="H558" s="118"/>
      <c r="I558" s="119">
        <f t="shared" si="48"/>
        <v>0</v>
      </c>
      <c r="J558" s="120" t="str">
        <f t="shared" si="41"/>
        <v>#DIV/0!</v>
      </c>
      <c r="K558" s="121">
        <f t="shared" si="45"/>
        <v>0</v>
      </c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5.75" customHeight="1">
      <c r="A559" s="113"/>
      <c r="B559" s="129"/>
      <c r="C559" s="115"/>
      <c r="D559" s="102"/>
      <c r="E559" s="115"/>
      <c r="F559" s="119"/>
      <c r="G559" s="117"/>
      <c r="H559" s="118"/>
      <c r="I559" s="119">
        <f t="shared" si="48"/>
        <v>0</v>
      </c>
      <c r="J559" s="120" t="str">
        <f t="shared" si="41"/>
        <v>#DIV/0!</v>
      </c>
      <c r="K559" s="121">
        <f t="shared" si="45"/>
        <v>0</v>
      </c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5.75" customHeight="1">
      <c r="A560" s="113"/>
      <c r="B560" s="129"/>
      <c r="C560" s="115"/>
      <c r="D560" s="102"/>
      <c r="E560" s="115"/>
      <c r="F560" s="119"/>
      <c r="G560" s="117"/>
      <c r="H560" s="118"/>
      <c r="I560" s="119">
        <f t="shared" si="48"/>
        <v>0</v>
      </c>
      <c r="J560" s="120" t="str">
        <f t="shared" si="41"/>
        <v>#DIV/0!</v>
      </c>
      <c r="K560" s="121">
        <f t="shared" si="45"/>
        <v>0</v>
      </c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5.75" customHeight="1">
      <c r="A561" s="113"/>
      <c r="B561" s="129"/>
      <c r="C561" s="115"/>
      <c r="D561" s="102"/>
      <c r="E561" s="115"/>
      <c r="F561" s="119"/>
      <c r="G561" s="117"/>
      <c r="H561" s="118"/>
      <c r="I561" s="119">
        <f t="shared" si="48"/>
        <v>0</v>
      </c>
      <c r="J561" s="120" t="str">
        <f t="shared" si="41"/>
        <v>#DIV/0!</v>
      </c>
      <c r="K561" s="121">
        <f t="shared" si="45"/>
        <v>0</v>
      </c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5.75" customHeight="1">
      <c r="A562" s="113"/>
      <c r="B562" s="129"/>
      <c r="C562" s="115"/>
      <c r="D562" s="102"/>
      <c r="E562" s="115"/>
      <c r="F562" s="119"/>
      <c r="G562" s="117"/>
      <c r="H562" s="118"/>
      <c r="I562" s="119">
        <f t="shared" si="48"/>
        <v>0</v>
      </c>
      <c r="J562" s="120" t="str">
        <f t="shared" si="41"/>
        <v>#DIV/0!</v>
      </c>
      <c r="K562" s="121">
        <f t="shared" si="45"/>
        <v>0</v>
      </c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5.75" customHeight="1">
      <c r="A563" s="113"/>
      <c r="B563" s="129"/>
      <c r="C563" s="115"/>
      <c r="D563" s="102"/>
      <c r="E563" s="115"/>
      <c r="F563" s="119"/>
      <c r="G563" s="117"/>
      <c r="H563" s="118"/>
      <c r="I563" s="119">
        <f t="shared" si="48"/>
        <v>0</v>
      </c>
      <c r="J563" s="120" t="str">
        <f t="shared" si="41"/>
        <v>#DIV/0!</v>
      </c>
      <c r="K563" s="121">
        <f t="shared" si="45"/>
        <v>0</v>
      </c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5.75" customHeight="1">
      <c r="A564" s="113"/>
      <c r="B564" s="129"/>
      <c r="C564" s="115"/>
      <c r="D564" s="102"/>
      <c r="E564" s="115"/>
      <c r="F564" s="119"/>
      <c r="G564" s="117"/>
      <c r="H564" s="118"/>
      <c r="I564" s="119">
        <f t="shared" si="48"/>
        <v>0</v>
      </c>
      <c r="J564" s="120" t="str">
        <f t="shared" si="41"/>
        <v>#DIV/0!</v>
      </c>
      <c r="K564" s="121">
        <f t="shared" si="45"/>
        <v>0</v>
      </c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5.75" customHeight="1">
      <c r="A565" s="113"/>
      <c r="B565" s="129"/>
      <c r="C565" s="115"/>
      <c r="D565" s="102"/>
      <c r="E565" s="115"/>
      <c r="F565" s="119"/>
      <c r="G565" s="117"/>
      <c r="H565" s="118"/>
      <c r="I565" s="119">
        <f t="shared" si="48"/>
        <v>0</v>
      </c>
      <c r="J565" s="120" t="str">
        <f t="shared" si="41"/>
        <v>#DIV/0!</v>
      </c>
      <c r="K565" s="121">
        <f t="shared" si="45"/>
        <v>0</v>
      </c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5.75" customHeight="1">
      <c r="A566" s="113"/>
      <c r="B566" s="129"/>
      <c r="C566" s="115"/>
      <c r="D566" s="102"/>
      <c r="E566" s="115"/>
      <c r="F566" s="119"/>
      <c r="G566" s="117"/>
      <c r="H566" s="118"/>
      <c r="I566" s="119">
        <f t="shared" si="48"/>
        <v>0</v>
      </c>
      <c r="J566" s="120" t="str">
        <f t="shared" si="41"/>
        <v>#DIV/0!</v>
      </c>
      <c r="K566" s="121">
        <f t="shared" si="45"/>
        <v>0</v>
      </c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5.75" customHeight="1">
      <c r="A567" s="113"/>
      <c r="B567" s="129"/>
      <c r="C567" s="115"/>
      <c r="D567" s="102"/>
      <c r="E567" s="115"/>
      <c r="F567" s="119"/>
      <c r="G567" s="117"/>
      <c r="H567" s="118"/>
      <c r="I567" s="119">
        <f t="shared" si="48"/>
        <v>0</v>
      </c>
      <c r="J567" s="120" t="str">
        <f t="shared" si="41"/>
        <v>#DIV/0!</v>
      </c>
      <c r="K567" s="121">
        <f t="shared" si="45"/>
        <v>0</v>
      </c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5.75" customHeight="1">
      <c r="A568" s="113"/>
      <c r="B568" s="129"/>
      <c r="C568" s="115"/>
      <c r="D568" s="102"/>
      <c r="E568" s="115"/>
      <c r="F568" s="119"/>
      <c r="G568" s="117"/>
      <c r="H568" s="118"/>
      <c r="I568" s="119">
        <f t="shared" si="48"/>
        <v>0</v>
      </c>
      <c r="J568" s="120" t="str">
        <f t="shared" si="41"/>
        <v>#DIV/0!</v>
      </c>
      <c r="K568" s="121">
        <f t="shared" si="45"/>
        <v>0</v>
      </c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5.75" customHeight="1">
      <c r="A569" s="113"/>
      <c r="B569" s="129"/>
      <c r="C569" s="115"/>
      <c r="D569" s="102"/>
      <c r="E569" s="115"/>
      <c r="F569" s="119"/>
      <c r="G569" s="117"/>
      <c r="H569" s="118"/>
      <c r="I569" s="119">
        <f t="shared" si="48"/>
        <v>0</v>
      </c>
      <c r="J569" s="120" t="str">
        <f t="shared" si="41"/>
        <v>#DIV/0!</v>
      </c>
      <c r="K569" s="121">
        <f t="shared" si="45"/>
        <v>0</v>
      </c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5.75" customHeight="1">
      <c r="A570" s="113"/>
      <c r="B570" s="129"/>
      <c r="C570" s="115"/>
      <c r="D570" s="102"/>
      <c r="E570" s="115"/>
      <c r="F570" s="119"/>
      <c r="G570" s="117"/>
      <c r="H570" s="118"/>
      <c r="I570" s="119">
        <f t="shared" si="48"/>
        <v>0</v>
      </c>
      <c r="J570" s="120" t="str">
        <f t="shared" si="41"/>
        <v>#DIV/0!</v>
      </c>
      <c r="K570" s="121">
        <f t="shared" si="45"/>
        <v>0</v>
      </c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5.75" customHeight="1">
      <c r="A571" s="113"/>
      <c r="B571" s="129"/>
      <c r="C571" s="115"/>
      <c r="D571" s="102"/>
      <c r="E571" s="115"/>
      <c r="F571" s="119"/>
      <c r="G571" s="117"/>
      <c r="H571" s="118"/>
      <c r="I571" s="119">
        <f t="shared" si="48"/>
        <v>0</v>
      </c>
      <c r="J571" s="120" t="str">
        <f t="shared" si="41"/>
        <v>#DIV/0!</v>
      </c>
      <c r="K571" s="121">
        <f t="shared" si="45"/>
        <v>0</v>
      </c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5.75" customHeight="1">
      <c r="A572" s="113"/>
      <c r="B572" s="129"/>
      <c r="C572" s="115"/>
      <c r="D572" s="102"/>
      <c r="E572" s="115"/>
      <c r="F572" s="119"/>
      <c r="G572" s="117"/>
      <c r="H572" s="118"/>
      <c r="I572" s="119">
        <f t="shared" si="48"/>
        <v>0</v>
      </c>
      <c r="J572" s="120" t="str">
        <f t="shared" si="41"/>
        <v>#DIV/0!</v>
      </c>
      <c r="K572" s="121">
        <f t="shared" si="45"/>
        <v>0</v>
      </c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5.75" customHeight="1">
      <c r="A573" s="113"/>
      <c r="B573" s="129"/>
      <c r="C573" s="115"/>
      <c r="D573" s="102"/>
      <c r="E573" s="115"/>
      <c r="F573" s="119"/>
      <c r="G573" s="117"/>
      <c r="H573" s="118"/>
      <c r="I573" s="119">
        <f t="shared" si="48"/>
        <v>0</v>
      </c>
      <c r="J573" s="120" t="str">
        <f t="shared" si="41"/>
        <v>#DIV/0!</v>
      </c>
      <c r="K573" s="121">
        <f t="shared" si="45"/>
        <v>0</v>
      </c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5.75" customHeight="1">
      <c r="A574" s="113"/>
      <c r="B574" s="129"/>
      <c r="C574" s="115"/>
      <c r="D574" s="102"/>
      <c r="E574" s="115"/>
      <c r="F574" s="119"/>
      <c r="G574" s="117"/>
      <c r="H574" s="118"/>
      <c r="I574" s="119">
        <f t="shared" si="48"/>
        <v>0</v>
      </c>
      <c r="J574" s="120" t="str">
        <f t="shared" si="41"/>
        <v>#DIV/0!</v>
      </c>
      <c r="K574" s="121">
        <f t="shared" si="45"/>
        <v>0</v>
      </c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5.75" customHeight="1">
      <c r="A575" s="113"/>
      <c r="B575" s="129"/>
      <c r="C575" s="115"/>
      <c r="D575" s="102"/>
      <c r="E575" s="115"/>
      <c r="F575" s="119"/>
      <c r="G575" s="117"/>
      <c r="H575" s="118"/>
      <c r="I575" s="119">
        <f t="shared" si="48"/>
        <v>0</v>
      </c>
      <c r="J575" s="120" t="str">
        <f t="shared" si="41"/>
        <v>#DIV/0!</v>
      </c>
      <c r="K575" s="121">
        <f t="shared" si="45"/>
        <v>0</v>
      </c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5.75" customHeight="1">
      <c r="A576" s="113"/>
      <c r="B576" s="129"/>
      <c r="C576" s="115"/>
      <c r="D576" s="102"/>
      <c r="E576" s="115"/>
      <c r="F576" s="119"/>
      <c r="G576" s="117"/>
      <c r="H576" s="118"/>
      <c r="I576" s="119">
        <f t="shared" si="48"/>
        <v>0</v>
      </c>
      <c r="J576" s="120" t="str">
        <f t="shared" si="41"/>
        <v>#DIV/0!</v>
      </c>
      <c r="K576" s="121">
        <f t="shared" si="45"/>
        <v>0</v>
      </c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5.75" customHeight="1">
      <c r="A577" s="113"/>
      <c r="B577" s="129"/>
      <c r="C577" s="115"/>
      <c r="D577" s="102"/>
      <c r="E577" s="115"/>
      <c r="F577" s="119"/>
      <c r="G577" s="117"/>
      <c r="H577" s="118"/>
      <c r="I577" s="119">
        <f t="shared" si="48"/>
        <v>0</v>
      </c>
      <c r="J577" s="120" t="str">
        <f t="shared" si="41"/>
        <v>#DIV/0!</v>
      </c>
      <c r="K577" s="121">
        <f t="shared" si="45"/>
        <v>0</v>
      </c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5.75" customHeight="1">
      <c r="A578" s="113"/>
      <c r="B578" s="129"/>
      <c r="C578" s="115"/>
      <c r="D578" s="102"/>
      <c r="E578" s="115"/>
      <c r="F578" s="119"/>
      <c r="G578" s="117"/>
      <c r="H578" s="118"/>
      <c r="I578" s="119">
        <f t="shared" si="48"/>
        <v>0</v>
      </c>
      <c r="J578" s="120" t="str">
        <f t="shared" si="41"/>
        <v>#DIV/0!</v>
      </c>
      <c r="K578" s="121">
        <f t="shared" si="45"/>
        <v>0</v>
      </c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5.75" customHeight="1">
      <c r="A579" s="113"/>
      <c r="B579" s="129"/>
      <c r="C579" s="115"/>
      <c r="D579" s="102"/>
      <c r="E579" s="115"/>
      <c r="F579" s="119"/>
      <c r="G579" s="117"/>
      <c r="H579" s="118"/>
      <c r="I579" s="119">
        <f t="shared" si="48"/>
        <v>0</v>
      </c>
      <c r="J579" s="120" t="str">
        <f t="shared" si="41"/>
        <v>#DIV/0!</v>
      </c>
      <c r="K579" s="121">
        <f t="shared" si="45"/>
        <v>0</v>
      </c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5.75" customHeight="1">
      <c r="A580" s="113"/>
      <c r="B580" s="129"/>
      <c r="C580" s="115"/>
      <c r="D580" s="102"/>
      <c r="E580" s="115"/>
      <c r="F580" s="119"/>
      <c r="G580" s="117"/>
      <c r="H580" s="118"/>
      <c r="I580" s="119">
        <f t="shared" si="48"/>
        <v>0</v>
      </c>
      <c r="J580" s="120" t="str">
        <f t="shared" si="41"/>
        <v>#DIV/0!</v>
      </c>
      <c r="K580" s="121">
        <f t="shared" si="45"/>
        <v>0</v>
      </c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5.75" customHeight="1">
      <c r="A581" s="113"/>
      <c r="B581" s="129"/>
      <c r="C581" s="115"/>
      <c r="D581" s="102"/>
      <c r="E581" s="115"/>
      <c r="F581" s="119"/>
      <c r="G581" s="117"/>
      <c r="H581" s="118"/>
      <c r="I581" s="119">
        <f t="shared" si="48"/>
        <v>0</v>
      </c>
      <c r="J581" s="120" t="str">
        <f t="shared" si="41"/>
        <v>#DIV/0!</v>
      </c>
      <c r="K581" s="121">
        <f t="shared" si="45"/>
        <v>0</v>
      </c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5.75" customHeight="1">
      <c r="A582" s="113"/>
      <c r="B582" s="129"/>
      <c r="C582" s="115"/>
      <c r="D582" s="102"/>
      <c r="E582" s="115"/>
      <c r="F582" s="119"/>
      <c r="G582" s="117"/>
      <c r="H582" s="118"/>
      <c r="I582" s="119">
        <f t="shared" si="48"/>
        <v>0</v>
      </c>
      <c r="J582" s="120" t="str">
        <f t="shared" si="41"/>
        <v>#DIV/0!</v>
      </c>
      <c r="K582" s="121">
        <f t="shared" si="45"/>
        <v>0</v>
      </c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5.75" customHeight="1">
      <c r="A583" s="113"/>
      <c r="B583" s="129"/>
      <c r="C583" s="115"/>
      <c r="D583" s="102"/>
      <c r="E583" s="115"/>
      <c r="F583" s="119"/>
      <c r="G583" s="117"/>
      <c r="H583" s="118"/>
      <c r="I583" s="119">
        <f t="shared" si="48"/>
        <v>0</v>
      </c>
      <c r="J583" s="120" t="str">
        <f t="shared" si="41"/>
        <v>#DIV/0!</v>
      </c>
      <c r="K583" s="121">
        <f t="shared" si="45"/>
        <v>0</v>
      </c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5.75" customHeight="1">
      <c r="A584" s="113"/>
      <c r="B584" s="129"/>
      <c r="C584" s="115"/>
      <c r="D584" s="102"/>
      <c r="E584" s="115"/>
      <c r="F584" s="119"/>
      <c r="G584" s="117"/>
      <c r="H584" s="118"/>
      <c r="I584" s="119">
        <f t="shared" si="48"/>
        <v>0</v>
      </c>
      <c r="J584" s="120" t="str">
        <f t="shared" si="41"/>
        <v>#DIV/0!</v>
      </c>
      <c r="K584" s="121">
        <f t="shared" si="45"/>
        <v>0</v>
      </c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5.75" customHeight="1">
      <c r="A585" s="113"/>
      <c r="B585" s="129"/>
      <c r="C585" s="115"/>
      <c r="D585" s="102"/>
      <c r="E585" s="115"/>
      <c r="F585" s="119"/>
      <c r="G585" s="117"/>
      <c r="H585" s="118"/>
      <c r="I585" s="119">
        <f t="shared" si="48"/>
        <v>0</v>
      </c>
      <c r="J585" s="120" t="str">
        <f t="shared" si="41"/>
        <v>#DIV/0!</v>
      </c>
      <c r="K585" s="121">
        <f t="shared" si="45"/>
        <v>0</v>
      </c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5.75" customHeight="1">
      <c r="A586" s="113"/>
      <c r="B586" s="129"/>
      <c r="C586" s="115"/>
      <c r="D586" s="102"/>
      <c r="E586" s="115"/>
      <c r="F586" s="119"/>
      <c r="G586" s="117"/>
      <c r="H586" s="118"/>
      <c r="I586" s="119">
        <f t="shared" si="48"/>
        <v>0</v>
      </c>
      <c r="J586" s="120" t="str">
        <f t="shared" si="41"/>
        <v>#DIV/0!</v>
      </c>
      <c r="K586" s="121">
        <f t="shared" si="45"/>
        <v>0</v>
      </c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5.75" customHeight="1">
      <c r="A587" s="113"/>
      <c r="B587" s="129"/>
      <c r="C587" s="115"/>
      <c r="D587" s="102"/>
      <c r="E587" s="115"/>
      <c r="F587" s="119"/>
      <c r="G587" s="117"/>
      <c r="H587" s="118"/>
      <c r="I587" s="119">
        <f t="shared" si="48"/>
        <v>0</v>
      </c>
      <c r="J587" s="120" t="str">
        <f t="shared" si="41"/>
        <v>#DIV/0!</v>
      </c>
      <c r="K587" s="121">
        <f t="shared" si="45"/>
        <v>0</v>
      </c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5.75" customHeight="1">
      <c r="A588" s="113"/>
      <c r="B588" s="129"/>
      <c r="C588" s="115"/>
      <c r="D588" s="102"/>
      <c r="E588" s="115"/>
      <c r="F588" s="119"/>
      <c r="G588" s="117"/>
      <c r="H588" s="118"/>
      <c r="I588" s="119">
        <f t="shared" si="48"/>
        <v>0</v>
      </c>
      <c r="J588" s="120" t="str">
        <f t="shared" si="41"/>
        <v>#DIV/0!</v>
      </c>
      <c r="K588" s="121">
        <f t="shared" si="45"/>
        <v>0</v>
      </c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5.75" customHeight="1">
      <c r="A589" s="113"/>
      <c r="B589" s="129"/>
      <c r="C589" s="115"/>
      <c r="D589" s="102"/>
      <c r="E589" s="115"/>
      <c r="F589" s="119"/>
      <c r="G589" s="117"/>
      <c r="H589" s="118"/>
      <c r="I589" s="119">
        <f t="shared" si="48"/>
        <v>0</v>
      </c>
      <c r="J589" s="120" t="str">
        <f t="shared" si="41"/>
        <v>#DIV/0!</v>
      </c>
      <c r="K589" s="121">
        <f t="shared" si="45"/>
        <v>0</v>
      </c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5.75" customHeight="1">
      <c r="A590" s="113"/>
      <c r="B590" s="129"/>
      <c r="C590" s="115"/>
      <c r="D590" s="102"/>
      <c r="E590" s="115"/>
      <c r="F590" s="119"/>
      <c r="G590" s="117"/>
      <c r="H590" s="118"/>
      <c r="I590" s="119">
        <f t="shared" si="48"/>
        <v>0</v>
      </c>
      <c r="J590" s="120" t="str">
        <f t="shared" si="41"/>
        <v>#DIV/0!</v>
      </c>
      <c r="K590" s="121">
        <f t="shared" si="45"/>
        <v>0</v>
      </c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5.75" customHeight="1">
      <c r="A591" s="113"/>
      <c r="B591" s="129"/>
      <c r="C591" s="115"/>
      <c r="D591" s="102"/>
      <c r="E591" s="115"/>
      <c r="F591" s="119"/>
      <c r="G591" s="117"/>
      <c r="H591" s="118"/>
      <c r="I591" s="119">
        <f t="shared" si="48"/>
        <v>0</v>
      </c>
      <c r="J591" s="120" t="str">
        <f t="shared" si="41"/>
        <v>#DIV/0!</v>
      </c>
      <c r="K591" s="121">
        <f t="shared" si="45"/>
        <v>0</v>
      </c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5.75" customHeight="1">
      <c r="A592" s="113"/>
      <c r="B592" s="129"/>
      <c r="C592" s="115"/>
      <c r="D592" s="102"/>
      <c r="E592" s="115"/>
      <c r="F592" s="119"/>
      <c r="G592" s="117"/>
      <c r="H592" s="118"/>
      <c r="I592" s="119">
        <f t="shared" si="48"/>
        <v>0</v>
      </c>
      <c r="J592" s="120" t="str">
        <f t="shared" si="41"/>
        <v>#DIV/0!</v>
      </c>
      <c r="K592" s="121">
        <f t="shared" si="45"/>
        <v>0</v>
      </c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5.75" customHeight="1">
      <c r="A593" s="113"/>
      <c r="B593" s="129"/>
      <c r="C593" s="115"/>
      <c r="D593" s="102"/>
      <c r="E593" s="115"/>
      <c r="F593" s="119"/>
      <c r="G593" s="117"/>
      <c r="H593" s="118"/>
      <c r="I593" s="119">
        <f t="shared" si="48"/>
        <v>0</v>
      </c>
      <c r="J593" s="120" t="str">
        <f t="shared" si="41"/>
        <v>#DIV/0!</v>
      </c>
      <c r="K593" s="121">
        <f t="shared" si="45"/>
        <v>0</v>
      </c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5.75" customHeight="1">
      <c r="A594" s="113"/>
      <c r="B594" s="129"/>
      <c r="C594" s="115"/>
      <c r="D594" s="102"/>
      <c r="E594" s="115"/>
      <c r="F594" s="119"/>
      <c r="G594" s="117"/>
      <c r="H594" s="118"/>
      <c r="I594" s="119">
        <f t="shared" si="48"/>
        <v>0</v>
      </c>
      <c r="J594" s="120" t="str">
        <f t="shared" si="41"/>
        <v>#DIV/0!</v>
      </c>
      <c r="K594" s="121">
        <f t="shared" si="45"/>
        <v>0</v>
      </c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5.75" customHeight="1">
      <c r="A595" s="113"/>
      <c r="B595" s="129"/>
      <c r="C595" s="115"/>
      <c r="D595" s="102"/>
      <c r="E595" s="115"/>
      <c r="F595" s="119"/>
      <c r="G595" s="117"/>
      <c r="H595" s="118"/>
      <c r="I595" s="119">
        <f t="shared" si="48"/>
        <v>0</v>
      </c>
      <c r="J595" s="120" t="str">
        <f t="shared" si="41"/>
        <v>#DIV/0!</v>
      </c>
      <c r="K595" s="121">
        <f t="shared" si="45"/>
        <v>0</v>
      </c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5.75" customHeight="1">
      <c r="A596" s="113"/>
      <c r="B596" s="129"/>
      <c r="C596" s="115"/>
      <c r="D596" s="102"/>
      <c r="E596" s="115"/>
      <c r="F596" s="119"/>
      <c r="G596" s="117"/>
      <c r="H596" s="118"/>
      <c r="I596" s="119">
        <f t="shared" si="48"/>
        <v>0</v>
      </c>
      <c r="J596" s="120" t="str">
        <f t="shared" si="41"/>
        <v>#DIV/0!</v>
      </c>
      <c r="K596" s="121">
        <f t="shared" si="45"/>
        <v>0</v>
      </c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5.75" customHeight="1">
      <c r="A597" s="113"/>
      <c r="B597" s="129"/>
      <c r="C597" s="115"/>
      <c r="D597" s="102"/>
      <c r="E597" s="115"/>
      <c r="F597" s="119"/>
      <c r="G597" s="117"/>
      <c r="H597" s="118"/>
      <c r="I597" s="119">
        <f t="shared" si="48"/>
        <v>0</v>
      </c>
      <c r="J597" s="120" t="str">
        <f t="shared" si="41"/>
        <v>#DIV/0!</v>
      </c>
      <c r="K597" s="121">
        <f t="shared" si="45"/>
        <v>0</v>
      </c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5.75" customHeight="1">
      <c r="A598" s="113"/>
      <c r="B598" s="129"/>
      <c r="C598" s="115"/>
      <c r="D598" s="102"/>
      <c r="E598" s="115"/>
      <c r="F598" s="119"/>
      <c r="G598" s="117"/>
      <c r="H598" s="118"/>
      <c r="I598" s="119">
        <f t="shared" si="48"/>
        <v>0</v>
      </c>
      <c r="J598" s="120" t="str">
        <f t="shared" si="41"/>
        <v>#DIV/0!</v>
      </c>
      <c r="K598" s="121">
        <f t="shared" si="45"/>
        <v>0</v>
      </c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5.75" customHeight="1">
      <c r="A599" s="113"/>
      <c r="B599" s="129"/>
      <c r="C599" s="115"/>
      <c r="D599" s="102"/>
      <c r="E599" s="115"/>
      <c r="F599" s="119"/>
      <c r="G599" s="117"/>
      <c r="H599" s="118"/>
      <c r="I599" s="119">
        <f t="shared" si="48"/>
        <v>0</v>
      </c>
      <c r="J599" s="120" t="str">
        <f t="shared" si="41"/>
        <v>#DIV/0!</v>
      </c>
      <c r="K599" s="121">
        <f t="shared" si="45"/>
        <v>0</v>
      </c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5.75" customHeight="1">
      <c r="A600" s="113"/>
      <c r="B600" s="129"/>
      <c r="C600" s="115"/>
      <c r="D600" s="102"/>
      <c r="E600" s="115"/>
      <c r="F600" s="119"/>
      <c r="G600" s="117"/>
      <c r="H600" s="118"/>
      <c r="I600" s="119">
        <f t="shared" si="48"/>
        <v>0</v>
      </c>
      <c r="J600" s="120" t="str">
        <f t="shared" si="41"/>
        <v>#DIV/0!</v>
      </c>
      <c r="K600" s="121">
        <f t="shared" si="45"/>
        <v>0</v>
      </c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5.75" customHeight="1">
      <c r="A601" s="113"/>
      <c r="B601" s="129"/>
      <c r="C601" s="115"/>
      <c r="D601" s="102"/>
      <c r="E601" s="115"/>
      <c r="F601" s="119"/>
      <c r="G601" s="117"/>
      <c r="H601" s="118"/>
      <c r="I601" s="119">
        <f t="shared" si="48"/>
        <v>0</v>
      </c>
      <c r="J601" s="120" t="str">
        <f t="shared" si="41"/>
        <v>#DIV/0!</v>
      </c>
      <c r="K601" s="121">
        <f t="shared" si="45"/>
        <v>0</v>
      </c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5.75" customHeight="1">
      <c r="A602" s="113"/>
      <c r="B602" s="129"/>
      <c r="C602" s="115"/>
      <c r="D602" s="102"/>
      <c r="E602" s="115"/>
      <c r="F602" s="119"/>
      <c r="G602" s="117"/>
      <c r="H602" s="118"/>
      <c r="I602" s="119">
        <f t="shared" si="48"/>
        <v>0</v>
      </c>
      <c r="J602" s="120" t="str">
        <f t="shared" si="41"/>
        <v>#DIV/0!</v>
      </c>
      <c r="K602" s="121">
        <f t="shared" si="45"/>
        <v>0</v>
      </c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5.75" customHeight="1">
      <c r="A603" s="113"/>
      <c r="B603" s="129"/>
      <c r="C603" s="115"/>
      <c r="D603" s="102"/>
      <c r="E603" s="115"/>
      <c r="F603" s="119"/>
      <c r="G603" s="117"/>
      <c r="H603" s="118"/>
      <c r="I603" s="119">
        <f t="shared" si="48"/>
        <v>0</v>
      </c>
      <c r="J603" s="120" t="str">
        <f t="shared" si="41"/>
        <v>#DIV/0!</v>
      </c>
      <c r="K603" s="121">
        <f t="shared" si="45"/>
        <v>0</v>
      </c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5.75" customHeight="1">
      <c r="A604" s="113"/>
      <c r="B604" s="129"/>
      <c r="C604" s="115"/>
      <c r="D604" s="102"/>
      <c r="E604" s="115"/>
      <c r="F604" s="119"/>
      <c r="G604" s="117"/>
      <c r="H604" s="118"/>
      <c r="I604" s="119">
        <f t="shared" si="48"/>
        <v>0</v>
      </c>
      <c r="J604" s="120" t="str">
        <f t="shared" si="41"/>
        <v>#DIV/0!</v>
      </c>
      <c r="K604" s="121">
        <f t="shared" si="45"/>
        <v>0</v>
      </c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5.75" customHeight="1">
      <c r="A605" s="113"/>
      <c r="B605" s="129"/>
      <c r="C605" s="115"/>
      <c r="D605" s="102"/>
      <c r="E605" s="115"/>
      <c r="F605" s="119"/>
      <c r="G605" s="117"/>
      <c r="H605" s="118"/>
      <c r="I605" s="119">
        <f t="shared" si="48"/>
        <v>0</v>
      </c>
      <c r="J605" s="120" t="str">
        <f t="shared" si="41"/>
        <v>#DIV/0!</v>
      </c>
      <c r="K605" s="121">
        <f t="shared" si="45"/>
        <v>0</v>
      </c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5.75" customHeight="1">
      <c r="A606" s="113"/>
      <c r="B606" s="129"/>
      <c r="C606" s="115"/>
      <c r="D606" s="102"/>
      <c r="E606" s="115"/>
      <c r="F606" s="119"/>
      <c r="G606" s="117"/>
      <c r="H606" s="118"/>
      <c r="I606" s="119">
        <f t="shared" si="48"/>
        <v>0</v>
      </c>
      <c r="J606" s="120" t="str">
        <f t="shared" si="41"/>
        <v>#DIV/0!</v>
      </c>
      <c r="K606" s="121">
        <f t="shared" si="45"/>
        <v>0</v>
      </c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5.75" customHeight="1">
      <c r="A607" s="113"/>
      <c r="B607" s="129"/>
      <c r="C607" s="115"/>
      <c r="D607" s="102"/>
      <c r="E607" s="115"/>
      <c r="F607" s="119"/>
      <c r="G607" s="117"/>
      <c r="H607" s="118"/>
      <c r="I607" s="119">
        <f t="shared" si="48"/>
        <v>0</v>
      </c>
      <c r="J607" s="120" t="str">
        <f t="shared" si="41"/>
        <v>#DIV/0!</v>
      </c>
      <c r="K607" s="121">
        <f t="shared" si="45"/>
        <v>0</v>
      </c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5.75" customHeight="1">
      <c r="A608" s="113"/>
      <c r="B608" s="129"/>
      <c r="C608" s="115"/>
      <c r="D608" s="102"/>
      <c r="E608" s="115"/>
      <c r="F608" s="119"/>
      <c r="G608" s="117"/>
      <c r="H608" s="118"/>
      <c r="I608" s="119">
        <f t="shared" si="48"/>
        <v>0</v>
      </c>
      <c r="J608" s="120" t="str">
        <f t="shared" si="41"/>
        <v>#DIV/0!</v>
      </c>
      <c r="K608" s="121">
        <f t="shared" si="45"/>
        <v>0</v>
      </c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5.75" customHeight="1">
      <c r="A609" s="113"/>
      <c r="B609" s="129"/>
      <c r="C609" s="115"/>
      <c r="D609" s="102"/>
      <c r="E609" s="115"/>
      <c r="F609" s="119"/>
      <c r="G609" s="117"/>
      <c r="H609" s="118"/>
      <c r="I609" s="119">
        <f t="shared" si="48"/>
        <v>0</v>
      </c>
      <c r="J609" s="120" t="str">
        <f t="shared" si="41"/>
        <v>#DIV/0!</v>
      </c>
      <c r="K609" s="121">
        <f t="shared" si="45"/>
        <v>0</v>
      </c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5.75" customHeight="1">
      <c r="A610" s="113"/>
      <c r="B610" s="129"/>
      <c r="C610" s="115"/>
      <c r="D610" s="102"/>
      <c r="E610" s="115"/>
      <c r="F610" s="119"/>
      <c r="G610" s="117"/>
      <c r="H610" s="118"/>
      <c r="I610" s="119">
        <f t="shared" si="48"/>
        <v>0</v>
      </c>
      <c r="J610" s="120" t="str">
        <f t="shared" si="41"/>
        <v>#DIV/0!</v>
      </c>
      <c r="K610" s="121">
        <f t="shared" si="45"/>
        <v>0</v>
      </c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5.75" customHeight="1">
      <c r="A611" s="113"/>
      <c r="B611" s="129"/>
      <c r="C611" s="115"/>
      <c r="D611" s="102"/>
      <c r="E611" s="115"/>
      <c r="F611" s="119"/>
      <c r="G611" s="117"/>
      <c r="H611" s="118"/>
      <c r="I611" s="119">
        <f t="shared" si="48"/>
        <v>0</v>
      </c>
      <c r="J611" s="120" t="str">
        <f t="shared" si="41"/>
        <v>#DIV/0!</v>
      </c>
      <c r="K611" s="121">
        <f t="shared" si="45"/>
        <v>0</v>
      </c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5.75" customHeight="1">
      <c r="A612" s="113"/>
      <c r="B612" s="129"/>
      <c r="C612" s="115"/>
      <c r="D612" s="102"/>
      <c r="E612" s="115"/>
      <c r="F612" s="119"/>
      <c r="G612" s="117"/>
      <c r="H612" s="118"/>
      <c r="I612" s="119">
        <f t="shared" si="48"/>
        <v>0</v>
      </c>
      <c r="J612" s="120" t="str">
        <f t="shared" si="41"/>
        <v>#DIV/0!</v>
      </c>
      <c r="K612" s="121">
        <f t="shared" si="45"/>
        <v>0</v>
      </c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5.75" customHeight="1">
      <c r="A613" s="113"/>
      <c r="B613" s="129"/>
      <c r="C613" s="115"/>
      <c r="D613" s="102"/>
      <c r="E613" s="115"/>
      <c r="F613" s="119"/>
      <c r="G613" s="117"/>
      <c r="H613" s="118"/>
      <c r="I613" s="119">
        <f t="shared" si="48"/>
        <v>0</v>
      </c>
      <c r="J613" s="120" t="str">
        <f t="shared" si="41"/>
        <v>#DIV/0!</v>
      </c>
      <c r="K613" s="121">
        <f t="shared" si="45"/>
        <v>0</v>
      </c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5.75" customHeight="1">
      <c r="A614" s="113"/>
      <c r="B614" s="129"/>
      <c r="C614" s="115"/>
      <c r="D614" s="102"/>
      <c r="E614" s="115"/>
      <c r="F614" s="119"/>
      <c r="G614" s="117"/>
      <c r="H614" s="118"/>
      <c r="I614" s="119">
        <f t="shared" si="48"/>
        <v>0</v>
      </c>
      <c r="J614" s="120" t="str">
        <f t="shared" si="41"/>
        <v>#DIV/0!</v>
      </c>
      <c r="K614" s="121">
        <f t="shared" si="45"/>
        <v>0</v>
      </c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5.75" customHeight="1">
      <c r="A615" s="113"/>
      <c r="B615" s="129"/>
      <c r="C615" s="115"/>
      <c r="D615" s="102"/>
      <c r="E615" s="115"/>
      <c r="F615" s="119"/>
      <c r="G615" s="117"/>
      <c r="H615" s="118"/>
      <c r="I615" s="119">
        <f t="shared" si="48"/>
        <v>0</v>
      </c>
      <c r="J615" s="120" t="str">
        <f t="shared" si="41"/>
        <v>#DIV/0!</v>
      </c>
      <c r="K615" s="121">
        <f t="shared" si="45"/>
        <v>0</v>
      </c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5.75" customHeight="1">
      <c r="A616" s="113"/>
      <c r="B616" s="129"/>
      <c r="C616" s="115"/>
      <c r="D616" s="102"/>
      <c r="E616" s="115"/>
      <c r="F616" s="119"/>
      <c r="G616" s="117"/>
      <c r="H616" s="118"/>
      <c r="I616" s="119">
        <f t="shared" si="48"/>
        <v>0</v>
      </c>
      <c r="J616" s="120" t="str">
        <f t="shared" si="41"/>
        <v>#DIV/0!</v>
      </c>
      <c r="K616" s="121">
        <f t="shared" si="45"/>
        <v>0</v>
      </c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5.75" customHeight="1">
      <c r="A617" s="113"/>
      <c r="B617" s="129"/>
      <c r="C617" s="115"/>
      <c r="D617" s="102"/>
      <c r="E617" s="115"/>
      <c r="F617" s="119"/>
      <c r="G617" s="117"/>
      <c r="H617" s="118"/>
      <c r="I617" s="119">
        <f t="shared" si="48"/>
        <v>0</v>
      </c>
      <c r="J617" s="120" t="str">
        <f t="shared" si="41"/>
        <v>#DIV/0!</v>
      </c>
      <c r="K617" s="121">
        <f t="shared" si="45"/>
        <v>0</v>
      </c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5.75" customHeight="1">
      <c r="A618" s="113"/>
      <c r="B618" s="129"/>
      <c r="C618" s="115"/>
      <c r="D618" s="102"/>
      <c r="E618" s="115"/>
      <c r="F618" s="119"/>
      <c r="G618" s="117"/>
      <c r="H618" s="118"/>
      <c r="I618" s="119">
        <f t="shared" si="48"/>
        <v>0</v>
      </c>
      <c r="J618" s="120" t="str">
        <f t="shared" si="41"/>
        <v>#DIV/0!</v>
      </c>
      <c r="K618" s="121">
        <f t="shared" si="45"/>
        <v>0</v>
      </c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5.75" customHeight="1">
      <c r="A619" s="113"/>
      <c r="B619" s="129"/>
      <c r="C619" s="115"/>
      <c r="D619" s="102"/>
      <c r="E619" s="115"/>
      <c r="F619" s="119"/>
      <c r="G619" s="117"/>
      <c r="H619" s="118"/>
      <c r="I619" s="119">
        <f t="shared" si="48"/>
        <v>0</v>
      </c>
      <c r="J619" s="120" t="str">
        <f t="shared" si="41"/>
        <v>#DIV/0!</v>
      </c>
      <c r="K619" s="121">
        <f t="shared" si="45"/>
        <v>0</v>
      </c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5.75" customHeight="1">
      <c r="A620" s="113"/>
      <c r="B620" s="129"/>
      <c r="C620" s="115"/>
      <c r="D620" s="102"/>
      <c r="E620" s="115"/>
      <c r="F620" s="119"/>
      <c r="G620" s="117"/>
      <c r="H620" s="118"/>
      <c r="I620" s="119">
        <f t="shared" si="48"/>
        <v>0</v>
      </c>
      <c r="J620" s="120" t="str">
        <f t="shared" si="41"/>
        <v>#DIV/0!</v>
      </c>
      <c r="K620" s="121">
        <f t="shared" si="45"/>
        <v>0</v>
      </c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5.75" customHeight="1">
      <c r="A621" s="113"/>
      <c r="B621" s="129"/>
      <c r="C621" s="115"/>
      <c r="D621" s="102"/>
      <c r="E621" s="115"/>
      <c r="F621" s="119"/>
      <c r="G621" s="117"/>
      <c r="H621" s="118"/>
      <c r="I621" s="119">
        <f t="shared" si="48"/>
        <v>0</v>
      </c>
      <c r="J621" s="120" t="str">
        <f t="shared" si="41"/>
        <v>#DIV/0!</v>
      </c>
      <c r="K621" s="121">
        <f t="shared" si="45"/>
        <v>0</v>
      </c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5.75" customHeight="1">
      <c r="A622" s="113"/>
      <c r="B622" s="129"/>
      <c r="C622" s="115"/>
      <c r="D622" s="102"/>
      <c r="E622" s="115"/>
      <c r="F622" s="119"/>
      <c r="G622" s="117"/>
      <c r="H622" s="118"/>
      <c r="I622" s="119">
        <f t="shared" si="48"/>
        <v>0</v>
      </c>
      <c r="J622" s="120" t="str">
        <f t="shared" si="41"/>
        <v>#DIV/0!</v>
      </c>
      <c r="K622" s="121">
        <f t="shared" si="45"/>
        <v>0</v>
      </c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5.75" customHeight="1">
      <c r="A623" s="113"/>
      <c r="B623" s="129"/>
      <c r="C623" s="115"/>
      <c r="D623" s="102"/>
      <c r="E623" s="115"/>
      <c r="F623" s="119"/>
      <c r="G623" s="117"/>
      <c r="H623" s="118"/>
      <c r="I623" s="119">
        <f t="shared" si="48"/>
        <v>0</v>
      </c>
      <c r="J623" s="120" t="str">
        <f t="shared" si="41"/>
        <v>#DIV/0!</v>
      </c>
      <c r="K623" s="121">
        <f t="shared" si="45"/>
        <v>0</v>
      </c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5.75" customHeight="1">
      <c r="A624" s="113"/>
      <c r="B624" s="129"/>
      <c r="C624" s="115"/>
      <c r="D624" s="102"/>
      <c r="E624" s="115"/>
      <c r="F624" s="119"/>
      <c r="G624" s="117"/>
      <c r="H624" s="118"/>
      <c r="I624" s="119">
        <f t="shared" si="48"/>
        <v>0</v>
      </c>
      <c r="J624" s="120" t="str">
        <f t="shared" si="41"/>
        <v>#DIV/0!</v>
      </c>
      <c r="K624" s="121">
        <f t="shared" si="45"/>
        <v>0</v>
      </c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5.75" customHeight="1">
      <c r="A625" s="113"/>
      <c r="B625" s="129"/>
      <c r="C625" s="115"/>
      <c r="D625" s="102"/>
      <c r="E625" s="115"/>
      <c r="F625" s="119"/>
      <c r="G625" s="117"/>
      <c r="H625" s="118"/>
      <c r="I625" s="119">
        <f t="shared" si="48"/>
        <v>0</v>
      </c>
      <c r="J625" s="120" t="str">
        <f t="shared" si="41"/>
        <v>#DIV/0!</v>
      </c>
      <c r="K625" s="121">
        <f t="shared" si="45"/>
        <v>0</v>
      </c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5.75" customHeight="1">
      <c r="A626" s="113"/>
      <c r="B626" s="129"/>
      <c r="C626" s="115"/>
      <c r="D626" s="102"/>
      <c r="E626" s="115"/>
      <c r="F626" s="119"/>
      <c r="G626" s="117"/>
      <c r="H626" s="118"/>
      <c r="I626" s="119">
        <f t="shared" si="48"/>
        <v>0</v>
      </c>
      <c r="J626" s="120" t="str">
        <f t="shared" si="41"/>
        <v>#DIV/0!</v>
      </c>
      <c r="K626" s="121">
        <f t="shared" si="45"/>
        <v>0</v>
      </c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5.75" customHeight="1">
      <c r="A627" s="113"/>
      <c r="B627" s="129"/>
      <c r="C627" s="115"/>
      <c r="D627" s="102"/>
      <c r="E627" s="115"/>
      <c r="F627" s="119"/>
      <c r="G627" s="117"/>
      <c r="H627" s="118"/>
      <c r="I627" s="119">
        <f t="shared" si="48"/>
        <v>0</v>
      </c>
      <c r="J627" s="120" t="str">
        <f t="shared" si="41"/>
        <v>#DIV/0!</v>
      </c>
      <c r="K627" s="121">
        <f t="shared" si="45"/>
        <v>0</v>
      </c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5.75" customHeight="1">
      <c r="A628" s="113"/>
      <c r="B628" s="129"/>
      <c r="C628" s="115"/>
      <c r="D628" s="102"/>
      <c r="E628" s="115"/>
      <c r="F628" s="119"/>
      <c r="G628" s="117"/>
      <c r="H628" s="118"/>
      <c r="I628" s="119">
        <f t="shared" si="48"/>
        <v>0</v>
      </c>
      <c r="J628" s="120" t="str">
        <f t="shared" si="41"/>
        <v>#DIV/0!</v>
      </c>
      <c r="K628" s="121">
        <f t="shared" si="45"/>
        <v>0</v>
      </c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5.75" customHeight="1">
      <c r="A629" s="113"/>
      <c r="B629" s="129"/>
      <c r="C629" s="115"/>
      <c r="D629" s="102"/>
      <c r="E629" s="115"/>
      <c r="F629" s="119"/>
      <c r="G629" s="117"/>
      <c r="H629" s="118"/>
      <c r="I629" s="119">
        <f t="shared" si="48"/>
        <v>0</v>
      </c>
      <c r="J629" s="120" t="str">
        <f t="shared" si="41"/>
        <v>#DIV/0!</v>
      </c>
      <c r="K629" s="121">
        <f t="shared" si="45"/>
        <v>0</v>
      </c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5.75" customHeight="1">
      <c r="A630" s="113"/>
      <c r="B630" s="129"/>
      <c r="C630" s="115"/>
      <c r="D630" s="102"/>
      <c r="E630" s="115"/>
      <c r="F630" s="119"/>
      <c r="G630" s="117"/>
      <c r="H630" s="118"/>
      <c r="I630" s="119">
        <f t="shared" si="48"/>
        <v>0</v>
      </c>
      <c r="J630" s="120" t="str">
        <f t="shared" si="41"/>
        <v>#DIV/0!</v>
      </c>
      <c r="K630" s="121">
        <f t="shared" si="45"/>
        <v>0</v>
      </c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5.75" customHeight="1">
      <c r="A631" s="113"/>
      <c r="B631" s="129"/>
      <c r="C631" s="115"/>
      <c r="D631" s="102"/>
      <c r="E631" s="115"/>
      <c r="F631" s="119"/>
      <c r="G631" s="117"/>
      <c r="H631" s="118"/>
      <c r="I631" s="119">
        <f t="shared" si="48"/>
        <v>0</v>
      </c>
      <c r="J631" s="120" t="str">
        <f t="shared" si="41"/>
        <v>#DIV/0!</v>
      </c>
      <c r="K631" s="121">
        <f t="shared" si="45"/>
        <v>0</v>
      </c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5.75" customHeight="1">
      <c r="A632" s="113"/>
      <c r="B632" s="129"/>
      <c r="C632" s="115"/>
      <c r="D632" s="102"/>
      <c r="E632" s="115"/>
      <c r="F632" s="119"/>
      <c r="G632" s="117"/>
      <c r="H632" s="118"/>
      <c r="I632" s="119">
        <f t="shared" si="48"/>
        <v>0</v>
      </c>
      <c r="J632" s="120" t="str">
        <f t="shared" si="41"/>
        <v>#DIV/0!</v>
      </c>
      <c r="K632" s="121">
        <f t="shared" si="45"/>
        <v>0</v>
      </c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5.75" customHeight="1">
      <c r="A633" s="113"/>
      <c r="B633" s="129"/>
      <c r="C633" s="115"/>
      <c r="D633" s="102"/>
      <c r="E633" s="115"/>
      <c r="F633" s="119"/>
      <c r="G633" s="117"/>
      <c r="H633" s="118"/>
      <c r="I633" s="119">
        <f t="shared" si="48"/>
        <v>0</v>
      </c>
      <c r="J633" s="120" t="str">
        <f t="shared" si="41"/>
        <v>#DIV/0!</v>
      </c>
      <c r="K633" s="121">
        <f t="shared" si="45"/>
        <v>0</v>
      </c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5.75" customHeight="1">
      <c r="A634" s="113"/>
      <c r="B634" s="129"/>
      <c r="C634" s="115"/>
      <c r="D634" s="102"/>
      <c r="E634" s="115"/>
      <c r="F634" s="119"/>
      <c r="G634" s="117"/>
      <c r="H634" s="118"/>
      <c r="I634" s="119">
        <f t="shared" si="48"/>
        <v>0</v>
      </c>
      <c r="J634" s="120" t="str">
        <f t="shared" si="41"/>
        <v>#DIV/0!</v>
      </c>
      <c r="K634" s="121">
        <f t="shared" si="45"/>
        <v>0</v>
      </c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5.75" customHeight="1">
      <c r="A635" s="113"/>
      <c r="B635" s="129"/>
      <c r="C635" s="115"/>
      <c r="D635" s="102"/>
      <c r="E635" s="115"/>
      <c r="F635" s="119"/>
      <c r="G635" s="117"/>
      <c r="H635" s="118"/>
      <c r="I635" s="119">
        <f t="shared" si="48"/>
        <v>0</v>
      </c>
      <c r="J635" s="120" t="str">
        <f t="shared" si="41"/>
        <v>#DIV/0!</v>
      </c>
      <c r="K635" s="121">
        <f t="shared" si="45"/>
        <v>0</v>
      </c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5.75" customHeight="1">
      <c r="A636" s="113"/>
      <c r="B636" s="129"/>
      <c r="C636" s="115"/>
      <c r="D636" s="102"/>
      <c r="E636" s="115"/>
      <c r="F636" s="119"/>
      <c r="G636" s="117"/>
      <c r="H636" s="118"/>
      <c r="I636" s="119">
        <f t="shared" si="48"/>
        <v>0</v>
      </c>
      <c r="J636" s="120" t="str">
        <f t="shared" si="41"/>
        <v>#DIV/0!</v>
      </c>
      <c r="K636" s="121">
        <f t="shared" si="45"/>
        <v>0</v>
      </c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5.75" customHeight="1">
      <c r="A637" s="113"/>
      <c r="B637" s="129"/>
      <c r="C637" s="115"/>
      <c r="D637" s="102"/>
      <c r="E637" s="115"/>
      <c r="F637" s="119"/>
      <c r="G637" s="117"/>
      <c r="H637" s="118"/>
      <c r="I637" s="119">
        <f t="shared" si="48"/>
        <v>0</v>
      </c>
      <c r="J637" s="120" t="str">
        <f t="shared" si="41"/>
        <v>#DIV/0!</v>
      </c>
      <c r="K637" s="121">
        <f t="shared" si="45"/>
        <v>0</v>
      </c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5.75" customHeight="1">
      <c r="A638" s="113"/>
      <c r="B638" s="129"/>
      <c r="C638" s="115"/>
      <c r="D638" s="102"/>
      <c r="E638" s="115"/>
      <c r="F638" s="119"/>
      <c r="G638" s="117"/>
      <c r="H638" s="118"/>
      <c r="I638" s="119">
        <f t="shared" si="48"/>
        <v>0</v>
      </c>
      <c r="J638" s="120" t="str">
        <f t="shared" si="41"/>
        <v>#DIV/0!</v>
      </c>
      <c r="K638" s="121">
        <f t="shared" si="45"/>
        <v>0</v>
      </c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5.75" customHeight="1">
      <c r="A639" s="113"/>
      <c r="B639" s="129"/>
      <c r="C639" s="115"/>
      <c r="D639" s="102"/>
      <c r="E639" s="115"/>
      <c r="F639" s="119"/>
      <c r="G639" s="117"/>
      <c r="H639" s="118"/>
      <c r="I639" s="119">
        <f t="shared" si="48"/>
        <v>0</v>
      </c>
      <c r="J639" s="120" t="str">
        <f t="shared" si="41"/>
        <v>#DIV/0!</v>
      </c>
      <c r="K639" s="121">
        <f t="shared" si="45"/>
        <v>0</v>
      </c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5.75" customHeight="1">
      <c r="A640" s="113"/>
      <c r="B640" s="129"/>
      <c r="C640" s="115"/>
      <c r="D640" s="102"/>
      <c r="E640" s="115"/>
      <c r="F640" s="119"/>
      <c r="G640" s="117"/>
      <c r="H640" s="118"/>
      <c r="I640" s="119">
        <f t="shared" si="48"/>
        <v>0</v>
      </c>
      <c r="J640" s="120" t="str">
        <f t="shared" si="41"/>
        <v>#DIV/0!</v>
      </c>
      <c r="K640" s="121">
        <f t="shared" si="45"/>
        <v>0</v>
      </c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5.75" customHeight="1">
      <c r="A641" s="113"/>
      <c r="B641" s="129"/>
      <c r="C641" s="115"/>
      <c r="D641" s="102"/>
      <c r="E641" s="115"/>
      <c r="F641" s="119"/>
      <c r="G641" s="117"/>
      <c r="H641" s="118"/>
      <c r="I641" s="119">
        <f t="shared" si="48"/>
        <v>0</v>
      </c>
      <c r="J641" s="120" t="str">
        <f t="shared" si="41"/>
        <v>#DIV/0!</v>
      </c>
      <c r="K641" s="121">
        <f t="shared" si="45"/>
        <v>0</v>
      </c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5.75" customHeight="1">
      <c r="A642" s="113"/>
      <c r="B642" s="129"/>
      <c r="C642" s="115"/>
      <c r="D642" s="102"/>
      <c r="E642" s="115"/>
      <c r="F642" s="119"/>
      <c r="G642" s="117"/>
      <c r="H642" s="118"/>
      <c r="I642" s="119">
        <f t="shared" si="48"/>
        <v>0</v>
      </c>
      <c r="J642" s="120" t="str">
        <f t="shared" si="41"/>
        <v>#DIV/0!</v>
      </c>
      <c r="K642" s="121">
        <f t="shared" si="45"/>
        <v>0</v>
      </c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5.75" customHeight="1">
      <c r="A643" s="113"/>
      <c r="B643" s="129"/>
      <c r="C643" s="115"/>
      <c r="D643" s="102"/>
      <c r="E643" s="115"/>
      <c r="F643" s="119"/>
      <c r="G643" s="117"/>
      <c r="H643" s="118"/>
      <c r="I643" s="119">
        <f t="shared" si="48"/>
        <v>0</v>
      </c>
      <c r="J643" s="120" t="str">
        <f t="shared" si="41"/>
        <v>#DIV/0!</v>
      </c>
      <c r="K643" s="121">
        <f t="shared" si="45"/>
        <v>0</v>
      </c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5.75" customHeight="1">
      <c r="A644" s="113"/>
      <c r="B644" s="129"/>
      <c r="C644" s="115"/>
      <c r="D644" s="102"/>
      <c r="E644" s="115"/>
      <c r="F644" s="119"/>
      <c r="G644" s="117"/>
      <c r="H644" s="118"/>
      <c r="I644" s="119">
        <f t="shared" si="48"/>
        <v>0</v>
      </c>
      <c r="J644" s="120" t="str">
        <f t="shared" si="41"/>
        <v>#DIV/0!</v>
      </c>
      <c r="K644" s="121">
        <f t="shared" si="45"/>
        <v>0</v>
      </c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13"/>
      <c r="B645" s="129"/>
      <c r="C645" s="115"/>
      <c r="D645" s="102"/>
      <c r="E645" s="115"/>
      <c r="F645" s="119"/>
      <c r="G645" s="117"/>
      <c r="H645" s="118"/>
      <c r="I645" s="119">
        <f t="shared" si="48"/>
        <v>0</v>
      </c>
      <c r="J645" s="120" t="str">
        <f t="shared" si="41"/>
        <v>#DIV/0!</v>
      </c>
      <c r="K645" s="121">
        <f t="shared" si="45"/>
        <v>0</v>
      </c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13"/>
      <c r="B646" s="129"/>
      <c r="C646" s="115"/>
      <c r="D646" s="102"/>
      <c r="E646" s="115"/>
      <c r="F646" s="119"/>
      <c r="G646" s="117"/>
      <c r="H646" s="118"/>
      <c r="I646" s="119">
        <f t="shared" si="48"/>
        <v>0</v>
      </c>
      <c r="J646" s="120" t="str">
        <f t="shared" si="41"/>
        <v>#DIV/0!</v>
      </c>
      <c r="K646" s="121">
        <f t="shared" si="45"/>
        <v>0</v>
      </c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5.75" customHeight="1">
      <c r="A647" s="113"/>
      <c r="B647" s="129"/>
      <c r="C647" s="115"/>
      <c r="D647" s="102"/>
      <c r="E647" s="115"/>
      <c r="F647" s="119"/>
      <c r="G647" s="117"/>
      <c r="H647" s="118"/>
      <c r="I647" s="119">
        <f t="shared" si="48"/>
        <v>0</v>
      </c>
      <c r="J647" s="120" t="str">
        <f t="shared" si="41"/>
        <v>#DIV/0!</v>
      </c>
      <c r="K647" s="121">
        <f t="shared" si="45"/>
        <v>0</v>
      </c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5.75" customHeight="1">
      <c r="A648" s="113"/>
      <c r="B648" s="129"/>
      <c r="C648" s="115"/>
      <c r="D648" s="102"/>
      <c r="E648" s="115"/>
      <c r="F648" s="119"/>
      <c r="G648" s="117"/>
      <c r="H648" s="118"/>
      <c r="I648" s="119">
        <f t="shared" si="48"/>
        <v>0</v>
      </c>
      <c r="J648" s="120" t="str">
        <f t="shared" si="41"/>
        <v>#DIV/0!</v>
      </c>
      <c r="K648" s="121">
        <f t="shared" si="45"/>
        <v>0</v>
      </c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5.75" customHeight="1">
      <c r="A649" s="113"/>
      <c r="B649" s="129"/>
      <c r="C649" s="115"/>
      <c r="D649" s="102"/>
      <c r="E649" s="115"/>
      <c r="F649" s="119"/>
      <c r="G649" s="117"/>
      <c r="H649" s="118"/>
      <c r="I649" s="119">
        <f t="shared" si="48"/>
        <v>0</v>
      </c>
      <c r="J649" s="120" t="str">
        <f t="shared" si="41"/>
        <v>#DIV/0!</v>
      </c>
      <c r="K649" s="121">
        <f t="shared" si="45"/>
        <v>0</v>
      </c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5.75" customHeight="1">
      <c r="A650" s="113"/>
      <c r="B650" s="129"/>
      <c r="C650" s="115"/>
      <c r="D650" s="102"/>
      <c r="E650" s="115"/>
      <c r="F650" s="119"/>
      <c r="G650" s="117"/>
      <c r="H650" s="118"/>
      <c r="I650" s="119">
        <f t="shared" si="48"/>
        <v>0</v>
      </c>
      <c r="J650" s="120" t="str">
        <f t="shared" si="41"/>
        <v>#DIV/0!</v>
      </c>
      <c r="K650" s="121">
        <f t="shared" si="45"/>
        <v>0</v>
      </c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5.75" customHeight="1">
      <c r="A651" s="113"/>
      <c r="B651" s="129"/>
      <c r="C651" s="115"/>
      <c r="D651" s="102"/>
      <c r="E651" s="115"/>
      <c r="F651" s="119"/>
      <c r="G651" s="117"/>
      <c r="H651" s="118"/>
      <c r="I651" s="119">
        <f t="shared" si="48"/>
        <v>0</v>
      </c>
      <c r="J651" s="120" t="str">
        <f t="shared" si="41"/>
        <v>#DIV/0!</v>
      </c>
      <c r="K651" s="121">
        <f t="shared" si="45"/>
        <v>0</v>
      </c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5.75" customHeight="1">
      <c r="A652" s="113"/>
      <c r="B652" s="129"/>
      <c r="C652" s="115"/>
      <c r="D652" s="102"/>
      <c r="E652" s="115"/>
      <c r="F652" s="119"/>
      <c r="G652" s="117"/>
      <c r="H652" s="118"/>
      <c r="I652" s="119">
        <f t="shared" si="48"/>
        <v>0</v>
      </c>
      <c r="J652" s="120" t="str">
        <f t="shared" si="41"/>
        <v>#DIV/0!</v>
      </c>
      <c r="K652" s="121">
        <f t="shared" si="45"/>
        <v>0</v>
      </c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5.75" customHeight="1">
      <c r="A653" s="113"/>
      <c r="B653" s="129"/>
      <c r="C653" s="115"/>
      <c r="D653" s="102"/>
      <c r="E653" s="115"/>
      <c r="F653" s="119"/>
      <c r="G653" s="117"/>
      <c r="H653" s="118"/>
      <c r="I653" s="119">
        <f t="shared" si="48"/>
        <v>0</v>
      </c>
      <c r="J653" s="120" t="str">
        <f t="shared" si="41"/>
        <v>#DIV/0!</v>
      </c>
      <c r="K653" s="121">
        <f t="shared" si="45"/>
        <v>0</v>
      </c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5.75" customHeight="1">
      <c r="A654" s="113"/>
      <c r="B654" s="129"/>
      <c r="C654" s="115"/>
      <c r="D654" s="102"/>
      <c r="E654" s="115"/>
      <c r="F654" s="119"/>
      <c r="G654" s="117"/>
      <c r="H654" s="118"/>
      <c r="I654" s="119">
        <f t="shared" si="48"/>
        <v>0</v>
      </c>
      <c r="J654" s="120" t="str">
        <f t="shared" si="41"/>
        <v>#DIV/0!</v>
      </c>
      <c r="K654" s="121">
        <f t="shared" si="45"/>
        <v>0</v>
      </c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5.75" customHeight="1">
      <c r="A655" s="113"/>
      <c r="B655" s="129"/>
      <c r="C655" s="115"/>
      <c r="D655" s="102"/>
      <c r="E655" s="115"/>
      <c r="F655" s="119"/>
      <c r="G655" s="117"/>
      <c r="H655" s="118"/>
      <c r="I655" s="119">
        <f t="shared" si="48"/>
        <v>0</v>
      </c>
      <c r="J655" s="120" t="str">
        <f t="shared" si="41"/>
        <v>#DIV/0!</v>
      </c>
      <c r="K655" s="121">
        <f t="shared" si="45"/>
        <v>0</v>
      </c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5.75" customHeight="1">
      <c r="A656" s="113"/>
      <c r="B656" s="129"/>
      <c r="C656" s="115"/>
      <c r="D656" s="102"/>
      <c r="E656" s="115"/>
      <c r="F656" s="119"/>
      <c r="G656" s="117"/>
      <c r="H656" s="118"/>
      <c r="I656" s="119">
        <f t="shared" si="48"/>
        <v>0</v>
      </c>
      <c r="J656" s="120" t="str">
        <f t="shared" si="41"/>
        <v>#DIV/0!</v>
      </c>
      <c r="K656" s="121">
        <f t="shared" si="45"/>
        <v>0</v>
      </c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5.75" customHeight="1">
      <c r="A657" s="113"/>
      <c r="B657" s="129"/>
      <c r="C657" s="115"/>
      <c r="D657" s="102"/>
      <c r="E657" s="115"/>
      <c r="F657" s="119"/>
      <c r="G657" s="117"/>
      <c r="H657" s="118"/>
      <c r="I657" s="119">
        <f t="shared" si="48"/>
        <v>0</v>
      </c>
      <c r="J657" s="120" t="str">
        <f t="shared" si="41"/>
        <v>#DIV/0!</v>
      </c>
      <c r="K657" s="121">
        <f t="shared" si="45"/>
        <v>0</v>
      </c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5.75" customHeight="1">
      <c r="A658" s="113"/>
      <c r="B658" s="129"/>
      <c r="C658" s="115"/>
      <c r="D658" s="102"/>
      <c r="E658" s="115"/>
      <c r="F658" s="119"/>
      <c r="G658" s="117"/>
      <c r="H658" s="118"/>
      <c r="I658" s="119">
        <f t="shared" si="48"/>
        <v>0</v>
      </c>
      <c r="J658" s="120" t="str">
        <f t="shared" si="41"/>
        <v>#DIV/0!</v>
      </c>
      <c r="K658" s="121">
        <f t="shared" si="45"/>
        <v>0</v>
      </c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5.75" customHeight="1">
      <c r="A659" s="113"/>
      <c r="B659" s="129"/>
      <c r="C659" s="115"/>
      <c r="D659" s="102"/>
      <c r="E659" s="115"/>
      <c r="F659" s="119"/>
      <c r="G659" s="117"/>
      <c r="H659" s="118"/>
      <c r="I659" s="119">
        <f t="shared" si="48"/>
        <v>0</v>
      </c>
      <c r="J659" s="120" t="str">
        <f t="shared" si="41"/>
        <v>#DIV/0!</v>
      </c>
      <c r="K659" s="121">
        <f t="shared" si="45"/>
        <v>0</v>
      </c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5.75" customHeight="1">
      <c r="A660" s="113"/>
      <c r="B660" s="129"/>
      <c r="C660" s="115"/>
      <c r="D660" s="102"/>
      <c r="E660" s="115"/>
      <c r="F660" s="119"/>
      <c r="G660" s="117"/>
      <c r="H660" s="118"/>
      <c r="I660" s="119">
        <f t="shared" si="48"/>
        <v>0</v>
      </c>
      <c r="J660" s="120" t="str">
        <f t="shared" si="41"/>
        <v>#DIV/0!</v>
      </c>
      <c r="K660" s="121">
        <f t="shared" si="45"/>
        <v>0</v>
      </c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5.75" customHeight="1">
      <c r="A661" s="113"/>
      <c r="B661" s="129"/>
      <c r="C661" s="115"/>
      <c r="D661" s="102"/>
      <c r="E661" s="115"/>
      <c r="F661" s="119"/>
      <c r="G661" s="117"/>
      <c r="H661" s="118"/>
      <c r="I661" s="119">
        <f t="shared" si="48"/>
        <v>0</v>
      </c>
      <c r="J661" s="120" t="str">
        <f t="shared" si="41"/>
        <v>#DIV/0!</v>
      </c>
      <c r="K661" s="121">
        <f t="shared" si="45"/>
        <v>0</v>
      </c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5.75" customHeight="1">
      <c r="A662" s="113"/>
      <c r="B662" s="129"/>
      <c r="C662" s="115"/>
      <c r="D662" s="102"/>
      <c r="E662" s="115"/>
      <c r="F662" s="119"/>
      <c r="G662" s="117"/>
      <c r="H662" s="118"/>
      <c r="I662" s="119">
        <f t="shared" si="48"/>
        <v>0</v>
      </c>
      <c r="J662" s="120" t="str">
        <f t="shared" si="41"/>
        <v>#DIV/0!</v>
      </c>
      <c r="K662" s="121">
        <f t="shared" si="45"/>
        <v>0</v>
      </c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5.75" customHeight="1">
      <c r="A663" s="113"/>
      <c r="B663" s="129"/>
      <c r="C663" s="115"/>
      <c r="D663" s="102"/>
      <c r="E663" s="115"/>
      <c r="F663" s="119"/>
      <c r="G663" s="117"/>
      <c r="H663" s="118"/>
      <c r="I663" s="119">
        <f t="shared" si="48"/>
        <v>0</v>
      </c>
      <c r="J663" s="120" t="str">
        <f t="shared" si="41"/>
        <v>#DIV/0!</v>
      </c>
      <c r="K663" s="121">
        <f t="shared" si="45"/>
        <v>0</v>
      </c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5.75" customHeight="1">
      <c r="A664" s="113"/>
      <c r="B664" s="129"/>
      <c r="C664" s="115"/>
      <c r="D664" s="102"/>
      <c r="E664" s="115"/>
      <c r="F664" s="119"/>
      <c r="G664" s="117"/>
      <c r="H664" s="118"/>
      <c r="I664" s="119">
        <f t="shared" si="48"/>
        <v>0</v>
      </c>
      <c r="J664" s="120" t="str">
        <f t="shared" si="41"/>
        <v>#DIV/0!</v>
      </c>
      <c r="K664" s="121">
        <f t="shared" si="45"/>
        <v>0</v>
      </c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5.75" customHeight="1">
      <c r="A665" s="113"/>
      <c r="B665" s="129"/>
      <c r="C665" s="115"/>
      <c r="D665" s="102"/>
      <c r="E665" s="115"/>
      <c r="F665" s="119"/>
      <c r="G665" s="117"/>
      <c r="H665" s="118"/>
      <c r="I665" s="119">
        <f t="shared" si="48"/>
        <v>0</v>
      </c>
      <c r="J665" s="120" t="str">
        <f t="shared" si="41"/>
        <v>#DIV/0!</v>
      </c>
      <c r="K665" s="121">
        <f t="shared" si="45"/>
        <v>0</v>
      </c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5.75" customHeight="1">
      <c r="A666" s="113"/>
      <c r="B666" s="129"/>
      <c r="C666" s="115"/>
      <c r="D666" s="102"/>
      <c r="E666" s="115"/>
      <c r="F666" s="119"/>
      <c r="G666" s="117"/>
      <c r="H666" s="118"/>
      <c r="I666" s="119">
        <f t="shared" si="48"/>
        <v>0</v>
      </c>
      <c r="J666" s="120" t="str">
        <f t="shared" si="41"/>
        <v>#DIV/0!</v>
      </c>
      <c r="K666" s="121">
        <f t="shared" si="45"/>
        <v>0</v>
      </c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5.75" customHeight="1">
      <c r="A667" s="113"/>
      <c r="B667" s="129"/>
      <c r="C667" s="115"/>
      <c r="D667" s="102"/>
      <c r="E667" s="115"/>
      <c r="F667" s="119"/>
      <c r="G667" s="117"/>
      <c r="H667" s="118"/>
      <c r="I667" s="119">
        <f t="shared" si="48"/>
        <v>0</v>
      </c>
      <c r="J667" s="120" t="str">
        <f t="shared" si="41"/>
        <v>#DIV/0!</v>
      </c>
      <c r="K667" s="121">
        <f t="shared" si="45"/>
        <v>0</v>
      </c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5.75" customHeight="1">
      <c r="A668" s="113"/>
      <c r="B668" s="129"/>
      <c r="C668" s="115"/>
      <c r="D668" s="102"/>
      <c r="E668" s="115"/>
      <c r="F668" s="119"/>
      <c r="G668" s="117"/>
      <c r="H668" s="118"/>
      <c r="I668" s="119">
        <f t="shared" si="48"/>
        <v>0</v>
      </c>
      <c r="J668" s="120" t="str">
        <f t="shared" si="41"/>
        <v>#DIV/0!</v>
      </c>
      <c r="K668" s="121">
        <f t="shared" si="45"/>
        <v>0</v>
      </c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5.75" customHeight="1">
      <c r="A669" s="113"/>
      <c r="B669" s="129"/>
      <c r="C669" s="115"/>
      <c r="D669" s="102"/>
      <c r="E669" s="115"/>
      <c r="F669" s="119"/>
      <c r="G669" s="117"/>
      <c r="H669" s="118"/>
      <c r="I669" s="119">
        <f t="shared" si="48"/>
        <v>0</v>
      </c>
      <c r="J669" s="120" t="str">
        <f t="shared" si="41"/>
        <v>#DIV/0!</v>
      </c>
      <c r="K669" s="121">
        <f t="shared" si="45"/>
        <v>0</v>
      </c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5.75" customHeight="1">
      <c r="A670" s="113"/>
      <c r="B670" s="129"/>
      <c r="C670" s="115"/>
      <c r="D670" s="102"/>
      <c r="E670" s="115"/>
      <c r="F670" s="119"/>
      <c r="G670" s="117"/>
      <c r="H670" s="118"/>
      <c r="I670" s="119">
        <f t="shared" si="48"/>
        <v>0</v>
      </c>
      <c r="J670" s="120" t="str">
        <f t="shared" si="41"/>
        <v>#DIV/0!</v>
      </c>
      <c r="K670" s="121">
        <f t="shared" si="45"/>
        <v>0</v>
      </c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5.75" customHeight="1">
      <c r="A671" s="113"/>
      <c r="B671" s="129"/>
      <c r="C671" s="115"/>
      <c r="D671" s="102"/>
      <c r="E671" s="115"/>
      <c r="F671" s="119"/>
      <c r="G671" s="117"/>
      <c r="H671" s="118"/>
      <c r="I671" s="119">
        <f t="shared" si="48"/>
        <v>0</v>
      </c>
      <c r="J671" s="120" t="str">
        <f t="shared" si="41"/>
        <v>#DIV/0!</v>
      </c>
      <c r="K671" s="121">
        <f t="shared" si="45"/>
        <v>0</v>
      </c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5.75" customHeight="1">
      <c r="A672" s="113"/>
      <c r="B672" s="129"/>
      <c r="C672" s="115"/>
      <c r="D672" s="102"/>
      <c r="E672" s="115"/>
      <c r="F672" s="119"/>
      <c r="G672" s="117"/>
      <c r="H672" s="118"/>
      <c r="I672" s="119">
        <f t="shared" si="48"/>
        <v>0</v>
      </c>
      <c r="J672" s="120" t="str">
        <f t="shared" si="41"/>
        <v>#DIV/0!</v>
      </c>
      <c r="K672" s="121">
        <f t="shared" si="45"/>
        <v>0</v>
      </c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5.75" customHeight="1">
      <c r="A673" s="113"/>
      <c r="B673" s="129"/>
      <c r="C673" s="115"/>
      <c r="D673" s="102"/>
      <c r="E673" s="115"/>
      <c r="F673" s="119"/>
      <c r="G673" s="117"/>
      <c r="H673" s="118"/>
      <c r="I673" s="119">
        <f t="shared" si="48"/>
        <v>0</v>
      </c>
      <c r="J673" s="120" t="str">
        <f t="shared" si="41"/>
        <v>#DIV/0!</v>
      </c>
      <c r="K673" s="121">
        <f t="shared" si="45"/>
        <v>0</v>
      </c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5.75" customHeight="1">
      <c r="A674" s="113"/>
      <c r="B674" s="129"/>
      <c r="C674" s="115"/>
      <c r="D674" s="102"/>
      <c r="E674" s="115"/>
      <c r="F674" s="119"/>
      <c r="G674" s="519"/>
      <c r="H674" s="118"/>
      <c r="I674" s="519"/>
      <c r="J674" s="102"/>
      <c r="K674" s="121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5.75" customHeight="1">
      <c r="A675" s="113"/>
      <c r="B675" s="129"/>
      <c r="C675" s="115"/>
      <c r="D675" s="102"/>
      <c r="E675" s="115"/>
      <c r="F675" s="119"/>
      <c r="G675" s="519"/>
      <c r="H675" s="118"/>
      <c r="I675" s="519"/>
      <c r="J675" s="102"/>
      <c r="K675" s="121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5.75" customHeight="1">
      <c r="A676" s="113"/>
      <c r="B676" s="129"/>
      <c r="C676" s="115"/>
      <c r="D676" s="102"/>
      <c r="E676" s="115"/>
      <c r="F676" s="119"/>
      <c r="G676" s="519"/>
      <c r="H676" s="118"/>
      <c r="I676" s="519"/>
      <c r="J676" s="102"/>
      <c r="K676" s="121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5.75" customHeight="1">
      <c r="A677" s="113"/>
      <c r="B677" s="129"/>
      <c r="C677" s="115"/>
      <c r="D677" s="102"/>
      <c r="E677" s="115"/>
      <c r="F677" s="119"/>
      <c r="G677" s="519"/>
      <c r="H677" s="118"/>
      <c r="I677" s="519"/>
      <c r="J677" s="102"/>
      <c r="K677" s="121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5.75" customHeight="1">
      <c r="A678" s="113"/>
      <c r="B678" s="129"/>
      <c r="C678" s="115"/>
      <c r="D678" s="102"/>
      <c r="E678" s="115"/>
      <c r="F678" s="119"/>
      <c r="G678" s="519"/>
      <c r="H678" s="118"/>
      <c r="I678" s="519"/>
      <c r="J678" s="102"/>
      <c r="K678" s="121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5.75" customHeight="1">
      <c r="A679" s="113"/>
      <c r="B679" s="129"/>
      <c r="C679" s="115"/>
      <c r="D679" s="102"/>
      <c r="E679" s="115"/>
      <c r="F679" s="119"/>
      <c r="G679" s="519"/>
      <c r="H679" s="118"/>
      <c r="I679" s="519"/>
      <c r="J679" s="102"/>
      <c r="K679" s="121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5.75" customHeight="1">
      <c r="A680" s="113"/>
      <c r="B680" s="129"/>
      <c r="C680" s="115"/>
      <c r="D680" s="102"/>
      <c r="E680" s="115"/>
      <c r="F680" s="119"/>
      <c r="G680" s="519"/>
      <c r="H680" s="118"/>
      <c r="I680" s="519"/>
      <c r="J680" s="102"/>
      <c r="K680" s="121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5.75" customHeight="1">
      <c r="A681" s="113"/>
      <c r="B681" s="129"/>
      <c r="C681" s="115"/>
      <c r="D681" s="102"/>
      <c r="E681" s="115"/>
      <c r="F681" s="119"/>
      <c r="G681" s="519"/>
      <c r="H681" s="118"/>
      <c r="I681" s="519"/>
      <c r="J681" s="102"/>
      <c r="K681" s="121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5.75" customHeight="1">
      <c r="A682" s="113"/>
      <c r="B682" s="129"/>
      <c r="C682" s="115"/>
      <c r="D682" s="102"/>
      <c r="E682" s="115"/>
      <c r="F682" s="119"/>
      <c r="G682" s="519"/>
      <c r="H682" s="118"/>
      <c r="I682" s="519"/>
      <c r="J682" s="102"/>
      <c r="K682" s="121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5.75" customHeight="1">
      <c r="A683" s="113"/>
      <c r="B683" s="129"/>
      <c r="C683" s="115"/>
      <c r="D683" s="102"/>
      <c r="E683" s="115"/>
      <c r="F683" s="119"/>
      <c r="G683" s="519"/>
      <c r="H683" s="118"/>
      <c r="I683" s="519"/>
      <c r="J683" s="102"/>
      <c r="K683" s="121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13"/>
      <c r="B684" s="129"/>
      <c r="C684" s="115"/>
      <c r="D684" s="102"/>
      <c r="E684" s="115"/>
      <c r="F684" s="119"/>
      <c r="G684" s="519"/>
      <c r="H684" s="118"/>
      <c r="I684" s="519"/>
      <c r="J684" s="102"/>
      <c r="K684" s="121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13"/>
      <c r="B685" s="129"/>
      <c r="C685" s="115"/>
      <c r="D685" s="102"/>
      <c r="E685" s="115"/>
      <c r="F685" s="119"/>
      <c r="G685" s="519"/>
      <c r="H685" s="118"/>
      <c r="I685" s="519"/>
      <c r="J685" s="102"/>
      <c r="K685" s="121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5.75" customHeight="1">
      <c r="A686" s="113"/>
      <c r="B686" s="129"/>
      <c r="C686" s="115"/>
      <c r="D686" s="102"/>
      <c r="E686" s="115"/>
      <c r="F686" s="119"/>
      <c r="G686" s="519"/>
      <c r="H686" s="118"/>
      <c r="I686" s="519"/>
      <c r="J686" s="102"/>
      <c r="K686" s="121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5.75" customHeight="1">
      <c r="A687" s="113"/>
      <c r="B687" s="129"/>
      <c r="C687" s="115"/>
      <c r="D687" s="102"/>
      <c r="E687" s="115"/>
      <c r="F687" s="119"/>
      <c r="G687" s="519"/>
      <c r="H687" s="118"/>
      <c r="I687" s="519"/>
      <c r="J687" s="102"/>
      <c r="K687" s="121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5.75" customHeight="1">
      <c r="A688" s="113"/>
      <c r="B688" s="129"/>
      <c r="C688" s="115"/>
      <c r="D688" s="102"/>
      <c r="E688" s="115"/>
      <c r="F688" s="119"/>
      <c r="G688" s="519"/>
      <c r="H688" s="118"/>
      <c r="I688" s="519"/>
      <c r="J688" s="102"/>
      <c r="K688" s="121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13"/>
      <c r="B689" s="129"/>
      <c r="C689" s="115"/>
      <c r="D689" s="102"/>
      <c r="E689" s="115"/>
      <c r="F689" s="119"/>
      <c r="G689" s="519"/>
      <c r="H689" s="118"/>
      <c r="I689" s="519"/>
      <c r="J689" s="102"/>
      <c r="K689" s="121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13"/>
      <c r="B690" s="129"/>
      <c r="C690" s="115"/>
      <c r="D690" s="102"/>
      <c r="E690" s="115"/>
      <c r="F690" s="119"/>
      <c r="G690" s="519"/>
      <c r="H690" s="118"/>
      <c r="I690" s="519"/>
      <c r="J690" s="102"/>
      <c r="K690" s="121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5.75" customHeight="1">
      <c r="A691" s="113"/>
      <c r="B691" s="129"/>
      <c r="C691" s="115"/>
      <c r="D691" s="102"/>
      <c r="E691" s="115"/>
      <c r="F691" s="119"/>
      <c r="G691" s="519"/>
      <c r="H691" s="118"/>
      <c r="I691" s="519"/>
      <c r="J691" s="102"/>
      <c r="K691" s="121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5.75" customHeight="1">
      <c r="A692" s="113"/>
      <c r="B692" s="129"/>
      <c r="C692" s="115"/>
      <c r="D692" s="102"/>
      <c r="E692" s="115"/>
      <c r="F692" s="119"/>
      <c r="G692" s="519"/>
      <c r="H692" s="118"/>
      <c r="I692" s="519"/>
      <c r="J692" s="102"/>
      <c r="K692" s="121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5.75" customHeight="1">
      <c r="A693" s="113"/>
      <c r="B693" s="129"/>
      <c r="C693" s="115"/>
      <c r="D693" s="102"/>
      <c r="E693" s="115"/>
      <c r="F693" s="119"/>
      <c r="G693" s="519"/>
      <c r="H693" s="118"/>
      <c r="I693" s="519"/>
      <c r="J693" s="102"/>
      <c r="K693" s="121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5.75" customHeight="1">
      <c r="A694" s="113"/>
      <c r="B694" s="129"/>
      <c r="C694" s="115"/>
      <c r="D694" s="102"/>
      <c r="E694" s="115"/>
      <c r="F694" s="119"/>
      <c r="G694" s="519"/>
      <c r="H694" s="118"/>
      <c r="I694" s="519"/>
      <c r="J694" s="102"/>
      <c r="K694" s="121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5.75" customHeight="1">
      <c r="A695" s="113"/>
      <c r="B695" s="129"/>
      <c r="C695" s="115"/>
      <c r="D695" s="102"/>
      <c r="E695" s="115"/>
      <c r="F695" s="119"/>
      <c r="G695" s="519"/>
      <c r="H695" s="118"/>
      <c r="I695" s="519"/>
      <c r="J695" s="102"/>
      <c r="K695" s="121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5.75" customHeight="1">
      <c r="A696" s="113"/>
      <c r="B696" s="129"/>
      <c r="C696" s="115"/>
      <c r="D696" s="102"/>
      <c r="E696" s="115"/>
      <c r="F696" s="119"/>
      <c r="G696" s="519"/>
      <c r="H696" s="118"/>
      <c r="I696" s="519"/>
      <c r="J696" s="102"/>
      <c r="K696" s="121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5.75" customHeight="1">
      <c r="A697" s="113"/>
      <c r="B697" s="129"/>
      <c r="C697" s="115"/>
      <c r="D697" s="102"/>
      <c r="E697" s="115"/>
      <c r="F697" s="119"/>
      <c r="G697" s="519"/>
      <c r="H697" s="118"/>
      <c r="I697" s="519"/>
      <c r="J697" s="102"/>
      <c r="K697" s="121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5.75" customHeight="1">
      <c r="A698" s="113"/>
      <c r="B698" s="129"/>
      <c r="C698" s="115"/>
      <c r="D698" s="102"/>
      <c r="E698" s="115"/>
      <c r="F698" s="119"/>
      <c r="G698" s="519"/>
      <c r="H698" s="118"/>
      <c r="I698" s="519"/>
      <c r="J698" s="102"/>
      <c r="K698" s="121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5.75" customHeight="1">
      <c r="A699" s="113"/>
      <c r="B699" s="129"/>
      <c r="C699" s="115"/>
      <c r="D699" s="102"/>
      <c r="E699" s="115"/>
      <c r="F699" s="119"/>
      <c r="G699" s="519"/>
      <c r="H699" s="118"/>
      <c r="I699" s="519"/>
      <c r="J699" s="102"/>
      <c r="K699" s="121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5.75" customHeight="1">
      <c r="A700" s="113"/>
      <c r="B700" s="129"/>
      <c r="C700" s="115"/>
      <c r="D700" s="102"/>
      <c r="E700" s="115"/>
      <c r="F700" s="119"/>
      <c r="G700" s="519"/>
      <c r="H700" s="118"/>
      <c r="I700" s="519"/>
      <c r="J700" s="102"/>
      <c r="K700" s="121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5.75" customHeight="1">
      <c r="A701" s="113"/>
      <c r="B701" s="129"/>
      <c r="C701" s="115"/>
      <c r="D701" s="102"/>
      <c r="E701" s="115"/>
      <c r="F701" s="119"/>
      <c r="G701" s="519"/>
      <c r="H701" s="118"/>
      <c r="I701" s="519"/>
      <c r="J701" s="102"/>
      <c r="K701" s="121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5.75" customHeight="1">
      <c r="A702" s="113"/>
      <c r="B702" s="129"/>
      <c r="C702" s="115"/>
      <c r="D702" s="102"/>
      <c r="E702" s="115"/>
      <c r="F702" s="119"/>
      <c r="G702" s="519"/>
      <c r="H702" s="118"/>
      <c r="I702" s="519"/>
      <c r="J702" s="102"/>
      <c r="K702" s="121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5.75" customHeight="1">
      <c r="A703" s="113"/>
      <c r="B703" s="129"/>
      <c r="C703" s="115"/>
      <c r="D703" s="102"/>
      <c r="E703" s="115"/>
      <c r="F703" s="119"/>
      <c r="G703" s="519"/>
      <c r="H703" s="118"/>
      <c r="I703" s="519"/>
      <c r="J703" s="102"/>
      <c r="K703" s="121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5.75" customHeight="1">
      <c r="A704" s="113"/>
      <c r="B704" s="129"/>
      <c r="C704" s="115"/>
      <c r="D704" s="102"/>
      <c r="E704" s="115"/>
      <c r="F704" s="119"/>
      <c r="G704" s="519"/>
      <c r="H704" s="118"/>
      <c r="I704" s="519"/>
      <c r="J704" s="102"/>
      <c r="K704" s="121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5.75" customHeight="1">
      <c r="A705" s="113"/>
      <c r="B705" s="129"/>
      <c r="C705" s="115"/>
      <c r="D705" s="102"/>
      <c r="E705" s="115"/>
      <c r="F705" s="119"/>
      <c r="G705" s="519"/>
      <c r="H705" s="118"/>
      <c r="I705" s="519"/>
      <c r="J705" s="102"/>
      <c r="K705" s="121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5.75" customHeight="1">
      <c r="A706" s="113"/>
      <c r="B706" s="129"/>
      <c r="C706" s="115"/>
      <c r="D706" s="102"/>
      <c r="E706" s="115"/>
      <c r="F706" s="119"/>
      <c r="G706" s="519"/>
      <c r="H706" s="118"/>
      <c r="I706" s="519"/>
      <c r="J706" s="102"/>
      <c r="K706" s="121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5.75" customHeight="1">
      <c r="A707" s="113"/>
      <c r="B707" s="129"/>
      <c r="C707" s="115"/>
      <c r="D707" s="102"/>
      <c r="E707" s="115"/>
      <c r="F707" s="119"/>
      <c r="G707" s="519"/>
      <c r="H707" s="118"/>
      <c r="I707" s="519"/>
      <c r="J707" s="102"/>
      <c r="K707" s="121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5.75" customHeight="1">
      <c r="A708" s="113"/>
      <c r="B708" s="129"/>
      <c r="C708" s="115"/>
      <c r="D708" s="102"/>
      <c r="E708" s="115"/>
      <c r="F708" s="119"/>
      <c r="G708" s="519"/>
      <c r="H708" s="118"/>
      <c r="I708" s="519"/>
      <c r="J708" s="102"/>
      <c r="K708" s="121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5.75" customHeight="1">
      <c r="A709" s="113"/>
      <c r="B709" s="129"/>
      <c r="C709" s="115"/>
      <c r="D709" s="102"/>
      <c r="E709" s="115"/>
      <c r="F709" s="119"/>
      <c r="G709" s="519"/>
      <c r="H709" s="118"/>
      <c r="I709" s="519"/>
      <c r="J709" s="102"/>
      <c r="K709" s="121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5.75" customHeight="1">
      <c r="A710" s="113"/>
      <c r="B710" s="129"/>
      <c r="C710" s="115"/>
      <c r="D710" s="102"/>
      <c r="E710" s="115"/>
      <c r="F710" s="119"/>
      <c r="G710" s="519"/>
      <c r="H710" s="118"/>
      <c r="I710" s="519"/>
      <c r="J710" s="102"/>
      <c r="K710" s="121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5.75" customHeight="1">
      <c r="A711" s="113"/>
      <c r="B711" s="129"/>
      <c r="C711" s="115"/>
      <c r="D711" s="102"/>
      <c r="E711" s="115"/>
      <c r="F711" s="119"/>
      <c r="G711" s="519"/>
      <c r="H711" s="118"/>
      <c r="I711" s="519"/>
      <c r="J711" s="102"/>
      <c r="K711" s="121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5.75" customHeight="1">
      <c r="A712" s="113"/>
      <c r="B712" s="129"/>
      <c r="C712" s="115"/>
      <c r="D712" s="102"/>
      <c r="E712" s="115"/>
      <c r="F712" s="119"/>
      <c r="G712" s="519"/>
      <c r="H712" s="118"/>
      <c r="I712" s="519"/>
      <c r="J712" s="102"/>
      <c r="K712" s="121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5.75" customHeight="1">
      <c r="A713" s="113"/>
      <c r="B713" s="129"/>
      <c r="C713" s="115"/>
      <c r="D713" s="102"/>
      <c r="E713" s="115"/>
      <c r="F713" s="119"/>
      <c r="G713" s="519"/>
      <c r="H713" s="118"/>
      <c r="I713" s="519"/>
      <c r="J713" s="102"/>
      <c r="K713" s="121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5.75" customHeight="1">
      <c r="A714" s="113"/>
      <c r="B714" s="129"/>
      <c r="C714" s="115"/>
      <c r="D714" s="102"/>
      <c r="E714" s="115"/>
      <c r="F714" s="119"/>
      <c r="G714" s="519"/>
      <c r="H714" s="118"/>
      <c r="I714" s="519"/>
      <c r="J714" s="102"/>
      <c r="K714" s="121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5.75" customHeight="1">
      <c r="A715" s="113"/>
      <c r="B715" s="129"/>
      <c r="C715" s="115"/>
      <c r="D715" s="102"/>
      <c r="E715" s="115"/>
      <c r="F715" s="119"/>
      <c r="G715" s="519"/>
      <c r="H715" s="118"/>
      <c r="I715" s="519"/>
      <c r="J715" s="102"/>
      <c r="K715" s="121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5.75" customHeight="1">
      <c r="A716" s="113"/>
      <c r="B716" s="129"/>
      <c r="C716" s="115"/>
      <c r="D716" s="102"/>
      <c r="E716" s="115"/>
      <c r="F716" s="119"/>
      <c r="G716" s="519"/>
      <c r="H716" s="118"/>
      <c r="I716" s="519"/>
      <c r="J716" s="102"/>
      <c r="K716" s="121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5.75" customHeight="1">
      <c r="A717" s="113"/>
      <c r="B717" s="129"/>
      <c r="C717" s="115"/>
      <c r="D717" s="102"/>
      <c r="E717" s="115"/>
      <c r="F717" s="119"/>
      <c r="G717" s="519"/>
      <c r="H717" s="118"/>
      <c r="I717" s="519"/>
      <c r="J717" s="102"/>
      <c r="K717" s="121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5.75" customHeight="1">
      <c r="A718" s="113"/>
      <c r="B718" s="129"/>
      <c r="C718" s="115"/>
      <c r="D718" s="102"/>
      <c r="E718" s="115"/>
      <c r="F718" s="119"/>
      <c r="G718" s="519"/>
      <c r="H718" s="118"/>
      <c r="I718" s="519"/>
      <c r="J718" s="102"/>
      <c r="K718" s="121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5.75" customHeight="1">
      <c r="A719" s="113"/>
      <c r="B719" s="129"/>
      <c r="C719" s="115"/>
      <c r="D719" s="102"/>
      <c r="E719" s="115"/>
      <c r="F719" s="119"/>
      <c r="G719" s="519"/>
      <c r="H719" s="118"/>
      <c r="I719" s="519"/>
      <c r="J719" s="102"/>
      <c r="K719" s="121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5.75" customHeight="1">
      <c r="A720" s="113"/>
      <c r="B720" s="129"/>
      <c r="C720" s="115"/>
      <c r="D720" s="102"/>
      <c r="E720" s="115"/>
      <c r="F720" s="119"/>
      <c r="G720" s="519"/>
      <c r="H720" s="118"/>
      <c r="I720" s="519"/>
      <c r="J720" s="102"/>
      <c r="K720" s="121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5.75" customHeight="1">
      <c r="A721" s="113"/>
      <c r="B721" s="129"/>
      <c r="C721" s="115"/>
      <c r="D721" s="102"/>
      <c r="E721" s="115"/>
      <c r="F721" s="119"/>
      <c r="G721" s="519"/>
      <c r="H721" s="118"/>
      <c r="I721" s="519"/>
      <c r="J721" s="102"/>
      <c r="K721" s="121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5.75" customHeight="1">
      <c r="A722" s="113"/>
      <c r="B722" s="129"/>
      <c r="C722" s="115"/>
      <c r="D722" s="102"/>
      <c r="E722" s="115"/>
      <c r="F722" s="119"/>
      <c r="G722" s="519"/>
      <c r="H722" s="118"/>
      <c r="I722" s="519"/>
      <c r="J722" s="102"/>
      <c r="K722" s="121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5.75" customHeight="1">
      <c r="A723" s="113"/>
      <c r="B723" s="129"/>
      <c r="C723" s="115"/>
      <c r="D723" s="102"/>
      <c r="E723" s="115"/>
      <c r="F723" s="119"/>
      <c r="G723" s="519"/>
      <c r="H723" s="118"/>
      <c r="I723" s="519"/>
      <c r="J723" s="102"/>
      <c r="K723" s="121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5.75" customHeight="1">
      <c r="A724" s="113"/>
      <c r="B724" s="129"/>
      <c r="C724" s="115"/>
      <c r="D724" s="102"/>
      <c r="E724" s="115"/>
      <c r="F724" s="119"/>
      <c r="G724" s="519"/>
      <c r="H724" s="118"/>
      <c r="I724" s="519"/>
      <c r="J724" s="102"/>
      <c r="K724" s="121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5.75" customHeight="1">
      <c r="A725" s="113"/>
      <c r="B725" s="129"/>
      <c r="C725" s="115"/>
      <c r="D725" s="102"/>
      <c r="E725" s="115"/>
      <c r="F725" s="119"/>
      <c r="G725" s="519"/>
      <c r="H725" s="118"/>
      <c r="I725" s="519"/>
      <c r="J725" s="102"/>
      <c r="K725" s="121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5.75" customHeight="1">
      <c r="A726" s="113"/>
      <c r="B726" s="129"/>
      <c r="C726" s="115"/>
      <c r="D726" s="102"/>
      <c r="E726" s="115"/>
      <c r="F726" s="119"/>
      <c r="G726" s="519"/>
      <c r="H726" s="118"/>
      <c r="I726" s="519"/>
      <c r="J726" s="102"/>
      <c r="K726" s="121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5.75" customHeight="1">
      <c r="A727" s="113"/>
      <c r="B727" s="129"/>
      <c r="C727" s="115"/>
      <c r="D727" s="102"/>
      <c r="E727" s="115"/>
      <c r="F727" s="119"/>
      <c r="G727" s="519"/>
      <c r="H727" s="118"/>
      <c r="I727" s="519"/>
      <c r="J727" s="102"/>
      <c r="K727" s="121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5.75" customHeight="1">
      <c r="A728" s="113"/>
      <c r="B728" s="129"/>
      <c r="C728" s="115"/>
      <c r="D728" s="102"/>
      <c r="E728" s="115"/>
      <c r="F728" s="119"/>
      <c r="G728" s="519"/>
      <c r="H728" s="118"/>
      <c r="I728" s="519"/>
      <c r="J728" s="102"/>
      <c r="K728" s="121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5.75" customHeight="1">
      <c r="A729" s="113"/>
      <c r="B729" s="129"/>
      <c r="C729" s="115"/>
      <c r="D729" s="102"/>
      <c r="E729" s="115"/>
      <c r="F729" s="119"/>
      <c r="G729" s="519"/>
      <c r="H729" s="118"/>
      <c r="I729" s="519"/>
      <c r="J729" s="102"/>
      <c r="K729" s="121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5.75" customHeight="1">
      <c r="A730" s="113"/>
      <c r="B730" s="129"/>
      <c r="C730" s="115"/>
      <c r="D730" s="102"/>
      <c r="E730" s="115"/>
      <c r="F730" s="119"/>
      <c r="G730" s="519"/>
      <c r="H730" s="118"/>
      <c r="I730" s="519"/>
      <c r="J730" s="102"/>
      <c r="K730" s="121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13"/>
      <c r="B731" s="129"/>
      <c r="C731" s="115"/>
      <c r="D731" s="102"/>
      <c r="E731" s="115"/>
      <c r="F731" s="119"/>
      <c r="G731" s="519"/>
      <c r="H731" s="118"/>
      <c r="I731" s="519"/>
      <c r="J731" s="102"/>
      <c r="K731" s="121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13"/>
      <c r="B732" s="129"/>
      <c r="C732" s="115"/>
      <c r="D732" s="102"/>
      <c r="E732" s="115"/>
      <c r="F732" s="119"/>
      <c r="G732" s="519"/>
      <c r="H732" s="118"/>
      <c r="I732" s="519"/>
      <c r="J732" s="102"/>
      <c r="K732" s="121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5.75" customHeight="1">
      <c r="A733" s="113"/>
      <c r="B733" s="129"/>
      <c r="C733" s="115"/>
      <c r="D733" s="102"/>
      <c r="E733" s="115"/>
      <c r="F733" s="119"/>
      <c r="G733" s="519"/>
      <c r="H733" s="118"/>
      <c r="I733" s="519"/>
      <c r="J733" s="102"/>
      <c r="K733" s="121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5.75" customHeight="1">
      <c r="A734" s="113"/>
      <c r="B734" s="129"/>
      <c r="C734" s="115"/>
      <c r="D734" s="102"/>
      <c r="E734" s="115"/>
      <c r="F734" s="119"/>
      <c r="G734" s="519"/>
      <c r="H734" s="118"/>
      <c r="I734" s="519"/>
      <c r="J734" s="102"/>
      <c r="K734" s="121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5.75" customHeight="1">
      <c r="A735" s="113"/>
      <c r="B735" s="129"/>
      <c r="C735" s="115"/>
      <c r="D735" s="102"/>
      <c r="E735" s="115"/>
      <c r="F735" s="119"/>
      <c r="G735" s="519"/>
      <c r="H735" s="118"/>
      <c r="I735" s="519"/>
      <c r="J735" s="102"/>
      <c r="K735" s="121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5.75" customHeight="1">
      <c r="A736" s="113"/>
      <c r="B736" s="129"/>
      <c r="C736" s="115"/>
      <c r="D736" s="102"/>
      <c r="E736" s="115"/>
      <c r="F736" s="119"/>
      <c r="G736" s="519"/>
      <c r="H736" s="118"/>
      <c r="I736" s="519"/>
      <c r="J736" s="102"/>
      <c r="K736" s="121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5.75" customHeight="1">
      <c r="A737" s="113"/>
      <c r="B737" s="129"/>
      <c r="C737" s="115"/>
      <c r="D737" s="102"/>
      <c r="E737" s="115"/>
      <c r="F737" s="119"/>
      <c r="G737" s="519"/>
      <c r="H737" s="118"/>
      <c r="I737" s="519"/>
      <c r="J737" s="102"/>
      <c r="K737" s="121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5.75" customHeight="1">
      <c r="A738" s="113"/>
      <c r="B738" s="129"/>
      <c r="C738" s="115"/>
      <c r="D738" s="102"/>
      <c r="E738" s="115"/>
      <c r="F738" s="119"/>
      <c r="G738" s="519"/>
      <c r="H738" s="118"/>
      <c r="I738" s="519"/>
      <c r="J738" s="102"/>
      <c r="K738" s="121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5.75" customHeight="1">
      <c r="A739" s="113"/>
      <c r="B739" s="129"/>
      <c r="C739" s="115"/>
      <c r="D739" s="102"/>
      <c r="E739" s="115"/>
      <c r="F739" s="119"/>
      <c r="G739" s="519"/>
      <c r="H739" s="118"/>
      <c r="I739" s="519"/>
      <c r="J739" s="102"/>
      <c r="K739" s="121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5.75" customHeight="1">
      <c r="A740" s="113"/>
      <c r="B740" s="129"/>
      <c r="C740" s="115"/>
      <c r="D740" s="102"/>
      <c r="E740" s="115"/>
      <c r="F740" s="119"/>
      <c r="G740" s="519"/>
      <c r="H740" s="118"/>
      <c r="I740" s="519"/>
      <c r="J740" s="102"/>
      <c r="K740" s="121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5.75" customHeight="1">
      <c r="A741" s="113"/>
      <c r="B741" s="129"/>
      <c r="C741" s="115"/>
      <c r="D741" s="102"/>
      <c r="E741" s="115"/>
      <c r="F741" s="119"/>
      <c r="G741" s="519"/>
      <c r="H741" s="118"/>
      <c r="I741" s="519"/>
      <c r="J741" s="102"/>
      <c r="K741" s="121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5.75" customHeight="1">
      <c r="A742" s="113"/>
      <c r="B742" s="129"/>
      <c r="C742" s="115"/>
      <c r="D742" s="102"/>
      <c r="E742" s="115"/>
      <c r="F742" s="119"/>
      <c r="G742" s="519"/>
      <c r="H742" s="118"/>
      <c r="I742" s="519"/>
      <c r="J742" s="102"/>
      <c r="K742" s="121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5.75" customHeight="1">
      <c r="A743" s="113"/>
      <c r="B743" s="129"/>
      <c r="C743" s="115"/>
      <c r="D743" s="102"/>
      <c r="E743" s="115"/>
      <c r="F743" s="119"/>
      <c r="G743" s="519"/>
      <c r="H743" s="118"/>
      <c r="I743" s="519"/>
      <c r="J743" s="102"/>
      <c r="K743" s="121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5.75" customHeight="1">
      <c r="A744" s="113"/>
      <c r="B744" s="129"/>
      <c r="C744" s="115"/>
      <c r="D744" s="102"/>
      <c r="E744" s="115"/>
      <c r="F744" s="119"/>
      <c r="G744" s="519"/>
      <c r="H744" s="118"/>
      <c r="I744" s="519"/>
      <c r="J744" s="102"/>
      <c r="K744" s="121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5.75" customHeight="1">
      <c r="A745" s="113"/>
      <c r="B745" s="129"/>
      <c r="C745" s="115"/>
      <c r="D745" s="102"/>
      <c r="E745" s="115"/>
      <c r="F745" s="119"/>
      <c r="G745" s="519"/>
      <c r="H745" s="118"/>
      <c r="I745" s="519"/>
      <c r="J745" s="102"/>
      <c r="K745" s="121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5.75" customHeight="1">
      <c r="A746" s="113"/>
      <c r="B746" s="129"/>
      <c r="C746" s="115"/>
      <c r="D746" s="102"/>
      <c r="E746" s="115"/>
      <c r="F746" s="119"/>
      <c r="G746" s="519"/>
      <c r="H746" s="118"/>
      <c r="I746" s="519"/>
      <c r="J746" s="102"/>
      <c r="K746" s="121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5.75" customHeight="1">
      <c r="A747" s="113"/>
      <c r="B747" s="129"/>
      <c r="C747" s="115"/>
      <c r="D747" s="102"/>
      <c r="E747" s="115"/>
      <c r="F747" s="119"/>
      <c r="G747" s="519"/>
      <c r="H747" s="118"/>
      <c r="I747" s="519"/>
      <c r="J747" s="102"/>
      <c r="K747" s="121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5.75" customHeight="1">
      <c r="A748" s="113"/>
      <c r="B748" s="129"/>
      <c r="C748" s="115"/>
      <c r="D748" s="102"/>
      <c r="E748" s="115"/>
      <c r="F748" s="119"/>
      <c r="G748" s="519"/>
      <c r="H748" s="118"/>
      <c r="I748" s="519"/>
      <c r="J748" s="102"/>
      <c r="K748" s="121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5.75" customHeight="1">
      <c r="A749" s="113"/>
      <c r="B749" s="129"/>
      <c r="C749" s="115"/>
      <c r="D749" s="102"/>
      <c r="E749" s="115"/>
      <c r="F749" s="119"/>
      <c r="G749" s="519"/>
      <c r="H749" s="118"/>
      <c r="I749" s="519"/>
      <c r="J749" s="102"/>
      <c r="K749" s="121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5.75" customHeight="1">
      <c r="A750" s="113"/>
      <c r="B750" s="129"/>
      <c r="C750" s="115"/>
      <c r="D750" s="102"/>
      <c r="E750" s="115"/>
      <c r="F750" s="119"/>
      <c r="G750" s="519"/>
      <c r="H750" s="118"/>
      <c r="I750" s="519"/>
      <c r="J750" s="102"/>
      <c r="K750" s="121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5.75" customHeight="1">
      <c r="A751" s="113"/>
      <c r="B751" s="129"/>
      <c r="C751" s="115"/>
      <c r="D751" s="102"/>
      <c r="E751" s="115"/>
      <c r="F751" s="119"/>
      <c r="G751" s="519"/>
      <c r="H751" s="118"/>
      <c r="I751" s="519"/>
      <c r="J751" s="102"/>
      <c r="K751" s="121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5.75" customHeight="1">
      <c r="A752" s="113"/>
      <c r="B752" s="129"/>
      <c r="C752" s="115"/>
      <c r="D752" s="102"/>
      <c r="E752" s="115"/>
      <c r="F752" s="119"/>
      <c r="G752" s="519"/>
      <c r="H752" s="118"/>
      <c r="I752" s="519"/>
      <c r="J752" s="102"/>
      <c r="K752" s="121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5.75" customHeight="1">
      <c r="A753" s="113"/>
      <c r="B753" s="129"/>
      <c r="C753" s="115"/>
      <c r="D753" s="102"/>
      <c r="E753" s="115"/>
      <c r="F753" s="119"/>
      <c r="G753" s="519"/>
      <c r="H753" s="118"/>
      <c r="I753" s="519"/>
      <c r="J753" s="102"/>
      <c r="K753" s="121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5.75" customHeight="1">
      <c r="A754" s="113"/>
      <c r="B754" s="129"/>
      <c r="C754" s="115"/>
      <c r="D754" s="102"/>
      <c r="E754" s="115"/>
      <c r="F754" s="119"/>
      <c r="G754" s="519"/>
      <c r="H754" s="118"/>
      <c r="I754" s="519"/>
      <c r="J754" s="102"/>
      <c r="K754" s="121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5.75" customHeight="1">
      <c r="A755" s="113"/>
      <c r="B755" s="129"/>
      <c r="C755" s="115"/>
      <c r="D755" s="102"/>
      <c r="E755" s="115"/>
      <c r="F755" s="119"/>
      <c r="G755" s="519"/>
      <c r="H755" s="118"/>
      <c r="I755" s="519"/>
      <c r="J755" s="102"/>
      <c r="K755" s="121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5.75" customHeight="1">
      <c r="A756" s="113"/>
      <c r="B756" s="129"/>
      <c r="C756" s="115"/>
      <c r="D756" s="102"/>
      <c r="E756" s="115"/>
      <c r="F756" s="119"/>
      <c r="G756" s="519"/>
      <c r="H756" s="118"/>
      <c r="I756" s="519"/>
      <c r="J756" s="102"/>
      <c r="K756" s="121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5.75" customHeight="1">
      <c r="A757" s="113"/>
      <c r="B757" s="129"/>
      <c r="C757" s="115"/>
      <c r="D757" s="102"/>
      <c r="E757" s="115"/>
      <c r="F757" s="119"/>
      <c r="G757" s="519"/>
      <c r="H757" s="118"/>
      <c r="I757" s="519"/>
      <c r="J757" s="102"/>
      <c r="K757" s="121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5.75" customHeight="1">
      <c r="A758" s="113"/>
      <c r="B758" s="129"/>
      <c r="C758" s="115"/>
      <c r="D758" s="102"/>
      <c r="E758" s="115"/>
      <c r="F758" s="119"/>
      <c r="G758" s="519"/>
      <c r="H758" s="118"/>
      <c r="I758" s="519"/>
      <c r="J758" s="102"/>
      <c r="K758" s="121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5.75" customHeight="1">
      <c r="A759" s="113"/>
      <c r="B759" s="129"/>
      <c r="C759" s="115"/>
      <c r="D759" s="102"/>
      <c r="E759" s="115"/>
      <c r="F759" s="119"/>
      <c r="G759" s="519"/>
      <c r="H759" s="118"/>
      <c r="I759" s="519"/>
      <c r="J759" s="102"/>
      <c r="K759" s="121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5.75" customHeight="1">
      <c r="A760" s="113"/>
      <c r="B760" s="129"/>
      <c r="C760" s="115"/>
      <c r="D760" s="102"/>
      <c r="E760" s="115"/>
      <c r="F760" s="119"/>
      <c r="G760" s="519"/>
      <c r="H760" s="118"/>
      <c r="I760" s="519"/>
      <c r="J760" s="102"/>
      <c r="K760" s="121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5.75" customHeight="1">
      <c r="A761" s="113"/>
      <c r="B761" s="129"/>
      <c r="C761" s="115"/>
      <c r="D761" s="102"/>
      <c r="E761" s="115"/>
      <c r="F761" s="119"/>
      <c r="G761" s="519"/>
      <c r="H761" s="118"/>
      <c r="I761" s="519"/>
      <c r="J761" s="102"/>
      <c r="K761" s="121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5.75" customHeight="1">
      <c r="A762" s="113"/>
      <c r="B762" s="129"/>
      <c r="C762" s="115"/>
      <c r="D762" s="102"/>
      <c r="E762" s="115"/>
      <c r="F762" s="119"/>
      <c r="G762" s="519"/>
      <c r="H762" s="118"/>
      <c r="I762" s="519"/>
      <c r="J762" s="102"/>
      <c r="K762" s="121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5.75" customHeight="1">
      <c r="A763" s="113"/>
      <c r="B763" s="129"/>
      <c r="C763" s="115"/>
      <c r="D763" s="102"/>
      <c r="E763" s="115"/>
      <c r="F763" s="119"/>
      <c r="G763" s="519"/>
      <c r="H763" s="118"/>
      <c r="I763" s="519"/>
      <c r="J763" s="102"/>
      <c r="K763" s="121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5.75" customHeight="1">
      <c r="A764" s="113"/>
      <c r="B764" s="129"/>
      <c r="C764" s="115"/>
      <c r="D764" s="102"/>
      <c r="E764" s="115"/>
      <c r="F764" s="119"/>
      <c r="G764" s="519"/>
      <c r="H764" s="118"/>
      <c r="I764" s="519"/>
      <c r="J764" s="102"/>
      <c r="K764" s="121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5.75" customHeight="1">
      <c r="A765" s="113"/>
      <c r="B765" s="129"/>
      <c r="C765" s="115"/>
      <c r="D765" s="102"/>
      <c r="E765" s="115"/>
      <c r="F765" s="119"/>
      <c r="G765" s="519"/>
      <c r="H765" s="118"/>
      <c r="I765" s="519"/>
      <c r="J765" s="102"/>
      <c r="K765" s="121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5.75" customHeight="1">
      <c r="A766" s="113"/>
      <c r="B766" s="129"/>
      <c r="C766" s="115"/>
      <c r="D766" s="102"/>
      <c r="E766" s="115"/>
      <c r="F766" s="119"/>
      <c r="G766" s="519"/>
      <c r="H766" s="118"/>
      <c r="I766" s="519"/>
      <c r="J766" s="102"/>
      <c r="K766" s="121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5.75" customHeight="1">
      <c r="A767" s="113"/>
      <c r="B767" s="129"/>
      <c r="C767" s="115"/>
      <c r="D767" s="102"/>
      <c r="E767" s="115"/>
      <c r="F767" s="119"/>
      <c r="G767" s="519"/>
      <c r="H767" s="118"/>
      <c r="I767" s="519"/>
      <c r="J767" s="102"/>
      <c r="K767" s="121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5.75" customHeight="1">
      <c r="A768" s="113"/>
      <c r="B768" s="129"/>
      <c r="C768" s="115"/>
      <c r="D768" s="102"/>
      <c r="E768" s="115"/>
      <c r="F768" s="119"/>
      <c r="G768" s="519"/>
      <c r="H768" s="118"/>
      <c r="I768" s="519"/>
      <c r="J768" s="102"/>
      <c r="K768" s="121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5.75" customHeight="1">
      <c r="A769" s="113"/>
      <c r="B769" s="129"/>
      <c r="C769" s="115"/>
      <c r="D769" s="102"/>
      <c r="E769" s="115"/>
      <c r="F769" s="119"/>
      <c r="G769" s="519"/>
      <c r="H769" s="118"/>
      <c r="I769" s="519"/>
      <c r="J769" s="102"/>
      <c r="K769" s="121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5.75" customHeight="1">
      <c r="A770" s="113"/>
      <c r="B770" s="129"/>
      <c r="C770" s="115"/>
      <c r="D770" s="102"/>
      <c r="E770" s="115"/>
      <c r="F770" s="119"/>
      <c r="G770" s="519"/>
      <c r="H770" s="118"/>
      <c r="I770" s="519"/>
      <c r="J770" s="102"/>
      <c r="K770" s="121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5.75" customHeight="1">
      <c r="A771" s="113"/>
      <c r="B771" s="129"/>
      <c r="C771" s="115"/>
      <c r="D771" s="102"/>
      <c r="E771" s="115"/>
      <c r="F771" s="119"/>
      <c r="G771" s="519"/>
      <c r="H771" s="118"/>
      <c r="I771" s="519"/>
      <c r="J771" s="102"/>
      <c r="K771" s="121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5.75" customHeight="1">
      <c r="A772" s="113"/>
      <c r="B772" s="129"/>
      <c r="C772" s="115"/>
      <c r="D772" s="102"/>
      <c r="E772" s="115"/>
      <c r="F772" s="119"/>
      <c r="G772" s="519"/>
      <c r="H772" s="118"/>
      <c r="I772" s="519"/>
      <c r="J772" s="102"/>
      <c r="K772" s="121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5.75" customHeight="1">
      <c r="A773" s="113"/>
      <c r="B773" s="129"/>
      <c r="C773" s="115"/>
      <c r="D773" s="102"/>
      <c r="E773" s="115"/>
      <c r="F773" s="119"/>
      <c r="G773" s="519"/>
      <c r="H773" s="118"/>
      <c r="I773" s="519"/>
      <c r="J773" s="102"/>
      <c r="K773" s="121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5.75" customHeight="1">
      <c r="A774" s="113"/>
      <c r="B774" s="129"/>
      <c r="C774" s="115"/>
      <c r="D774" s="102"/>
      <c r="E774" s="115"/>
      <c r="F774" s="119"/>
      <c r="G774" s="519"/>
      <c r="H774" s="118"/>
      <c r="I774" s="519"/>
      <c r="J774" s="102"/>
      <c r="K774" s="121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5.75" customHeight="1">
      <c r="A775" s="113"/>
      <c r="B775" s="129"/>
      <c r="C775" s="115"/>
      <c r="D775" s="102"/>
      <c r="E775" s="115"/>
      <c r="F775" s="119"/>
      <c r="G775" s="519"/>
      <c r="H775" s="118"/>
      <c r="I775" s="519"/>
      <c r="J775" s="102"/>
      <c r="K775" s="121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5.75" customHeight="1">
      <c r="A776" s="113"/>
      <c r="B776" s="129"/>
      <c r="C776" s="115"/>
      <c r="D776" s="102"/>
      <c r="E776" s="115"/>
      <c r="F776" s="119"/>
      <c r="G776" s="519"/>
      <c r="H776" s="118"/>
      <c r="I776" s="519"/>
      <c r="J776" s="102"/>
      <c r="K776" s="121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5.75" customHeight="1">
      <c r="A777" s="113"/>
      <c r="B777" s="129"/>
      <c r="C777" s="115"/>
      <c r="D777" s="102"/>
      <c r="E777" s="115"/>
      <c r="F777" s="119"/>
      <c r="G777" s="519"/>
      <c r="H777" s="118"/>
      <c r="I777" s="519"/>
      <c r="J777" s="102"/>
      <c r="K777" s="121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13"/>
      <c r="B778" s="129"/>
      <c r="C778" s="115"/>
      <c r="D778" s="102"/>
      <c r="E778" s="115"/>
      <c r="F778" s="119"/>
      <c r="G778" s="519"/>
      <c r="H778" s="118"/>
      <c r="I778" s="519"/>
      <c r="J778" s="102"/>
      <c r="K778" s="121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13"/>
      <c r="B779" s="129"/>
      <c r="C779" s="115"/>
      <c r="D779" s="102"/>
      <c r="E779" s="115"/>
      <c r="F779" s="119"/>
      <c r="G779" s="519"/>
      <c r="H779" s="118"/>
      <c r="I779" s="519"/>
      <c r="J779" s="102"/>
      <c r="K779" s="121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5.75" customHeight="1">
      <c r="A780" s="113"/>
      <c r="B780" s="129"/>
      <c r="C780" s="115"/>
      <c r="D780" s="102"/>
      <c r="E780" s="115"/>
      <c r="F780" s="119"/>
      <c r="G780" s="519"/>
      <c r="H780" s="118"/>
      <c r="I780" s="519"/>
      <c r="J780" s="102"/>
      <c r="K780" s="121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5.75" customHeight="1">
      <c r="A781" s="113"/>
      <c r="B781" s="129"/>
      <c r="C781" s="115"/>
      <c r="D781" s="102"/>
      <c r="E781" s="115"/>
      <c r="F781" s="119"/>
      <c r="G781" s="519"/>
      <c r="H781" s="118"/>
      <c r="I781" s="519"/>
      <c r="J781" s="102"/>
      <c r="K781" s="121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5.75" customHeight="1">
      <c r="A782" s="113"/>
      <c r="B782" s="129"/>
      <c r="C782" s="115"/>
      <c r="D782" s="102"/>
      <c r="E782" s="115"/>
      <c r="F782" s="119"/>
      <c r="G782" s="519"/>
      <c r="H782" s="118"/>
      <c r="I782" s="519"/>
      <c r="J782" s="102"/>
      <c r="K782" s="121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5.75" customHeight="1">
      <c r="A783" s="113"/>
      <c r="B783" s="129"/>
      <c r="C783" s="115"/>
      <c r="D783" s="102"/>
      <c r="E783" s="115"/>
      <c r="F783" s="119"/>
      <c r="G783" s="519"/>
      <c r="H783" s="118"/>
      <c r="I783" s="519"/>
      <c r="J783" s="102"/>
      <c r="K783" s="121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5.75" customHeight="1">
      <c r="A784" s="113"/>
      <c r="B784" s="129"/>
      <c r="C784" s="115"/>
      <c r="D784" s="102"/>
      <c r="E784" s="115"/>
      <c r="F784" s="119"/>
      <c r="G784" s="519"/>
      <c r="H784" s="118"/>
      <c r="I784" s="519"/>
      <c r="J784" s="102"/>
      <c r="K784" s="121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5.75" customHeight="1">
      <c r="A785" s="113"/>
      <c r="B785" s="129"/>
      <c r="C785" s="115"/>
      <c r="D785" s="102"/>
      <c r="E785" s="115"/>
      <c r="F785" s="119"/>
      <c r="G785" s="519"/>
      <c r="H785" s="118"/>
      <c r="I785" s="519"/>
      <c r="J785" s="102"/>
      <c r="K785" s="121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5.75" customHeight="1">
      <c r="A786" s="113"/>
      <c r="B786" s="129"/>
      <c r="C786" s="115"/>
      <c r="D786" s="102"/>
      <c r="E786" s="115"/>
      <c r="F786" s="119"/>
      <c r="G786" s="519"/>
      <c r="H786" s="118"/>
      <c r="I786" s="519"/>
      <c r="J786" s="102"/>
      <c r="K786" s="121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5.75" customHeight="1">
      <c r="A787" s="113"/>
      <c r="B787" s="129"/>
      <c r="C787" s="115"/>
      <c r="D787" s="102"/>
      <c r="E787" s="115"/>
      <c r="F787" s="119"/>
      <c r="G787" s="519"/>
      <c r="H787" s="118"/>
      <c r="I787" s="519"/>
      <c r="J787" s="102"/>
      <c r="K787" s="121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5.75" customHeight="1">
      <c r="A788" s="113"/>
      <c r="B788" s="129"/>
      <c r="C788" s="115"/>
      <c r="D788" s="102"/>
      <c r="E788" s="115"/>
      <c r="F788" s="119"/>
      <c r="G788" s="519"/>
      <c r="H788" s="118"/>
      <c r="I788" s="519"/>
      <c r="J788" s="102"/>
      <c r="K788" s="121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5.75" customHeight="1">
      <c r="A789" s="113"/>
      <c r="B789" s="129"/>
      <c r="C789" s="115"/>
      <c r="D789" s="102"/>
      <c r="E789" s="115"/>
      <c r="F789" s="119"/>
      <c r="G789" s="519"/>
      <c r="H789" s="118"/>
      <c r="I789" s="519"/>
      <c r="J789" s="102"/>
      <c r="K789" s="121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5.75" customHeight="1">
      <c r="A790" s="113"/>
      <c r="B790" s="129"/>
      <c r="C790" s="115"/>
      <c r="D790" s="102"/>
      <c r="E790" s="115"/>
      <c r="F790" s="119"/>
      <c r="G790" s="519"/>
      <c r="H790" s="118"/>
      <c r="I790" s="519"/>
      <c r="J790" s="102"/>
      <c r="K790" s="121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5.75" customHeight="1">
      <c r="A791" s="113"/>
      <c r="B791" s="129"/>
      <c r="C791" s="115"/>
      <c r="D791" s="102"/>
      <c r="E791" s="115"/>
      <c r="F791" s="119"/>
      <c r="G791" s="519"/>
      <c r="H791" s="118"/>
      <c r="I791" s="519"/>
      <c r="J791" s="102"/>
      <c r="K791" s="121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5.75" customHeight="1">
      <c r="A792" s="113"/>
      <c r="B792" s="129"/>
      <c r="C792" s="115"/>
      <c r="D792" s="102"/>
      <c r="E792" s="115"/>
      <c r="F792" s="119"/>
      <c r="G792" s="519"/>
      <c r="H792" s="118"/>
      <c r="I792" s="519"/>
      <c r="J792" s="102"/>
      <c r="K792" s="121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5.75" customHeight="1">
      <c r="A793" s="113"/>
      <c r="B793" s="129"/>
      <c r="C793" s="115"/>
      <c r="D793" s="102"/>
      <c r="E793" s="115"/>
      <c r="F793" s="119"/>
      <c r="G793" s="519"/>
      <c r="H793" s="118"/>
      <c r="I793" s="519"/>
      <c r="J793" s="102"/>
      <c r="K793" s="121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5.75" customHeight="1">
      <c r="A794" s="113"/>
      <c r="B794" s="129"/>
      <c r="C794" s="115"/>
      <c r="D794" s="102"/>
      <c r="E794" s="115"/>
      <c r="F794" s="119"/>
      <c r="G794" s="519"/>
      <c r="H794" s="118"/>
      <c r="I794" s="519"/>
      <c r="J794" s="102"/>
      <c r="K794" s="121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5.75" customHeight="1">
      <c r="A795" s="113"/>
      <c r="B795" s="129"/>
      <c r="C795" s="115"/>
      <c r="D795" s="102"/>
      <c r="E795" s="115"/>
      <c r="F795" s="119"/>
      <c r="G795" s="519"/>
      <c r="H795" s="118"/>
      <c r="I795" s="519"/>
      <c r="J795" s="102"/>
      <c r="K795" s="121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5.75" customHeight="1">
      <c r="A796" s="113"/>
      <c r="B796" s="129"/>
      <c r="C796" s="115"/>
      <c r="D796" s="102"/>
      <c r="E796" s="115"/>
      <c r="F796" s="119"/>
      <c r="G796" s="519"/>
      <c r="H796" s="118"/>
      <c r="I796" s="519"/>
      <c r="J796" s="102"/>
      <c r="K796" s="121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5.75" customHeight="1">
      <c r="A797" s="113"/>
      <c r="B797" s="129"/>
      <c r="C797" s="115"/>
      <c r="D797" s="102"/>
      <c r="E797" s="115"/>
      <c r="F797" s="119"/>
      <c r="G797" s="519"/>
      <c r="H797" s="118"/>
      <c r="I797" s="519"/>
      <c r="J797" s="102"/>
      <c r="K797" s="121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5.75" customHeight="1">
      <c r="A798" s="113"/>
      <c r="B798" s="129"/>
      <c r="C798" s="115"/>
      <c r="D798" s="102"/>
      <c r="E798" s="115"/>
      <c r="F798" s="119"/>
      <c r="G798" s="519"/>
      <c r="H798" s="118"/>
      <c r="I798" s="519"/>
      <c r="J798" s="102"/>
      <c r="K798" s="121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5.75" customHeight="1">
      <c r="A799" s="113"/>
      <c r="B799" s="129"/>
      <c r="C799" s="115"/>
      <c r="D799" s="102"/>
      <c r="E799" s="115"/>
      <c r="F799" s="119"/>
      <c r="G799" s="519"/>
      <c r="H799" s="118"/>
      <c r="I799" s="519"/>
      <c r="J799" s="102"/>
      <c r="K799" s="121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5.75" customHeight="1">
      <c r="A800" s="113"/>
      <c r="B800" s="129"/>
      <c r="C800" s="115"/>
      <c r="D800" s="102"/>
      <c r="E800" s="115"/>
      <c r="F800" s="119"/>
      <c r="G800" s="519"/>
      <c r="H800" s="118"/>
      <c r="I800" s="519"/>
      <c r="J800" s="102"/>
      <c r="K800" s="121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5.75" customHeight="1">
      <c r="A801" s="113"/>
      <c r="B801" s="129"/>
      <c r="C801" s="115"/>
      <c r="D801" s="102"/>
      <c r="E801" s="115"/>
      <c r="F801" s="119"/>
      <c r="G801" s="519"/>
      <c r="H801" s="118"/>
      <c r="I801" s="519"/>
      <c r="J801" s="102"/>
      <c r="K801" s="121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5.75" customHeight="1">
      <c r="A802" s="113"/>
      <c r="B802" s="129"/>
      <c r="C802" s="115"/>
      <c r="D802" s="102"/>
      <c r="E802" s="115"/>
      <c r="F802" s="119"/>
      <c r="G802" s="519"/>
      <c r="H802" s="118"/>
      <c r="I802" s="519"/>
      <c r="J802" s="102"/>
      <c r="K802" s="121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5.75" customHeight="1">
      <c r="A803" s="113"/>
      <c r="B803" s="129"/>
      <c r="C803" s="115"/>
      <c r="D803" s="102"/>
      <c r="E803" s="115"/>
      <c r="F803" s="119"/>
      <c r="G803" s="519"/>
      <c r="H803" s="118"/>
      <c r="I803" s="519"/>
      <c r="J803" s="102"/>
      <c r="K803" s="121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5.75" customHeight="1">
      <c r="A804" s="113"/>
      <c r="B804" s="129"/>
      <c r="C804" s="115"/>
      <c r="D804" s="102"/>
      <c r="E804" s="115"/>
      <c r="F804" s="119"/>
      <c r="G804" s="519"/>
      <c r="H804" s="118"/>
      <c r="I804" s="519"/>
      <c r="J804" s="102"/>
      <c r="K804" s="121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5.75" customHeight="1">
      <c r="A805" s="113"/>
      <c r="B805" s="129"/>
      <c r="C805" s="115"/>
      <c r="D805" s="102"/>
      <c r="E805" s="115"/>
      <c r="F805" s="119"/>
      <c r="G805" s="519"/>
      <c r="H805" s="118"/>
      <c r="I805" s="519"/>
      <c r="J805" s="102"/>
      <c r="K805" s="121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5.75" customHeight="1">
      <c r="A806" s="113"/>
      <c r="B806" s="129"/>
      <c r="C806" s="115"/>
      <c r="D806" s="102"/>
      <c r="E806" s="115"/>
      <c r="F806" s="119"/>
      <c r="G806" s="519"/>
      <c r="H806" s="118"/>
      <c r="I806" s="519"/>
      <c r="J806" s="102"/>
      <c r="K806" s="121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5.75" customHeight="1">
      <c r="A807" s="113"/>
      <c r="B807" s="129"/>
      <c r="C807" s="115"/>
      <c r="D807" s="102"/>
      <c r="E807" s="115"/>
      <c r="F807" s="119"/>
      <c r="G807" s="519"/>
      <c r="H807" s="118"/>
      <c r="I807" s="519"/>
      <c r="J807" s="102"/>
      <c r="K807" s="121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5.75" customHeight="1">
      <c r="A808" s="113"/>
      <c r="B808" s="129"/>
      <c r="C808" s="115"/>
      <c r="D808" s="102"/>
      <c r="E808" s="115"/>
      <c r="F808" s="119"/>
      <c r="G808" s="519"/>
      <c r="H808" s="118"/>
      <c r="I808" s="519"/>
      <c r="J808" s="102"/>
      <c r="K808" s="121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5.75" customHeight="1">
      <c r="A809" s="113"/>
      <c r="B809" s="129"/>
      <c r="C809" s="115"/>
      <c r="D809" s="102"/>
      <c r="E809" s="115"/>
      <c r="F809" s="119"/>
      <c r="G809" s="519"/>
      <c r="H809" s="118"/>
      <c r="I809" s="519"/>
      <c r="J809" s="102"/>
      <c r="K809" s="121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5.75" customHeight="1">
      <c r="A810" s="113"/>
      <c r="B810" s="129"/>
      <c r="C810" s="115"/>
      <c r="D810" s="102"/>
      <c r="E810" s="115"/>
      <c r="F810" s="119"/>
      <c r="G810" s="519"/>
      <c r="H810" s="118"/>
      <c r="I810" s="519"/>
      <c r="J810" s="102"/>
      <c r="K810" s="121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5.75" customHeight="1">
      <c r="A811" s="113"/>
      <c r="B811" s="129"/>
      <c r="C811" s="115"/>
      <c r="D811" s="102"/>
      <c r="E811" s="115"/>
      <c r="F811" s="119"/>
      <c r="G811" s="519"/>
      <c r="H811" s="118"/>
      <c r="I811" s="519"/>
      <c r="J811" s="102"/>
      <c r="K811" s="121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5.75" customHeight="1">
      <c r="A812" s="113"/>
      <c r="B812" s="129"/>
      <c r="C812" s="115"/>
      <c r="D812" s="102"/>
      <c r="E812" s="115"/>
      <c r="F812" s="119"/>
      <c r="G812" s="519"/>
      <c r="H812" s="118"/>
      <c r="I812" s="519"/>
      <c r="J812" s="102"/>
      <c r="K812" s="121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5.75" customHeight="1">
      <c r="A813" s="113"/>
      <c r="B813" s="129"/>
      <c r="C813" s="115"/>
      <c r="D813" s="102"/>
      <c r="E813" s="115"/>
      <c r="F813" s="119"/>
      <c r="G813" s="519"/>
      <c r="H813" s="118"/>
      <c r="I813" s="519"/>
      <c r="J813" s="102"/>
      <c r="K813" s="121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113"/>
      <c r="B814" s="129"/>
      <c r="C814" s="115"/>
      <c r="D814" s="102"/>
      <c r="E814" s="115"/>
      <c r="F814" s="119"/>
      <c r="G814" s="519"/>
      <c r="H814" s="118"/>
      <c r="I814" s="519"/>
      <c r="J814" s="102"/>
      <c r="K814" s="121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5.75" customHeight="1">
      <c r="A815" s="113"/>
      <c r="B815" s="129"/>
      <c r="C815" s="115"/>
      <c r="D815" s="102"/>
      <c r="E815" s="115"/>
      <c r="F815" s="119"/>
      <c r="G815" s="519"/>
      <c r="H815" s="118"/>
      <c r="I815" s="519"/>
      <c r="J815" s="102"/>
      <c r="K815" s="121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5.75" customHeight="1">
      <c r="A816" s="113"/>
      <c r="B816" s="129"/>
      <c r="C816" s="115"/>
      <c r="D816" s="102"/>
      <c r="E816" s="115"/>
      <c r="F816" s="119"/>
      <c r="G816" s="519"/>
      <c r="H816" s="118"/>
      <c r="I816" s="519"/>
      <c r="J816" s="102"/>
      <c r="K816" s="121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5.75" customHeight="1">
      <c r="A817" s="113"/>
      <c r="B817" s="129"/>
      <c r="C817" s="115"/>
      <c r="D817" s="102"/>
      <c r="E817" s="115"/>
      <c r="F817" s="119"/>
      <c r="G817" s="519"/>
      <c r="H817" s="118"/>
      <c r="I817" s="519"/>
      <c r="J817" s="102"/>
      <c r="K817" s="121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5.75" customHeight="1">
      <c r="A818" s="113"/>
      <c r="B818" s="129"/>
      <c r="C818" s="115"/>
      <c r="D818" s="102"/>
      <c r="E818" s="115"/>
      <c r="F818" s="119"/>
      <c r="G818" s="519"/>
      <c r="H818" s="118"/>
      <c r="I818" s="519"/>
      <c r="J818" s="102"/>
      <c r="K818" s="121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5.75" customHeight="1">
      <c r="A819" s="113"/>
      <c r="B819" s="129"/>
      <c r="C819" s="115"/>
      <c r="D819" s="102"/>
      <c r="E819" s="115"/>
      <c r="F819" s="119"/>
      <c r="G819" s="519"/>
      <c r="H819" s="118"/>
      <c r="I819" s="519"/>
      <c r="J819" s="102"/>
      <c r="K819" s="121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5.75" customHeight="1">
      <c r="A820" s="113"/>
      <c r="B820" s="129"/>
      <c r="C820" s="115"/>
      <c r="D820" s="102"/>
      <c r="E820" s="115"/>
      <c r="F820" s="119"/>
      <c r="G820" s="519"/>
      <c r="H820" s="118"/>
      <c r="I820" s="519"/>
      <c r="J820" s="102"/>
      <c r="K820" s="121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5.75" customHeight="1">
      <c r="A821" s="113"/>
      <c r="B821" s="129"/>
      <c r="C821" s="115"/>
      <c r="D821" s="102"/>
      <c r="E821" s="115"/>
      <c r="F821" s="119"/>
      <c r="G821" s="519"/>
      <c r="H821" s="118"/>
      <c r="I821" s="519"/>
      <c r="J821" s="102"/>
      <c r="K821" s="121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5.75" customHeight="1">
      <c r="A822" s="113"/>
      <c r="B822" s="129"/>
      <c r="C822" s="115"/>
      <c r="D822" s="102"/>
      <c r="E822" s="115"/>
      <c r="F822" s="119"/>
      <c r="G822" s="519"/>
      <c r="H822" s="118"/>
      <c r="I822" s="519"/>
      <c r="J822" s="102"/>
      <c r="K822" s="121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5.75" customHeight="1">
      <c r="A823" s="113"/>
      <c r="B823" s="129"/>
      <c r="C823" s="115"/>
      <c r="D823" s="102"/>
      <c r="E823" s="115"/>
      <c r="F823" s="119"/>
      <c r="G823" s="519"/>
      <c r="H823" s="118"/>
      <c r="I823" s="519"/>
      <c r="J823" s="102"/>
      <c r="K823" s="121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5.75" customHeight="1">
      <c r="A824" s="113"/>
      <c r="B824" s="129"/>
      <c r="C824" s="115"/>
      <c r="D824" s="102"/>
      <c r="E824" s="115"/>
      <c r="F824" s="119"/>
      <c r="G824" s="519"/>
      <c r="H824" s="118"/>
      <c r="I824" s="519"/>
      <c r="J824" s="102"/>
      <c r="K824" s="121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5.75" customHeight="1">
      <c r="A825" s="113"/>
      <c r="B825" s="129"/>
      <c r="C825" s="115"/>
      <c r="D825" s="102"/>
      <c r="E825" s="115"/>
      <c r="F825" s="119"/>
      <c r="G825" s="519"/>
      <c r="H825" s="118"/>
      <c r="I825" s="519"/>
      <c r="J825" s="102"/>
      <c r="K825" s="121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5.75" customHeight="1">
      <c r="A826" s="113"/>
      <c r="B826" s="129"/>
      <c r="C826" s="115"/>
      <c r="D826" s="102"/>
      <c r="E826" s="115"/>
      <c r="F826" s="119"/>
      <c r="G826" s="519"/>
      <c r="H826" s="118"/>
      <c r="I826" s="519"/>
      <c r="J826" s="102"/>
      <c r="K826" s="121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5.75" customHeight="1">
      <c r="A827" s="113"/>
      <c r="B827" s="129"/>
      <c r="C827" s="115"/>
      <c r="D827" s="102"/>
      <c r="E827" s="115"/>
      <c r="F827" s="119"/>
      <c r="G827" s="519"/>
      <c r="H827" s="118"/>
      <c r="I827" s="519"/>
      <c r="J827" s="102"/>
      <c r="K827" s="121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5.75" customHeight="1">
      <c r="A828" s="113"/>
      <c r="B828" s="129"/>
      <c r="C828" s="115"/>
      <c r="D828" s="102"/>
      <c r="E828" s="115"/>
      <c r="F828" s="119"/>
      <c r="G828" s="519"/>
      <c r="H828" s="118"/>
      <c r="I828" s="519"/>
      <c r="J828" s="102"/>
      <c r="K828" s="121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5.75" customHeight="1">
      <c r="A829" s="113"/>
      <c r="B829" s="129"/>
      <c r="C829" s="115"/>
      <c r="D829" s="102"/>
      <c r="E829" s="115"/>
      <c r="F829" s="119"/>
      <c r="G829" s="519"/>
      <c r="H829" s="118"/>
      <c r="I829" s="519"/>
      <c r="J829" s="102"/>
      <c r="K829" s="121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5.75" customHeight="1">
      <c r="A830" s="113"/>
      <c r="B830" s="129"/>
      <c r="C830" s="115"/>
      <c r="D830" s="102"/>
      <c r="E830" s="115"/>
      <c r="F830" s="119"/>
      <c r="G830" s="519"/>
      <c r="H830" s="118"/>
      <c r="I830" s="519"/>
      <c r="J830" s="102"/>
      <c r="K830" s="121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5.75" customHeight="1">
      <c r="A831" s="113"/>
      <c r="B831" s="129"/>
      <c r="C831" s="115"/>
      <c r="D831" s="102"/>
      <c r="E831" s="115"/>
      <c r="F831" s="119"/>
      <c r="G831" s="519"/>
      <c r="H831" s="118"/>
      <c r="I831" s="519"/>
      <c r="J831" s="102"/>
      <c r="K831" s="121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5.75" customHeight="1">
      <c r="A832" s="113"/>
      <c r="B832" s="129"/>
      <c r="C832" s="115"/>
      <c r="D832" s="102"/>
      <c r="E832" s="115"/>
      <c r="F832" s="119"/>
      <c r="G832" s="519"/>
      <c r="H832" s="118"/>
      <c r="I832" s="519"/>
      <c r="J832" s="102"/>
      <c r="K832" s="121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5.75" customHeight="1">
      <c r="A833" s="113"/>
      <c r="B833" s="129"/>
      <c r="C833" s="115"/>
      <c r="D833" s="102"/>
      <c r="E833" s="115"/>
      <c r="F833" s="119"/>
      <c r="G833" s="519"/>
      <c r="H833" s="118"/>
      <c r="I833" s="519"/>
      <c r="J833" s="102"/>
      <c r="K833" s="121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5.75" customHeight="1">
      <c r="A834" s="113"/>
      <c r="B834" s="129"/>
      <c r="C834" s="115"/>
      <c r="D834" s="102"/>
      <c r="E834" s="115"/>
      <c r="F834" s="119"/>
      <c r="G834" s="519"/>
      <c r="H834" s="118"/>
      <c r="I834" s="519"/>
      <c r="J834" s="102"/>
      <c r="K834" s="121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5.75" customHeight="1">
      <c r="A835" s="113"/>
      <c r="B835" s="129"/>
      <c r="C835" s="115"/>
      <c r="D835" s="102"/>
      <c r="E835" s="115"/>
      <c r="F835" s="119"/>
      <c r="G835" s="519"/>
      <c r="H835" s="118"/>
      <c r="I835" s="519"/>
      <c r="J835" s="102"/>
      <c r="K835" s="121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5.75" customHeight="1">
      <c r="A836" s="113"/>
      <c r="B836" s="129"/>
      <c r="C836" s="115"/>
      <c r="D836" s="102"/>
      <c r="E836" s="115"/>
      <c r="F836" s="119"/>
      <c r="G836" s="519"/>
      <c r="H836" s="118"/>
      <c r="I836" s="519"/>
      <c r="J836" s="102"/>
      <c r="K836" s="121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5.75" customHeight="1">
      <c r="A837" s="113"/>
      <c r="B837" s="129"/>
      <c r="C837" s="115"/>
      <c r="D837" s="102"/>
      <c r="E837" s="115"/>
      <c r="F837" s="119"/>
      <c r="G837" s="519"/>
      <c r="H837" s="118"/>
      <c r="I837" s="519"/>
      <c r="J837" s="102"/>
      <c r="K837" s="121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5.75" customHeight="1">
      <c r="A838" s="113"/>
      <c r="B838" s="129"/>
      <c r="C838" s="115"/>
      <c r="D838" s="102"/>
      <c r="E838" s="115"/>
      <c r="F838" s="119"/>
      <c r="G838" s="519"/>
      <c r="H838" s="118"/>
      <c r="I838" s="519"/>
      <c r="J838" s="102"/>
      <c r="K838" s="121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5.75" customHeight="1">
      <c r="A839" s="113"/>
      <c r="B839" s="129"/>
      <c r="C839" s="115"/>
      <c r="D839" s="102"/>
      <c r="E839" s="115"/>
      <c r="F839" s="119"/>
      <c r="G839" s="519"/>
      <c r="H839" s="118"/>
      <c r="I839" s="519"/>
      <c r="J839" s="102"/>
      <c r="K839" s="121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5.75" customHeight="1">
      <c r="A840" s="113"/>
      <c r="B840" s="129"/>
      <c r="C840" s="115"/>
      <c r="D840" s="102"/>
      <c r="E840" s="115"/>
      <c r="F840" s="119"/>
      <c r="G840" s="519"/>
      <c r="H840" s="118"/>
      <c r="I840" s="519"/>
      <c r="J840" s="102"/>
      <c r="K840" s="121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5.75" customHeight="1">
      <c r="A841" s="113"/>
      <c r="B841" s="129"/>
      <c r="C841" s="115"/>
      <c r="D841" s="102"/>
      <c r="E841" s="115"/>
      <c r="F841" s="119"/>
      <c r="G841" s="519"/>
      <c r="H841" s="118"/>
      <c r="I841" s="519"/>
      <c r="J841" s="102"/>
      <c r="K841" s="121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5.75" customHeight="1">
      <c r="A842" s="113"/>
      <c r="B842" s="129"/>
      <c r="C842" s="115"/>
      <c r="D842" s="102"/>
      <c r="E842" s="115"/>
      <c r="F842" s="119"/>
      <c r="G842" s="519"/>
      <c r="H842" s="118"/>
      <c r="I842" s="519"/>
      <c r="J842" s="102"/>
      <c r="K842" s="121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5.75" customHeight="1">
      <c r="A843" s="113"/>
      <c r="B843" s="129"/>
      <c r="C843" s="115"/>
      <c r="D843" s="102"/>
      <c r="E843" s="115"/>
      <c r="F843" s="119"/>
      <c r="G843" s="519"/>
      <c r="H843" s="118"/>
      <c r="I843" s="519"/>
      <c r="J843" s="102"/>
      <c r="K843" s="121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5.75" customHeight="1">
      <c r="A844" s="113"/>
      <c r="B844" s="129"/>
      <c r="C844" s="115"/>
      <c r="D844" s="102"/>
      <c r="E844" s="115"/>
      <c r="F844" s="119"/>
      <c r="G844" s="519"/>
      <c r="H844" s="118"/>
      <c r="I844" s="519"/>
      <c r="J844" s="102"/>
      <c r="K844" s="121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5.75" customHeight="1">
      <c r="A845" s="113"/>
      <c r="B845" s="129"/>
      <c r="C845" s="115"/>
      <c r="D845" s="102"/>
      <c r="E845" s="115"/>
      <c r="F845" s="119"/>
      <c r="G845" s="519"/>
      <c r="H845" s="118"/>
      <c r="I845" s="519"/>
      <c r="J845" s="102"/>
      <c r="K845" s="121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5.75" customHeight="1">
      <c r="A846" s="113"/>
      <c r="B846" s="129"/>
      <c r="C846" s="115"/>
      <c r="D846" s="102"/>
      <c r="E846" s="115"/>
      <c r="F846" s="119"/>
      <c r="G846" s="519"/>
      <c r="H846" s="118"/>
      <c r="I846" s="519"/>
      <c r="J846" s="102"/>
      <c r="K846" s="121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5.75" customHeight="1">
      <c r="A847" s="113"/>
      <c r="B847" s="129"/>
      <c r="C847" s="115"/>
      <c r="D847" s="102"/>
      <c r="E847" s="115"/>
      <c r="F847" s="119"/>
      <c r="G847" s="519"/>
      <c r="H847" s="118"/>
      <c r="I847" s="519"/>
      <c r="J847" s="102"/>
      <c r="K847" s="121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5.75" customHeight="1">
      <c r="A848" s="113"/>
      <c r="B848" s="129"/>
      <c r="C848" s="115"/>
      <c r="D848" s="102"/>
      <c r="E848" s="115"/>
      <c r="F848" s="119"/>
      <c r="G848" s="519"/>
      <c r="H848" s="118"/>
      <c r="I848" s="519"/>
      <c r="J848" s="102"/>
      <c r="K848" s="121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5.75" customHeight="1">
      <c r="A849" s="113"/>
      <c r="B849" s="129"/>
      <c r="C849" s="115"/>
      <c r="D849" s="102"/>
      <c r="E849" s="115"/>
      <c r="F849" s="119"/>
      <c r="G849" s="519"/>
      <c r="H849" s="118"/>
      <c r="I849" s="519"/>
      <c r="J849" s="102"/>
      <c r="K849" s="121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5.75" customHeight="1">
      <c r="A850" s="113"/>
      <c r="B850" s="129"/>
      <c r="C850" s="115"/>
      <c r="D850" s="102"/>
      <c r="E850" s="115"/>
      <c r="F850" s="119"/>
      <c r="G850" s="519"/>
      <c r="H850" s="118"/>
      <c r="I850" s="519"/>
      <c r="J850" s="102"/>
      <c r="K850" s="121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5.75" customHeight="1">
      <c r="A851" s="113"/>
      <c r="B851" s="129"/>
      <c r="C851" s="115"/>
      <c r="D851" s="102"/>
      <c r="E851" s="115"/>
      <c r="F851" s="119"/>
      <c r="G851" s="519"/>
      <c r="H851" s="118"/>
      <c r="I851" s="519"/>
      <c r="J851" s="102"/>
      <c r="K851" s="121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5.75" customHeight="1">
      <c r="A852" s="113"/>
      <c r="B852" s="129"/>
      <c r="C852" s="115"/>
      <c r="D852" s="102"/>
      <c r="E852" s="115"/>
      <c r="F852" s="119"/>
      <c r="G852" s="519"/>
      <c r="H852" s="118"/>
      <c r="I852" s="519"/>
      <c r="J852" s="102"/>
      <c r="K852" s="121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5.75" customHeight="1">
      <c r="A853" s="113"/>
      <c r="B853" s="129"/>
      <c r="C853" s="115"/>
      <c r="D853" s="102"/>
      <c r="E853" s="115"/>
      <c r="F853" s="119"/>
      <c r="G853" s="519"/>
      <c r="H853" s="118"/>
      <c r="I853" s="519"/>
      <c r="J853" s="102"/>
      <c r="K853" s="121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5.75" customHeight="1">
      <c r="A854" s="113"/>
      <c r="B854" s="129"/>
      <c r="C854" s="115"/>
      <c r="D854" s="102"/>
      <c r="E854" s="115"/>
      <c r="F854" s="119"/>
      <c r="G854" s="519"/>
      <c r="H854" s="118"/>
      <c r="I854" s="519"/>
      <c r="J854" s="102"/>
      <c r="K854" s="121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5.75" customHeight="1">
      <c r="A855" s="113"/>
      <c r="B855" s="129"/>
      <c r="C855" s="115"/>
      <c r="D855" s="102"/>
      <c r="E855" s="115"/>
      <c r="F855" s="119"/>
      <c r="G855" s="519"/>
      <c r="H855" s="118"/>
      <c r="I855" s="519"/>
      <c r="J855" s="102"/>
      <c r="K855" s="121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5.75" customHeight="1">
      <c r="A856" s="113"/>
      <c r="B856" s="129"/>
      <c r="C856" s="115"/>
      <c r="D856" s="102"/>
      <c r="E856" s="115"/>
      <c r="F856" s="119"/>
      <c r="G856" s="519"/>
      <c r="H856" s="118"/>
      <c r="I856" s="519"/>
      <c r="J856" s="102"/>
      <c r="K856" s="121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5.75" customHeight="1">
      <c r="A857" s="113"/>
      <c r="B857" s="129"/>
      <c r="C857" s="115"/>
      <c r="D857" s="102"/>
      <c r="E857" s="115"/>
      <c r="F857" s="119"/>
      <c r="G857" s="519"/>
      <c r="H857" s="118"/>
      <c r="I857" s="519"/>
      <c r="J857" s="102"/>
      <c r="K857" s="121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5.75" customHeight="1">
      <c r="A858" s="113"/>
      <c r="B858" s="129"/>
      <c r="C858" s="115"/>
      <c r="D858" s="102"/>
      <c r="E858" s="115"/>
      <c r="F858" s="119"/>
      <c r="G858" s="519"/>
      <c r="H858" s="118"/>
      <c r="I858" s="519"/>
      <c r="J858" s="102"/>
      <c r="K858" s="121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5.75" customHeight="1">
      <c r="A859" s="113"/>
      <c r="B859" s="129"/>
      <c r="C859" s="115"/>
      <c r="D859" s="102"/>
      <c r="E859" s="115"/>
      <c r="F859" s="119"/>
      <c r="G859" s="519"/>
      <c r="H859" s="118"/>
      <c r="I859" s="519"/>
      <c r="J859" s="102"/>
      <c r="K859" s="121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5.75" customHeight="1">
      <c r="A860" s="113"/>
      <c r="B860" s="129"/>
      <c r="C860" s="115"/>
      <c r="D860" s="102"/>
      <c r="E860" s="115"/>
      <c r="F860" s="119"/>
      <c r="G860" s="519"/>
      <c r="H860" s="118"/>
      <c r="I860" s="519"/>
      <c r="J860" s="102"/>
      <c r="K860" s="121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5.75" customHeight="1">
      <c r="A861" s="113"/>
      <c r="B861" s="129"/>
      <c r="C861" s="115"/>
      <c r="D861" s="102"/>
      <c r="E861" s="115"/>
      <c r="F861" s="119"/>
      <c r="G861" s="519"/>
      <c r="H861" s="118"/>
      <c r="I861" s="519"/>
      <c r="J861" s="102"/>
      <c r="K861" s="121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5.75" customHeight="1">
      <c r="A862" s="113"/>
      <c r="B862" s="129"/>
      <c r="C862" s="115"/>
      <c r="D862" s="102"/>
      <c r="E862" s="115"/>
      <c r="F862" s="119"/>
      <c r="G862" s="519"/>
      <c r="H862" s="118"/>
      <c r="I862" s="519"/>
      <c r="J862" s="102"/>
      <c r="K862" s="121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5.75" customHeight="1">
      <c r="A863" s="113"/>
      <c r="B863" s="129"/>
      <c r="C863" s="115"/>
      <c r="D863" s="102"/>
      <c r="E863" s="115"/>
      <c r="F863" s="119"/>
      <c r="G863" s="519"/>
      <c r="H863" s="118"/>
      <c r="I863" s="519"/>
      <c r="J863" s="102"/>
      <c r="K863" s="121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5.75" customHeight="1">
      <c r="A864" s="113"/>
      <c r="B864" s="129"/>
      <c r="C864" s="115"/>
      <c r="D864" s="102"/>
      <c r="E864" s="115"/>
      <c r="F864" s="119"/>
      <c r="G864" s="519"/>
      <c r="H864" s="118"/>
      <c r="I864" s="519"/>
      <c r="J864" s="102"/>
      <c r="K864" s="121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5.75" customHeight="1">
      <c r="A865" s="113"/>
      <c r="B865" s="129"/>
      <c r="C865" s="115"/>
      <c r="D865" s="102"/>
      <c r="E865" s="115"/>
      <c r="F865" s="119"/>
      <c r="G865" s="519"/>
      <c r="H865" s="118"/>
      <c r="I865" s="519"/>
      <c r="J865" s="102"/>
      <c r="K865" s="121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5.75" customHeight="1">
      <c r="A866" s="113"/>
      <c r="B866" s="129"/>
      <c r="C866" s="115"/>
      <c r="D866" s="102"/>
      <c r="E866" s="115"/>
      <c r="F866" s="119"/>
      <c r="G866" s="519"/>
      <c r="H866" s="118"/>
      <c r="I866" s="519"/>
      <c r="J866" s="102"/>
      <c r="K866" s="121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5.75" customHeight="1">
      <c r="A867" s="113"/>
      <c r="B867" s="129"/>
      <c r="C867" s="115"/>
      <c r="D867" s="102"/>
      <c r="E867" s="115"/>
      <c r="F867" s="119"/>
      <c r="G867" s="519"/>
      <c r="H867" s="118"/>
      <c r="I867" s="519"/>
      <c r="J867" s="102"/>
      <c r="K867" s="121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5.75" customHeight="1">
      <c r="A868" s="113"/>
      <c r="B868" s="129"/>
      <c r="C868" s="115"/>
      <c r="D868" s="102"/>
      <c r="E868" s="115"/>
      <c r="F868" s="119"/>
      <c r="G868" s="519"/>
      <c r="H868" s="118"/>
      <c r="I868" s="519"/>
      <c r="J868" s="102"/>
      <c r="K868" s="121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5.75" customHeight="1">
      <c r="A869" s="113"/>
      <c r="B869" s="129"/>
      <c r="C869" s="115"/>
      <c r="D869" s="102"/>
      <c r="E869" s="115"/>
      <c r="F869" s="119"/>
      <c r="G869" s="519"/>
      <c r="H869" s="118"/>
      <c r="I869" s="519"/>
      <c r="J869" s="102"/>
      <c r="K869" s="121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5.75" customHeight="1">
      <c r="A870" s="113"/>
      <c r="B870" s="129"/>
      <c r="C870" s="115"/>
      <c r="D870" s="102"/>
      <c r="E870" s="115"/>
      <c r="F870" s="119"/>
      <c r="G870" s="519"/>
      <c r="H870" s="118"/>
      <c r="I870" s="519"/>
      <c r="J870" s="102"/>
      <c r="K870" s="121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5.75" customHeight="1">
      <c r="A871" s="113"/>
      <c r="B871" s="129"/>
      <c r="C871" s="115"/>
      <c r="D871" s="102"/>
      <c r="E871" s="115"/>
      <c r="F871" s="119"/>
      <c r="G871" s="519"/>
      <c r="H871" s="118"/>
      <c r="I871" s="519"/>
      <c r="J871" s="102"/>
      <c r="K871" s="121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5.75" customHeight="1">
      <c r="A872" s="113"/>
      <c r="B872" s="129"/>
      <c r="C872" s="115"/>
      <c r="D872" s="102"/>
      <c r="E872" s="115"/>
      <c r="F872" s="119"/>
      <c r="G872" s="519"/>
      <c r="H872" s="118"/>
      <c r="I872" s="519"/>
      <c r="J872" s="102"/>
      <c r="K872" s="121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5.75" customHeight="1">
      <c r="A873" s="113"/>
      <c r="B873" s="129"/>
      <c r="C873" s="115"/>
      <c r="D873" s="102"/>
      <c r="E873" s="115"/>
      <c r="F873" s="119"/>
      <c r="G873" s="519"/>
      <c r="H873" s="118"/>
      <c r="I873" s="519"/>
      <c r="J873" s="102"/>
      <c r="K873" s="121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5.75" customHeight="1">
      <c r="A874" s="113"/>
      <c r="B874" s="129"/>
      <c r="C874" s="115"/>
      <c r="D874" s="102"/>
      <c r="E874" s="115"/>
      <c r="F874" s="119"/>
      <c r="G874" s="519"/>
      <c r="H874" s="118"/>
      <c r="I874" s="519"/>
      <c r="J874" s="102"/>
      <c r="K874" s="121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5.75" customHeight="1">
      <c r="A875" s="113"/>
      <c r="B875" s="129"/>
      <c r="C875" s="115"/>
      <c r="D875" s="102"/>
      <c r="E875" s="115"/>
      <c r="F875" s="119"/>
      <c r="G875" s="519"/>
      <c r="H875" s="118"/>
      <c r="I875" s="519"/>
      <c r="J875" s="102"/>
      <c r="K875" s="121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5.75" customHeight="1">
      <c r="A876" s="113"/>
      <c r="B876" s="129"/>
      <c r="C876" s="115"/>
      <c r="D876" s="102"/>
      <c r="E876" s="115"/>
      <c r="F876" s="119"/>
      <c r="G876" s="519"/>
      <c r="H876" s="118"/>
      <c r="I876" s="519"/>
      <c r="J876" s="102"/>
      <c r="K876" s="121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5.75" customHeight="1">
      <c r="A877" s="113"/>
      <c r="B877" s="129"/>
      <c r="C877" s="115"/>
      <c r="D877" s="102"/>
      <c r="E877" s="115"/>
      <c r="F877" s="119"/>
      <c r="G877" s="519"/>
      <c r="H877" s="118"/>
      <c r="I877" s="519"/>
      <c r="J877" s="102"/>
      <c r="K877" s="121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5.75" customHeight="1">
      <c r="A878" s="113"/>
      <c r="B878" s="129"/>
      <c r="C878" s="115"/>
      <c r="D878" s="102"/>
      <c r="E878" s="115"/>
      <c r="F878" s="119"/>
      <c r="G878" s="519"/>
      <c r="H878" s="118"/>
      <c r="I878" s="519"/>
      <c r="J878" s="102"/>
      <c r="K878" s="121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5.75" customHeight="1">
      <c r="A879" s="113"/>
      <c r="B879" s="129"/>
      <c r="C879" s="115"/>
      <c r="D879" s="102"/>
      <c r="E879" s="115"/>
      <c r="F879" s="119"/>
      <c r="G879" s="519"/>
      <c r="H879" s="118"/>
      <c r="I879" s="519"/>
      <c r="J879" s="102"/>
      <c r="K879" s="121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5.75" customHeight="1">
      <c r="A880" s="113"/>
      <c r="B880" s="129"/>
      <c r="C880" s="115"/>
      <c r="D880" s="102"/>
      <c r="E880" s="115"/>
      <c r="F880" s="119"/>
      <c r="G880" s="519"/>
      <c r="H880" s="118"/>
      <c r="I880" s="519"/>
      <c r="J880" s="102"/>
      <c r="K880" s="121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5.75" customHeight="1">
      <c r="A881" s="113"/>
      <c r="B881" s="129"/>
      <c r="C881" s="115"/>
      <c r="D881" s="102"/>
      <c r="E881" s="115"/>
      <c r="F881" s="119"/>
      <c r="G881" s="519"/>
      <c r="H881" s="118"/>
      <c r="I881" s="519"/>
      <c r="J881" s="102"/>
      <c r="K881" s="121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5.75" customHeight="1">
      <c r="A882" s="113"/>
      <c r="B882" s="129"/>
      <c r="C882" s="115"/>
      <c r="D882" s="102"/>
      <c r="E882" s="115"/>
      <c r="F882" s="119"/>
      <c r="G882" s="519"/>
      <c r="H882" s="118"/>
      <c r="I882" s="519"/>
      <c r="J882" s="102"/>
      <c r="K882" s="121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5.75" customHeight="1">
      <c r="A883" s="113"/>
      <c r="B883" s="129"/>
      <c r="C883" s="115"/>
      <c r="D883" s="102"/>
      <c r="E883" s="115"/>
      <c r="F883" s="119"/>
      <c r="G883" s="519"/>
      <c r="H883" s="118"/>
      <c r="I883" s="519"/>
      <c r="J883" s="102"/>
      <c r="K883" s="121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5.75" customHeight="1">
      <c r="A884" s="113"/>
      <c r="B884" s="129"/>
      <c r="C884" s="115"/>
      <c r="D884" s="102"/>
      <c r="E884" s="115"/>
      <c r="F884" s="119"/>
      <c r="G884" s="519"/>
      <c r="H884" s="118"/>
      <c r="I884" s="519"/>
      <c r="J884" s="102"/>
      <c r="K884" s="121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5.75" customHeight="1">
      <c r="A885" s="113"/>
      <c r="B885" s="129"/>
      <c r="C885" s="115"/>
      <c r="D885" s="102"/>
      <c r="E885" s="115"/>
      <c r="F885" s="119"/>
      <c r="G885" s="519"/>
      <c r="H885" s="118"/>
      <c r="I885" s="519"/>
      <c r="J885" s="102"/>
      <c r="K885" s="121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5.75" customHeight="1">
      <c r="A886" s="113"/>
      <c r="B886" s="129"/>
      <c r="C886" s="115"/>
      <c r="D886" s="102"/>
      <c r="E886" s="115"/>
      <c r="F886" s="119"/>
      <c r="G886" s="519"/>
      <c r="H886" s="118"/>
      <c r="I886" s="519"/>
      <c r="J886" s="102"/>
      <c r="K886" s="121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5.75" customHeight="1">
      <c r="A887" s="113"/>
      <c r="B887" s="129"/>
      <c r="C887" s="115"/>
      <c r="D887" s="102"/>
      <c r="E887" s="115"/>
      <c r="F887" s="119"/>
      <c r="G887" s="519"/>
      <c r="H887" s="118"/>
      <c r="I887" s="519"/>
      <c r="J887" s="102"/>
      <c r="K887" s="121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5.75" customHeight="1">
      <c r="A888" s="113"/>
      <c r="B888" s="129"/>
      <c r="C888" s="115"/>
      <c r="D888" s="102"/>
      <c r="E888" s="115"/>
      <c r="F888" s="119"/>
      <c r="G888" s="519"/>
      <c r="H888" s="118"/>
      <c r="I888" s="519"/>
      <c r="J888" s="102"/>
      <c r="K888" s="121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5.75" customHeight="1">
      <c r="A889" s="113"/>
      <c r="B889" s="129"/>
      <c r="C889" s="115"/>
      <c r="D889" s="102"/>
      <c r="E889" s="115"/>
      <c r="F889" s="119"/>
      <c r="G889" s="519"/>
      <c r="H889" s="118"/>
      <c r="I889" s="519"/>
      <c r="J889" s="102"/>
      <c r="K889" s="121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5.75" customHeight="1">
      <c r="A890" s="113"/>
      <c r="B890" s="129"/>
      <c r="C890" s="115"/>
      <c r="D890" s="102"/>
      <c r="E890" s="115"/>
      <c r="F890" s="119"/>
      <c r="G890" s="519"/>
      <c r="H890" s="118"/>
      <c r="I890" s="519"/>
      <c r="J890" s="102"/>
      <c r="K890" s="121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5.75" customHeight="1">
      <c r="A891" s="113"/>
      <c r="B891" s="129"/>
      <c r="C891" s="115"/>
      <c r="D891" s="102"/>
      <c r="E891" s="115"/>
      <c r="F891" s="119"/>
      <c r="G891" s="519"/>
      <c r="H891" s="118"/>
      <c r="I891" s="519"/>
      <c r="J891" s="102"/>
      <c r="K891" s="121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5.75" customHeight="1">
      <c r="A892" s="113"/>
      <c r="B892" s="129"/>
      <c r="C892" s="115"/>
      <c r="D892" s="102"/>
      <c r="E892" s="115"/>
      <c r="F892" s="119"/>
      <c r="G892" s="519"/>
      <c r="H892" s="118"/>
      <c r="I892" s="519"/>
      <c r="J892" s="102"/>
      <c r="K892" s="121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5.75" customHeight="1">
      <c r="A893" s="113"/>
      <c r="B893" s="129"/>
      <c r="C893" s="115"/>
      <c r="D893" s="102"/>
      <c r="E893" s="115"/>
      <c r="F893" s="119"/>
      <c r="G893" s="519"/>
      <c r="H893" s="118"/>
      <c r="I893" s="519"/>
      <c r="J893" s="102"/>
      <c r="K893" s="121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5.75" customHeight="1">
      <c r="A894" s="113"/>
      <c r="B894" s="129"/>
      <c r="C894" s="115"/>
      <c r="D894" s="102"/>
      <c r="E894" s="115"/>
      <c r="F894" s="119"/>
      <c r="G894" s="519"/>
      <c r="H894" s="118"/>
      <c r="I894" s="519"/>
      <c r="J894" s="102"/>
      <c r="K894" s="121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5.75" customHeight="1">
      <c r="A895" s="113"/>
      <c r="B895" s="129"/>
      <c r="C895" s="115"/>
      <c r="D895" s="102"/>
      <c r="E895" s="115"/>
      <c r="F895" s="119"/>
      <c r="G895" s="519"/>
      <c r="H895" s="118"/>
      <c r="I895" s="519"/>
      <c r="J895" s="102"/>
      <c r="K895" s="121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5.75" customHeight="1">
      <c r="A896" s="113"/>
      <c r="B896" s="129"/>
      <c r="C896" s="115"/>
      <c r="D896" s="102"/>
      <c r="E896" s="115"/>
      <c r="F896" s="119"/>
      <c r="G896" s="519"/>
      <c r="H896" s="118"/>
      <c r="I896" s="519"/>
      <c r="J896" s="102"/>
      <c r="K896" s="121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5.75" customHeight="1">
      <c r="A897" s="113"/>
      <c r="B897" s="129"/>
      <c r="C897" s="115"/>
      <c r="D897" s="102"/>
      <c r="E897" s="115"/>
      <c r="F897" s="119"/>
      <c r="G897" s="519"/>
      <c r="H897" s="118"/>
      <c r="I897" s="519"/>
      <c r="J897" s="102"/>
      <c r="K897" s="121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5.75" customHeight="1">
      <c r="A898" s="113"/>
      <c r="B898" s="129"/>
      <c r="C898" s="115"/>
      <c r="D898" s="102"/>
      <c r="E898" s="115"/>
      <c r="F898" s="119"/>
      <c r="G898" s="519"/>
      <c r="H898" s="118"/>
      <c r="I898" s="519"/>
      <c r="J898" s="102"/>
      <c r="K898" s="121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5.75" customHeight="1">
      <c r="A899" s="113"/>
      <c r="B899" s="129"/>
      <c r="C899" s="115"/>
      <c r="D899" s="102"/>
      <c r="E899" s="115"/>
      <c r="F899" s="119"/>
      <c r="G899" s="519"/>
      <c r="H899" s="118"/>
      <c r="I899" s="519"/>
      <c r="J899" s="102"/>
      <c r="K899" s="121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5.75" customHeight="1">
      <c r="A900" s="113"/>
      <c r="B900" s="129"/>
      <c r="C900" s="115"/>
      <c r="D900" s="102"/>
      <c r="E900" s="115"/>
      <c r="F900" s="119"/>
      <c r="G900" s="519"/>
      <c r="H900" s="118"/>
      <c r="I900" s="519"/>
      <c r="J900" s="102"/>
      <c r="K900" s="121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5.75" customHeight="1">
      <c r="A901" s="113"/>
      <c r="B901" s="129"/>
      <c r="C901" s="115"/>
      <c r="D901" s="102"/>
      <c r="E901" s="115"/>
      <c r="F901" s="119"/>
      <c r="G901" s="519"/>
      <c r="H901" s="118"/>
      <c r="I901" s="519"/>
      <c r="J901" s="102"/>
      <c r="K901" s="121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5.75" customHeight="1">
      <c r="A902" s="113"/>
      <c r="B902" s="129"/>
      <c r="C902" s="115"/>
      <c r="D902" s="102"/>
      <c r="E902" s="115"/>
      <c r="F902" s="119"/>
      <c r="G902" s="519"/>
      <c r="H902" s="118"/>
      <c r="I902" s="519"/>
      <c r="J902" s="102"/>
      <c r="K902" s="121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5.75" customHeight="1">
      <c r="A903" s="113"/>
      <c r="B903" s="129"/>
      <c r="C903" s="115"/>
      <c r="D903" s="102"/>
      <c r="E903" s="115"/>
      <c r="F903" s="119"/>
      <c r="G903" s="519"/>
      <c r="H903" s="118"/>
      <c r="I903" s="519"/>
      <c r="J903" s="102"/>
      <c r="K903" s="121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5.75" customHeight="1">
      <c r="A904" s="113"/>
      <c r="B904" s="129"/>
      <c r="C904" s="115"/>
      <c r="D904" s="102"/>
      <c r="E904" s="115"/>
      <c r="F904" s="119"/>
      <c r="G904" s="519"/>
      <c r="H904" s="118"/>
      <c r="I904" s="519"/>
      <c r="J904" s="102"/>
      <c r="K904" s="121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5.75" customHeight="1">
      <c r="A905" s="113"/>
      <c r="B905" s="129"/>
      <c r="C905" s="115"/>
      <c r="D905" s="102"/>
      <c r="E905" s="115"/>
      <c r="F905" s="119"/>
      <c r="G905" s="519"/>
      <c r="H905" s="118"/>
      <c r="I905" s="519"/>
      <c r="J905" s="102"/>
      <c r="K905" s="121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5.75" customHeight="1">
      <c r="A906" s="113"/>
      <c r="B906" s="129"/>
      <c r="C906" s="115"/>
      <c r="D906" s="102"/>
      <c r="E906" s="115"/>
      <c r="F906" s="119"/>
      <c r="G906" s="519"/>
      <c r="H906" s="118"/>
      <c r="I906" s="519"/>
      <c r="J906" s="102"/>
      <c r="K906" s="121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5.75" customHeight="1">
      <c r="A907" s="113"/>
      <c r="B907" s="129"/>
      <c r="C907" s="115"/>
      <c r="D907" s="102"/>
      <c r="E907" s="115"/>
      <c r="F907" s="119"/>
      <c r="G907" s="519"/>
      <c r="H907" s="118"/>
      <c r="I907" s="519"/>
      <c r="J907" s="102"/>
      <c r="K907" s="121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5.75" customHeight="1">
      <c r="A908" s="113"/>
      <c r="B908" s="129"/>
      <c r="C908" s="115"/>
      <c r="D908" s="102"/>
      <c r="E908" s="115"/>
      <c r="F908" s="119"/>
      <c r="G908" s="519"/>
      <c r="H908" s="118"/>
      <c r="I908" s="519"/>
      <c r="J908" s="102"/>
      <c r="K908" s="121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5.75" customHeight="1">
      <c r="A909" s="113"/>
      <c r="B909" s="129"/>
      <c r="C909" s="115"/>
      <c r="D909" s="102"/>
      <c r="E909" s="115"/>
      <c r="F909" s="119"/>
      <c r="G909" s="519"/>
      <c r="H909" s="118"/>
      <c r="I909" s="519"/>
      <c r="J909" s="102"/>
      <c r="K909" s="121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5.75" customHeight="1">
      <c r="A910" s="113"/>
      <c r="B910" s="129"/>
      <c r="C910" s="115"/>
      <c r="D910" s="102"/>
      <c r="E910" s="115"/>
      <c r="F910" s="119"/>
      <c r="G910" s="519"/>
      <c r="H910" s="118"/>
      <c r="I910" s="519"/>
      <c r="J910" s="102"/>
      <c r="K910" s="121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5.75" customHeight="1">
      <c r="A911" s="113"/>
      <c r="B911" s="129"/>
      <c r="C911" s="115"/>
      <c r="D911" s="102"/>
      <c r="E911" s="115"/>
      <c r="F911" s="119"/>
      <c r="G911" s="519"/>
      <c r="H911" s="118"/>
      <c r="I911" s="519"/>
      <c r="J911" s="102"/>
      <c r="K911" s="121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5.75" customHeight="1">
      <c r="A912" s="113"/>
      <c r="B912" s="129"/>
      <c r="C912" s="115"/>
      <c r="D912" s="102"/>
      <c r="E912" s="115"/>
      <c r="F912" s="119"/>
      <c r="G912" s="519"/>
      <c r="H912" s="118"/>
      <c r="I912" s="519"/>
      <c r="J912" s="102"/>
      <c r="K912" s="121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5.75" customHeight="1">
      <c r="A913" s="113"/>
      <c r="B913" s="129"/>
      <c r="C913" s="115"/>
      <c r="D913" s="102"/>
      <c r="E913" s="115"/>
      <c r="F913" s="119"/>
      <c r="G913" s="519"/>
      <c r="H913" s="118"/>
      <c r="I913" s="519"/>
      <c r="J913" s="102"/>
      <c r="K913" s="121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5.75" customHeight="1">
      <c r="A914" s="113"/>
      <c r="B914" s="129"/>
      <c r="C914" s="115"/>
      <c r="D914" s="102"/>
      <c r="E914" s="115"/>
      <c r="F914" s="119"/>
      <c r="G914" s="519"/>
      <c r="H914" s="118"/>
      <c r="I914" s="519"/>
      <c r="J914" s="102"/>
      <c r="K914" s="121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5.75" customHeight="1">
      <c r="A915" s="113"/>
      <c r="B915" s="129"/>
      <c r="C915" s="115"/>
      <c r="D915" s="102"/>
      <c r="E915" s="115"/>
      <c r="F915" s="119"/>
      <c r="G915" s="519"/>
      <c r="H915" s="118"/>
      <c r="I915" s="519"/>
      <c r="J915" s="102"/>
      <c r="K915" s="121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5.75" customHeight="1">
      <c r="A916" s="113"/>
      <c r="B916" s="129"/>
      <c r="C916" s="115"/>
      <c r="D916" s="102"/>
      <c r="E916" s="115"/>
      <c r="F916" s="119"/>
      <c r="G916" s="519"/>
      <c r="H916" s="118"/>
      <c r="I916" s="519"/>
      <c r="J916" s="102"/>
      <c r="K916" s="121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5.75" customHeight="1">
      <c r="A917" s="113"/>
      <c r="B917" s="129"/>
      <c r="C917" s="115"/>
      <c r="D917" s="102"/>
      <c r="E917" s="115"/>
      <c r="F917" s="119"/>
      <c r="G917" s="519"/>
      <c r="H917" s="118"/>
      <c r="I917" s="519"/>
      <c r="J917" s="102"/>
      <c r="K917" s="121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5.75" customHeight="1">
      <c r="A918" s="113"/>
      <c r="B918" s="129"/>
      <c r="C918" s="115"/>
      <c r="D918" s="102"/>
      <c r="E918" s="115"/>
      <c r="F918" s="119"/>
      <c r="G918" s="519"/>
      <c r="H918" s="118"/>
      <c r="I918" s="519"/>
      <c r="J918" s="102"/>
      <c r="K918" s="121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5.75" customHeight="1">
      <c r="A919" s="113"/>
      <c r="B919" s="129"/>
      <c r="C919" s="115"/>
      <c r="D919" s="102"/>
      <c r="E919" s="115"/>
      <c r="F919" s="119"/>
      <c r="G919" s="519"/>
      <c r="H919" s="118"/>
      <c r="I919" s="519"/>
      <c r="J919" s="102"/>
      <c r="K919" s="121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5.75" customHeight="1">
      <c r="A920" s="113"/>
      <c r="B920" s="129"/>
      <c r="C920" s="115"/>
      <c r="D920" s="102"/>
      <c r="E920" s="115"/>
      <c r="F920" s="119"/>
      <c r="G920" s="519"/>
      <c r="H920" s="118"/>
      <c r="I920" s="519"/>
      <c r="J920" s="102"/>
      <c r="K920" s="121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5.75" customHeight="1">
      <c r="A921" s="113"/>
      <c r="B921" s="129"/>
      <c r="C921" s="115"/>
      <c r="D921" s="102"/>
      <c r="E921" s="115"/>
      <c r="F921" s="119"/>
      <c r="G921" s="519"/>
      <c r="H921" s="118"/>
      <c r="I921" s="519"/>
      <c r="J921" s="102"/>
      <c r="K921" s="121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5.75" customHeight="1">
      <c r="A922" s="113"/>
      <c r="B922" s="129"/>
      <c r="C922" s="115"/>
      <c r="D922" s="102"/>
      <c r="E922" s="115"/>
      <c r="F922" s="119"/>
      <c r="G922" s="519"/>
      <c r="H922" s="118"/>
      <c r="I922" s="519"/>
      <c r="J922" s="102"/>
      <c r="K922" s="121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5.75" customHeight="1">
      <c r="A923" s="113"/>
      <c r="B923" s="129"/>
      <c r="C923" s="115"/>
      <c r="D923" s="102"/>
      <c r="E923" s="115"/>
      <c r="F923" s="119"/>
      <c r="G923" s="519"/>
      <c r="H923" s="118"/>
      <c r="I923" s="519"/>
      <c r="J923" s="102"/>
      <c r="K923" s="121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5.75" customHeight="1">
      <c r="A924" s="113"/>
      <c r="B924" s="129"/>
      <c r="C924" s="115"/>
      <c r="D924" s="102"/>
      <c r="E924" s="115"/>
      <c r="F924" s="119"/>
      <c r="G924" s="519"/>
      <c r="H924" s="118"/>
      <c r="I924" s="519"/>
      <c r="J924" s="102"/>
      <c r="K924" s="121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5.75" customHeight="1">
      <c r="A925" s="113"/>
      <c r="B925" s="129"/>
      <c r="C925" s="115"/>
      <c r="D925" s="102"/>
      <c r="E925" s="115"/>
      <c r="F925" s="119"/>
      <c r="G925" s="519"/>
      <c r="H925" s="118"/>
      <c r="I925" s="519"/>
      <c r="J925" s="102"/>
      <c r="K925" s="121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5.75" customHeight="1">
      <c r="A926" s="113"/>
      <c r="B926" s="129"/>
      <c r="C926" s="115"/>
      <c r="D926" s="102"/>
      <c r="E926" s="115"/>
      <c r="F926" s="119"/>
      <c r="G926" s="519"/>
      <c r="H926" s="118"/>
      <c r="I926" s="519"/>
      <c r="J926" s="102"/>
      <c r="K926" s="121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5.75" customHeight="1">
      <c r="A927" s="113"/>
      <c r="B927" s="129"/>
      <c r="C927" s="115"/>
      <c r="D927" s="102"/>
      <c r="E927" s="115"/>
      <c r="F927" s="119"/>
      <c r="G927" s="519"/>
      <c r="H927" s="118"/>
      <c r="I927" s="519"/>
      <c r="J927" s="102"/>
      <c r="K927" s="121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5.75" customHeight="1">
      <c r="A928" s="113"/>
      <c r="B928" s="129"/>
      <c r="C928" s="115"/>
      <c r="D928" s="102"/>
      <c r="E928" s="115"/>
      <c r="F928" s="119"/>
      <c r="G928" s="519"/>
      <c r="H928" s="118"/>
      <c r="I928" s="519"/>
      <c r="J928" s="102"/>
      <c r="K928" s="121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5.75" customHeight="1">
      <c r="A929" s="113"/>
      <c r="B929" s="129"/>
      <c r="C929" s="115"/>
      <c r="D929" s="102"/>
      <c r="E929" s="115"/>
      <c r="F929" s="119"/>
      <c r="G929" s="519"/>
      <c r="H929" s="118"/>
      <c r="I929" s="519"/>
      <c r="J929" s="102"/>
      <c r="K929" s="121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5.75" customHeight="1">
      <c r="A930" s="113"/>
      <c r="B930" s="129"/>
      <c r="C930" s="115"/>
      <c r="D930" s="102"/>
      <c r="E930" s="115"/>
      <c r="F930" s="119"/>
      <c r="G930" s="519"/>
      <c r="H930" s="118"/>
      <c r="I930" s="519"/>
      <c r="J930" s="102"/>
      <c r="K930" s="121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5.75" customHeight="1">
      <c r="A931" s="113"/>
      <c r="B931" s="129"/>
      <c r="C931" s="115"/>
      <c r="D931" s="102"/>
      <c r="E931" s="115"/>
      <c r="F931" s="119"/>
      <c r="G931" s="519"/>
      <c r="H931" s="118"/>
      <c r="I931" s="519"/>
      <c r="J931" s="102"/>
      <c r="K931" s="121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5.75" customHeight="1">
      <c r="A932" s="113"/>
      <c r="B932" s="129"/>
      <c r="C932" s="115"/>
      <c r="D932" s="102"/>
      <c r="E932" s="115"/>
      <c r="F932" s="119"/>
      <c r="G932" s="519"/>
      <c r="H932" s="118"/>
      <c r="I932" s="519"/>
      <c r="J932" s="102"/>
      <c r="K932" s="121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5.75" customHeight="1">
      <c r="A933" s="113"/>
      <c r="B933" s="129"/>
      <c r="C933" s="115"/>
      <c r="D933" s="102"/>
      <c r="E933" s="115"/>
      <c r="F933" s="119"/>
      <c r="G933" s="519"/>
      <c r="H933" s="118"/>
      <c r="I933" s="519"/>
      <c r="J933" s="102"/>
      <c r="K933" s="121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5.75" customHeight="1">
      <c r="A934" s="113"/>
      <c r="B934" s="129"/>
      <c r="C934" s="115"/>
      <c r="D934" s="102"/>
      <c r="E934" s="115"/>
      <c r="F934" s="119"/>
      <c r="G934" s="519"/>
      <c r="H934" s="118"/>
      <c r="I934" s="519"/>
      <c r="J934" s="102"/>
      <c r="K934" s="121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5.75" customHeight="1">
      <c r="A935" s="113"/>
      <c r="B935" s="129"/>
      <c r="C935" s="115"/>
      <c r="D935" s="102"/>
      <c r="E935" s="115"/>
      <c r="F935" s="119"/>
      <c r="G935" s="519"/>
      <c r="H935" s="118"/>
      <c r="I935" s="519"/>
      <c r="J935" s="102"/>
      <c r="K935" s="121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5.75" customHeight="1">
      <c r="A936" s="113"/>
      <c r="B936" s="129"/>
      <c r="C936" s="115"/>
      <c r="D936" s="102"/>
      <c r="E936" s="115"/>
      <c r="F936" s="119"/>
      <c r="G936" s="519"/>
      <c r="H936" s="118"/>
      <c r="I936" s="519"/>
      <c r="J936" s="102"/>
      <c r="K936" s="121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5.75" customHeight="1">
      <c r="A937" s="113"/>
      <c r="B937" s="129"/>
      <c r="C937" s="115"/>
      <c r="D937" s="102"/>
      <c r="E937" s="115"/>
      <c r="F937" s="119"/>
      <c r="G937" s="519"/>
      <c r="H937" s="118"/>
      <c r="I937" s="519"/>
      <c r="J937" s="102"/>
      <c r="K937" s="121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5.75" customHeight="1">
      <c r="A938" s="113"/>
      <c r="B938" s="129"/>
      <c r="C938" s="115"/>
      <c r="D938" s="102"/>
      <c r="E938" s="115"/>
      <c r="F938" s="119"/>
      <c r="G938" s="519"/>
      <c r="H938" s="118"/>
      <c r="I938" s="519"/>
      <c r="J938" s="102"/>
      <c r="K938" s="121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5.75" customHeight="1">
      <c r="A939" s="113"/>
      <c r="B939" s="129"/>
      <c r="C939" s="115"/>
      <c r="D939" s="102"/>
      <c r="E939" s="115"/>
      <c r="F939" s="119"/>
      <c r="G939" s="519"/>
      <c r="H939" s="118"/>
      <c r="I939" s="519"/>
      <c r="J939" s="102"/>
      <c r="K939" s="121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5.75" customHeight="1">
      <c r="A940" s="113"/>
      <c r="B940" s="129"/>
      <c r="C940" s="115"/>
      <c r="D940" s="102"/>
      <c r="E940" s="115"/>
      <c r="F940" s="119"/>
      <c r="G940" s="519"/>
      <c r="H940" s="118"/>
      <c r="I940" s="519"/>
      <c r="J940" s="102"/>
      <c r="K940" s="121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5.75" customHeight="1">
      <c r="A941" s="113"/>
      <c r="B941" s="129"/>
      <c r="C941" s="115"/>
      <c r="D941" s="102"/>
      <c r="E941" s="115"/>
      <c r="F941" s="119"/>
      <c r="G941" s="519"/>
      <c r="H941" s="118"/>
      <c r="I941" s="519"/>
      <c r="J941" s="102"/>
      <c r="K941" s="121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5.75" customHeight="1">
      <c r="A942" s="113"/>
      <c r="B942" s="129"/>
      <c r="C942" s="115"/>
      <c r="D942" s="102"/>
      <c r="E942" s="115"/>
      <c r="F942" s="119"/>
      <c r="G942" s="519"/>
      <c r="H942" s="118"/>
      <c r="I942" s="519"/>
      <c r="J942" s="102"/>
      <c r="K942" s="121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5.75" customHeight="1">
      <c r="A943" s="113"/>
      <c r="B943" s="129"/>
      <c r="C943" s="115"/>
      <c r="D943" s="102"/>
      <c r="E943" s="115"/>
      <c r="F943" s="119"/>
      <c r="G943" s="519"/>
      <c r="H943" s="118"/>
      <c r="I943" s="519"/>
      <c r="J943" s="102"/>
      <c r="K943" s="121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5.75" customHeight="1">
      <c r="A944" s="113"/>
      <c r="B944" s="129"/>
      <c r="C944" s="115"/>
      <c r="D944" s="102"/>
      <c r="E944" s="115"/>
      <c r="F944" s="119"/>
      <c r="G944" s="519"/>
      <c r="H944" s="118"/>
      <c r="I944" s="519"/>
      <c r="J944" s="102"/>
      <c r="K944" s="121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5.75" customHeight="1">
      <c r="A945" s="113"/>
      <c r="B945" s="129"/>
      <c r="C945" s="115"/>
      <c r="D945" s="102"/>
      <c r="E945" s="115"/>
      <c r="F945" s="119"/>
      <c r="G945" s="519"/>
      <c r="H945" s="118"/>
      <c r="I945" s="519"/>
      <c r="J945" s="102"/>
      <c r="K945" s="121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5.75" customHeight="1">
      <c r="A946" s="113"/>
      <c r="B946" s="129"/>
      <c r="C946" s="115"/>
      <c r="D946" s="102"/>
      <c r="E946" s="115"/>
      <c r="F946" s="119"/>
      <c r="G946" s="519"/>
      <c r="H946" s="118"/>
      <c r="I946" s="519"/>
      <c r="J946" s="102"/>
      <c r="K946" s="121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5.75" customHeight="1">
      <c r="A947" s="113"/>
      <c r="B947" s="129"/>
      <c r="C947" s="115"/>
      <c r="D947" s="102"/>
      <c r="E947" s="115"/>
      <c r="F947" s="119"/>
      <c r="G947" s="519"/>
      <c r="H947" s="118"/>
      <c r="I947" s="519"/>
      <c r="J947" s="102"/>
      <c r="K947" s="121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5.75" customHeight="1">
      <c r="A948" s="113"/>
      <c r="B948" s="129"/>
      <c r="C948" s="115"/>
      <c r="D948" s="102"/>
      <c r="E948" s="115"/>
      <c r="F948" s="119"/>
      <c r="G948" s="519"/>
      <c r="H948" s="118"/>
      <c r="I948" s="519"/>
      <c r="J948" s="102"/>
      <c r="K948" s="121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5.75" customHeight="1">
      <c r="A949" s="113"/>
      <c r="B949" s="129"/>
      <c r="C949" s="115"/>
      <c r="D949" s="102"/>
      <c r="E949" s="115"/>
      <c r="F949" s="119"/>
      <c r="G949" s="519"/>
      <c r="H949" s="118"/>
      <c r="I949" s="519"/>
      <c r="J949" s="102"/>
      <c r="K949" s="121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5.75" customHeight="1">
      <c r="A950" s="113"/>
      <c r="B950" s="129"/>
      <c r="C950" s="115"/>
      <c r="D950" s="102"/>
      <c r="E950" s="115"/>
      <c r="F950" s="119"/>
      <c r="G950" s="519"/>
      <c r="H950" s="118"/>
      <c r="I950" s="519"/>
      <c r="J950" s="102"/>
      <c r="K950" s="121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5.75" customHeight="1">
      <c r="A951" s="113"/>
      <c r="B951" s="129"/>
      <c r="C951" s="115"/>
      <c r="D951" s="102"/>
      <c r="E951" s="115"/>
      <c r="F951" s="119"/>
      <c r="G951" s="519"/>
      <c r="H951" s="118"/>
      <c r="I951" s="519"/>
      <c r="J951" s="102"/>
      <c r="K951" s="121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5.75" customHeight="1">
      <c r="A952" s="113"/>
      <c r="B952" s="129"/>
      <c r="C952" s="115"/>
      <c r="D952" s="102"/>
      <c r="E952" s="115"/>
      <c r="F952" s="119"/>
      <c r="G952" s="519"/>
      <c r="H952" s="118"/>
      <c r="I952" s="519"/>
      <c r="J952" s="102"/>
      <c r="K952" s="121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5.75" customHeight="1">
      <c r="A953" s="113"/>
      <c r="B953" s="129"/>
      <c r="C953" s="115"/>
      <c r="D953" s="102"/>
      <c r="E953" s="115"/>
      <c r="F953" s="119"/>
      <c r="G953" s="519"/>
      <c r="H953" s="118"/>
      <c r="I953" s="519"/>
      <c r="J953" s="102"/>
      <c r="K953" s="121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5.75" customHeight="1">
      <c r="A954" s="113"/>
      <c r="B954" s="129"/>
      <c r="C954" s="115"/>
      <c r="D954" s="102"/>
      <c r="E954" s="115"/>
      <c r="F954" s="119"/>
      <c r="G954" s="519"/>
      <c r="H954" s="118"/>
      <c r="I954" s="519"/>
      <c r="J954" s="102"/>
      <c r="K954" s="121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5.75" customHeight="1">
      <c r="A955" s="113"/>
      <c r="B955" s="129"/>
      <c r="C955" s="115"/>
      <c r="D955" s="102"/>
      <c r="E955" s="115"/>
      <c r="F955" s="119"/>
      <c r="G955" s="519"/>
      <c r="H955" s="118"/>
      <c r="I955" s="519"/>
      <c r="J955" s="102"/>
      <c r="K955" s="121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5.75" customHeight="1">
      <c r="A956" s="113"/>
      <c r="B956" s="129"/>
      <c r="C956" s="115"/>
      <c r="D956" s="102"/>
      <c r="E956" s="115"/>
      <c r="F956" s="119"/>
      <c r="G956" s="519"/>
      <c r="H956" s="118"/>
      <c r="I956" s="519"/>
      <c r="J956" s="102"/>
      <c r="K956" s="121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5.75" customHeight="1">
      <c r="A957" s="113"/>
      <c r="B957" s="129"/>
      <c r="C957" s="115"/>
      <c r="D957" s="102"/>
      <c r="E957" s="115"/>
      <c r="F957" s="119"/>
      <c r="G957" s="519"/>
      <c r="H957" s="118"/>
      <c r="I957" s="519"/>
      <c r="J957" s="102"/>
      <c r="K957" s="121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5.75" customHeight="1">
      <c r="A958" s="113"/>
      <c r="B958" s="129"/>
      <c r="C958" s="115"/>
      <c r="D958" s="102"/>
      <c r="E958" s="115"/>
      <c r="F958" s="119"/>
      <c r="G958" s="519"/>
      <c r="H958" s="118"/>
      <c r="I958" s="519"/>
      <c r="J958" s="102"/>
      <c r="K958" s="121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5.75" customHeight="1">
      <c r="A959" s="113"/>
      <c r="B959" s="129"/>
      <c r="C959" s="115"/>
      <c r="D959" s="102"/>
      <c r="E959" s="115"/>
      <c r="F959" s="119"/>
      <c r="G959" s="519"/>
      <c r="H959" s="118"/>
      <c r="I959" s="519"/>
      <c r="J959" s="102"/>
      <c r="K959" s="121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5.75" customHeight="1">
      <c r="A960" s="113"/>
      <c r="B960" s="129"/>
      <c r="C960" s="115"/>
      <c r="D960" s="102"/>
      <c r="E960" s="115"/>
      <c r="F960" s="119"/>
      <c r="G960" s="519"/>
      <c r="H960" s="118"/>
      <c r="I960" s="519"/>
      <c r="J960" s="102"/>
      <c r="K960" s="121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5.75" customHeight="1">
      <c r="A961" s="113"/>
      <c r="B961" s="129"/>
      <c r="C961" s="115"/>
      <c r="D961" s="102"/>
      <c r="E961" s="115"/>
      <c r="F961" s="119"/>
      <c r="G961" s="519"/>
      <c r="H961" s="118"/>
      <c r="I961" s="519"/>
      <c r="J961" s="102"/>
      <c r="K961" s="121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5.75" customHeight="1">
      <c r="A962" s="113"/>
      <c r="B962" s="129"/>
      <c r="C962" s="115"/>
      <c r="D962" s="102"/>
      <c r="E962" s="115"/>
      <c r="F962" s="119"/>
      <c r="G962" s="519"/>
      <c r="H962" s="118"/>
      <c r="I962" s="519"/>
      <c r="J962" s="102"/>
      <c r="K962" s="121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5.75" customHeight="1">
      <c r="A963" s="113"/>
      <c r="B963" s="129"/>
      <c r="C963" s="115"/>
      <c r="D963" s="102"/>
      <c r="E963" s="115"/>
      <c r="F963" s="119"/>
      <c r="G963" s="519"/>
      <c r="H963" s="118"/>
      <c r="I963" s="519"/>
      <c r="J963" s="102"/>
      <c r="K963" s="121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5.75" customHeight="1">
      <c r="A964" s="113"/>
      <c r="B964" s="129"/>
      <c r="C964" s="115"/>
      <c r="D964" s="102"/>
      <c r="E964" s="115"/>
      <c r="F964" s="119"/>
      <c r="G964" s="519"/>
      <c r="H964" s="118"/>
      <c r="I964" s="519"/>
      <c r="J964" s="102"/>
      <c r="K964" s="121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5.75" customHeight="1">
      <c r="A965" s="113"/>
      <c r="B965" s="129"/>
      <c r="C965" s="115"/>
      <c r="D965" s="102"/>
      <c r="E965" s="115"/>
      <c r="F965" s="119"/>
      <c r="G965" s="519"/>
      <c r="H965" s="118"/>
      <c r="I965" s="519"/>
      <c r="J965" s="102"/>
      <c r="K965" s="121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5.75" customHeight="1">
      <c r="A966" s="113"/>
      <c r="B966" s="129"/>
      <c r="C966" s="115"/>
      <c r="D966" s="102"/>
      <c r="E966" s="115"/>
      <c r="F966" s="119"/>
      <c r="G966" s="519"/>
      <c r="H966" s="118"/>
      <c r="I966" s="519"/>
      <c r="J966" s="102"/>
      <c r="K966" s="121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5.75" customHeight="1">
      <c r="A967" s="113"/>
      <c r="B967" s="129"/>
      <c r="C967" s="115"/>
      <c r="D967" s="102"/>
      <c r="E967" s="115"/>
      <c r="F967" s="119"/>
      <c r="G967" s="519"/>
      <c r="H967" s="118"/>
      <c r="I967" s="519"/>
      <c r="J967" s="102"/>
      <c r="K967" s="121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5.75" customHeight="1">
      <c r="A968" s="113"/>
      <c r="B968" s="129"/>
      <c r="C968" s="115"/>
      <c r="D968" s="102"/>
      <c r="E968" s="115"/>
      <c r="F968" s="119"/>
      <c r="G968" s="519"/>
      <c r="H968" s="118"/>
      <c r="I968" s="519"/>
      <c r="J968" s="102"/>
      <c r="K968" s="121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5.75" customHeight="1">
      <c r="A969" s="113"/>
      <c r="B969" s="129"/>
      <c r="C969" s="115"/>
      <c r="D969" s="102"/>
      <c r="E969" s="115"/>
      <c r="F969" s="119"/>
      <c r="G969" s="519"/>
      <c r="H969" s="118"/>
      <c r="I969" s="519"/>
      <c r="J969" s="102"/>
      <c r="K969" s="121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5.75" customHeight="1">
      <c r="A970" s="113"/>
      <c r="B970" s="129"/>
      <c r="C970" s="115"/>
      <c r="D970" s="102"/>
      <c r="E970" s="115"/>
      <c r="F970" s="119"/>
      <c r="G970" s="519"/>
      <c r="H970" s="118"/>
      <c r="I970" s="519"/>
      <c r="J970" s="102"/>
      <c r="K970" s="121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5.75" customHeight="1">
      <c r="A971" s="113"/>
      <c r="B971" s="129"/>
      <c r="C971" s="115"/>
      <c r="D971" s="102"/>
      <c r="E971" s="115"/>
      <c r="F971" s="119"/>
      <c r="G971" s="519"/>
      <c r="H971" s="118"/>
      <c r="I971" s="519"/>
      <c r="J971" s="102"/>
      <c r="K971" s="121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5.75" customHeight="1">
      <c r="A972" s="113"/>
      <c r="B972" s="129"/>
      <c r="C972" s="115"/>
      <c r="D972" s="102"/>
      <c r="E972" s="115"/>
      <c r="F972" s="119"/>
      <c r="G972" s="519"/>
      <c r="H972" s="118"/>
      <c r="I972" s="519"/>
      <c r="J972" s="102"/>
      <c r="K972" s="121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5.75" customHeight="1">
      <c r="A973" s="113"/>
      <c r="B973" s="129"/>
      <c r="C973" s="115"/>
      <c r="D973" s="102"/>
      <c r="E973" s="115"/>
      <c r="F973" s="119"/>
      <c r="G973" s="519"/>
      <c r="H973" s="118"/>
      <c r="I973" s="519"/>
      <c r="J973" s="102"/>
      <c r="K973" s="121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5.75" customHeight="1">
      <c r="A974" s="113"/>
      <c r="B974" s="129"/>
      <c r="C974" s="115"/>
      <c r="D974" s="102"/>
      <c r="E974" s="115"/>
      <c r="F974" s="119"/>
      <c r="G974" s="519"/>
      <c r="H974" s="118"/>
      <c r="I974" s="519"/>
      <c r="J974" s="102"/>
      <c r="K974" s="121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5.75" customHeight="1">
      <c r="A975" s="113"/>
      <c r="B975" s="129"/>
      <c r="C975" s="115"/>
      <c r="D975" s="102"/>
      <c r="E975" s="115"/>
      <c r="F975" s="119"/>
      <c r="G975" s="519"/>
      <c r="H975" s="118"/>
      <c r="I975" s="519"/>
      <c r="J975" s="102"/>
      <c r="K975" s="121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5.75" customHeight="1">
      <c r="A976" s="113"/>
      <c r="B976" s="129"/>
      <c r="C976" s="115"/>
      <c r="D976" s="102"/>
      <c r="E976" s="115"/>
      <c r="F976" s="119"/>
      <c r="G976" s="519"/>
      <c r="H976" s="118"/>
      <c r="I976" s="519"/>
      <c r="J976" s="102"/>
      <c r="K976" s="121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5.75" customHeight="1">
      <c r="A977" s="113"/>
      <c r="B977" s="129"/>
      <c r="C977" s="115"/>
      <c r="D977" s="102"/>
      <c r="E977" s="115"/>
      <c r="F977" s="119"/>
      <c r="G977" s="519"/>
      <c r="H977" s="118"/>
      <c r="I977" s="519"/>
      <c r="J977" s="102"/>
      <c r="K977" s="121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5.75" customHeight="1">
      <c r="A978" s="113"/>
      <c r="B978" s="129"/>
      <c r="C978" s="115"/>
      <c r="D978" s="102"/>
      <c r="E978" s="115"/>
      <c r="F978" s="119"/>
      <c r="G978" s="519"/>
      <c r="H978" s="118"/>
      <c r="I978" s="519"/>
      <c r="J978" s="102"/>
      <c r="K978" s="121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5.75" customHeight="1">
      <c r="A979" s="113"/>
      <c r="B979" s="129"/>
      <c r="C979" s="115"/>
      <c r="D979" s="102"/>
      <c r="E979" s="115"/>
      <c r="F979" s="119"/>
      <c r="G979" s="519"/>
      <c r="H979" s="118"/>
      <c r="I979" s="519"/>
      <c r="J979" s="102"/>
      <c r="K979" s="121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5.75" customHeight="1">
      <c r="A980" s="113"/>
      <c r="B980" s="129"/>
      <c r="C980" s="115"/>
      <c r="D980" s="102"/>
      <c r="E980" s="115"/>
      <c r="F980" s="119"/>
      <c r="G980" s="519"/>
      <c r="H980" s="118"/>
      <c r="I980" s="519"/>
      <c r="J980" s="102"/>
      <c r="K980" s="121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5.75" customHeight="1">
      <c r="A981" s="113"/>
      <c r="B981" s="129"/>
      <c r="C981" s="115"/>
      <c r="D981" s="102"/>
      <c r="E981" s="115"/>
      <c r="F981" s="119"/>
      <c r="G981" s="519"/>
      <c r="H981" s="118"/>
      <c r="I981" s="519"/>
      <c r="J981" s="102"/>
      <c r="K981" s="121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5.75" customHeight="1">
      <c r="A982" s="113"/>
      <c r="B982" s="129"/>
      <c r="C982" s="115"/>
      <c r="D982" s="102"/>
      <c r="E982" s="115"/>
      <c r="F982" s="119"/>
      <c r="G982" s="519"/>
      <c r="H982" s="118"/>
      <c r="I982" s="519"/>
      <c r="J982" s="102"/>
      <c r="K982" s="121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5.75" customHeight="1">
      <c r="A983" s="113"/>
      <c r="B983" s="129"/>
      <c r="C983" s="115"/>
      <c r="D983" s="102"/>
      <c r="E983" s="115"/>
      <c r="F983" s="119"/>
      <c r="G983" s="519"/>
      <c r="H983" s="118"/>
      <c r="I983" s="519"/>
      <c r="J983" s="102"/>
      <c r="K983" s="121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5.75" customHeight="1">
      <c r="A984" s="113"/>
      <c r="B984" s="129"/>
      <c r="C984" s="115"/>
      <c r="D984" s="102"/>
      <c r="E984" s="115"/>
      <c r="F984" s="119"/>
      <c r="G984" s="519"/>
      <c r="H984" s="118"/>
      <c r="I984" s="519"/>
      <c r="J984" s="102"/>
      <c r="K984" s="121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5.75" customHeight="1">
      <c r="A985" s="113"/>
      <c r="B985" s="129"/>
      <c r="C985" s="115"/>
      <c r="D985" s="102"/>
      <c r="E985" s="115"/>
      <c r="F985" s="119"/>
      <c r="G985" s="519"/>
      <c r="H985" s="118"/>
      <c r="I985" s="519"/>
      <c r="J985" s="102"/>
      <c r="K985" s="121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5.75" customHeight="1">
      <c r="A986" s="113"/>
      <c r="B986" s="129"/>
      <c r="C986" s="115"/>
      <c r="D986" s="102"/>
      <c r="E986" s="115"/>
      <c r="F986" s="119"/>
      <c r="G986" s="519"/>
      <c r="H986" s="118"/>
      <c r="I986" s="519"/>
      <c r="J986" s="102"/>
      <c r="K986" s="121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5.75" customHeight="1">
      <c r="A987" s="113"/>
      <c r="B987" s="129"/>
      <c r="C987" s="115"/>
      <c r="D987" s="102"/>
      <c r="E987" s="115"/>
      <c r="F987" s="119"/>
      <c r="G987" s="519"/>
      <c r="H987" s="118"/>
      <c r="I987" s="519"/>
      <c r="J987" s="102"/>
      <c r="K987" s="121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5.75" customHeight="1">
      <c r="A988" s="113"/>
      <c r="B988" s="129"/>
      <c r="C988" s="115"/>
      <c r="D988" s="102"/>
      <c r="E988" s="115"/>
      <c r="F988" s="119"/>
      <c r="G988" s="519"/>
      <c r="H988" s="118"/>
      <c r="I988" s="519"/>
      <c r="J988" s="102"/>
      <c r="K988" s="121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5.75" customHeight="1">
      <c r="A989" s="113"/>
      <c r="B989" s="129"/>
      <c r="C989" s="115"/>
      <c r="D989" s="102"/>
      <c r="E989" s="115"/>
      <c r="F989" s="119"/>
      <c r="G989" s="519"/>
      <c r="H989" s="118"/>
      <c r="I989" s="519"/>
      <c r="J989" s="102"/>
      <c r="K989" s="121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5.75" customHeight="1">
      <c r="A990" s="113"/>
      <c r="B990" s="129"/>
      <c r="C990" s="115"/>
      <c r="D990" s="102"/>
      <c r="E990" s="115"/>
      <c r="F990" s="119"/>
      <c r="G990" s="519"/>
      <c r="H990" s="118"/>
      <c r="I990" s="519"/>
      <c r="J990" s="102"/>
      <c r="K990" s="121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5.75" customHeight="1">
      <c r="A991" s="113"/>
      <c r="B991" s="129"/>
      <c r="C991" s="115"/>
      <c r="D991" s="102"/>
      <c r="E991" s="115"/>
      <c r="F991" s="119"/>
      <c r="G991" s="519"/>
      <c r="H991" s="118"/>
      <c r="I991" s="519"/>
      <c r="J991" s="102"/>
      <c r="K991" s="121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5.75" customHeight="1">
      <c r="A992" s="113"/>
      <c r="B992" s="129"/>
      <c r="C992" s="115"/>
      <c r="D992" s="102"/>
      <c r="E992" s="115"/>
      <c r="F992" s="119"/>
      <c r="G992" s="519"/>
      <c r="H992" s="118"/>
      <c r="I992" s="519"/>
      <c r="J992" s="102"/>
      <c r="K992" s="121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5.75" customHeight="1">
      <c r="A993" s="113"/>
      <c r="B993" s="129"/>
      <c r="C993" s="115"/>
      <c r="D993" s="102"/>
      <c r="E993" s="115"/>
      <c r="F993" s="119"/>
      <c r="G993" s="519"/>
      <c r="H993" s="118"/>
      <c r="I993" s="519"/>
      <c r="J993" s="102"/>
      <c r="K993" s="121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5.75" customHeight="1">
      <c r="A994" s="113"/>
      <c r="B994" s="129"/>
      <c r="C994" s="115"/>
      <c r="D994" s="102"/>
      <c r="E994" s="115"/>
      <c r="F994" s="119"/>
      <c r="G994" s="519"/>
      <c r="H994" s="118"/>
      <c r="I994" s="519"/>
      <c r="J994" s="102"/>
      <c r="K994" s="121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5.75" customHeight="1">
      <c r="A995" s="113"/>
      <c r="B995" s="129"/>
      <c r="C995" s="115"/>
      <c r="D995" s="102"/>
      <c r="E995" s="115"/>
      <c r="F995" s="119"/>
      <c r="G995" s="519"/>
      <c r="H995" s="118"/>
      <c r="I995" s="519"/>
      <c r="J995" s="102"/>
      <c r="K995" s="121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5.75" customHeight="1">
      <c r="A996" s="113"/>
      <c r="B996" s="129"/>
      <c r="C996" s="115"/>
      <c r="D996" s="102"/>
      <c r="E996" s="115"/>
      <c r="F996" s="119"/>
      <c r="G996" s="519"/>
      <c r="H996" s="118"/>
      <c r="I996" s="519"/>
      <c r="J996" s="102"/>
      <c r="K996" s="121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5.75" customHeight="1">
      <c r="A997" s="113"/>
      <c r="B997" s="129"/>
      <c r="C997" s="115"/>
      <c r="D997" s="102"/>
      <c r="E997" s="115"/>
      <c r="F997" s="119"/>
      <c r="G997" s="519"/>
      <c r="H997" s="118"/>
      <c r="I997" s="519"/>
      <c r="J997" s="102"/>
      <c r="K997" s="121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5.75" customHeight="1">
      <c r="A998" s="113"/>
      <c r="B998" s="129"/>
      <c r="C998" s="115"/>
      <c r="D998" s="102"/>
      <c r="E998" s="115"/>
      <c r="F998" s="119"/>
      <c r="G998" s="519"/>
      <c r="H998" s="118"/>
      <c r="I998" s="519"/>
      <c r="J998" s="102"/>
      <c r="K998" s="121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5.75" customHeight="1">
      <c r="A999" s="113"/>
      <c r="B999" s="129"/>
      <c r="C999" s="115"/>
      <c r="D999" s="102"/>
      <c r="E999" s="115"/>
      <c r="F999" s="119"/>
      <c r="G999" s="519"/>
      <c r="H999" s="118"/>
      <c r="I999" s="519"/>
      <c r="J999" s="102"/>
      <c r="K999" s="121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5.75" customHeight="1">
      <c r="A1000" s="113"/>
      <c r="B1000" s="129"/>
      <c r="C1000" s="115"/>
      <c r="D1000" s="102"/>
      <c r="E1000" s="115"/>
      <c r="F1000" s="119"/>
      <c r="G1000" s="519"/>
      <c r="H1000" s="118"/>
      <c r="I1000" s="519"/>
      <c r="J1000" s="102"/>
      <c r="K1000" s="121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 ht="15.75" customHeight="1">
      <c r="A1001" s="113"/>
      <c r="B1001" s="129"/>
      <c r="C1001" s="115"/>
      <c r="D1001" s="102"/>
      <c r="E1001" s="115"/>
      <c r="F1001" s="119"/>
      <c r="G1001" s="519"/>
      <c r="H1001" s="118"/>
      <c r="I1001" s="519"/>
      <c r="J1001" s="102"/>
      <c r="K1001" s="121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 ht="15.75" customHeight="1">
      <c r="A1002" s="113"/>
      <c r="B1002" s="129"/>
      <c r="C1002" s="115"/>
      <c r="D1002" s="102"/>
      <c r="E1002" s="115"/>
      <c r="F1002" s="119"/>
      <c r="G1002" s="519"/>
      <c r="H1002" s="118"/>
      <c r="I1002" s="519"/>
      <c r="J1002" s="102"/>
      <c r="K1002" s="121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 ht="15.75" customHeight="1">
      <c r="A1003" s="113"/>
      <c r="B1003" s="129"/>
      <c r="C1003" s="115"/>
      <c r="D1003" s="102"/>
      <c r="E1003" s="115"/>
      <c r="F1003" s="119"/>
      <c r="G1003" s="519"/>
      <c r="H1003" s="118"/>
      <c r="I1003" s="519"/>
      <c r="J1003" s="102"/>
      <c r="K1003" s="121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 ht="15.75" customHeight="1">
      <c r="A1004" s="113"/>
      <c r="B1004" s="129"/>
      <c r="C1004" s="115"/>
      <c r="D1004" s="102"/>
      <c r="E1004" s="115"/>
      <c r="F1004" s="119"/>
      <c r="G1004" s="519"/>
      <c r="H1004" s="118"/>
      <c r="I1004" s="519"/>
      <c r="J1004" s="102"/>
      <c r="K1004" s="121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 ht="15.75" customHeight="1">
      <c r="A1005" s="113"/>
      <c r="B1005" s="129"/>
      <c r="C1005" s="115"/>
      <c r="D1005" s="102"/>
      <c r="E1005" s="115"/>
      <c r="F1005" s="119"/>
      <c r="G1005" s="519"/>
      <c r="H1005" s="118"/>
      <c r="I1005" s="519"/>
      <c r="J1005" s="102"/>
      <c r="K1005" s="121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 ht="15.75" customHeight="1">
      <c r="A1006" s="113"/>
      <c r="B1006" s="129"/>
      <c r="C1006" s="115"/>
      <c r="D1006" s="102"/>
      <c r="E1006" s="115"/>
      <c r="F1006" s="119"/>
      <c r="G1006" s="519"/>
      <c r="H1006" s="118"/>
      <c r="I1006" s="519"/>
      <c r="J1006" s="102"/>
      <c r="K1006" s="121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 ht="15.75" customHeight="1">
      <c r="A1007" s="113"/>
      <c r="B1007" s="129"/>
      <c r="C1007" s="115"/>
      <c r="D1007" s="102"/>
      <c r="E1007" s="115"/>
      <c r="F1007" s="119"/>
      <c r="G1007" s="519"/>
      <c r="H1007" s="118"/>
      <c r="I1007" s="519"/>
      <c r="J1007" s="102"/>
      <c r="K1007" s="121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 ht="15.75" customHeight="1">
      <c r="A1008" s="113"/>
      <c r="B1008" s="129"/>
      <c r="C1008" s="115"/>
      <c r="D1008" s="102"/>
      <c r="E1008" s="115"/>
      <c r="F1008" s="119"/>
      <c r="G1008" s="519"/>
      <c r="H1008" s="118"/>
      <c r="I1008" s="519"/>
      <c r="J1008" s="102"/>
      <c r="K1008" s="121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 ht="15.75" customHeight="1">
      <c r="A1009" s="113"/>
      <c r="B1009" s="129"/>
      <c r="C1009" s="115"/>
      <c r="D1009" s="102"/>
      <c r="E1009" s="115"/>
      <c r="F1009" s="119"/>
      <c r="G1009" s="519"/>
      <c r="H1009" s="118"/>
      <c r="I1009" s="519"/>
      <c r="J1009" s="102"/>
      <c r="K1009" s="121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 ht="15.75" customHeight="1">
      <c r="A1010" s="113"/>
      <c r="B1010" s="129"/>
      <c r="C1010" s="115"/>
      <c r="D1010" s="102"/>
      <c r="E1010" s="115"/>
      <c r="F1010" s="119"/>
      <c r="G1010" s="519"/>
      <c r="H1010" s="118"/>
      <c r="I1010" s="519"/>
      <c r="J1010" s="102"/>
      <c r="K1010" s="121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  <row r="1011" ht="15.75" customHeight="1">
      <c r="A1011" s="113"/>
      <c r="B1011" s="129"/>
      <c r="C1011" s="115"/>
      <c r="D1011" s="102"/>
      <c r="E1011" s="115"/>
      <c r="F1011" s="119"/>
      <c r="G1011" s="519"/>
      <c r="H1011" s="118"/>
      <c r="I1011" s="519"/>
      <c r="J1011" s="102"/>
      <c r="K1011" s="121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</row>
    <row r="1012" ht="15.75" customHeight="1">
      <c r="A1012" s="113"/>
      <c r="B1012" s="129"/>
      <c r="C1012" s="115"/>
      <c r="D1012" s="102"/>
      <c r="E1012" s="115"/>
      <c r="F1012" s="119"/>
      <c r="G1012" s="519"/>
      <c r="H1012" s="118"/>
      <c r="I1012" s="519"/>
      <c r="J1012" s="102"/>
      <c r="K1012" s="121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</row>
    <row r="1013" ht="15.75" customHeight="1">
      <c r="A1013" s="113"/>
      <c r="B1013" s="129"/>
      <c r="C1013" s="115"/>
      <c r="D1013" s="102"/>
      <c r="E1013" s="115"/>
      <c r="F1013" s="119"/>
      <c r="G1013" s="519"/>
      <c r="H1013" s="118"/>
      <c r="I1013" s="519"/>
      <c r="J1013" s="102"/>
      <c r="K1013" s="121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</row>
    <row r="1014" ht="15.75" customHeight="1">
      <c r="A1014" s="113"/>
      <c r="B1014" s="129"/>
      <c r="C1014" s="115"/>
      <c r="D1014" s="102"/>
      <c r="E1014" s="115"/>
      <c r="F1014" s="119"/>
      <c r="G1014" s="519"/>
      <c r="H1014" s="118"/>
      <c r="I1014" s="519"/>
      <c r="J1014" s="102"/>
      <c r="K1014" s="121"/>
      <c r="L1014" s="102"/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</row>
    <row r="1015" ht="15.75" customHeight="1">
      <c r="A1015" s="113"/>
      <c r="B1015" s="129"/>
      <c r="C1015" s="115"/>
      <c r="D1015" s="102"/>
      <c r="E1015" s="115"/>
      <c r="F1015" s="119"/>
      <c r="G1015" s="519"/>
      <c r="H1015" s="118"/>
      <c r="I1015" s="519"/>
      <c r="J1015" s="102"/>
      <c r="K1015" s="121"/>
      <c r="L1015" s="102"/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</row>
    <row r="1016" ht="15.75" customHeight="1">
      <c r="A1016" s="113"/>
      <c r="B1016" s="129"/>
      <c r="C1016" s="115"/>
      <c r="D1016" s="102"/>
      <c r="E1016" s="115"/>
      <c r="F1016" s="119"/>
      <c r="G1016" s="519"/>
      <c r="H1016" s="118"/>
      <c r="I1016" s="519"/>
      <c r="J1016" s="102"/>
      <c r="K1016" s="121"/>
      <c r="L1016" s="102"/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</row>
    <row r="1017" ht="15.75" customHeight="1">
      <c r="A1017" s="113"/>
      <c r="B1017" s="129"/>
      <c r="C1017" s="115"/>
      <c r="D1017" s="102"/>
      <c r="E1017" s="115"/>
      <c r="F1017" s="119"/>
      <c r="G1017" s="519"/>
      <c r="H1017" s="118"/>
      <c r="I1017" s="519"/>
      <c r="J1017" s="102"/>
      <c r="K1017" s="121"/>
      <c r="L1017" s="102"/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</row>
    <row r="1018" ht="15.75" customHeight="1">
      <c r="A1018" s="113"/>
      <c r="B1018" s="129"/>
      <c r="C1018" s="115"/>
      <c r="D1018" s="102"/>
      <c r="E1018" s="115"/>
      <c r="F1018" s="119"/>
      <c r="G1018" s="519"/>
      <c r="H1018" s="118"/>
      <c r="I1018" s="519"/>
      <c r="J1018" s="102"/>
      <c r="K1018" s="121"/>
      <c r="L1018" s="102"/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</row>
    <row r="1019" ht="15.75" customHeight="1">
      <c r="A1019" s="113"/>
      <c r="B1019" s="129"/>
      <c r="C1019" s="115"/>
      <c r="D1019" s="102"/>
      <c r="E1019" s="115"/>
      <c r="F1019" s="119"/>
      <c r="G1019" s="519"/>
      <c r="H1019" s="118"/>
      <c r="I1019" s="519"/>
      <c r="J1019" s="102"/>
      <c r="K1019" s="121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</row>
    <row r="1020" ht="15.75" customHeight="1">
      <c r="A1020" s="113"/>
      <c r="B1020" s="129"/>
      <c r="C1020" s="115"/>
      <c r="D1020" s="102"/>
      <c r="E1020" s="115"/>
      <c r="F1020" s="119"/>
      <c r="G1020" s="519"/>
      <c r="H1020" s="118"/>
      <c r="I1020" s="519"/>
      <c r="J1020" s="102"/>
      <c r="K1020" s="121"/>
      <c r="L1020" s="102"/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</row>
    <row r="1021" ht="15.75" customHeight="1">
      <c r="A1021" s="113"/>
      <c r="B1021" s="129"/>
      <c r="C1021" s="115"/>
      <c r="D1021" s="102"/>
      <c r="E1021" s="115"/>
      <c r="F1021" s="119"/>
      <c r="G1021" s="519"/>
      <c r="H1021" s="118"/>
      <c r="I1021" s="519"/>
      <c r="J1021" s="102"/>
      <c r="K1021" s="121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</row>
    <row r="1022" ht="15.75" customHeight="1">
      <c r="A1022" s="113"/>
      <c r="B1022" s="129"/>
      <c r="C1022" s="115"/>
      <c r="D1022" s="102"/>
      <c r="E1022" s="115"/>
      <c r="F1022" s="119"/>
      <c r="G1022" s="519"/>
      <c r="H1022" s="118"/>
      <c r="I1022" s="519"/>
      <c r="J1022" s="102"/>
      <c r="K1022" s="121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</row>
    <row r="1023" ht="15.75" customHeight="1">
      <c r="A1023" s="113"/>
      <c r="B1023" s="129"/>
      <c r="C1023" s="115"/>
      <c r="D1023" s="102"/>
      <c r="E1023" s="115"/>
      <c r="F1023" s="119"/>
      <c r="G1023" s="519"/>
      <c r="H1023" s="118"/>
      <c r="I1023" s="519"/>
      <c r="J1023" s="102"/>
      <c r="K1023" s="121"/>
      <c r="L1023" s="102"/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</row>
    <row r="1024" ht="15.75" customHeight="1">
      <c r="A1024" s="113"/>
      <c r="B1024" s="129"/>
      <c r="C1024" s="115"/>
      <c r="D1024" s="102"/>
      <c r="E1024" s="115"/>
      <c r="F1024" s="119"/>
      <c r="G1024" s="519"/>
      <c r="H1024" s="118"/>
      <c r="I1024" s="519"/>
      <c r="J1024" s="102"/>
      <c r="K1024" s="121"/>
      <c r="L1024" s="102"/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</row>
    <row r="1025" ht="15.75" customHeight="1">
      <c r="A1025" s="113"/>
      <c r="B1025" s="129"/>
      <c r="C1025" s="115"/>
      <c r="D1025" s="102"/>
      <c r="E1025" s="115"/>
      <c r="F1025" s="119"/>
      <c r="G1025" s="519"/>
      <c r="H1025" s="118"/>
      <c r="I1025" s="519"/>
      <c r="J1025" s="102"/>
      <c r="K1025" s="121"/>
      <c r="L1025" s="102"/>
      <c r="M1025" s="102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</row>
    <row r="1026" ht="15.75" customHeight="1">
      <c r="A1026" s="113"/>
      <c r="B1026" s="129"/>
      <c r="C1026" s="115"/>
      <c r="D1026" s="102"/>
      <c r="E1026" s="115"/>
      <c r="F1026" s="119"/>
      <c r="G1026" s="519"/>
      <c r="H1026" s="118"/>
      <c r="I1026" s="519"/>
      <c r="J1026" s="102"/>
      <c r="K1026" s="121"/>
      <c r="L1026" s="102"/>
      <c r="M1026" s="102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</row>
    <row r="1027" ht="15.75" customHeight="1">
      <c r="A1027" s="113"/>
      <c r="B1027" s="129"/>
      <c r="C1027" s="115"/>
      <c r="D1027" s="102"/>
      <c r="E1027" s="115"/>
      <c r="F1027" s="119"/>
      <c r="G1027" s="519"/>
      <c r="H1027" s="118"/>
      <c r="I1027" s="519"/>
      <c r="J1027" s="102"/>
      <c r="K1027" s="121"/>
      <c r="L1027" s="102"/>
      <c r="M1027" s="102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</row>
    <row r="1028" ht="15.75" customHeight="1">
      <c r="A1028" s="113"/>
      <c r="B1028" s="129"/>
      <c r="C1028" s="115"/>
      <c r="D1028" s="102"/>
      <c r="E1028" s="115"/>
      <c r="F1028" s="119"/>
      <c r="G1028" s="519"/>
      <c r="H1028" s="118"/>
      <c r="I1028" s="519"/>
      <c r="J1028" s="102"/>
      <c r="K1028" s="121"/>
      <c r="L1028" s="102"/>
      <c r="M1028" s="102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</row>
    <row r="1029" ht="15.75" customHeight="1">
      <c r="A1029" s="113"/>
      <c r="B1029" s="129"/>
      <c r="C1029" s="115"/>
      <c r="D1029" s="102"/>
      <c r="E1029" s="115"/>
      <c r="F1029" s="119"/>
      <c r="G1029" s="519"/>
      <c r="H1029" s="118"/>
      <c r="I1029" s="519"/>
      <c r="J1029" s="102"/>
      <c r="K1029" s="121"/>
      <c r="L1029" s="102"/>
      <c r="M1029" s="102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</row>
    <row r="1030" ht="15.75" customHeight="1">
      <c r="A1030" s="113"/>
      <c r="B1030" s="129"/>
      <c r="C1030" s="115"/>
      <c r="D1030" s="102"/>
      <c r="E1030" s="115"/>
      <c r="F1030" s="119"/>
      <c r="G1030" s="519"/>
      <c r="H1030" s="118"/>
      <c r="I1030" s="519"/>
      <c r="J1030" s="102"/>
      <c r="K1030" s="121"/>
      <c r="L1030" s="102"/>
      <c r="M1030" s="102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</row>
    <row r="1031" ht="15.75" customHeight="1">
      <c r="A1031" s="113"/>
      <c r="B1031" s="129"/>
      <c r="C1031" s="115"/>
      <c r="D1031" s="102"/>
      <c r="E1031" s="115"/>
      <c r="F1031" s="119"/>
      <c r="G1031" s="519"/>
      <c r="H1031" s="118"/>
      <c r="I1031" s="519"/>
      <c r="J1031" s="102"/>
      <c r="K1031" s="121"/>
      <c r="L1031" s="102"/>
      <c r="M1031" s="102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</row>
    <row r="1032" ht="15.75" customHeight="1">
      <c r="A1032" s="113"/>
      <c r="B1032" s="129"/>
      <c r="C1032" s="115"/>
      <c r="D1032" s="102"/>
      <c r="E1032" s="115"/>
      <c r="F1032" s="119"/>
      <c r="G1032" s="519"/>
      <c r="H1032" s="118"/>
      <c r="I1032" s="519"/>
      <c r="J1032" s="102"/>
      <c r="K1032" s="121"/>
      <c r="L1032" s="102"/>
      <c r="M1032" s="102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</row>
    <row r="1033" ht="15.75" customHeight="1">
      <c r="A1033" s="113"/>
      <c r="B1033" s="129"/>
      <c r="C1033" s="115"/>
      <c r="D1033" s="102"/>
      <c r="E1033" s="115"/>
      <c r="F1033" s="119"/>
      <c r="G1033" s="519"/>
      <c r="H1033" s="118"/>
      <c r="I1033" s="519"/>
      <c r="J1033" s="102"/>
      <c r="K1033" s="121"/>
      <c r="L1033" s="102"/>
      <c r="M1033" s="102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</row>
    <row r="1034" ht="15.75" customHeight="1">
      <c r="A1034" s="113"/>
      <c r="B1034" s="129"/>
      <c r="C1034" s="115"/>
      <c r="D1034" s="102"/>
      <c r="E1034" s="115"/>
      <c r="F1034" s="119"/>
      <c r="G1034" s="519"/>
      <c r="H1034" s="118"/>
      <c r="I1034" s="519"/>
      <c r="J1034" s="102"/>
      <c r="K1034" s="121"/>
      <c r="L1034" s="102"/>
      <c r="M1034" s="102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</row>
    <row r="1035" ht="15.75" customHeight="1">
      <c r="A1035" s="113"/>
      <c r="B1035" s="129"/>
      <c r="C1035" s="115"/>
      <c r="D1035" s="102"/>
      <c r="E1035" s="115"/>
      <c r="F1035" s="119"/>
      <c r="G1035" s="519"/>
      <c r="H1035" s="118"/>
      <c r="I1035" s="519"/>
      <c r="J1035" s="102"/>
      <c r="K1035" s="121"/>
      <c r="L1035" s="102"/>
      <c r="M1035" s="102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</row>
    <row r="1036" ht="15.75" customHeight="1">
      <c r="A1036" s="113"/>
      <c r="B1036" s="129"/>
      <c r="C1036" s="115"/>
      <c r="D1036" s="102"/>
      <c r="E1036" s="115"/>
      <c r="F1036" s="119"/>
      <c r="G1036" s="519"/>
      <c r="H1036" s="118"/>
      <c r="I1036" s="519"/>
      <c r="J1036" s="102"/>
      <c r="K1036" s="121"/>
      <c r="L1036" s="102"/>
      <c r="M1036" s="102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</row>
    <row r="1037" ht="15.75" customHeight="1">
      <c r="A1037" s="113"/>
      <c r="B1037" s="129"/>
      <c r="C1037" s="115"/>
      <c r="D1037" s="102"/>
      <c r="E1037" s="115"/>
      <c r="F1037" s="119"/>
      <c r="G1037" s="519"/>
      <c r="H1037" s="118"/>
      <c r="I1037" s="519"/>
      <c r="J1037" s="102"/>
      <c r="K1037" s="121"/>
      <c r="L1037" s="102"/>
      <c r="M1037" s="102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</row>
    <row r="1038" ht="15.75" customHeight="1">
      <c r="A1038" s="113"/>
      <c r="B1038" s="129"/>
      <c r="C1038" s="115"/>
      <c r="D1038" s="102"/>
      <c r="E1038" s="115"/>
      <c r="F1038" s="119"/>
      <c r="G1038" s="519"/>
      <c r="H1038" s="118"/>
      <c r="I1038" s="519"/>
      <c r="J1038" s="102"/>
      <c r="K1038" s="121"/>
      <c r="L1038" s="102"/>
      <c r="M1038" s="102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</row>
    <row r="1039" ht="15.75" customHeight="1">
      <c r="A1039" s="113"/>
      <c r="B1039" s="129"/>
      <c r="C1039" s="115"/>
      <c r="D1039" s="102"/>
      <c r="E1039" s="115"/>
      <c r="F1039" s="119"/>
      <c r="G1039" s="519"/>
      <c r="H1039" s="118"/>
      <c r="I1039" s="519"/>
      <c r="J1039" s="102"/>
      <c r="K1039" s="121"/>
      <c r="L1039" s="102"/>
      <c r="M1039" s="102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</row>
    <row r="1040" ht="15.75" customHeight="1">
      <c r="A1040" s="113"/>
      <c r="B1040" s="129"/>
      <c r="C1040" s="115"/>
      <c r="D1040" s="102"/>
      <c r="E1040" s="115"/>
      <c r="F1040" s="119"/>
      <c r="G1040" s="519"/>
      <c r="H1040" s="118"/>
      <c r="I1040" s="519"/>
      <c r="J1040" s="102"/>
      <c r="K1040" s="121"/>
      <c r="L1040" s="102"/>
      <c r="M1040" s="102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</row>
    <row r="1041" ht="15.75" customHeight="1">
      <c r="A1041" s="113"/>
      <c r="B1041" s="129"/>
      <c r="C1041" s="115"/>
      <c r="D1041" s="102"/>
      <c r="E1041" s="115"/>
      <c r="F1041" s="119"/>
      <c r="G1041" s="519"/>
      <c r="H1041" s="118"/>
      <c r="I1041" s="519"/>
      <c r="J1041" s="102"/>
      <c r="K1041" s="121"/>
      <c r="L1041" s="102"/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</row>
    <row r="1042" ht="15.75" customHeight="1">
      <c r="A1042" s="113"/>
      <c r="B1042" s="129"/>
      <c r="C1042" s="115"/>
      <c r="D1042" s="102"/>
      <c r="E1042" s="115"/>
      <c r="F1042" s="119"/>
      <c r="G1042" s="519"/>
      <c r="H1042" s="118"/>
      <c r="I1042" s="519"/>
      <c r="J1042" s="102"/>
      <c r="K1042" s="121"/>
      <c r="L1042" s="102"/>
      <c r="M1042" s="102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</row>
    <row r="1043" ht="15.75" customHeight="1">
      <c r="A1043" s="113"/>
      <c r="B1043" s="129"/>
      <c r="C1043" s="115"/>
      <c r="D1043" s="102"/>
      <c r="E1043" s="115"/>
      <c r="F1043" s="119"/>
      <c r="G1043" s="519"/>
      <c r="H1043" s="118"/>
      <c r="I1043" s="519"/>
      <c r="J1043" s="102"/>
      <c r="K1043" s="121"/>
      <c r="L1043" s="102"/>
      <c r="M1043" s="102"/>
      <c r="N1043" s="102"/>
      <c r="O1043" s="102"/>
      <c r="P1043" s="102"/>
      <c r="Q1043" s="102"/>
      <c r="R1043" s="102"/>
      <c r="S1043" s="102"/>
      <c r="T1043" s="102"/>
      <c r="U1043" s="102"/>
      <c r="V1043" s="102"/>
      <c r="W1043" s="102"/>
      <c r="X1043" s="102"/>
      <c r="Y1043" s="102"/>
      <c r="Z1043" s="102"/>
    </row>
    <row r="1044" ht="15.75" customHeight="1">
      <c r="A1044" s="113"/>
      <c r="B1044" s="129"/>
      <c r="C1044" s="115"/>
      <c r="D1044" s="102"/>
      <c r="E1044" s="115"/>
      <c r="F1044" s="119"/>
      <c r="G1044" s="519"/>
      <c r="H1044" s="118"/>
      <c r="I1044" s="519"/>
      <c r="J1044" s="102"/>
      <c r="K1044" s="121"/>
      <c r="L1044" s="102"/>
      <c r="M1044" s="102"/>
      <c r="N1044" s="102"/>
      <c r="O1044" s="102"/>
      <c r="P1044" s="102"/>
      <c r="Q1044" s="102"/>
      <c r="R1044" s="102"/>
      <c r="S1044" s="102"/>
      <c r="T1044" s="102"/>
      <c r="U1044" s="102"/>
      <c r="V1044" s="102"/>
      <c r="W1044" s="102"/>
      <c r="X1044" s="102"/>
      <c r="Y1044" s="102"/>
      <c r="Z1044" s="102"/>
    </row>
    <row r="1045" ht="15.75" customHeight="1">
      <c r="A1045" s="113"/>
      <c r="B1045" s="129"/>
      <c r="C1045" s="115"/>
      <c r="D1045" s="102"/>
      <c r="E1045" s="115"/>
      <c r="F1045" s="119"/>
      <c r="G1045" s="519"/>
      <c r="H1045" s="118"/>
      <c r="I1045" s="519"/>
      <c r="J1045" s="102"/>
      <c r="K1045" s="121"/>
      <c r="L1045" s="102"/>
      <c r="M1045" s="102"/>
      <c r="N1045" s="102"/>
      <c r="O1045" s="102"/>
      <c r="P1045" s="102"/>
      <c r="Q1045" s="102"/>
      <c r="R1045" s="102"/>
      <c r="S1045" s="102"/>
      <c r="T1045" s="102"/>
      <c r="U1045" s="102"/>
      <c r="V1045" s="102"/>
      <c r="W1045" s="102"/>
      <c r="X1045" s="102"/>
      <c r="Y1045" s="102"/>
      <c r="Z1045" s="102"/>
    </row>
    <row r="1046" ht="15.75" customHeight="1">
      <c r="A1046" s="113"/>
      <c r="B1046" s="129"/>
      <c r="C1046" s="115"/>
      <c r="D1046" s="102"/>
      <c r="E1046" s="115"/>
      <c r="F1046" s="119"/>
      <c r="G1046" s="519"/>
      <c r="H1046" s="118"/>
      <c r="I1046" s="519"/>
      <c r="J1046" s="102"/>
      <c r="K1046" s="121"/>
      <c r="L1046" s="102"/>
      <c r="M1046" s="102"/>
      <c r="N1046" s="102"/>
      <c r="O1046" s="102"/>
      <c r="P1046" s="102"/>
      <c r="Q1046" s="102"/>
      <c r="R1046" s="102"/>
      <c r="S1046" s="102"/>
      <c r="T1046" s="102"/>
      <c r="U1046" s="102"/>
      <c r="V1046" s="102"/>
      <c r="W1046" s="102"/>
      <c r="X1046" s="102"/>
      <c r="Y1046" s="102"/>
      <c r="Z1046" s="102"/>
    </row>
    <row r="1047" ht="15.75" customHeight="1">
      <c r="A1047" s="113"/>
      <c r="B1047" s="129"/>
      <c r="C1047" s="115"/>
      <c r="D1047" s="102"/>
      <c r="E1047" s="115"/>
      <c r="F1047" s="119"/>
      <c r="G1047" s="519"/>
      <c r="H1047" s="118"/>
      <c r="I1047" s="519"/>
      <c r="J1047" s="102"/>
      <c r="K1047" s="121"/>
      <c r="L1047" s="102"/>
      <c r="M1047" s="102"/>
      <c r="N1047" s="102"/>
      <c r="O1047" s="102"/>
      <c r="P1047" s="102"/>
      <c r="Q1047" s="102"/>
      <c r="R1047" s="102"/>
      <c r="S1047" s="102"/>
      <c r="T1047" s="102"/>
      <c r="U1047" s="102"/>
      <c r="V1047" s="102"/>
      <c r="W1047" s="102"/>
      <c r="X1047" s="102"/>
      <c r="Y1047" s="102"/>
      <c r="Z1047" s="102"/>
    </row>
    <row r="1048" ht="15.75" customHeight="1">
      <c r="A1048" s="113"/>
      <c r="B1048" s="129"/>
      <c r="C1048" s="115"/>
      <c r="D1048" s="102"/>
      <c r="E1048" s="115"/>
      <c r="F1048" s="119"/>
      <c r="G1048" s="519"/>
      <c r="H1048" s="118"/>
      <c r="I1048" s="519"/>
      <c r="J1048" s="102"/>
      <c r="K1048" s="121"/>
      <c r="L1048" s="102"/>
      <c r="M1048" s="102"/>
      <c r="N1048" s="102"/>
      <c r="O1048" s="102"/>
      <c r="P1048" s="102"/>
      <c r="Q1048" s="102"/>
      <c r="R1048" s="102"/>
      <c r="S1048" s="102"/>
      <c r="T1048" s="102"/>
      <c r="U1048" s="102"/>
      <c r="V1048" s="102"/>
      <c r="W1048" s="102"/>
      <c r="X1048" s="102"/>
      <c r="Y1048" s="102"/>
      <c r="Z1048" s="102"/>
    </row>
    <row r="1049" ht="15.75" customHeight="1">
      <c r="A1049" s="113"/>
      <c r="B1049" s="129"/>
      <c r="C1049" s="115"/>
      <c r="D1049" s="102"/>
      <c r="E1049" s="115"/>
      <c r="F1049" s="119"/>
      <c r="G1049" s="519"/>
      <c r="H1049" s="118"/>
      <c r="I1049" s="519"/>
      <c r="J1049" s="102"/>
      <c r="K1049" s="121"/>
      <c r="L1049" s="102"/>
      <c r="M1049" s="102"/>
      <c r="N1049" s="102"/>
      <c r="O1049" s="102"/>
      <c r="P1049" s="102"/>
      <c r="Q1049" s="102"/>
      <c r="R1049" s="102"/>
      <c r="S1049" s="102"/>
      <c r="T1049" s="102"/>
      <c r="U1049" s="102"/>
      <c r="V1049" s="102"/>
      <c r="W1049" s="102"/>
      <c r="X1049" s="102"/>
      <c r="Y1049" s="102"/>
      <c r="Z1049" s="102"/>
    </row>
    <row r="1050" ht="15.75" customHeight="1">
      <c r="A1050" s="113"/>
      <c r="B1050" s="129"/>
      <c r="C1050" s="115"/>
      <c r="D1050" s="102"/>
      <c r="E1050" s="115"/>
      <c r="F1050" s="119"/>
      <c r="G1050" s="519"/>
      <c r="H1050" s="118"/>
      <c r="I1050" s="519"/>
      <c r="J1050" s="102"/>
      <c r="K1050" s="121"/>
      <c r="L1050" s="102"/>
      <c r="M1050" s="102"/>
      <c r="N1050" s="102"/>
      <c r="O1050" s="102"/>
      <c r="P1050" s="102"/>
      <c r="Q1050" s="102"/>
      <c r="R1050" s="102"/>
      <c r="S1050" s="102"/>
      <c r="T1050" s="102"/>
      <c r="U1050" s="102"/>
      <c r="V1050" s="102"/>
      <c r="W1050" s="102"/>
      <c r="X1050" s="102"/>
      <c r="Y1050" s="102"/>
      <c r="Z1050" s="102"/>
    </row>
    <row r="1051" ht="15.75" customHeight="1">
      <c r="A1051" s="113"/>
      <c r="B1051" s="129"/>
      <c r="C1051" s="115"/>
      <c r="D1051" s="102"/>
      <c r="E1051" s="115"/>
      <c r="F1051" s="119"/>
      <c r="G1051" s="519"/>
      <c r="H1051" s="118"/>
      <c r="I1051" s="519"/>
      <c r="J1051" s="102"/>
      <c r="K1051" s="121"/>
      <c r="L1051" s="102"/>
      <c r="M1051" s="102"/>
      <c r="N1051" s="102"/>
      <c r="O1051" s="102"/>
      <c r="P1051" s="102"/>
      <c r="Q1051" s="102"/>
      <c r="R1051" s="102"/>
      <c r="S1051" s="102"/>
      <c r="T1051" s="102"/>
      <c r="U1051" s="102"/>
      <c r="V1051" s="102"/>
      <c r="W1051" s="102"/>
      <c r="X1051" s="102"/>
      <c r="Y1051" s="102"/>
      <c r="Z1051" s="102"/>
    </row>
    <row r="1052" ht="15.75" customHeight="1">
      <c r="A1052" s="113"/>
      <c r="B1052" s="129"/>
      <c r="C1052" s="115"/>
      <c r="D1052" s="102"/>
      <c r="E1052" s="115"/>
      <c r="F1052" s="119"/>
      <c r="G1052" s="519"/>
      <c r="H1052" s="118"/>
      <c r="I1052" s="519"/>
      <c r="J1052" s="102"/>
      <c r="K1052" s="121"/>
      <c r="L1052" s="102"/>
      <c r="M1052" s="102"/>
      <c r="N1052" s="102"/>
      <c r="O1052" s="102"/>
      <c r="P1052" s="102"/>
      <c r="Q1052" s="102"/>
      <c r="R1052" s="102"/>
      <c r="S1052" s="102"/>
      <c r="T1052" s="102"/>
      <c r="U1052" s="102"/>
      <c r="V1052" s="102"/>
      <c r="W1052" s="102"/>
      <c r="X1052" s="102"/>
      <c r="Y1052" s="102"/>
      <c r="Z1052" s="102"/>
    </row>
    <row r="1053" ht="15.75" customHeight="1">
      <c r="A1053" s="113"/>
      <c r="B1053" s="129"/>
      <c r="C1053" s="115"/>
      <c r="D1053" s="102"/>
      <c r="E1053" s="115"/>
      <c r="F1053" s="119"/>
      <c r="G1053" s="519"/>
      <c r="H1053" s="118"/>
      <c r="I1053" s="519"/>
      <c r="J1053" s="102"/>
      <c r="K1053" s="121"/>
      <c r="L1053" s="102"/>
      <c r="M1053" s="102"/>
      <c r="N1053" s="102"/>
      <c r="O1053" s="102"/>
      <c r="P1053" s="102"/>
      <c r="Q1053" s="102"/>
      <c r="R1053" s="102"/>
      <c r="S1053" s="102"/>
      <c r="T1053" s="102"/>
      <c r="U1053" s="102"/>
      <c r="V1053" s="102"/>
      <c r="W1053" s="102"/>
      <c r="X1053" s="102"/>
      <c r="Y1053" s="102"/>
      <c r="Z1053" s="102"/>
    </row>
    <row r="1054" ht="15.75" customHeight="1">
      <c r="A1054" s="113"/>
      <c r="B1054" s="129"/>
      <c r="C1054" s="115"/>
      <c r="D1054" s="102"/>
      <c r="E1054" s="115"/>
      <c r="F1054" s="119"/>
      <c r="G1054" s="519"/>
      <c r="H1054" s="118"/>
      <c r="I1054" s="519"/>
      <c r="J1054" s="102"/>
      <c r="K1054" s="121"/>
      <c r="L1054" s="102"/>
      <c r="M1054" s="102"/>
      <c r="N1054" s="102"/>
      <c r="O1054" s="102"/>
      <c r="P1054" s="102"/>
      <c r="Q1054" s="102"/>
      <c r="R1054" s="102"/>
      <c r="S1054" s="102"/>
      <c r="T1054" s="102"/>
      <c r="U1054" s="102"/>
      <c r="V1054" s="102"/>
      <c r="W1054" s="102"/>
      <c r="X1054" s="102"/>
      <c r="Y1054" s="102"/>
      <c r="Z1054" s="102"/>
    </row>
    <row r="1055" ht="15.75" customHeight="1">
      <c r="A1055" s="113"/>
      <c r="B1055" s="129"/>
      <c r="C1055" s="115"/>
      <c r="D1055" s="102"/>
      <c r="E1055" s="115"/>
      <c r="F1055" s="119"/>
      <c r="G1055" s="519"/>
      <c r="H1055" s="118"/>
      <c r="I1055" s="519"/>
      <c r="J1055" s="102"/>
      <c r="K1055" s="121"/>
      <c r="L1055" s="102"/>
      <c r="M1055" s="102"/>
      <c r="N1055" s="102"/>
      <c r="O1055" s="102"/>
      <c r="P1055" s="102"/>
      <c r="Q1055" s="102"/>
      <c r="R1055" s="102"/>
      <c r="S1055" s="102"/>
      <c r="T1055" s="102"/>
      <c r="U1055" s="102"/>
      <c r="V1055" s="102"/>
      <c r="W1055" s="102"/>
      <c r="X1055" s="102"/>
      <c r="Y1055" s="102"/>
      <c r="Z1055" s="102"/>
    </row>
    <row r="1056" ht="15.75" customHeight="1">
      <c r="A1056" s="113"/>
      <c r="B1056" s="129"/>
      <c r="C1056" s="115"/>
      <c r="D1056" s="102"/>
      <c r="E1056" s="115"/>
      <c r="F1056" s="119"/>
      <c r="G1056" s="519"/>
      <c r="H1056" s="118"/>
      <c r="I1056" s="519"/>
      <c r="J1056" s="102"/>
      <c r="K1056" s="121"/>
      <c r="L1056" s="102"/>
      <c r="M1056" s="102"/>
      <c r="N1056" s="102"/>
      <c r="O1056" s="102"/>
      <c r="P1056" s="102"/>
      <c r="Q1056" s="102"/>
      <c r="R1056" s="102"/>
      <c r="S1056" s="102"/>
      <c r="T1056" s="102"/>
      <c r="U1056" s="102"/>
      <c r="V1056" s="102"/>
      <c r="W1056" s="102"/>
      <c r="X1056" s="102"/>
      <c r="Y1056" s="102"/>
      <c r="Z1056" s="102"/>
    </row>
    <row r="1057" ht="15.75" customHeight="1">
      <c r="A1057" s="113"/>
      <c r="B1057" s="129"/>
      <c r="C1057" s="115"/>
      <c r="D1057" s="102"/>
      <c r="E1057" s="115"/>
      <c r="F1057" s="119"/>
      <c r="G1057" s="519"/>
      <c r="H1057" s="118"/>
      <c r="I1057" s="519"/>
      <c r="J1057" s="102"/>
      <c r="K1057" s="121"/>
      <c r="L1057" s="102"/>
      <c r="M1057" s="102"/>
      <c r="N1057" s="102"/>
      <c r="O1057" s="102"/>
      <c r="P1057" s="102"/>
      <c r="Q1057" s="102"/>
      <c r="R1057" s="102"/>
      <c r="S1057" s="102"/>
      <c r="T1057" s="102"/>
      <c r="U1057" s="102"/>
      <c r="V1057" s="102"/>
      <c r="W1057" s="102"/>
      <c r="X1057" s="102"/>
      <c r="Y1057" s="102"/>
      <c r="Z1057" s="102"/>
    </row>
    <row r="1058" ht="15.75" customHeight="1">
      <c r="A1058" s="113"/>
      <c r="B1058" s="129"/>
      <c r="C1058" s="115"/>
      <c r="D1058" s="102"/>
      <c r="E1058" s="115"/>
      <c r="F1058" s="119"/>
      <c r="G1058" s="519"/>
      <c r="H1058" s="118"/>
      <c r="I1058" s="519"/>
      <c r="J1058" s="102"/>
      <c r="K1058" s="121"/>
      <c r="L1058" s="102"/>
      <c r="M1058" s="102"/>
      <c r="N1058" s="102"/>
      <c r="O1058" s="102"/>
      <c r="P1058" s="102"/>
      <c r="Q1058" s="102"/>
      <c r="R1058" s="102"/>
      <c r="S1058" s="102"/>
      <c r="T1058" s="102"/>
      <c r="U1058" s="102"/>
      <c r="V1058" s="102"/>
      <c r="W1058" s="102"/>
      <c r="X1058" s="102"/>
      <c r="Y1058" s="102"/>
      <c r="Z1058" s="102"/>
    </row>
    <row r="1059" ht="15.75" customHeight="1">
      <c r="A1059" s="113"/>
      <c r="B1059" s="129"/>
      <c r="C1059" s="115"/>
      <c r="D1059" s="102"/>
      <c r="E1059" s="115"/>
      <c r="F1059" s="119"/>
      <c r="G1059" s="519"/>
      <c r="H1059" s="118"/>
      <c r="I1059" s="519"/>
      <c r="J1059" s="102"/>
      <c r="K1059" s="121"/>
      <c r="L1059" s="102"/>
      <c r="M1059" s="102"/>
      <c r="N1059" s="102"/>
      <c r="O1059" s="102"/>
      <c r="P1059" s="102"/>
      <c r="Q1059" s="102"/>
      <c r="R1059" s="102"/>
      <c r="S1059" s="102"/>
      <c r="T1059" s="102"/>
      <c r="U1059" s="102"/>
      <c r="V1059" s="102"/>
      <c r="W1059" s="102"/>
      <c r="X1059" s="102"/>
      <c r="Y1059" s="102"/>
      <c r="Z1059" s="102"/>
    </row>
    <row r="1060" ht="15.75" customHeight="1">
      <c r="A1060" s="113"/>
      <c r="B1060" s="129"/>
      <c r="C1060" s="115"/>
      <c r="D1060" s="102"/>
      <c r="E1060" s="115"/>
      <c r="F1060" s="119"/>
      <c r="G1060" s="519"/>
      <c r="H1060" s="118"/>
      <c r="I1060" s="519"/>
      <c r="J1060" s="102"/>
      <c r="K1060" s="121"/>
      <c r="L1060" s="102"/>
      <c r="M1060" s="102"/>
      <c r="N1060" s="102"/>
      <c r="O1060" s="102"/>
      <c r="P1060" s="102"/>
      <c r="Q1060" s="102"/>
      <c r="R1060" s="102"/>
      <c r="S1060" s="102"/>
      <c r="T1060" s="102"/>
      <c r="U1060" s="102"/>
      <c r="V1060" s="102"/>
      <c r="W1060" s="102"/>
      <c r="X1060" s="102"/>
      <c r="Y1060" s="102"/>
      <c r="Z1060" s="102"/>
    </row>
    <row r="1061" ht="15.75" customHeight="1">
      <c r="A1061" s="113"/>
      <c r="B1061" s="129"/>
      <c r="C1061" s="115"/>
      <c r="D1061" s="102"/>
      <c r="E1061" s="115"/>
      <c r="F1061" s="119"/>
      <c r="G1061" s="519"/>
      <c r="H1061" s="118"/>
      <c r="I1061" s="519"/>
      <c r="J1061" s="102"/>
      <c r="K1061" s="121"/>
      <c r="L1061" s="102"/>
      <c r="M1061" s="102"/>
      <c r="N1061" s="102"/>
      <c r="O1061" s="102"/>
      <c r="P1061" s="102"/>
      <c r="Q1061" s="102"/>
      <c r="R1061" s="102"/>
      <c r="S1061" s="102"/>
      <c r="T1061" s="102"/>
      <c r="U1061" s="102"/>
      <c r="V1061" s="102"/>
      <c r="W1061" s="102"/>
      <c r="X1061" s="102"/>
      <c r="Y1061" s="102"/>
      <c r="Z1061" s="102"/>
    </row>
    <row r="1062" ht="15.75" customHeight="1">
      <c r="A1062" s="113"/>
      <c r="B1062" s="129"/>
      <c r="C1062" s="115"/>
      <c r="D1062" s="102"/>
      <c r="E1062" s="115"/>
      <c r="F1062" s="119"/>
      <c r="G1062" s="519"/>
      <c r="H1062" s="118"/>
      <c r="I1062" s="519"/>
      <c r="J1062" s="102"/>
      <c r="K1062" s="121"/>
      <c r="L1062" s="102"/>
      <c r="M1062" s="102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</row>
    <row r="1063" ht="15.75" customHeight="1">
      <c r="A1063" s="113"/>
      <c r="B1063" s="129"/>
      <c r="C1063" s="115"/>
      <c r="D1063" s="102"/>
      <c r="E1063" s="115"/>
      <c r="F1063" s="119"/>
      <c r="G1063" s="519"/>
      <c r="H1063" s="118"/>
      <c r="I1063" s="519"/>
      <c r="J1063" s="102"/>
      <c r="K1063" s="121"/>
      <c r="L1063" s="102"/>
      <c r="M1063" s="102"/>
      <c r="N1063" s="102"/>
      <c r="O1063" s="102"/>
      <c r="P1063" s="102"/>
      <c r="Q1063" s="102"/>
      <c r="R1063" s="102"/>
      <c r="S1063" s="102"/>
      <c r="T1063" s="102"/>
      <c r="U1063" s="102"/>
      <c r="V1063" s="102"/>
      <c r="W1063" s="102"/>
      <c r="X1063" s="102"/>
      <c r="Y1063" s="102"/>
      <c r="Z1063" s="102"/>
    </row>
    <row r="1064" ht="15.75" customHeight="1">
      <c r="A1064" s="113"/>
      <c r="B1064" s="129"/>
      <c r="C1064" s="115"/>
      <c r="D1064" s="102"/>
      <c r="E1064" s="115"/>
      <c r="F1064" s="119"/>
      <c r="G1064" s="519"/>
      <c r="H1064" s="118"/>
      <c r="I1064" s="519"/>
      <c r="J1064" s="102"/>
      <c r="K1064" s="121"/>
      <c r="L1064" s="102"/>
      <c r="M1064" s="102"/>
      <c r="N1064" s="102"/>
      <c r="O1064" s="102"/>
      <c r="P1064" s="102"/>
      <c r="Q1064" s="102"/>
      <c r="R1064" s="102"/>
      <c r="S1064" s="102"/>
      <c r="T1064" s="102"/>
      <c r="U1064" s="102"/>
      <c r="V1064" s="102"/>
      <c r="W1064" s="102"/>
      <c r="X1064" s="102"/>
      <c r="Y1064" s="102"/>
      <c r="Z1064" s="102"/>
    </row>
    <row r="1065" ht="15.75" customHeight="1">
      <c r="A1065" s="113"/>
      <c r="B1065" s="129"/>
      <c r="C1065" s="115"/>
      <c r="D1065" s="102"/>
      <c r="E1065" s="115"/>
      <c r="F1065" s="119"/>
      <c r="G1065" s="519"/>
      <c r="H1065" s="118"/>
      <c r="I1065" s="519"/>
      <c r="J1065" s="102"/>
      <c r="K1065" s="121"/>
      <c r="L1065" s="102"/>
      <c r="M1065" s="102"/>
      <c r="N1065" s="102"/>
      <c r="O1065" s="102"/>
      <c r="P1065" s="102"/>
      <c r="Q1065" s="102"/>
      <c r="R1065" s="102"/>
      <c r="S1065" s="102"/>
      <c r="T1065" s="102"/>
      <c r="U1065" s="102"/>
      <c r="V1065" s="102"/>
      <c r="W1065" s="102"/>
      <c r="X1065" s="102"/>
      <c r="Y1065" s="102"/>
      <c r="Z1065" s="102"/>
    </row>
    <row r="1066" ht="15.75" customHeight="1">
      <c r="A1066" s="113"/>
      <c r="B1066" s="129"/>
      <c r="C1066" s="115"/>
      <c r="D1066" s="102"/>
      <c r="E1066" s="115"/>
      <c r="F1066" s="119"/>
      <c r="G1066" s="519"/>
      <c r="H1066" s="118"/>
      <c r="I1066" s="519"/>
      <c r="J1066" s="102"/>
      <c r="K1066" s="121"/>
      <c r="L1066" s="102"/>
      <c r="M1066" s="102"/>
      <c r="N1066" s="102"/>
      <c r="O1066" s="102"/>
      <c r="P1066" s="102"/>
      <c r="Q1066" s="102"/>
      <c r="R1066" s="102"/>
      <c r="S1066" s="102"/>
      <c r="T1066" s="102"/>
      <c r="U1066" s="102"/>
      <c r="V1066" s="102"/>
      <c r="W1066" s="102"/>
      <c r="X1066" s="102"/>
      <c r="Y1066" s="102"/>
      <c r="Z1066" s="102"/>
    </row>
    <row r="1067" ht="15.75" customHeight="1">
      <c r="A1067" s="113"/>
      <c r="B1067" s="129"/>
      <c r="C1067" s="115"/>
      <c r="D1067" s="102"/>
      <c r="E1067" s="115"/>
      <c r="F1067" s="119"/>
      <c r="G1067" s="519"/>
      <c r="H1067" s="118"/>
      <c r="I1067" s="519"/>
      <c r="J1067" s="102"/>
      <c r="K1067" s="121"/>
      <c r="L1067" s="102"/>
      <c r="M1067" s="102"/>
      <c r="N1067" s="102"/>
      <c r="O1067" s="102"/>
      <c r="P1067" s="102"/>
      <c r="Q1067" s="102"/>
      <c r="R1067" s="102"/>
      <c r="S1067" s="102"/>
      <c r="T1067" s="102"/>
      <c r="U1067" s="102"/>
      <c r="V1067" s="102"/>
      <c r="W1067" s="102"/>
      <c r="X1067" s="102"/>
      <c r="Y1067" s="102"/>
      <c r="Z1067" s="102"/>
    </row>
    <row r="1068" ht="15.75" customHeight="1">
      <c r="A1068" s="113"/>
      <c r="B1068" s="129"/>
      <c r="C1068" s="115"/>
      <c r="D1068" s="102"/>
      <c r="E1068" s="115"/>
      <c r="F1068" s="119"/>
      <c r="G1068" s="519"/>
      <c r="H1068" s="118"/>
      <c r="I1068" s="519"/>
      <c r="J1068" s="102"/>
      <c r="K1068" s="121"/>
      <c r="L1068" s="102"/>
      <c r="M1068" s="102"/>
      <c r="N1068" s="102"/>
      <c r="O1068" s="102"/>
      <c r="P1068" s="102"/>
      <c r="Q1068" s="102"/>
      <c r="R1068" s="102"/>
      <c r="S1068" s="102"/>
      <c r="T1068" s="102"/>
      <c r="U1068" s="102"/>
      <c r="V1068" s="102"/>
      <c r="W1068" s="102"/>
      <c r="X1068" s="102"/>
      <c r="Y1068" s="102"/>
      <c r="Z1068" s="102"/>
    </row>
    <row r="1069" ht="15.75" customHeight="1">
      <c r="A1069" s="113"/>
      <c r="B1069" s="129"/>
      <c r="C1069" s="115"/>
      <c r="D1069" s="102"/>
      <c r="E1069" s="115"/>
      <c r="F1069" s="119"/>
      <c r="G1069" s="519"/>
      <c r="H1069" s="118"/>
      <c r="I1069" s="519"/>
      <c r="J1069" s="102"/>
      <c r="K1069" s="121"/>
      <c r="L1069" s="102"/>
      <c r="M1069" s="102"/>
      <c r="N1069" s="102"/>
      <c r="O1069" s="102"/>
      <c r="P1069" s="102"/>
      <c r="Q1069" s="102"/>
      <c r="R1069" s="102"/>
      <c r="S1069" s="102"/>
      <c r="T1069" s="102"/>
      <c r="U1069" s="102"/>
      <c r="V1069" s="102"/>
      <c r="W1069" s="102"/>
      <c r="X1069" s="102"/>
      <c r="Y1069" s="102"/>
      <c r="Z1069" s="102"/>
    </row>
    <row r="1070" ht="15.75" customHeight="1">
      <c r="A1070" s="113"/>
      <c r="B1070" s="129"/>
      <c r="C1070" s="115"/>
      <c r="D1070" s="102"/>
      <c r="E1070" s="115"/>
      <c r="F1070" s="119"/>
      <c r="G1070" s="519"/>
      <c r="H1070" s="118"/>
      <c r="I1070" s="519"/>
      <c r="J1070" s="102"/>
      <c r="K1070" s="121"/>
      <c r="L1070" s="102"/>
      <c r="M1070" s="102"/>
      <c r="N1070" s="102"/>
      <c r="O1070" s="102"/>
      <c r="P1070" s="102"/>
      <c r="Q1070" s="102"/>
      <c r="R1070" s="102"/>
      <c r="S1070" s="102"/>
      <c r="T1070" s="102"/>
      <c r="U1070" s="102"/>
      <c r="V1070" s="102"/>
      <c r="W1070" s="102"/>
      <c r="X1070" s="102"/>
      <c r="Y1070" s="102"/>
      <c r="Z1070" s="102"/>
    </row>
    <row r="1071" ht="15.75" customHeight="1">
      <c r="A1071" s="113"/>
      <c r="B1071" s="129"/>
      <c r="C1071" s="115"/>
      <c r="D1071" s="102"/>
      <c r="E1071" s="115"/>
      <c r="F1071" s="119"/>
      <c r="G1071" s="519"/>
      <c r="H1071" s="118"/>
      <c r="I1071" s="519"/>
      <c r="J1071" s="102"/>
      <c r="K1071" s="121"/>
      <c r="L1071" s="102"/>
      <c r="M1071" s="102"/>
      <c r="N1071" s="102"/>
      <c r="O1071" s="102"/>
      <c r="P1071" s="102"/>
      <c r="Q1071" s="102"/>
      <c r="R1071" s="102"/>
      <c r="S1071" s="102"/>
      <c r="T1071" s="102"/>
      <c r="U1071" s="102"/>
      <c r="V1071" s="102"/>
      <c r="W1071" s="102"/>
      <c r="X1071" s="102"/>
      <c r="Y1071" s="102"/>
      <c r="Z1071" s="102"/>
    </row>
    <row r="1072" ht="15.75" customHeight="1">
      <c r="A1072" s="113"/>
      <c r="B1072" s="129"/>
      <c r="C1072" s="115"/>
      <c r="D1072" s="102"/>
      <c r="E1072" s="115"/>
      <c r="F1072" s="119"/>
      <c r="G1072" s="519"/>
      <c r="H1072" s="118"/>
      <c r="I1072" s="519"/>
      <c r="J1072" s="102"/>
      <c r="K1072" s="121"/>
      <c r="L1072" s="102"/>
      <c r="M1072" s="102"/>
      <c r="N1072" s="102"/>
      <c r="O1072" s="102"/>
      <c r="P1072" s="102"/>
      <c r="Q1072" s="102"/>
      <c r="R1072" s="102"/>
      <c r="S1072" s="102"/>
      <c r="T1072" s="102"/>
      <c r="U1072" s="102"/>
      <c r="V1072" s="102"/>
      <c r="W1072" s="102"/>
      <c r="X1072" s="102"/>
      <c r="Y1072" s="102"/>
      <c r="Z1072" s="102"/>
    </row>
    <row r="1073" ht="15.75" customHeight="1">
      <c r="A1073" s="113"/>
      <c r="B1073" s="129"/>
      <c r="C1073" s="115"/>
      <c r="D1073" s="102"/>
      <c r="E1073" s="115"/>
      <c r="F1073" s="119"/>
      <c r="G1073" s="519"/>
      <c r="H1073" s="118"/>
      <c r="I1073" s="519"/>
      <c r="J1073" s="102"/>
      <c r="K1073" s="121"/>
      <c r="L1073" s="102"/>
      <c r="M1073" s="102"/>
      <c r="N1073" s="102"/>
      <c r="O1073" s="102"/>
      <c r="P1073" s="102"/>
      <c r="Q1073" s="102"/>
      <c r="R1073" s="102"/>
      <c r="S1073" s="102"/>
      <c r="T1073" s="102"/>
      <c r="U1073" s="102"/>
      <c r="V1073" s="102"/>
      <c r="W1073" s="102"/>
      <c r="X1073" s="102"/>
      <c r="Y1073" s="102"/>
      <c r="Z1073" s="102"/>
    </row>
    <row r="1074" ht="15.75" customHeight="1">
      <c r="A1074" s="113"/>
      <c r="B1074" s="129"/>
      <c r="C1074" s="115"/>
      <c r="D1074" s="102"/>
      <c r="E1074" s="115"/>
      <c r="F1074" s="119"/>
      <c r="G1074" s="519"/>
      <c r="H1074" s="118"/>
      <c r="I1074" s="519"/>
      <c r="J1074" s="102"/>
      <c r="K1074" s="121"/>
      <c r="L1074" s="102"/>
      <c r="M1074" s="102"/>
      <c r="N1074" s="102"/>
      <c r="O1074" s="102"/>
      <c r="P1074" s="102"/>
      <c r="Q1074" s="102"/>
      <c r="R1074" s="102"/>
      <c r="S1074" s="102"/>
      <c r="T1074" s="102"/>
      <c r="U1074" s="102"/>
      <c r="V1074" s="102"/>
      <c r="W1074" s="102"/>
      <c r="X1074" s="102"/>
      <c r="Y1074" s="102"/>
      <c r="Z1074" s="102"/>
    </row>
    <row r="1075" ht="15.75" customHeight="1">
      <c r="A1075" s="113"/>
      <c r="B1075" s="129"/>
      <c r="C1075" s="115"/>
      <c r="D1075" s="102"/>
      <c r="E1075" s="115"/>
      <c r="F1075" s="119"/>
      <c r="G1075" s="519"/>
      <c r="H1075" s="118"/>
      <c r="I1075" s="519"/>
      <c r="J1075" s="102"/>
      <c r="K1075" s="121"/>
      <c r="L1075" s="102"/>
      <c r="M1075" s="102"/>
      <c r="N1075" s="102"/>
      <c r="O1075" s="102"/>
      <c r="P1075" s="102"/>
      <c r="Q1075" s="102"/>
      <c r="R1075" s="102"/>
      <c r="S1075" s="102"/>
      <c r="T1075" s="102"/>
      <c r="U1075" s="102"/>
      <c r="V1075" s="102"/>
      <c r="W1075" s="102"/>
      <c r="X1075" s="102"/>
      <c r="Y1075" s="102"/>
      <c r="Z1075" s="102"/>
    </row>
    <row r="1076" ht="15.75" customHeight="1">
      <c r="A1076" s="113"/>
      <c r="B1076" s="129"/>
      <c r="C1076" s="115"/>
      <c r="D1076" s="102"/>
      <c r="E1076" s="115"/>
      <c r="F1076" s="119"/>
      <c r="G1076" s="519"/>
      <c r="H1076" s="118"/>
      <c r="I1076" s="519"/>
      <c r="J1076" s="102"/>
      <c r="K1076" s="121"/>
      <c r="L1076" s="102"/>
      <c r="M1076" s="102"/>
      <c r="N1076" s="102"/>
      <c r="O1076" s="102"/>
      <c r="P1076" s="102"/>
      <c r="Q1076" s="102"/>
      <c r="R1076" s="102"/>
      <c r="S1076" s="102"/>
      <c r="T1076" s="102"/>
      <c r="U1076" s="102"/>
      <c r="V1076" s="102"/>
      <c r="W1076" s="102"/>
      <c r="X1076" s="102"/>
      <c r="Y1076" s="102"/>
      <c r="Z1076" s="102"/>
    </row>
    <row r="1077" ht="15.75" customHeight="1">
      <c r="A1077" s="113"/>
      <c r="B1077" s="129"/>
      <c r="C1077" s="115"/>
      <c r="D1077" s="102"/>
      <c r="E1077" s="115"/>
      <c r="F1077" s="119"/>
      <c r="G1077" s="519"/>
      <c r="H1077" s="118"/>
      <c r="I1077" s="519"/>
      <c r="J1077" s="102"/>
      <c r="K1077" s="121"/>
      <c r="L1077" s="102"/>
      <c r="M1077" s="102"/>
      <c r="N1077" s="102"/>
      <c r="O1077" s="102"/>
      <c r="P1077" s="102"/>
      <c r="Q1077" s="102"/>
      <c r="R1077" s="102"/>
      <c r="S1077" s="102"/>
      <c r="T1077" s="102"/>
      <c r="U1077" s="102"/>
      <c r="V1077" s="102"/>
      <c r="W1077" s="102"/>
      <c r="X1077" s="102"/>
      <c r="Y1077" s="102"/>
      <c r="Z1077" s="102"/>
    </row>
    <row r="1078" ht="15.75" customHeight="1">
      <c r="A1078" s="113"/>
      <c r="B1078" s="129"/>
      <c r="C1078" s="115"/>
      <c r="D1078" s="102"/>
      <c r="E1078" s="115"/>
      <c r="F1078" s="119"/>
      <c r="G1078" s="519"/>
      <c r="H1078" s="118"/>
      <c r="I1078" s="519"/>
      <c r="J1078" s="102"/>
      <c r="K1078" s="121"/>
      <c r="L1078" s="102"/>
      <c r="M1078" s="102"/>
      <c r="N1078" s="102"/>
      <c r="O1078" s="102"/>
      <c r="P1078" s="102"/>
      <c r="Q1078" s="102"/>
      <c r="R1078" s="102"/>
      <c r="S1078" s="102"/>
      <c r="T1078" s="102"/>
      <c r="U1078" s="102"/>
      <c r="V1078" s="102"/>
      <c r="W1078" s="102"/>
      <c r="X1078" s="102"/>
      <c r="Y1078" s="102"/>
      <c r="Z1078" s="102"/>
    </row>
    <row r="1079" ht="15.75" customHeight="1">
      <c r="A1079" s="113"/>
      <c r="B1079" s="129"/>
      <c r="C1079" s="115"/>
      <c r="D1079" s="102"/>
      <c r="E1079" s="115"/>
      <c r="F1079" s="119"/>
      <c r="G1079" s="519"/>
      <c r="H1079" s="118"/>
      <c r="I1079" s="519"/>
      <c r="J1079" s="102"/>
      <c r="K1079" s="121"/>
      <c r="L1079" s="102"/>
      <c r="M1079" s="102"/>
      <c r="N1079" s="102"/>
      <c r="O1079" s="102"/>
      <c r="P1079" s="102"/>
      <c r="Q1079" s="102"/>
      <c r="R1079" s="102"/>
      <c r="S1079" s="102"/>
      <c r="T1079" s="102"/>
      <c r="U1079" s="102"/>
      <c r="V1079" s="102"/>
      <c r="W1079" s="102"/>
      <c r="X1079" s="102"/>
      <c r="Y1079" s="102"/>
      <c r="Z1079" s="102"/>
    </row>
    <row r="1080" ht="15.75" customHeight="1">
      <c r="A1080" s="113"/>
      <c r="B1080" s="129"/>
      <c r="C1080" s="115"/>
      <c r="D1080" s="102"/>
      <c r="E1080" s="115"/>
      <c r="F1080" s="119"/>
      <c r="G1080" s="519"/>
      <c r="H1080" s="118"/>
      <c r="I1080" s="519"/>
      <c r="J1080" s="102"/>
      <c r="K1080" s="121"/>
      <c r="L1080" s="102"/>
      <c r="M1080" s="102"/>
      <c r="N1080" s="102"/>
      <c r="O1080" s="102"/>
      <c r="P1080" s="102"/>
      <c r="Q1080" s="102"/>
      <c r="R1080" s="102"/>
      <c r="S1080" s="102"/>
      <c r="T1080" s="102"/>
      <c r="U1080" s="102"/>
      <c r="V1080" s="102"/>
      <c r="W1080" s="102"/>
      <c r="X1080" s="102"/>
      <c r="Y1080" s="102"/>
      <c r="Z1080" s="102"/>
    </row>
    <row r="1081" ht="15.75" customHeight="1">
      <c r="A1081" s="113"/>
      <c r="B1081" s="129"/>
      <c r="C1081" s="115"/>
      <c r="D1081" s="102"/>
      <c r="E1081" s="115"/>
      <c r="F1081" s="119"/>
      <c r="G1081" s="519"/>
      <c r="H1081" s="118"/>
      <c r="I1081" s="519"/>
      <c r="J1081" s="102"/>
      <c r="K1081" s="121"/>
      <c r="L1081" s="102"/>
      <c r="M1081" s="102"/>
      <c r="N1081" s="102"/>
      <c r="O1081" s="102"/>
      <c r="P1081" s="102"/>
      <c r="Q1081" s="102"/>
      <c r="R1081" s="102"/>
      <c r="S1081" s="102"/>
      <c r="T1081" s="102"/>
      <c r="U1081" s="102"/>
      <c r="V1081" s="102"/>
      <c r="W1081" s="102"/>
      <c r="X1081" s="102"/>
      <c r="Y1081" s="102"/>
      <c r="Z1081" s="102"/>
    </row>
    <row r="1082" ht="15.75" customHeight="1">
      <c r="A1082" s="113"/>
      <c r="B1082" s="129"/>
      <c r="C1082" s="115"/>
      <c r="D1082" s="102"/>
      <c r="E1082" s="115"/>
      <c r="F1082" s="119"/>
      <c r="G1082" s="519"/>
      <c r="H1082" s="118"/>
      <c r="I1082" s="519"/>
      <c r="J1082" s="102"/>
      <c r="K1082" s="121"/>
      <c r="L1082" s="102"/>
      <c r="M1082" s="102"/>
      <c r="N1082" s="102"/>
      <c r="O1082" s="102"/>
      <c r="P1082" s="102"/>
      <c r="Q1082" s="102"/>
      <c r="R1082" s="102"/>
      <c r="S1082" s="102"/>
      <c r="T1082" s="102"/>
      <c r="U1082" s="102"/>
      <c r="V1082" s="102"/>
      <c r="W1082" s="102"/>
      <c r="X1082" s="102"/>
      <c r="Y1082" s="102"/>
      <c r="Z1082" s="102"/>
    </row>
    <row r="1083" ht="15.75" customHeight="1">
      <c r="A1083" s="113"/>
      <c r="B1083" s="129"/>
      <c r="C1083" s="115"/>
      <c r="D1083" s="102"/>
      <c r="E1083" s="115"/>
      <c r="F1083" s="119"/>
      <c r="G1083" s="519"/>
      <c r="H1083" s="118"/>
      <c r="I1083" s="519"/>
      <c r="J1083" s="102"/>
      <c r="K1083" s="121"/>
      <c r="L1083" s="102"/>
      <c r="M1083" s="102"/>
      <c r="N1083" s="102"/>
      <c r="O1083" s="102"/>
      <c r="P1083" s="102"/>
      <c r="Q1083" s="102"/>
      <c r="R1083" s="102"/>
      <c r="S1083" s="102"/>
      <c r="T1083" s="102"/>
      <c r="U1083" s="102"/>
      <c r="V1083" s="102"/>
      <c r="W1083" s="102"/>
      <c r="X1083" s="102"/>
      <c r="Y1083" s="102"/>
      <c r="Z1083" s="102"/>
    </row>
    <row r="1084" ht="15.75" customHeight="1">
      <c r="A1084" s="113"/>
      <c r="B1084" s="129"/>
      <c r="C1084" s="115"/>
      <c r="D1084" s="102"/>
      <c r="E1084" s="115"/>
      <c r="F1084" s="119"/>
      <c r="G1084" s="519"/>
      <c r="H1084" s="118"/>
      <c r="I1084" s="519"/>
      <c r="J1084" s="102"/>
      <c r="K1084" s="121"/>
      <c r="L1084" s="102"/>
      <c r="M1084" s="102"/>
      <c r="N1084" s="102"/>
      <c r="O1084" s="102"/>
      <c r="P1084" s="102"/>
      <c r="Q1084" s="102"/>
      <c r="R1084" s="102"/>
      <c r="S1084" s="102"/>
      <c r="T1084" s="102"/>
      <c r="U1084" s="102"/>
      <c r="V1084" s="102"/>
      <c r="W1084" s="102"/>
      <c r="X1084" s="102"/>
      <c r="Y1084" s="102"/>
      <c r="Z1084" s="102"/>
    </row>
  </sheetData>
  <conditionalFormatting sqref="C1:C4 A3 C27:C40 C42:C44 A44 C47:C1084">
    <cfRule type="containsText" dxfId="0" priority="1" operator="containsText" text="No Sales">
      <formula>NOT(ISERROR(SEARCH(("No Sales"),(C1))))</formula>
    </cfRule>
  </conditionalFormatting>
  <conditionalFormatting sqref="C9:C12 C19:C20">
    <cfRule type="containsText" dxfId="0" priority="2" operator="containsText" text="No Sales">
      <formula>NOT(ISERROR(SEARCH(("No Sales"),(C9))))</formula>
    </cfRule>
  </conditionalFormatting>
  <conditionalFormatting sqref="J2:J357 J359:J673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8.71"/>
    <col customWidth="1" min="2" max="2" width="16.57"/>
    <col customWidth="1" min="3" max="3" width="11.57"/>
    <col customWidth="1" min="4" max="4" width="5.29"/>
    <col customWidth="1" min="5" max="5" width="0.71"/>
    <col customWidth="1" min="6" max="6" width="8.86"/>
    <col customWidth="1" min="7" max="7" width="14.29"/>
    <col customWidth="1" min="8" max="8" width="8.86"/>
    <col customWidth="1" min="9" max="9" width="5.29"/>
    <col customWidth="1" min="10" max="10" width="51.71"/>
    <col customWidth="1" min="11" max="12" width="8.86"/>
    <col customWidth="1" min="13" max="13" width="11.43"/>
    <col customWidth="1" min="14" max="26" width="8.86"/>
  </cols>
  <sheetData>
    <row r="1" ht="11.25" customHeight="1">
      <c r="A1" s="174" t="s">
        <v>261</v>
      </c>
      <c r="B1" s="175"/>
      <c r="C1" s="176"/>
      <c r="D1" s="175"/>
      <c r="E1" s="175"/>
      <c r="F1" s="177"/>
      <c r="G1" s="174"/>
      <c r="H1" s="178"/>
      <c r="I1" s="175"/>
      <c r="J1" s="175"/>
      <c r="K1" s="175"/>
      <c r="L1" s="175"/>
      <c r="M1" s="175"/>
      <c r="N1" s="176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4.5" customHeight="1">
      <c r="A2" s="179"/>
      <c r="B2" s="180"/>
      <c r="C2" s="181"/>
      <c r="D2" s="180"/>
      <c r="E2" s="180"/>
      <c r="F2" s="179"/>
      <c r="G2" s="182"/>
      <c r="H2" s="183"/>
      <c r="I2" s="180"/>
      <c r="J2" s="180"/>
      <c r="K2" s="180"/>
      <c r="L2" s="180"/>
      <c r="M2" s="180"/>
      <c r="N2" s="181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ht="11.25" customHeight="1">
      <c r="A3" s="177" t="s">
        <v>262</v>
      </c>
      <c r="B3" s="175"/>
      <c r="C3" s="176"/>
      <c r="D3" s="175"/>
      <c r="E3" s="175"/>
      <c r="F3" s="177" t="s">
        <v>263</v>
      </c>
      <c r="G3" s="174"/>
      <c r="H3" s="178"/>
      <c r="I3" s="175"/>
      <c r="J3" s="175"/>
      <c r="K3" s="175"/>
      <c r="L3" s="175"/>
      <c r="M3" s="175"/>
      <c r="N3" s="176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11.25" customHeight="1">
      <c r="A4" s="177" t="s">
        <v>197</v>
      </c>
      <c r="B4" s="175" t="s">
        <v>198</v>
      </c>
      <c r="C4" s="184" t="s">
        <v>264</v>
      </c>
      <c r="D4" s="177" t="s">
        <v>265</v>
      </c>
      <c r="E4" s="175"/>
      <c r="F4" s="177" t="s">
        <v>266</v>
      </c>
      <c r="G4" s="174" t="s">
        <v>198</v>
      </c>
      <c r="H4" s="185" t="s">
        <v>264</v>
      </c>
      <c r="I4" s="177" t="s">
        <v>265</v>
      </c>
      <c r="J4" s="175" t="s">
        <v>10</v>
      </c>
      <c r="K4" s="175"/>
      <c r="L4" s="175"/>
      <c r="M4" s="175"/>
      <c r="N4" s="176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11.25" customHeight="1">
      <c r="A5" s="177"/>
      <c r="B5" s="186" t="s">
        <v>268</v>
      </c>
      <c r="C5" s="187">
        <f>SUM(C6:C17)</f>
        <v>88100</v>
      </c>
      <c r="D5" s="175"/>
      <c r="E5" s="175"/>
      <c r="F5" s="177"/>
      <c r="G5" s="174" t="s">
        <v>222</v>
      </c>
      <c r="H5" s="188">
        <v>3000.0</v>
      </c>
      <c r="I5" s="175" t="s">
        <v>211</v>
      </c>
      <c r="J5" s="175"/>
      <c r="K5" s="175"/>
      <c r="L5" s="175"/>
      <c r="M5" s="175"/>
      <c r="N5" s="176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11.25" customHeight="1">
      <c r="A6" s="179">
        <v>1613.0</v>
      </c>
      <c r="B6" s="180" t="s">
        <v>214</v>
      </c>
      <c r="C6" s="181">
        <v>17600.0</v>
      </c>
      <c r="D6" s="180"/>
      <c r="E6" s="180"/>
      <c r="F6" s="179"/>
      <c r="G6" s="182" t="s">
        <v>269</v>
      </c>
      <c r="H6" s="183">
        <v>2000.0</v>
      </c>
      <c r="I6" s="180" t="s">
        <v>50</v>
      </c>
      <c r="J6" s="180" t="s">
        <v>271</v>
      </c>
      <c r="K6" s="180"/>
      <c r="L6" s="180"/>
      <c r="M6" s="180"/>
      <c r="N6" s="181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 ht="11.25" customHeight="1">
      <c r="A7" s="179">
        <v>1614.0</v>
      </c>
      <c r="B7" s="180" t="s">
        <v>216</v>
      </c>
      <c r="C7" s="181">
        <v>6600.0</v>
      </c>
      <c r="D7" s="180"/>
      <c r="E7" s="180"/>
      <c r="F7" s="179"/>
      <c r="G7" s="182" t="s">
        <v>217</v>
      </c>
      <c r="H7" s="183">
        <v>5000.0</v>
      </c>
      <c r="I7" s="180" t="s">
        <v>211</v>
      </c>
      <c r="J7" s="180"/>
      <c r="K7" s="180"/>
      <c r="L7" s="180"/>
      <c r="M7" s="180"/>
      <c r="N7" s="181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 ht="11.25" customHeight="1">
      <c r="A8" s="189">
        <v>1615.0</v>
      </c>
      <c r="B8" s="190" t="s">
        <v>217</v>
      </c>
      <c r="C8" s="181">
        <v>17900.0</v>
      </c>
      <c r="D8" s="180" t="s">
        <v>211</v>
      </c>
      <c r="E8" s="180"/>
      <c r="F8" s="179"/>
      <c r="G8" s="182" t="s">
        <v>255</v>
      </c>
      <c r="H8" s="183">
        <v>2000.0</v>
      </c>
      <c r="I8" s="180" t="s">
        <v>211</v>
      </c>
      <c r="J8" s="180"/>
      <c r="K8" s="180"/>
      <c r="L8" s="180"/>
      <c r="M8" s="180"/>
      <c r="N8" s="181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 ht="11.25" customHeight="1">
      <c r="A9" s="189">
        <v>1616.0</v>
      </c>
      <c r="B9" s="190" t="s">
        <v>218</v>
      </c>
      <c r="C9" s="181">
        <v>7500.0</v>
      </c>
      <c r="D9" s="180" t="s">
        <v>50</v>
      </c>
      <c r="E9" s="180"/>
      <c r="F9" s="179"/>
      <c r="G9" s="182" t="s">
        <v>216</v>
      </c>
      <c r="H9" s="183">
        <v>6600.0</v>
      </c>
      <c r="I9" s="180" t="s">
        <v>50</v>
      </c>
      <c r="J9" s="180" t="s">
        <v>273</v>
      </c>
      <c r="K9" s="180"/>
      <c r="L9" s="180"/>
      <c r="M9" s="180"/>
      <c r="N9" s="181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</row>
    <row r="10" ht="11.25" customHeight="1">
      <c r="A10" s="189">
        <v>1617.0</v>
      </c>
      <c r="B10" s="190" t="s">
        <v>218</v>
      </c>
      <c r="C10" s="181">
        <v>12100.0</v>
      </c>
      <c r="D10" s="180"/>
      <c r="E10" s="180"/>
      <c r="F10" s="191"/>
      <c r="G10" s="182"/>
      <c r="H10" s="183"/>
      <c r="I10" s="180"/>
      <c r="J10" s="180"/>
      <c r="K10" s="180"/>
      <c r="L10" s="180"/>
      <c r="M10" s="181"/>
      <c r="N10" s="181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 ht="11.25" customHeight="1">
      <c r="A11" s="189">
        <v>1618.0</v>
      </c>
      <c r="B11" s="190" t="s">
        <v>216</v>
      </c>
      <c r="C11" s="181">
        <v>1500.0</v>
      </c>
      <c r="D11" s="180"/>
      <c r="E11" s="180"/>
      <c r="F11" s="179"/>
      <c r="G11" s="182"/>
      <c r="H11" s="183"/>
      <c r="I11" s="180"/>
      <c r="J11" s="180"/>
      <c r="K11" s="180"/>
      <c r="L11" s="180"/>
      <c r="M11" s="181"/>
      <c r="N11" s="181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 ht="11.25" customHeight="1">
      <c r="A12" s="179">
        <v>1619.0</v>
      </c>
      <c r="B12" s="180" t="s">
        <v>219</v>
      </c>
      <c r="C12" s="181">
        <v>4500.0</v>
      </c>
      <c r="D12" s="180"/>
      <c r="E12" s="180"/>
      <c r="F12" s="179"/>
      <c r="G12" s="173"/>
      <c r="H12" s="183"/>
      <c r="I12" s="180"/>
      <c r="J12" s="180"/>
      <c r="K12" s="180"/>
      <c r="L12" s="180"/>
      <c r="M12" s="181"/>
      <c r="N12" s="181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ht="11.25" customHeight="1">
      <c r="A13" s="179">
        <v>1620.0</v>
      </c>
      <c r="B13" s="180">
        <v>2011.0</v>
      </c>
      <c r="C13" s="181">
        <v>800.0</v>
      </c>
      <c r="D13" s="180"/>
      <c r="E13" s="180"/>
      <c r="F13" s="179"/>
      <c r="G13" s="182"/>
      <c r="H13" s="183"/>
      <c r="I13" s="180"/>
      <c r="J13" s="180"/>
      <c r="K13" s="180"/>
      <c r="L13" s="180"/>
      <c r="M13" s="181"/>
      <c r="N13" s="181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ht="11.25" customHeight="1">
      <c r="A14" s="179">
        <v>1621.0</v>
      </c>
      <c r="B14" s="180" t="s">
        <v>217</v>
      </c>
      <c r="C14" s="181">
        <v>16200.0</v>
      </c>
      <c r="D14" s="180"/>
      <c r="E14" s="180"/>
      <c r="F14" s="179"/>
      <c r="G14" s="193">
        <v>46058.0</v>
      </c>
      <c r="H14" s="183"/>
      <c r="I14" s="180"/>
      <c r="J14" s="180"/>
      <c r="K14" s="180"/>
      <c r="L14" s="180"/>
      <c r="M14" s="181"/>
      <c r="N14" s="181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 ht="11.25" customHeight="1">
      <c r="A15" s="179">
        <v>1622.0</v>
      </c>
      <c r="B15" s="180"/>
      <c r="C15" s="181"/>
      <c r="D15" s="180"/>
      <c r="E15" s="180"/>
      <c r="F15" s="191">
        <v>664.0</v>
      </c>
      <c r="G15" s="194" t="s">
        <v>217</v>
      </c>
      <c r="H15" s="195">
        <v>13300.0</v>
      </c>
      <c r="I15" s="180"/>
      <c r="J15" s="180"/>
      <c r="K15" s="180"/>
      <c r="L15" s="180"/>
      <c r="M15" s="181"/>
      <c r="N15" s="181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ht="11.25" customHeight="1">
      <c r="A16" s="179">
        <v>1623.0</v>
      </c>
      <c r="B16" s="180" t="s">
        <v>216</v>
      </c>
      <c r="C16" s="181">
        <v>1700.0</v>
      </c>
      <c r="D16" s="180"/>
      <c r="E16" s="180"/>
      <c r="F16" s="191">
        <v>665.0</v>
      </c>
      <c r="G16" s="194" t="s">
        <v>214</v>
      </c>
      <c r="H16" s="195">
        <v>17839.29</v>
      </c>
      <c r="I16" s="180"/>
      <c r="J16" s="180"/>
      <c r="K16" s="180"/>
      <c r="L16" s="180"/>
      <c r="M16" s="181"/>
      <c r="N16" s="181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ht="11.25" customHeight="1">
      <c r="A17" s="179">
        <v>1624.0</v>
      </c>
      <c r="B17" s="180" t="s">
        <v>218</v>
      </c>
      <c r="C17" s="181">
        <v>1700.0</v>
      </c>
      <c r="D17" s="180"/>
      <c r="E17" s="180"/>
      <c r="F17" s="191">
        <v>666.0</v>
      </c>
      <c r="G17" s="194" t="s">
        <v>275</v>
      </c>
      <c r="H17" s="195">
        <v>5000.0</v>
      </c>
      <c r="I17" s="180"/>
      <c r="J17" s="180"/>
      <c r="K17" s="180"/>
      <c r="L17" s="180"/>
      <c r="M17" s="181"/>
      <c r="N17" s="181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ht="11.25" customHeight="1">
      <c r="A18" s="179"/>
      <c r="B18" s="180"/>
      <c r="C18" s="181"/>
      <c r="D18" s="180"/>
      <c r="E18" s="180"/>
      <c r="F18" s="191"/>
      <c r="G18" s="194"/>
      <c r="H18" s="195"/>
      <c r="I18" s="180"/>
      <c r="J18" s="180"/>
      <c r="K18" s="180"/>
      <c r="L18" s="180"/>
      <c r="M18" s="181"/>
      <c r="N18" s="181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ht="11.25" customHeight="1">
      <c r="A19" s="179"/>
      <c r="B19" s="180"/>
      <c r="C19" s="181"/>
      <c r="D19" s="180"/>
      <c r="E19" s="180"/>
      <c r="F19" s="191"/>
      <c r="G19" s="193">
        <v>46065.0</v>
      </c>
      <c r="H19" s="195"/>
      <c r="I19" s="180"/>
      <c r="J19" s="180"/>
      <c r="K19" s="180"/>
      <c r="L19" s="180"/>
      <c r="M19" s="181"/>
      <c r="N19" s="181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ht="11.25" customHeight="1">
      <c r="A20" s="189">
        <v>1625.0</v>
      </c>
      <c r="B20" s="190" t="s">
        <v>220</v>
      </c>
      <c r="C20" s="181">
        <v>5000.0</v>
      </c>
      <c r="D20" s="180" t="s">
        <v>211</v>
      </c>
      <c r="E20" s="180"/>
      <c r="F20" s="191">
        <v>667.0</v>
      </c>
      <c r="G20" s="194" t="s">
        <v>276</v>
      </c>
      <c r="H20" s="195">
        <v>1000.0</v>
      </c>
      <c r="I20" s="180"/>
      <c r="J20" s="180"/>
      <c r="K20" s="180"/>
      <c r="L20" s="180"/>
      <c r="M20" s="180"/>
      <c r="N20" s="181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ht="11.25" customHeight="1">
      <c r="A21" s="189">
        <v>1626.0</v>
      </c>
      <c r="B21" s="190" t="s">
        <v>219</v>
      </c>
      <c r="C21" s="181">
        <v>3000.0</v>
      </c>
      <c r="D21" s="180" t="s">
        <v>211</v>
      </c>
      <c r="E21" s="180"/>
      <c r="F21" s="191">
        <v>668.0</v>
      </c>
      <c r="G21" s="194" t="s">
        <v>217</v>
      </c>
      <c r="H21" s="195">
        <v>9000.0</v>
      </c>
      <c r="I21" s="180"/>
      <c r="J21" s="180"/>
      <c r="K21" s="180"/>
      <c r="L21" s="180"/>
      <c r="M21" s="180"/>
      <c r="N21" s="181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ht="11.25" customHeight="1">
      <c r="A22" s="179">
        <v>1627.0</v>
      </c>
      <c r="B22" s="180" t="s">
        <v>219</v>
      </c>
      <c r="C22" s="181">
        <v>1500.0</v>
      </c>
      <c r="D22" s="180"/>
      <c r="E22" s="180"/>
      <c r="F22" s="191">
        <v>669.0</v>
      </c>
      <c r="G22" s="194" t="s">
        <v>277</v>
      </c>
      <c r="H22" s="195">
        <v>8000.0</v>
      </c>
      <c r="I22" s="180"/>
      <c r="J22" s="180"/>
      <c r="K22" s="180"/>
      <c r="L22" s="180"/>
      <c r="M22" s="180"/>
      <c r="N22" s="181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ht="11.25" customHeight="1">
      <c r="A23" s="179">
        <v>1628.0</v>
      </c>
      <c r="B23" s="180" t="s">
        <v>222</v>
      </c>
      <c r="C23" s="181">
        <v>7600.0</v>
      </c>
      <c r="D23" s="180"/>
      <c r="E23" s="180"/>
      <c r="F23" s="191">
        <v>670.0</v>
      </c>
      <c r="G23" s="194" t="s">
        <v>275</v>
      </c>
      <c r="H23" s="195">
        <v>5000.0</v>
      </c>
      <c r="I23" s="180"/>
      <c r="J23" s="180"/>
      <c r="K23" s="180"/>
      <c r="L23" s="180"/>
      <c r="M23" s="180"/>
      <c r="N23" s="181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ht="11.25" customHeight="1">
      <c r="A24" s="179">
        <v>1629.0</v>
      </c>
      <c r="B24" s="180" t="s">
        <v>218</v>
      </c>
      <c r="C24" s="181">
        <v>8900.0</v>
      </c>
      <c r="D24" s="180"/>
      <c r="E24" s="180"/>
      <c r="F24" s="191">
        <v>671.0</v>
      </c>
      <c r="G24" s="194" t="s">
        <v>223</v>
      </c>
      <c r="H24" s="195">
        <v>5000.0</v>
      </c>
      <c r="I24" s="180"/>
      <c r="J24" s="180"/>
      <c r="K24" s="180"/>
      <c r="L24" s="180"/>
      <c r="M24" s="180"/>
      <c r="N24" s="181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ht="11.25" customHeight="1">
      <c r="A25" s="179">
        <v>1630.0</v>
      </c>
      <c r="B25" s="196" t="s">
        <v>219</v>
      </c>
      <c r="C25" s="197">
        <v>1500.0</v>
      </c>
      <c r="D25" s="180"/>
      <c r="E25" s="180"/>
      <c r="F25" s="179"/>
      <c r="G25" s="182"/>
      <c r="H25" s="183"/>
      <c r="I25" s="180"/>
      <c r="J25" s="180"/>
      <c r="K25" s="180"/>
      <c r="L25" s="180"/>
      <c r="M25" s="180"/>
      <c r="N25" s="181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ht="11.25" customHeight="1">
      <c r="A26" s="179">
        <v>1631.0</v>
      </c>
      <c r="B26" s="180"/>
      <c r="C26" s="181"/>
      <c r="D26" s="180"/>
      <c r="E26" s="180"/>
      <c r="F26" s="179"/>
      <c r="G26" s="193">
        <v>46072.0</v>
      </c>
      <c r="H26" s="183"/>
      <c r="I26" s="180"/>
      <c r="J26" s="180"/>
      <c r="K26" s="180"/>
      <c r="L26" s="180"/>
      <c r="M26" s="180"/>
      <c r="N26" s="181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ht="11.25" customHeight="1">
      <c r="A27" s="179">
        <v>1632.0</v>
      </c>
      <c r="B27" s="180"/>
      <c r="C27" s="181"/>
      <c r="D27" s="180"/>
      <c r="E27" s="180"/>
      <c r="F27" s="191">
        <v>672.0</v>
      </c>
      <c r="G27" s="194" t="s">
        <v>217</v>
      </c>
      <c r="H27" s="195">
        <v>9000.0</v>
      </c>
      <c r="I27" s="180"/>
      <c r="J27" s="180"/>
      <c r="K27" s="180"/>
      <c r="L27" s="180"/>
      <c r="M27" s="180"/>
      <c r="N27" s="181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ht="11.25" customHeight="1">
      <c r="A28" s="179">
        <v>1633.0</v>
      </c>
      <c r="B28" s="180"/>
      <c r="C28" s="181"/>
      <c r="D28" s="180"/>
      <c r="E28" s="180"/>
      <c r="F28" s="191">
        <v>673.0</v>
      </c>
      <c r="G28" s="194" t="s">
        <v>255</v>
      </c>
      <c r="H28" s="195">
        <v>2000.0</v>
      </c>
      <c r="I28" s="180"/>
      <c r="J28" s="180"/>
      <c r="K28" s="180"/>
      <c r="L28" s="180"/>
      <c r="M28" s="180"/>
      <c r="N28" s="181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ht="11.25" customHeight="1">
      <c r="A29" s="179">
        <v>1634.0</v>
      </c>
      <c r="B29" s="180"/>
      <c r="C29" s="181"/>
      <c r="D29" s="180"/>
      <c r="E29" s="180"/>
      <c r="F29" s="191">
        <v>674.0</v>
      </c>
      <c r="G29" s="194" t="s">
        <v>275</v>
      </c>
      <c r="H29" s="195">
        <v>5000.0</v>
      </c>
      <c r="I29" s="180"/>
      <c r="J29" s="180"/>
      <c r="K29" s="180"/>
      <c r="L29" s="180"/>
      <c r="M29" s="180"/>
      <c r="N29" s="181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ht="11.25" customHeight="1">
      <c r="A30" s="179"/>
      <c r="B30" s="180"/>
      <c r="C30" s="181"/>
      <c r="D30" s="180"/>
      <c r="E30" s="180"/>
      <c r="F30" s="191"/>
      <c r="G30" s="194"/>
      <c r="H30" s="195"/>
      <c r="I30" s="180"/>
      <c r="J30" s="180"/>
      <c r="K30" s="180"/>
      <c r="L30" s="180"/>
      <c r="M30" s="180"/>
      <c r="N30" s="181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ht="11.25" customHeight="1">
      <c r="A31" s="179"/>
      <c r="B31" s="180"/>
      <c r="C31" s="181"/>
      <c r="D31" s="180"/>
      <c r="E31" s="180"/>
      <c r="F31" s="191"/>
      <c r="G31" s="193">
        <v>46079.0</v>
      </c>
      <c r="H31" s="195"/>
      <c r="I31" s="180"/>
      <c r="J31" s="180"/>
      <c r="K31" s="180"/>
      <c r="L31" s="180"/>
      <c r="M31" s="180"/>
      <c r="N31" s="181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ht="11.25" customHeight="1">
      <c r="A32" s="179">
        <v>1635.0</v>
      </c>
      <c r="B32" s="180"/>
      <c r="C32" s="181"/>
      <c r="D32" s="180"/>
      <c r="E32" s="180"/>
      <c r="F32" s="191">
        <v>675.0</v>
      </c>
      <c r="G32" s="194" t="s">
        <v>217</v>
      </c>
      <c r="H32" s="195">
        <v>14050.0</v>
      </c>
      <c r="I32" s="180"/>
      <c r="J32" s="180"/>
      <c r="K32" s="180"/>
      <c r="L32" s="180"/>
      <c r="M32" s="180"/>
      <c r="N32" s="181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ht="11.25" customHeight="1">
      <c r="A33" s="179">
        <v>1636.0</v>
      </c>
      <c r="B33" s="180"/>
      <c r="C33" s="181"/>
      <c r="D33" s="180"/>
      <c r="E33" s="180"/>
      <c r="F33" s="191">
        <v>676.0</v>
      </c>
      <c r="G33" s="194" t="s">
        <v>275</v>
      </c>
      <c r="H33" s="195">
        <v>5000.0</v>
      </c>
      <c r="I33" s="180"/>
      <c r="J33" s="180"/>
      <c r="K33" s="180"/>
      <c r="L33" s="180"/>
      <c r="M33" s="180"/>
      <c r="N33" s="181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ht="11.25" customHeight="1">
      <c r="A34" s="179">
        <v>1637.0</v>
      </c>
      <c r="B34" s="180"/>
      <c r="C34" s="181"/>
      <c r="D34" s="180"/>
      <c r="E34" s="180"/>
      <c r="F34" s="191">
        <v>677.0</v>
      </c>
      <c r="G34" s="194" t="s">
        <v>282</v>
      </c>
      <c r="H34" s="195">
        <v>5000.0</v>
      </c>
      <c r="I34" s="180"/>
      <c r="J34" s="180"/>
      <c r="K34" s="180"/>
      <c r="L34" s="180"/>
      <c r="M34" s="180"/>
      <c r="N34" s="181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ht="11.25" customHeight="1">
      <c r="A35" s="179"/>
      <c r="B35" s="180"/>
      <c r="C35" s="181"/>
      <c r="D35" s="180"/>
      <c r="E35" s="180"/>
      <c r="F35" s="191"/>
      <c r="G35" s="194" t="s">
        <v>283</v>
      </c>
      <c r="H35" s="195"/>
      <c r="I35" s="180"/>
      <c r="J35" s="180"/>
      <c r="K35" s="180"/>
      <c r="L35" s="180"/>
      <c r="M35" s="180"/>
      <c r="N35" s="181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ht="11.25" customHeight="1">
      <c r="A36" s="179"/>
      <c r="B36" s="180"/>
      <c r="C36" s="181"/>
      <c r="D36" s="180"/>
      <c r="E36" s="180"/>
      <c r="F36" s="191"/>
      <c r="G36" s="198">
        <v>46083.0</v>
      </c>
      <c r="H36" s="195"/>
      <c r="I36" s="180"/>
      <c r="J36" s="180"/>
      <c r="K36" s="180"/>
      <c r="L36" s="180"/>
      <c r="M36" s="180"/>
      <c r="N36" s="181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ht="11.25" customHeight="1">
      <c r="A37" s="179"/>
      <c r="B37" s="180"/>
      <c r="C37" s="181"/>
      <c r="D37" s="180"/>
      <c r="E37" s="180"/>
      <c r="F37" s="191">
        <v>682.0</v>
      </c>
      <c r="G37" s="194" t="s">
        <v>242</v>
      </c>
      <c r="H37" s="195">
        <v>17982.0</v>
      </c>
      <c r="I37" s="180"/>
      <c r="J37" s="180"/>
      <c r="K37" s="180"/>
      <c r="L37" s="180"/>
      <c r="M37" s="180"/>
      <c r="N37" s="181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ht="11.25" customHeight="1">
      <c r="A38" s="179"/>
      <c r="B38" s="180"/>
      <c r="C38" s="181"/>
      <c r="D38" s="180"/>
      <c r="E38" s="180"/>
      <c r="F38" s="191"/>
      <c r="G38" s="194"/>
      <c r="H38" s="195"/>
      <c r="I38" s="180"/>
      <c r="J38" s="180"/>
      <c r="K38" s="180"/>
      <c r="L38" s="180"/>
      <c r="M38" s="180"/>
      <c r="N38" s="181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ht="11.25" customHeight="1">
      <c r="A39" s="179"/>
      <c r="B39" s="180"/>
      <c r="C39" s="181"/>
      <c r="D39" s="180"/>
      <c r="E39" s="180"/>
      <c r="F39" s="191"/>
      <c r="G39" s="193">
        <v>46085.0</v>
      </c>
      <c r="H39" s="195"/>
      <c r="I39" s="180"/>
      <c r="J39" s="180"/>
      <c r="K39" s="180"/>
      <c r="L39" s="180"/>
      <c r="M39" s="180"/>
      <c r="N39" s="181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ht="11.25" customHeight="1">
      <c r="A40" s="179">
        <v>1638.0</v>
      </c>
      <c r="B40" s="180"/>
      <c r="C40" s="181"/>
      <c r="D40" s="180"/>
      <c r="E40" s="180"/>
      <c r="F40" s="191">
        <v>678.0</v>
      </c>
      <c r="G40" s="194" t="s">
        <v>242</v>
      </c>
      <c r="H40" s="195">
        <v>5328.0</v>
      </c>
      <c r="I40" s="180"/>
      <c r="J40" s="180"/>
      <c r="K40" s="180"/>
      <c r="L40" s="180"/>
      <c r="M40" s="180"/>
      <c r="N40" s="181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ht="11.25" customHeight="1">
      <c r="A41" s="179"/>
      <c r="B41" s="200" t="s">
        <v>284</v>
      </c>
      <c r="C41" s="181"/>
      <c r="D41" s="180"/>
      <c r="E41" s="180"/>
      <c r="F41" s="201"/>
      <c r="I41" s="180"/>
      <c r="J41" s="180"/>
      <c r="K41" s="180"/>
      <c r="L41" s="180"/>
      <c r="M41" s="180"/>
      <c r="N41" s="181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ht="11.25" customHeight="1">
      <c r="A42" s="179">
        <v>1639.0</v>
      </c>
      <c r="B42" s="180" t="s">
        <v>220</v>
      </c>
      <c r="C42" s="181">
        <v>1800.0</v>
      </c>
      <c r="D42" s="180"/>
      <c r="E42" s="180"/>
      <c r="F42" s="179"/>
      <c r="G42" s="193">
        <v>46086.0</v>
      </c>
      <c r="H42" s="183"/>
      <c r="I42" s="180"/>
      <c r="J42" s="180"/>
      <c r="K42" s="180"/>
      <c r="L42" s="180"/>
      <c r="M42" s="180"/>
      <c r="N42" s="181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ht="11.25" customHeight="1">
      <c r="A43" s="179">
        <v>1640.0</v>
      </c>
      <c r="B43" s="180" t="s">
        <v>220</v>
      </c>
      <c r="C43" s="181">
        <v>2800.0</v>
      </c>
      <c r="D43" s="180"/>
      <c r="E43" s="180"/>
      <c r="F43" s="191">
        <v>679.0</v>
      </c>
      <c r="G43" s="194" t="s">
        <v>217</v>
      </c>
      <c r="H43" s="195">
        <v>18000.0</v>
      </c>
      <c r="I43" s="180"/>
      <c r="J43" s="180"/>
      <c r="K43" s="180"/>
      <c r="L43" s="180"/>
      <c r="M43" s="180"/>
      <c r="N43" s="181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ht="11.25" customHeight="1">
      <c r="A44" s="179"/>
      <c r="B44" s="180"/>
      <c r="C44" s="181"/>
      <c r="D44" s="180"/>
      <c r="E44" s="180"/>
      <c r="F44" s="191">
        <v>680.0</v>
      </c>
      <c r="G44" s="194" t="s">
        <v>277</v>
      </c>
      <c r="H44" s="195">
        <v>18500.0</v>
      </c>
      <c r="I44" s="180"/>
      <c r="J44" s="180"/>
      <c r="K44" s="180"/>
      <c r="L44" s="180"/>
      <c r="M44" s="180"/>
      <c r="N44" s="181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ht="11.25" customHeight="1">
      <c r="A45" s="179"/>
      <c r="B45" s="204">
        <v>46058.0</v>
      </c>
      <c r="C45" s="181"/>
      <c r="D45" s="180"/>
      <c r="E45" s="180"/>
      <c r="F45" s="205">
        <v>681.0</v>
      </c>
      <c r="G45" s="151" t="s">
        <v>255</v>
      </c>
      <c r="H45" s="151">
        <v>1500.0</v>
      </c>
      <c r="I45" s="180"/>
      <c r="J45" s="180"/>
      <c r="K45" s="180"/>
      <c r="L45" s="180"/>
      <c r="M45" s="180"/>
      <c r="N45" s="181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ht="11.25" customHeight="1">
      <c r="A46" s="206">
        <v>1641.0</v>
      </c>
      <c r="B46" s="207" t="s">
        <v>220</v>
      </c>
      <c r="C46" s="208">
        <v>3800.0</v>
      </c>
      <c r="D46" s="180"/>
      <c r="E46" s="180"/>
      <c r="F46" s="205">
        <v>683.0</v>
      </c>
      <c r="G46" s="151" t="s">
        <v>242</v>
      </c>
      <c r="H46" s="151">
        <v>3964.88</v>
      </c>
      <c r="I46" s="180"/>
      <c r="J46" s="180"/>
      <c r="K46" s="180"/>
      <c r="L46" s="180"/>
      <c r="M46" s="180"/>
      <c r="N46" s="181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ht="11.25" customHeight="1">
      <c r="A47" s="206">
        <v>1642.0</v>
      </c>
      <c r="B47" s="207" t="s">
        <v>220</v>
      </c>
      <c r="C47" s="208">
        <v>3900.0</v>
      </c>
      <c r="D47" s="180"/>
      <c r="E47" s="180"/>
      <c r="F47" s="179"/>
      <c r="G47" s="182"/>
      <c r="H47" s="183"/>
      <c r="I47" s="180"/>
      <c r="J47" s="180"/>
      <c r="K47" s="180"/>
      <c r="L47" s="180"/>
      <c r="M47" s="180"/>
      <c r="N47" s="181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ht="11.25" customHeight="1">
      <c r="A48" s="206">
        <v>1643.0</v>
      </c>
      <c r="B48" s="207" t="s">
        <v>214</v>
      </c>
      <c r="C48" s="208">
        <v>8000.0</v>
      </c>
      <c r="D48" s="180"/>
      <c r="E48" s="180"/>
      <c r="F48" s="179"/>
      <c r="G48" s="193">
        <v>46093.0</v>
      </c>
      <c r="H48" s="183"/>
      <c r="I48" s="180"/>
      <c r="J48" s="180"/>
      <c r="K48" s="180"/>
      <c r="L48" s="180"/>
      <c r="M48" s="180"/>
      <c r="N48" s="181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ht="11.25" customHeight="1">
      <c r="A49" s="206">
        <v>1644.0</v>
      </c>
      <c r="B49" s="207" t="s">
        <v>216</v>
      </c>
      <c r="C49" s="208">
        <v>4400.0</v>
      </c>
      <c r="D49" s="180"/>
      <c r="E49" s="180"/>
      <c r="F49" s="191">
        <v>684.0</v>
      </c>
      <c r="G49" s="194" t="s">
        <v>217</v>
      </c>
      <c r="H49" s="195">
        <v>20000.0</v>
      </c>
      <c r="I49" s="180"/>
      <c r="J49" s="180"/>
      <c r="K49" s="180"/>
      <c r="L49" s="180"/>
      <c r="M49" s="180"/>
      <c r="N49" s="181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ht="11.25" customHeight="1">
      <c r="A50" s="206">
        <v>1645.0</v>
      </c>
      <c r="B50" s="207" t="s">
        <v>218</v>
      </c>
      <c r="C50" s="208">
        <v>2500.0</v>
      </c>
      <c r="D50" s="180"/>
      <c r="E50" s="180"/>
      <c r="F50" s="191">
        <v>685.0</v>
      </c>
      <c r="G50" s="194" t="s">
        <v>214</v>
      </c>
      <c r="H50" s="195">
        <v>17400.0</v>
      </c>
      <c r="I50" s="180"/>
      <c r="J50" s="180"/>
      <c r="K50" s="180"/>
      <c r="L50" s="180"/>
      <c r="M50" s="180"/>
      <c r="N50" s="181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ht="11.25" customHeight="1">
      <c r="A51" s="179"/>
      <c r="B51" s="180"/>
      <c r="C51" s="181"/>
      <c r="D51" s="180"/>
      <c r="E51" s="180"/>
      <c r="F51" s="191">
        <v>686.0</v>
      </c>
      <c r="G51" s="194" t="s">
        <v>275</v>
      </c>
      <c r="H51" s="195">
        <v>5000.0</v>
      </c>
      <c r="I51" s="180"/>
      <c r="J51" s="180"/>
      <c r="K51" s="180"/>
      <c r="L51" s="180"/>
      <c r="M51" s="180"/>
      <c r="N51" s="181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ht="11.25" customHeight="1">
      <c r="A52" s="179"/>
      <c r="B52" s="180"/>
      <c r="C52" s="181"/>
      <c r="D52" s="180"/>
      <c r="E52" s="180"/>
      <c r="F52" s="191"/>
      <c r="G52" s="194"/>
      <c r="H52" s="195"/>
      <c r="I52" s="180"/>
      <c r="J52" s="180"/>
      <c r="K52" s="180"/>
      <c r="L52" s="180"/>
      <c r="M52" s="180"/>
      <c r="N52" s="181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ht="11.25" customHeight="1">
      <c r="A53" s="179"/>
      <c r="B53" s="180"/>
      <c r="C53" s="181"/>
      <c r="D53" s="180"/>
      <c r="E53" s="180"/>
      <c r="F53" s="191"/>
      <c r="G53" s="193">
        <v>46100.0</v>
      </c>
      <c r="H53" s="195"/>
      <c r="I53" s="180"/>
      <c r="J53" s="180"/>
      <c r="K53" s="180"/>
      <c r="L53" s="180"/>
      <c r="M53" s="180"/>
      <c r="N53" s="181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ht="11.25" customHeight="1">
      <c r="A54" s="179"/>
      <c r="B54" s="211">
        <v>46065.0</v>
      </c>
      <c r="C54" s="181"/>
      <c r="D54" s="180"/>
      <c r="E54" s="180"/>
      <c r="F54" s="191">
        <v>687.0</v>
      </c>
      <c r="G54" s="194" t="s">
        <v>217</v>
      </c>
      <c r="H54" s="195">
        <v>16700.0</v>
      </c>
      <c r="I54" s="180"/>
      <c r="J54" s="180"/>
      <c r="K54" s="180"/>
      <c r="L54" s="180"/>
      <c r="M54" s="180"/>
      <c r="N54" s="181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ht="11.25" customHeight="1">
      <c r="A55" s="123">
        <v>1701.0</v>
      </c>
      <c r="B55" s="126" t="s">
        <v>216</v>
      </c>
      <c r="C55" s="208">
        <v>6150.0</v>
      </c>
      <c r="D55" s="180"/>
      <c r="E55" s="180"/>
      <c r="F55" s="191">
        <v>688.0</v>
      </c>
      <c r="G55" s="194" t="s">
        <v>214</v>
      </c>
      <c r="H55" s="195">
        <v>25173.21</v>
      </c>
      <c r="I55" s="180"/>
      <c r="J55" s="180"/>
      <c r="K55" s="180"/>
      <c r="L55" s="180"/>
      <c r="M55" s="180"/>
      <c r="N55" s="181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ht="11.25" customHeight="1">
      <c r="A56" s="123">
        <v>1702.0</v>
      </c>
      <c r="B56" s="126" t="s">
        <v>218</v>
      </c>
      <c r="C56" s="208">
        <v>8090.0</v>
      </c>
      <c r="D56" s="180"/>
      <c r="E56" s="180"/>
      <c r="F56" s="191">
        <v>689.0</v>
      </c>
      <c r="G56" s="194" t="s">
        <v>275</v>
      </c>
      <c r="H56" s="195">
        <v>5000.0</v>
      </c>
      <c r="I56" s="180"/>
      <c r="J56" s="180"/>
      <c r="K56" s="180"/>
      <c r="L56" s="180"/>
      <c r="M56" s="180"/>
      <c r="N56" s="181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ht="11.25" customHeight="1">
      <c r="A57" s="123">
        <v>1703.0</v>
      </c>
      <c r="B57" s="126" t="s">
        <v>223</v>
      </c>
      <c r="C57" s="208">
        <v>1900.0</v>
      </c>
      <c r="D57" s="180"/>
      <c r="E57" s="180"/>
      <c r="F57" s="191">
        <v>690.0</v>
      </c>
      <c r="G57" s="194" t="s">
        <v>223</v>
      </c>
      <c r="H57" s="195">
        <v>5000.0</v>
      </c>
      <c r="I57" s="180"/>
      <c r="J57" s="180"/>
      <c r="K57" s="180"/>
      <c r="L57" s="180"/>
      <c r="M57" s="180"/>
      <c r="N57" s="181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ht="11.25" customHeight="1">
      <c r="A58" s="179"/>
      <c r="B58" s="180"/>
      <c r="C58" s="181"/>
      <c r="D58" s="180"/>
      <c r="E58" s="180"/>
      <c r="F58" s="179"/>
      <c r="G58" s="182"/>
      <c r="H58" s="183"/>
      <c r="I58" s="180"/>
      <c r="J58" s="180"/>
      <c r="K58" s="180"/>
      <c r="L58" s="180"/>
      <c r="M58" s="180"/>
      <c r="N58" s="181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ht="11.25" customHeight="1">
      <c r="A59" s="179"/>
      <c r="B59" s="211">
        <v>46066.0</v>
      </c>
      <c r="C59" s="181"/>
      <c r="D59" s="180"/>
      <c r="E59" s="180"/>
      <c r="F59" s="179"/>
      <c r="G59" s="212">
        <v>46107.0</v>
      </c>
      <c r="H59" s="183"/>
      <c r="I59" s="180"/>
      <c r="J59" s="180"/>
      <c r="K59" s="180"/>
      <c r="L59" s="180"/>
      <c r="M59" s="180"/>
      <c r="N59" s="181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ht="11.25" customHeight="1">
      <c r="A60" s="123">
        <v>1704.0</v>
      </c>
      <c r="B60" s="126" t="s">
        <v>220</v>
      </c>
      <c r="C60" s="208">
        <v>6150.0</v>
      </c>
      <c r="D60" s="180"/>
      <c r="E60" s="180"/>
      <c r="F60" s="191">
        <v>691.0</v>
      </c>
      <c r="G60" s="194" t="s">
        <v>288</v>
      </c>
      <c r="H60" s="183"/>
      <c r="I60" s="180"/>
      <c r="J60" s="180"/>
      <c r="K60" s="180"/>
      <c r="L60" s="180"/>
      <c r="M60" s="180"/>
      <c r="N60" s="181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ht="11.25" customHeight="1">
      <c r="A61" s="151">
        <v>1705.0</v>
      </c>
      <c r="B61" s="126" t="s">
        <v>216</v>
      </c>
      <c r="C61" s="208">
        <v>8090.0</v>
      </c>
      <c r="D61" s="180"/>
      <c r="E61" s="180"/>
      <c r="F61" s="191">
        <v>692.0</v>
      </c>
      <c r="G61" s="194" t="s">
        <v>217</v>
      </c>
      <c r="H61" s="195">
        <v>10000.0</v>
      </c>
      <c r="I61" s="180"/>
      <c r="J61" s="180"/>
      <c r="K61" s="180"/>
      <c r="L61" s="180"/>
      <c r="M61" s="180"/>
      <c r="N61" s="181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ht="11.25" customHeight="1">
      <c r="A62" s="123">
        <v>1706.0</v>
      </c>
      <c r="B62" s="126" t="s">
        <v>214</v>
      </c>
      <c r="C62" s="208">
        <v>1900.0</v>
      </c>
      <c r="D62" s="180"/>
      <c r="E62" s="180"/>
      <c r="F62" s="191">
        <v>693.0</v>
      </c>
      <c r="G62" s="194" t="s">
        <v>214</v>
      </c>
      <c r="H62" s="195">
        <v>6400.0</v>
      </c>
      <c r="I62" s="180"/>
      <c r="J62" s="180"/>
      <c r="K62" s="180"/>
      <c r="L62" s="180"/>
      <c r="M62" s="180"/>
      <c r="N62" s="181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ht="11.25" customHeight="1">
      <c r="A63" s="151">
        <v>1707.0</v>
      </c>
      <c r="B63" s="126" t="s">
        <v>220</v>
      </c>
      <c r="C63" s="208">
        <v>760.0</v>
      </c>
      <c r="D63" s="180"/>
      <c r="E63" s="180"/>
      <c r="F63" s="191">
        <v>694.0</v>
      </c>
      <c r="G63" s="194" t="s">
        <v>218</v>
      </c>
      <c r="H63" s="195">
        <v>5000.0</v>
      </c>
      <c r="I63" s="180"/>
      <c r="J63" s="180"/>
      <c r="K63" s="180"/>
      <c r="L63" s="180"/>
      <c r="M63" s="180"/>
      <c r="N63" s="181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ht="11.25" customHeight="1">
      <c r="A64" s="123">
        <v>1708.0</v>
      </c>
      <c r="B64" s="126" t="s">
        <v>220</v>
      </c>
      <c r="C64" s="208">
        <v>5000.0</v>
      </c>
      <c r="D64" s="180"/>
      <c r="E64" s="180"/>
      <c r="F64" s="191">
        <v>695.0</v>
      </c>
      <c r="G64" s="194" t="s">
        <v>223</v>
      </c>
      <c r="H64" s="195">
        <v>5000.0</v>
      </c>
      <c r="I64" s="180"/>
      <c r="J64" s="180"/>
      <c r="K64" s="180"/>
      <c r="L64" s="180"/>
      <c r="M64" s="180"/>
      <c r="N64" s="181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ht="11.25" customHeight="1">
      <c r="A65" s="151">
        <v>1709.0</v>
      </c>
      <c r="B65" s="126" t="s">
        <v>217</v>
      </c>
      <c r="C65" s="208">
        <v>8500.0</v>
      </c>
      <c r="D65" s="180"/>
      <c r="E65" s="180"/>
      <c r="F65" s="191"/>
      <c r="G65" s="182"/>
      <c r="H65" s="183"/>
      <c r="I65" s="180"/>
      <c r="J65" s="180"/>
      <c r="K65" s="180"/>
      <c r="L65" s="180"/>
      <c r="M65" s="180"/>
      <c r="N65" s="181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ht="11.25" customHeight="1">
      <c r="A66" s="123">
        <v>1710.0</v>
      </c>
      <c r="B66" s="126" t="s">
        <v>222</v>
      </c>
      <c r="C66" s="208">
        <v>2660.0</v>
      </c>
      <c r="D66" s="180"/>
      <c r="E66" s="180"/>
      <c r="F66" s="191"/>
      <c r="G66" s="212">
        <v>46113.0</v>
      </c>
      <c r="H66" s="183"/>
      <c r="I66" s="180"/>
      <c r="J66" s="180"/>
      <c r="K66" s="180"/>
      <c r="L66" s="180"/>
      <c r="M66" s="180"/>
      <c r="N66" s="181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ht="11.25" customHeight="1">
      <c r="A67" s="123">
        <v>1711.0</v>
      </c>
      <c r="B67" s="126" t="s">
        <v>217</v>
      </c>
      <c r="C67" s="208">
        <v>4650.0</v>
      </c>
      <c r="D67" s="180"/>
      <c r="E67" s="180"/>
      <c r="F67" s="191">
        <v>696.0</v>
      </c>
      <c r="G67" s="194" t="s">
        <v>217</v>
      </c>
      <c r="H67" s="195">
        <v>10000.0</v>
      </c>
      <c r="I67" s="180"/>
      <c r="J67" s="180"/>
      <c r="K67" s="180"/>
      <c r="L67" s="180"/>
      <c r="M67" s="180"/>
      <c r="N67" s="181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ht="11.25" customHeight="1">
      <c r="A68" s="123">
        <v>1712.0</v>
      </c>
      <c r="B68" s="126" t="s">
        <v>216</v>
      </c>
      <c r="C68" s="208">
        <v>8300.0</v>
      </c>
      <c r="D68" s="180"/>
      <c r="E68" s="180"/>
      <c r="F68" s="179"/>
      <c r="G68" s="182"/>
      <c r="H68" s="183"/>
      <c r="I68" s="180"/>
      <c r="J68" s="180"/>
      <c r="K68" s="180"/>
      <c r="L68" s="180"/>
      <c r="M68" s="180"/>
      <c r="N68" s="181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ht="11.25" customHeight="1">
      <c r="A69" s="123">
        <v>1713.0</v>
      </c>
      <c r="B69" s="126" t="s">
        <v>220</v>
      </c>
      <c r="C69" s="208">
        <v>5600.0</v>
      </c>
      <c r="D69" s="180"/>
      <c r="E69" s="180"/>
      <c r="G69" s="213">
        <v>46120.0</v>
      </c>
      <c r="I69" s="180"/>
      <c r="J69" s="180"/>
      <c r="K69" s="180"/>
      <c r="L69" s="180"/>
      <c r="M69" s="180"/>
      <c r="N69" s="181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ht="11.25" customHeight="1">
      <c r="A70" s="123"/>
      <c r="B70" s="126"/>
      <c r="C70" s="181"/>
      <c r="D70" s="180"/>
      <c r="E70" s="180"/>
      <c r="F70" s="205">
        <v>700.0</v>
      </c>
      <c r="G70" s="151" t="s">
        <v>212</v>
      </c>
      <c r="H70" s="151">
        <v>37549.97</v>
      </c>
      <c r="I70" s="180"/>
      <c r="J70" s="180"/>
      <c r="K70" s="180"/>
      <c r="L70" s="180"/>
      <c r="M70" s="180"/>
      <c r="N70" s="181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ht="11.25" customHeight="1">
      <c r="A71" s="123"/>
      <c r="B71" s="214">
        <v>46072.0</v>
      </c>
      <c r="C71" s="181"/>
      <c r="D71" s="180"/>
      <c r="E71" s="180"/>
      <c r="I71" s="180"/>
      <c r="J71" s="180"/>
      <c r="K71" s="180"/>
      <c r="L71" s="180"/>
      <c r="M71" s="180"/>
      <c r="N71" s="181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ht="11.25" customHeight="1">
      <c r="A72" s="123">
        <v>1714.0</v>
      </c>
      <c r="B72" s="126" t="s">
        <v>240</v>
      </c>
      <c r="C72" s="208">
        <v>4800.0</v>
      </c>
      <c r="D72" s="180"/>
      <c r="E72" s="180"/>
      <c r="I72" s="180"/>
      <c r="J72" s="180"/>
      <c r="K72" s="180"/>
      <c r="L72" s="180"/>
      <c r="M72" s="180"/>
      <c r="N72" s="181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ht="11.25" customHeight="1">
      <c r="A73" s="179"/>
      <c r="B73" s="180"/>
      <c r="C73" s="181"/>
      <c r="D73" s="180"/>
      <c r="E73" s="180"/>
      <c r="F73" s="179"/>
      <c r="G73" s="182"/>
      <c r="H73" s="183"/>
      <c r="I73" s="180"/>
      <c r="J73" s="180"/>
      <c r="K73" s="180"/>
      <c r="L73" s="180"/>
      <c r="M73" s="180"/>
      <c r="N73" s="181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ht="11.25" customHeight="1">
      <c r="A74" s="179"/>
      <c r="B74" s="211">
        <v>46073.0</v>
      </c>
      <c r="C74" s="181"/>
      <c r="D74" s="180"/>
      <c r="E74" s="180"/>
      <c r="F74" s="179"/>
      <c r="G74" s="193">
        <v>46121.0</v>
      </c>
      <c r="H74" s="183"/>
      <c r="I74" s="180"/>
      <c r="J74" s="180"/>
      <c r="K74" s="180"/>
      <c r="L74" s="180"/>
      <c r="M74" s="180"/>
      <c r="N74" s="181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ht="11.25" customHeight="1">
      <c r="A75" s="123">
        <v>1715.0</v>
      </c>
      <c r="B75" s="126" t="s">
        <v>243</v>
      </c>
      <c r="C75" s="208">
        <v>26500.0</v>
      </c>
      <c r="D75" s="180"/>
      <c r="E75" s="180"/>
      <c r="F75" s="191">
        <v>697.0</v>
      </c>
      <c r="G75" s="194" t="s">
        <v>217</v>
      </c>
      <c r="H75" s="195">
        <v>10000.0</v>
      </c>
      <c r="I75" s="180"/>
      <c r="J75" s="180"/>
      <c r="K75" s="180"/>
      <c r="L75" s="180"/>
      <c r="M75" s="180"/>
      <c r="N75" s="181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ht="11.25" customHeight="1">
      <c r="A76" s="123">
        <v>1716.0</v>
      </c>
      <c r="B76" s="126" t="s">
        <v>216</v>
      </c>
      <c r="C76" s="208">
        <v>1800.0</v>
      </c>
      <c r="D76" s="180"/>
      <c r="E76" s="180"/>
      <c r="F76" s="191">
        <v>698.0</v>
      </c>
      <c r="G76" s="194" t="s">
        <v>218</v>
      </c>
      <c r="H76" s="195">
        <v>5000.0</v>
      </c>
      <c r="I76" s="180"/>
      <c r="J76" s="180"/>
      <c r="K76" s="180"/>
      <c r="L76" s="180"/>
      <c r="M76" s="180"/>
      <c r="N76" s="181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ht="11.25" customHeight="1">
      <c r="A77" s="179"/>
      <c r="B77" s="180"/>
      <c r="C77" s="181"/>
      <c r="D77" s="180"/>
      <c r="E77" s="180"/>
      <c r="F77" s="191">
        <v>699.0</v>
      </c>
      <c r="G77" s="194" t="s">
        <v>223</v>
      </c>
      <c r="H77" s="195">
        <v>5000.0</v>
      </c>
      <c r="I77" s="180"/>
      <c r="J77" s="180"/>
      <c r="K77" s="180"/>
      <c r="L77" s="180"/>
      <c r="M77" s="180"/>
      <c r="N77" s="181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ht="11.25" customHeight="1">
      <c r="A78" s="179"/>
      <c r="B78" s="211">
        <v>46077.0</v>
      </c>
      <c r="C78" s="181"/>
      <c r="D78" s="180"/>
      <c r="E78" s="180"/>
      <c r="F78" s="179"/>
      <c r="G78" s="182"/>
      <c r="H78" s="183"/>
      <c r="I78" s="180"/>
      <c r="J78" s="180"/>
      <c r="K78" s="180"/>
      <c r="L78" s="180"/>
      <c r="M78" s="180"/>
      <c r="N78" s="181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ht="11.25" customHeight="1">
      <c r="A79" s="123">
        <v>1717.0</v>
      </c>
      <c r="B79" s="126" t="s">
        <v>220</v>
      </c>
      <c r="C79" s="208">
        <v>2560.0</v>
      </c>
      <c r="D79" s="180"/>
      <c r="E79" s="180"/>
      <c r="F79" s="179"/>
      <c r="G79" s="193">
        <v>46128.0</v>
      </c>
      <c r="H79" s="183"/>
      <c r="I79" s="180"/>
      <c r="J79" s="180"/>
      <c r="K79" s="180"/>
      <c r="L79" s="180"/>
      <c r="M79" s="180"/>
      <c r="N79" s="181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ht="11.25" customHeight="1">
      <c r="A80" s="123">
        <v>1718.0</v>
      </c>
      <c r="B80" s="126" t="s">
        <v>220</v>
      </c>
      <c r="C80" s="208">
        <v>500.0</v>
      </c>
      <c r="D80" s="180"/>
      <c r="E80" s="180"/>
      <c r="F80" s="191">
        <v>701.0</v>
      </c>
      <c r="G80" s="194" t="s">
        <v>217</v>
      </c>
      <c r="H80" s="195">
        <v>25000.0</v>
      </c>
      <c r="I80" s="180"/>
      <c r="J80" s="180"/>
      <c r="K80" s="180"/>
      <c r="L80" s="180"/>
      <c r="M80" s="180"/>
      <c r="N80" s="181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ht="11.25" customHeight="1">
      <c r="A81" s="123">
        <v>1719.0</v>
      </c>
      <c r="B81" s="126" t="s">
        <v>220</v>
      </c>
      <c r="C81" s="208">
        <v>1800.0</v>
      </c>
      <c r="D81" s="180"/>
      <c r="E81" s="180"/>
      <c r="F81" s="191">
        <v>702.0</v>
      </c>
      <c r="G81" s="194" t="s">
        <v>214</v>
      </c>
      <c r="H81" s="195">
        <v>9100.0</v>
      </c>
      <c r="I81" s="180"/>
      <c r="J81" s="180"/>
      <c r="K81" s="180"/>
      <c r="L81" s="180"/>
      <c r="M81" s="180"/>
      <c r="N81" s="181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ht="11.25" customHeight="1">
      <c r="A82" s="179"/>
      <c r="B82" s="180"/>
      <c r="C82" s="181"/>
      <c r="D82" s="180"/>
      <c r="E82" s="180"/>
      <c r="F82" s="191">
        <v>703.0</v>
      </c>
      <c r="G82" s="194" t="s">
        <v>218</v>
      </c>
      <c r="H82" s="195">
        <v>5000.0</v>
      </c>
      <c r="I82" s="180"/>
      <c r="J82" s="180"/>
      <c r="K82" s="180"/>
      <c r="L82" s="180"/>
      <c r="M82" s="180"/>
      <c r="N82" s="181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ht="11.25" customHeight="1">
      <c r="A83" s="179"/>
      <c r="B83" s="211">
        <v>46079.0</v>
      </c>
      <c r="C83" s="181"/>
      <c r="D83" s="180"/>
      <c r="E83" s="180"/>
      <c r="F83" s="191">
        <v>704.0</v>
      </c>
      <c r="G83" s="194" t="s">
        <v>223</v>
      </c>
      <c r="H83" s="195">
        <v>5000.0</v>
      </c>
      <c r="I83" s="180"/>
      <c r="J83" s="180"/>
      <c r="K83" s="180"/>
      <c r="L83" s="180"/>
      <c r="M83" s="180"/>
      <c r="N83" s="181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ht="11.25" customHeight="1">
      <c r="A84" s="123">
        <v>1720.0</v>
      </c>
      <c r="B84" s="126">
        <v>2011.0</v>
      </c>
      <c r="C84" s="208">
        <v>5900.0</v>
      </c>
      <c r="D84" s="180"/>
      <c r="E84" s="180"/>
      <c r="I84" s="180"/>
      <c r="J84" s="180"/>
      <c r="K84" s="180"/>
      <c r="L84" s="180"/>
      <c r="M84" s="180"/>
      <c r="N84" s="181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ht="11.25" customHeight="1">
      <c r="A85" s="123">
        <v>1721.0</v>
      </c>
      <c r="B85" s="126" t="s">
        <v>217</v>
      </c>
      <c r="C85" s="208">
        <v>12100.0</v>
      </c>
      <c r="D85" s="180"/>
      <c r="E85" s="180"/>
      <c r="G85" s="193">
        <v>46135.0</v>
      </c>
      <c r="H85" s="183"/>
      <c r="I85" s="180"/>
      <c r="J85" s="180"/>
      <c r="K85" s="180"/>
      <c r="L85" s="180"/>
      <c r="M85" s="180"/>
      <c r="N85" s="181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ht="11.25" customHeight="1">
      <c r="A86" s="123">
        <v>1722.0</v>
      </c>
      <c r="B86" s="126" t="s">
        <v>216</v>
      </c>
      <c r="C86" s="208">
        <v>9420.0</v>
      </c>
      <c r="D86" s="180"/>
      <c r="E86" s="180"/>
      <c r="F86" s="191">
        <v>705.0</v>
      </c>
      <c r="G86" s="194" t="s">
        <v>217</v>
      </c>
      <c r="H86" s="195">
        <v>20000.0</v>
      </c>
      <c r="I86" s="180"/>
      <c r="J86" s="180"/>
      <c r="K86" s="180"/>
      <c r="L86" s="180"/>
      <c r="M86" s="180"/>
      <c r="N86" s="181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ht="11.25" customHeight="1">
      <c r="A87" s="123">
        <v>1723.0</v>
      </c>
      <c r="B87" s="126" t="s">
        <v>244</v>
      </c>
      <c r="C87" s="208">
        <v>10600.0</v>
      </c>
      <c r="D87" s="180"/>
      <c r="E87" s="180"/>
      <c r="F87" s="191">
        <v>706.0</v>
      </c>
      <c r="G87" s="151" t="s">
        <v>218</v>
      </c>
      <c r="H87" s="195">
        <v>5000.0</v>
      </c>
      <c r="I87" s="180"/>
      <c r="J87" s="180"/>
      <c r="K87" s="180"/>
      <c r="L87" s="180"/>
      <c r="M87" s="180"/>
      <c r="N87" s="181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ht="11.25" customHeight="1">
      <c r="A88" s="123">
        <v>1724.0</v>
      </c>
      <c r="B88" s="126" t="s">
        <v>245</v>
      </c>
      <c r="C88" s="208">
        <v>9600.0</v>
      </c>
      <c r="D88" s="180"/>
      <c r="E88" s="180"/>
      <c r="H88" s="183"/>
      <c r="I88" s="180"/>
      <c r="J88" s="180"/>
      <c r="K88" s="180"/>
      <c r="L88" s="180"/>
      <c r="M88" s="180"/>
      <c r="N88" s="181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ht="11.25" customHeight="1">
      <c r="A89" s="179"/>
      <c r="B89" s="180"/>
      <c r="C89" s="181"/>
      <c r="D89" s="180"/>
      <c r="E89" s="180"/>
      <c r="G89" s="193">
        <v>46139.0</v>
      </c>
      <c r="H89" s="183"/>
      <c r="I89" s="180"/>
      <c r="J89" s="180"/>
      <c r="K89" s="180"/>
      <c r="L89" s="180"/>
      <c r="M89" s="180"/>
      <c r="N89" s="181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ht="11.25" customHeight="1">
      <c r="A90" s="179"/>
      <c r="B90" s="211">
        <v>46080.0</v>
      </c>
      <c r="C90" s="181"/>
      <c r="D90" s="180"/>
      <c r="E90" s="180"/>
      <c r="F90" s="191">
        <v>707.0</v>
      </c>
      <c r="G90" s="194" t="s">
        <v>212</v>
      </c>
      <c r="H90" s="195">
        <v>43929.29</v>
      </c>
      <c r="I90" s="180"/>
      <c r="J90" s="180"/>
      <c r="K90" s="180"/>
      <c r="L90" s="180"/>
      <c r="M90" s="180"/>
      <c r="N90" s="181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ht="11.25" customHeight="1">
      <c r="A91" s="123">
        <v>1725.0</v>
      </c>
      <c r="B91" s="126" t="s">
        <v>246</v>
      </c>
      <c r="C91" s="208">
        <v>1400.0</v>
      </c>
      <c r="D91" s="180"/>
      <c r="E91" s="180"/>
      <c r="F91" s="191"/>
      <c r="G91" s="182"/>
      <c r="H91" s="183"/>
      <c r="I91" s="180"/>
      <c r="J91" s="180"/>
      <c r="K91" s="180"/>
      <c r="L91" s="180"/>
      <c r="M91" s="180"/>
      <c r="N91" s="181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ht="11.25" customHeight="1">
      <c r="A92" s="123">
        <v>1726.0</v>
      </c>
      <c r="B92" s="126" t="s">
        <v>246</v>
      </c>
      <c r="C92" s="208">
        <v>760.0</v>
      </c>
      <c r="D92" s="180"/>
      <c r="E92" s="180"/>
      <c r="F92" s="179"/>
      <c r="G92" s="193">
        <v>46142.0</v>
      </c>
      <c r="H92" s="183"/>
      <c r="I92" s="180"/>
      <c r="J92" s="180"/>
      <c r="K92" s="180"/>
      <c r="L92" s="180"/>
      <c r="M92" s="180"/>
      <c r="N92" s="181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ht="11.25" customHeight="1">
      <c r="A93" s="123">
        <v>1727.0</v>
      </c>
      <c r="B93" s="126" t="s">
        <v>216</v>
      </c>
      <c r="C93" s="208">
        <v>1400.0</v>
      </c>
      <c r="D93" s="180"/>
      <c r="E93" s="180"/>
      <c r="F93" s="191">
        <v>708.0</v>
      </c>
      <c r="G93" s="194" t="s">
        <v>214</v>
      </c>
      <c r="H93" s="195">
        <v>7900.0</v>
      </c>
      <c r="I93" s="180"/>
      <c r="J93" s="180"/>
      <c r="K93" s="180"/>
      <c r="L93" s="180"/>
      <c r="M93" s="180"/>
      <c r="N93" s="181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ht="11.25" customHeight="1">
      <c r="A94" s="123">
        <v>1728.0</v>
      </c>
      <c r="B94" s="126" t="s">
        <v>247</v>
      </c>
      <c r="C94" s="208">
        <v>760.0</v>
      </c>
      <c r="D94" s="180"/>
      <c r="E94" s="180"/>
      <c r="F94" s="179"/>
      <c r="G94" s="182"/>
      <c r="H94" s="183"/>
      <c r="I94" s="180"/>
      <c r="J94" s="180"/>
      <c r="K94" s="180"/>
      <c r="L94" s="180"/>
      <c r="M94" s="180"/>
      <c r="N94" s="181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ht="11.25" customHeight="1">
      <c r="A95" s="123">
        <v>1729.0</v>
      </c>
      <c r="B95" s="126" t="s">
        <v>246</v>
      </c>
      <c r="C95" s="208">
        <v>1750.0</v>
      </c>
      <c r="D95" s="180"/>
      <c r="E95" s="180"/>
      <c r="F95" s="179"/>
      <c r="G95" s="182"/>
      <c r="H95" s="183"/>
      <c r="I95" s="180"/>
      <c r="J95" s="180"/>
      <c r="K95" s="180"/>
      <c r="L95" s="180"/>
      <c r="M95" s="180"/>
      <c r="N95" s="181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ht="11.25" customHeight="1">
      <c r="A96" s="179"/>
      <c r="B96" s="180"/>
      <c r="C96" s="181"/>
      <c r="D96" s="180"/>
      <c r="E96" s="180"/>
      <c r="F96" s="179"/>
      <c r="G96" s="182"/>
      <c r="H96" s="183"/>
      <c r="I96" s="180"/>
      <c r="J96" s="180"/>
      <c r="K96" s="180"/>
      <c r="L96" s="180"/>
      <c r="M96" s="180"/>
      <c r="N96" s="181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ht="11.25" customHeight="1">
      <c r="A97" s="179"/>
      <c r="B97" s="180"/>
      <c r="C97" s="181"/>
      <c r="D97" s="180"/>
      <c r="E97" s="180"/>
      <c r="F97" s="179"/>
      <c r="G97" s="182"/>
      <c r="H97" s="183"/>
      <c r="I97" s="180"/>
      <c r="J97" s="180"/>
      <c r="K97" s="180"/>
      <c r="L97" s="180"/>
      <c r="M97" s="180"/>
      <c r="N97" s="181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ht="11.25" customHeight="1">
      <c r="A98" s="179"/>
      <c r="B98" s="222">
        <v>46085.0</v>
      </c>
      <c r="C98" s="181"/>
      <c r="D98" s="180"/>
      <c r="E98" s="180"/>
      <c r="F98" s="179"/>
      <c r="G98" s="182"/>
      <c r="H98" s="183"/>
      <c r="I98" s="180"/>
      <c r="J98" s="180"/>
      <c r="K98" s="180"/>
      <c r="L98" s="180"/>
      <c r="M98" s="180"/>
      <c r="N98" s="181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ht="11.25" customHeight="1">
      <c r="A99" s="123">
        <v>1730.0</v>
      </c>
      <c r="B99" s="126" t="s">
        <v>252</v>
      </c>
      <c r="C99" s="208">
        <v>380.0</v>
      </c>
      <c r="D99" s="180"/>
      <c r="E99" s="180"/>
      <c r="F99" s="179"/>
      <c r="G99" s="182"/>
      <c r="H99" s="183"/>
      <c r="I99" s="180"/>
      <c r="J99" s="180"/>
      <c r="K99" s="180"/>
      <c r="L99" s="180"/>
      <c r="M99" s="180"/>
      <c r="N99" s="181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ht="11.25" customHeight="1">
      <c r="A100" s="123">
        <v>1731.0</v>
      </c>
      <c r="B100" s="126" t="s">
        <v>246</v>
      </c>
      <c r="C100" s="208">
        <v>3700.0</v>
      </c>
      <c r="D100" s="180"/>
      <c r="E100" s="180"/>
      <c r="F100" s="179"/>
      <c r="G100" s="182"/>
      <c r="H100" s="183"/>
      <c r="I100" s="180"/>
      <c r="J100" s="180"/>
      <c r="K100" s="180"/>
      <c r="L100" s="180"/>
      <c r="M100" s="180"/>
      <c r="N100" s="181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ht="11.25" customHeight="1">
      <c r="A101" s="123">
        <v>1732.0</v>
      </c>
      <c r="B101" s="126" t="s">
        <v>217</v>
      </c>
      <c r="C101" s="208">
        <v>9400.0</v>
      </c>
      <c r="D101" s="180"/>
      <c r="E101" s="180"/>
      <c r="F101" s="179"/>
      <c r="G101" s="182"/>
      <c r="H101" s="183"/>
      <c r="I101" s="180"/>
      <c r="J101" s="180"/>
      <c r="K101" s="180"/>
      <c r="L101" s="180"/>
      <c r="M101" s="180"/>
      <c r="N101" s="181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ht="11.25" customHeight="1">
      <c r="A102" s="123">
        <v>1733.0</v>
      </c>
      <c r="B102" s="126" t="s">
        <v>246</v>
      </c>
      <c r="C102" s="208">
        <v>1400.0</v>
      </c>
      <c r="D102" s="180"/>
      <c r="E102" s="180"/>
      <c r="F102" s="179"/>
      <c r="G102" s="182"/>
      <c r="H102" s="183"/>
      <c r="I102" s="180"/>
      <c r="J102" s="180"/>
      <c r="K102" s="180"/>
      <c r="L102" s="180"/>
      <c r="M102" s="180"/>
      <c r="N102" s="181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ht="11.25" customHeight="1">
      <c r="A103" s="123">
        <v>1734.0</v>
      </c>
      <c r="B103" s="126" t="s">
        <v>219</v>
      </c>
      <c r="C103" s="208">
        <v>1500.0</v>
      </c>
      <c r="D103" s="180"/>
      <c r="E103" s="180"/>
      <c r="F103" s="179"/>
      <c r="G103" s="182"/>
      <c r="H103" s="183"/>
      <c r="I103" s="180"/>
      <c r="J103" s="180"/>
      <c r="K103" s="180"/>
      <c r="L103" s="180"/>
      <c r="M103" s="180"/>
      <c r="N103" s="181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ht="11.25" customHeight="1">
      <c r="A104" s="160">
        <v>1735.0</v>
      </c>
      <c r="B104" s="161" t="s">
        <v>253</v>
      </c>
      <c r="C104" s="208" t="s">
        <v>296</v>
      </c>
      <c r="D104" s="180"/>
      <c r="E104" s="180"/>
      <c r="F104" s="179"/>
      <c r="G104" s="182"/>
      <c r="H104" s="183"/>
      <c r="I104" s="180"/>
      <c r="J104" s="180"/>
      <c r="K104" s="180"/>
      <c r="L104" s="180"/>
      <c r="M104" s="180"/>
      <c r="N104" s="181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ht="11.25" customHeight="1">
      <c r="A105" s="123"/>
      <c r="B105" s="126"/>
      <c r="C105" s="181"/>
      <c r="D105" s="180"/>
      <c r="E105" s="180"/>
      <c r="F105" s="179"/>
      <c r="G105" s="182"/>
      <c r="H105" s="183"/>
      <c r="I105" s="180"/>
      <c r="J105" s="180"/>
      <c r="K105" s="180"/>
      <c r="L105" s="180"/>
      <c r="M105" s="180"/>
      <c r="N105" s="181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ht="11.25" customHeight="1">
      <c r="A106" s="123"/>
      <c r="B106" s="214">
        <v>46086.0</v>
      </c>
      <c r="C106" s="181"/>
      <c r="D106" s="180"/>
      <c r="E106" s="180"/>
      <c r="F106" s="179"/>
      <c r="G106" s="182"/>
      <c r="H106" s="183"/>
      <c r="I106" s="180"/>
      <c r="J106" s="180"/>
      <c r="K106" s="180"/>
      <c r="L106" s="180"/>
      <c r="M106" s="180"/>
      <c r="N106" s="181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ht="11.25" customHeight="1">
      <c r="A107" s="123">
        <v>1736.0</v>
      </c>
      <c r="B107" s="126" t="s">
        <v>254</v>
      </c>
      <c r="C107" s="208">
        <v>9400.0</v>
      </c>
      <c r="D107" s="180"/>
      <c r="E107" s="180"/>
      <c r="F107" s="179"/>
      <c r="G107" s="182"/>
      <c r="H107" s="183"/>
      <c r="I107" s="180"/>
      <c r="J107" s="180"/>
      <c r="K107" s="180"/>
      <c r="L107" s="180"/>
      <c r="M107" s="180"/>
      <c r="N107" s="181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ht="11.25" customHeight="1">
      <c r="A108" s="123">
        <v>1737.0</v>
      </c>
      <c r="B108" s="126" t="s">
        <v>243</v>
      </c>
      <c r="C108" s="208">
        <v>17900.0</v>
      </c>
      <c r="D108" s="180"/>
      <c r="E108" s="180"/>
      <c r="F108" s="179"/>
      <c r="G108" s="182"/>
      <c r="H108" s="183"/>
      <c r="I108" s="180"/>
      <c r="J108" s="180"/>
      <c r="K108" s="180"/>
      <c r="L108" s="180"/>
      <c r="M108" s="180"/>
      <c r="N108" s="181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ht="11.25" customHeight="1">
      <c r="A109" s="123">
        <v>1738.0</v>
      </c>
      <c r="B109" s="126" t="s">
        <v>254</v>
      </c>
      <c r="C109" s="208">
        <v>1300.0</v>
      </c>
      <c r="D109" s="180"/>
      <c r="E109" s="180"/>
      <c r="F109" s="179"/>
      <c r="G109" s="182"/>
      <c r="H109" s="183"/>
      <c r="I109" s="180"/>
      <c r="J109" s="180"/>
      <c r="K109" s="180"/>
      <c r="L109" s="180"/>
      <c r="M109" s="180"/>
      <c r="N109" s="181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ht="11.25" customHeight="1">
      <c r="A110" s="123">
        <v>1739.0</v>
      </c>
      <c r="B110" s="126" t="s">
        <v>217</v>
      </c>
      <c r="C110" s="208">
        <v>11200.0</v>
      </c>
      <c r="D110" s="180"/>
      <c r="E110" s="180"/>
      <c r="F110" s="179"/>
      <c r="G110" s="182"/>
      <c r="H110" s="183"/>
      <c r="I110" s="180"/>
      <c r="J110" s="180"/>
      <c r="K110" s="180"/>
      <c r="L110" s="180"/>
      <c r="M110" s="180"/>
      <c r="N110" s="181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ht="11.25" customHeight="1">
      <c r="A111" s="123">
        <v>1740.0</v>
      </c>
      <c r="B111" s="126" t="s">
        <v>216</v>
      </c>
      <c r="C111" s="208">
        <v>9490.0</v>
      </c>
      <c r="D111" s="180"/>
      <c r="E111" s="180"/>
      <c r="F111" s="179"/>
      <c r="G111" s="182"/>
      <c r="H111" s="183"/>
      <c r="I111" s="180"/>
      <c r="J111" s="180"/>
      <c r="K111" s="180"/>
      <c r="L111" s="180"/>
      <c r="M111" s="180"/>
      <c r="N111" s="181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ht="11.25" customHeight="1">
      <c r="A112" s="123">
        <v>1741.0</v>
      </c>
      <c r="B112" s="126" t="s">
        <v>255</v>
      </c>
      <c r="C112" s="208">
        <v>1800.0</v>
      </c>
      <c r="D112" s="180"/>
      <c r="E112" s="180"/>
      <c r="F112" s="179"/>
      <c r="G112" s="182"/>
      <c r="H112" s="183"/>
      <c r="I112" s="180"/>
      <c r="J112" s="180"/>
      <c r="K112" s="180"/>
      <c r="L112" s="180"/>
      <c r="M112" s="180"/>
      <c r="N112" s="181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ht="11.25" customHeight="1">
      <c r="A113" s="123">
        <v>1742.0</v>
      </c>
      <c r="B113" s="126" t="s">
        <v>246</v>
      </c>
      <c r="C113" s="208">
        <v>1000.0</v>
      </c>
      <c r="D113" s="180"/>
      <c r="E113" s="180"/>
      <c r="F113" s="179"/>
      <c r="G113" s="182"/>
      <c r="H113" s="183"/>
      <c r="I113" s="180"/>
      <c r="J113" s="180"/>
      <c r="K113" s="180"/>
      <c r="L113" s="180"/>
      <c r="M113" s="180"/>
      <c r="N113" s="181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ht="11.25" customHeight="1">
      <c r="A114" s="123">
        <v>1743.0</v>
      </c>
      <c r="B114" s="126" t="s">
        <v>217</v>
      </c>
      <c r="C114" s="208">
        <v>5200.0</v>
      </c>
      <c r="D114" s="180"/>
      <c r="E114" s="180"/>
      <c r="F114" s="179"/>
      <c r="G114" s="182"/>
      <c r="H114" s="183"/>
      <c r="I114" s="180"/>
      <c r="J114" s="180"/>
      <c r="K114" s="180"/>
      <c r="L114" s="180"/>
      <c r="M114" s="180"/>
      <c r="N114" s="181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ht="11.25" customHeight="1">
      <c r="A115" s="123">
        <v>1744.0</v>
      </c>
      <c r="B115" s="126" t="s">
        <v>216</v>
      </c>
      <c r="C115" s="208">
        <v>2500.0</v>
      </c>
      <c r="D115" s="180"/>
      <c r="E115" s="180"/>
      <c r="F115" s="179"/>
      <c r="G115" s="182"/>
      <c r="H115" s="183"/>
      <c r="I115" s="180"/>
      <c r="J115" s="180"/>
      <c r="K115" s="180"/>
      <c r="L115" s="180"/>
      <c r="M115" s="180"/>
      <c r="N115" s="181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ht="11.25" customHeight="1">
      <c r="A116" s="123">
        <v>1745.0</v>
      </c>
      <c r="B116" s="126" t="s">
        <v>246</v>
      </c>
      <c r="C116" s="208">
        <v>8500.0</v>
      </c>
      <c r="D116" s="180"/>
      <c r="E116" s="180"/>
      <c r="F116" s="179"/>
      <c r="G116" s="182"/>
      <c r="H116" s="183"/>
      <c r="I116" s="180"/>
      <c r="J116" s="180"/>
      <c r="K116" s="180"/>
      <c r="L116" s="180"/>
      <c r="M116" s="180"/>
      <c r="N116" s="181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ht="11.25" customHeight="1">
      <c r="A117" s="123">
        <v>1746.0</v>
      </c>
      <c r="B117" s="126" t="s">
        <v>246</v>
      </c>
      <c r="C117" s="227">
        <v>3800.0</v>
      </c>
      <c r="D117" s="180"/>
      <c r="E117" s="180"/>
      <c r="F117" s="179"/>
      <c r="G117" s="182"/>
      <c r="H117" s="183"/>
      <c r="I117" s="180"/>
      <c r="J117" s="180"/>
      <c r="K117" s="180"/>
      <c r="L117" s="180"/>
      <c r="M117" s="180"/>
      <c r="N117" s="181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ht="11.25" customHeight="1">
      <c r="A118" s="123">
        <v>1747.0</v>
      </c>
      <c r="B118" s="126" t="s">
        <v>216</v>
      </c>
      <c r="C118" s="208">
        <v>2500.0</v>
      </c>
      <c r="D118" s="180"/>
      <c r="E118" s="180"/>
      <c r="F118" s="179"/>
      <c r="G118" s="182"/>
      <c r="H118" s="183"/>
      <c r="I118" s="180"/>
      <c r="J118" s="180"/>
      <c r="K118" s="180"/>
      <c r="L118" s="180"/>
      <c r="M118" s="180"/>
      <c r="N118" s="181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ht="11.25" customHeight="1">
      <c r="A119" s="123">
        <v>1748.0</v>
      </c>
      <c r="B119" s="126" t="s">
        <v>246</v>
      </c>
      <c r="C119" s="208">
        <v>1520.0</v>
      </c>
      <c r="D119" s="180"/>
      <c r="E119" s="180"/>
      <c r="F119" s="179"/>
      <c r="G119" s="182"/>
      <c r="H119" s="183"/>
      <c r="I119" s="180"/>
      <c r="J119" s="180"/>
      <c r="K119" s="180"/>
      <c r="L119" s="180"/>
      <c r="M119" s="180"/>
      <c r="N119" s="181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ht="11.25" customHeight="1">
      <c r="A120" s="123">
        <v>1749.0</v>
      </c>
      <c r="B120" s="126" t="s">
        <v>246</v>
      </c>
      <c r="C120" s="208">
        <v>4200.0</v>
      </c>
      <c r="D120" s="180"/>
      <c r="E120" s="180"/>
      <c r="F120" s="179"/>
      <c r="G120" s="182"/>
      <c r="H120" s="183"/>
      <c r="I120" s="180"/>
      <c r="J120" s="180"/>
      <c r="K120" s="180"/>
      <c r="L120" s="180"/>
      <c r="M120" s="180"/>
      <c r="N120" s="181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ht="11.25" customHeight="1">
      <c r="A121" s="156">
        <v>1750.0</v>
      </c>
      <c r="B121" s="126">
        <v>2011.0</v>
      </c>
      <c r="C121" s="208">
        <v>5900.0</v>
      </c>
      <c r="D121" s="180"/>
      <c r="E121" s="180"/>
      <c r="F121" s="179"/>
      <c r="G121" s="182"/>
      <c r="H121" s="183"/>
      <c r="I121" s="180"/>
      <c r="J121" s="180"/>
      <c r="K121" s="180"/>
      <c r="L121" s="180"/>
      <c r="M121" s="180"/>
      <c r="N121" s="181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ht="11.25" customHeight="1">
      <c r="A122" s="123">
        <v>1560.0</v>
      </c>
      <c r="B122" s="126" t="s">
        <v>217</v>
      </c>
      <c r="C122" s="208">
        <v>15600.0</v>
      </c>
      <c r="D122" s="180"/>
      <c r="E122" s="180"/>
      <c r="F122" s="179"/>
      <c r="G122" s="182"/>
      <c r="H122" s="183"/>
      <c r="I122" s="180"/>
      <c r="J122" s="180"/>
      <c r="K122" s="180"/>
      <c r="L122" s="180"/>
      <c r="M122" s="180"/>
      <c r="N122" s="181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ht="11.25" customHeight="1">
      <c r="A123" s="123">
        <v>1561.0</v>
      </c>
      <c r="B123" s="126" t="s">
        <v>216</v>
      </c>
      <c r="C123" s="208">
        <v>8000.0</v>
      </c>
      <c r="D123" s="180"/>
      <c r="E123" s="180"/>
      <c r="F123" s="179"/>
      <c r="G123" s="182"/>
      <c r="H123" s="183"/>
      <c r="I123" s="180"/>
      <c r="J123" s="180"/>
      <c r="K123" s="180"/>
      <c r="L123" s="180"/>
      <c r="M123" s="180"/>
      <c r="N123" s="181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ht="11.25" customHeight="1">
      <c r="A124" s="123">
        <v>1562.0</v>
      </c>
      <c r="B124" s="126" t="s">
        <v>214</v>
      </c>
      <c r="C124" s="227">
        <v>9200.0</v>
      </c>
      <c r="D124" s="180"/>
      <c r="E124" s="180"/>
      <c r="F124" s="179"/>
      <c r="G124" s="182"/>
      <c r="H124" s="183"/>
      <c r="I124" s="180"/>
      <c r="J124" s="180"/>
      <c r="K124" s="180"/>
      <c r="L124" s="180"/>
      <c r="M124" s="180"/>
      <c r="N124" s="181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ht="11.25" customHeight="1">
      <c r="A125" s="123">
        <v>1563.0</v>
      </c>
      <c r="B125" s="126" t="s">
        <v>214</v>
      </c>
      <c r="C125" s="227">
        <v>16200.0</v>
      </c>
      <c r="D125" s="180"/>
      <c r="E125" s="180"/>
      <c r="F125" s="179"/>
      <c r="G125" s="182"/>
      <c r="H125" s="183"/>
      <c r="I125" s="180"/>
      <c r="J125" s="180"/>
      <c r="K125" s="180"/>
      <c r="L125" s="180"/>
      <c r="M125" s="180"/>
      <c r="N125" s="181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ht="11.25" customHeight="1">
      <c r="A126" s="123">
        <v>1564.0</v>
      </c>
      <c r="B126" s="126" t="s">
        <v>244</v>
      </c>
      <c r="C126" s="208">
        <v>9950.0</v>
      </c>
      <c r="D126" s="180"/>
      <c r="E126" s="180"/>
      <c r="F126" s="179"/>
      <c r="G126" s="182"/>
      <c r="H126" s="183"/>
      <c r="I126" s="180"/>
      <c r="J126" s="180"/>
      <c r="K126" s="180"/>
      <c r="L126" s="180"/>
      <c r="M126" s="180"/>
      <c r="N126" s="181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ht="11.25" customHeight="1">
      <c r="A127" s="123">
        <v>1565.0</v>
      </c>
      <c r="B127" s="126" t="s">
        <v>223</v>
      </c>
      <c r="C127" s="208">
        <v>4300.0</v>
      </c>
      <c r="D127" s="180"/>
      <c r="E127" s="180"/>
      <c r="F127" s="179"/>
      <c r="G127" s="182"/>
      <c r="H127" s="183"/>
      <c r="I127" s="180"/>
      <c r="J127" s="180"/>
      <c r="K127" s="180"/>
      <c r="L127" s="180"/>
      <c r="M127" s="180"/>
      <c r="N127" s="181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ht="11.25" customHeight="1">
      <c r="A128" s="179"/>
      <c r="B128" s="180"/>
      <c r="C128" s="181"/>
      <c r="D128" s="180"/>
      <c r="E128" s="180"/>
      <c r="F128" s="179"/>
      <c r="G128" s="182"/>
      <c r="H128" s="183"/>
      <c r="I128" s="180"/>
      <c r="J128" s="180"/>
      <c r="K128" s="180"/>
      <c r="L128" s="180"/>
      <c r="M128" s="180"/>
      <c r="N128" s="181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ht="11.25" customHeight="1">
      <c r="A129" s="179"/>
      <c r="B129" s="228">
        <v>46094.0</v>
      </c>
      <c r="C129" s="181"/>
      <c r="D129" s="180"/>
      <c r="E129" s="180"/>
      <c r="F129" s="179"/>
      <c r="G129" s="182"/>
      <c r="H129" s="183"/>
      <c r="I129" s="180"/>
      <c r="J129" s="180"/>
      <c r="K129" s="180"/>
      <c r="L129" s="180"/>
      <c r="M129" s="180"/>
      <c r="N129" s="181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ht="11.25" customHeight="1">
      <c r="A130" s="123">
        <v>1566.0</v>
      </c>
      <c r="B130" s="126">
        <v>2011.0</v>
      </c>
      <c r="C130" s="208">
        <v>1500.0</v>
      </c>
      <c r="D130" s="180"/>
      <c r="E130" s="180"/>
      <c r="F130" s="179"/>
      <c r="G130" s="182"/>
      <c r="H130" s="183"/>
      <c r="I130" s="180"/>
      <c r="J130" s="180"/>
      <c r="K130" s="180"/>
      <c r="L130" s="180"/>
      <c r="M130" s="180"/>
      <c r="N130" s="181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ht="11.25" customHeight="1">
      <c r="A131" s="123">
        <v>1567.0</v>
      </c>
      <c r="B131" s="126">
        <v>2011.0</v>
      </c>
      <c r="C131" s="208">
        <v>1520.0</v>
      </c>
      <c r="D131" s="180"/>
      <c r="E131" s="180"/>
      <c r="F131" s="179"/>
      <c r="G131" s="182"/>
      <c r="H131" s="183"/>
      <c r="I131" s="180"/>
      <c r="J131" s="180"/>
      <c r="K131" s="180"/>
      <c r="L131" s="180"/>
      <c r="M131" s="180"/>
      <c r="N131" s="181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ht="11.25" customHeight="1">
      <c r="A132" s="123">
        <v>1568.0</v>
      </c>
      <c r="B132" s="126" t="s">
        <v>246</v>
      </c>
      <c r="C132" s="208">
        <v>900.0</v>
      </c>
      <c r="D132" s="180"/>
      <c r="E132" s="180"/>
      <c r="F132" s="179"/>
      <c r="G132" s="182"/>
      <c r="H132" s="183"/>
      <c r="I132" s="180"/>
      <c r="J132" s="180"/>
      <c r="K132" s="180"/>
      <c r="L132" s="180"/>
      <c r="M132" s="180"/>
      <c r="N132" s="181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ht="11.25" customHeight="1">
      <c r="A133" s="123">
        <v>1569.0</v>
      </c>
      <c r="B133" s="126" t="s">
        <v>246</v>
      </c>
      <c r="C133" s="208">
        <v>8200.0</v>
      </c>
      <c r="D133" s="180"/>
      <c r="E133" s="180"/>
      <c r="F133" s="179"/>
      <c r="G133" s="182"/>
      <c r="H133" s="183"/>
      <c r="I133" s="180"/>
      <c r="J133" s="180"/>
      <c r="K133" s="180"/>
      <c r="L133" s="180"/>
      <c r="M133" s="180"/>
      <c r="N133" s="181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ht="11.25" customHeight="1">
      <c r="A134" s="123">
        <v>1570.0</v>
      </c>
      <c r="B134" s="126" t="s">
        <v>246</v>
      </c>
      <c r="C134" s="208">
        <v>4800.0</v>
      </c>
      <c r="D134" s="180"/>
      <c r="E134" s="180"/>
      <c r="F134" s="179"/>
      <c r="G134" s="182"/>
      <c r="H134" s="183"/>
      <c r="I134" s="180"/>
      <c r="J134" s="180"/>
      <c r="K134" s="180"/>
      <c r="L134" s="180"/>
      <c r="M134" s="180"/>
      <c r="N134" s="181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ht="11.25" customHeight="1">
      <c r="A135" s="123">
        <v>1571.0</v>
      </c>
      <c r="B135" s="126">
        <v>2011.0</v>
      </c>
      <c r="C135" s="208">
        <v>3760.0</v>
      </c>
      <c r="D135" s="180"/>
      <c r="E135" s="180"/>
      <c r="F135" s="179"/>
      <c r="G135" s="182"/>
      <c r="H135" s="183"/>
      <c r="I135" s="180"/>
      <c r="J135" s="180"/>
      <c r="K135" s="180"/>
      <c r="L135" s="180"/>
      <c r="M135" s="180"/>
      <c r="N135" s="181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ht="11.25" customHeight="1">
      <c r="A136" s="179"/>
      <c r="B136" s="180"/>
      <c r="C136" s="181"/>
      <c r="D136" s="180"/>
      <c r="E136" s="180"/>
      <c r="F136" s="179"/>
      <c r="G136" s="182"/>
      <c r="H136" s="183"/>
      <c r="I136" s="180"/>
      <c r="J136" s="180"/>
      <c r="K136" s="180"/>
      <c r="L136" s="180"/>
      <c r="M136" s="180"/>
      <c r="N136" s="181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ht="11.25" customHeight="1">
      <c r="A137" s="179"/>
      <c r="B137" s="229">
        <v>46100.0</v>
      </c>
      <c r="C137" s="181"/>
      <c r="D137" s="180"/>
      <c r="E137" s="180"/>
      <c r="F137" s="179"/>
      <c r="G137" s="182"/>
      <c r="H137" s="183"/>
      <c r="I137" s="180"/>
      <c r="J137" s="180"/>
      <c r="K137" s="180"/>
      <c r="L137" s="180"/>
      <c r="M137" s="180"/>
      <c r="N137" s="181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ht="11.25" customHeight="1">
      <c r="A138" s="123">
        <v>1572.0</v>
      </c>
      <c r="B138" s="126" t="s">
        <v>217</v>
      </c>
      <c r="C138" s="208">
        <v>6100.0</v>
      </c>
      <c r="D138" s="180"/>
      <c r="E138" s="180"/>
      <c r="F138" s="179"/>
      <c r="G138" s="182"/>
      <c r="H138" s="183"/>
      <c r="I138" s="180"/>
      <c r="J138" s="180"/>
      <c r="K138" s="180"/>
      <c r="L138" s="180"/>
      <c r="M138" s="180"/>
      <c r="N138" s="181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ht="11.25" customHeight="1">
      <c r="A139" s="123">
        <v>1573.0</v>
      </c>
      <c r="B139" s="126" t="s">
        <v>214</v>
      </c>
      <c r="C139" s="227">
        <v>6400.0</v>
      </c>
      <c r="D139" s="180"/>
      <c r="E139" s="180"/>
      <c r="F139" s="179"/>
      <c r="G139" s="182"/>
      <c r="H139" s="183"/>
      <c r="I139" s="180"/>
      <c r="J139" s="180"/>
      <c r="K139" s="180"/>
      <c r="L139" s="180"/>
      <c r="M139" s="180"/>
      <c r="N139" s="181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ht="11.25" customHeight="1">
      <c r="A140" s="123">
        <v>1574.0</v>
      </c>
      <c r="B140" s="126" t="s">
        <v>216</v>
      </c>
      <c r="C140" s="208">
        <v>5900.0</v>
      </c>
      <c r="D140" s="180"/>
      <c r="E140" s="180"/>
      <c r="F140" s="179"/>
      <c r="G140" s="182"/>
      <c r="H140" s="183"/>
      <c r="I140" s="180"/>
      <c r="J140" s="180"/>
      <c r="K140" s="180"/>
      <c r="L140" s="180"/>
      <c r="M140" s="180"/>
      <c r="N140" s="181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ht="11.25" customHeight="1">
      <c r="A141" s="123">
        <v>1575.0</v>
      </c>
      <c r="B141" s="126" t="s">
        <v>244</v>
      </c>
      <c r="C141" s="208">
        <v>3010.0</v>
      </c>
      <c r="D141" s="180"/>
      <c r="E141" s="180"/>
      <c r="F141" s="179"/>
      <c r="G141" s="182"/>
      <c r="H141" s="183"/>
      <c r="I141" s="180"/>
      <c r="J141" s="180"/>
      <c r="K141" s="180"/>
      <c r="L141" s="180"/>
      <c r="M141" s="180"/>
      <c r="N141" s="181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ht="11.25" customHeight="1">
      <c r="A142" s="123">
        <v>1576.0</v>
      </c>
      <c r="B142" s="126" t="s">
        <v>223</v>
      </c>
      <c r="C142" s="208">
        <v>1800.0</v>
      </c>
      <c r="D142" s="180"/>
      <c r="E142" s="180"/>
      <c r="F142" s="179"/>
      <c r="G142" s="182"/>
      <c r="H142" s="183"/>
      <c r="I142" s="180"/>
      <c r="J142" s="180"/>
      <c r="K142" s="180"/>
      <c r="L142" s="180"/>
      <c r="M142" s="180"/>
      <c r="N142" s="181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ht="11.25" customHeight="1">
      <c r="A143" s="123">
        <v>1577.0</v>
      </c>
      <c r="B143" s="126" t="s">
        <v>246</v>
      </c>
      <c r="C143" s="227">
        <v>3800.0</v>
      </c>
      <c r="D143" s="180"/>
      <c r="E143" s="180"/>
      <c r="F143" s="179"/>
      <c r="G143" s="182"/>
      <c r="H143" s="183"/>
      <c r="I143" s="180"/>
      <c r="J143" s="180"/>
      <c r="K143" s="180"/>
      <c r="L143" s="180"/>
      <c r="M143" s="180"/>
      <c r="N143" s="181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ht="11.25" customHeight="1">
      <c r="A144" s="179"/>
      <c r="B144" s="180"/>
      <c r="C144" s="181"/>
      <c r="D144" s="180"/>
      <c r="E144" s="180"/>
      <c r="F144" s="179"/>
      <c r="G144" s="182"/>
      <c r="H144" s="183"/>
      <c r="I144" s="180"/>
      <c r="J144" s="180"/>
      <c r="K144" s="180"/>
      <c r="L144" s="180"/>
      <c r="M144" s="180"/>
      <c r="N144" s="181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ht="11.25" customHeight="1">
      <c r="A145" s="179"/>
      <c r="B145" s="230">
        <v>46101.0</v>
      </c>
      <c r="C145" s="181"/>
      <c r="D145" s="180"/>
      <c r="E145" s="180"/>
      <c r="F145" s="179"/>
      <c r="G145" s="182"/>
      <c r="H145" s="183"/>
      <c r="I145" s="180"/>
      <c r="J145" s="180"/>
      <c r="K145" s="180"/>
      <c r="L145" s="180"/>
      <c r="M145" s="180"/>
      <c r="N145" s="181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ht="11.25" customHeight="1">
      <c r="A146" s="123">
        <v>1578.0</v>
      </c>
      <c r="B146" s="126" t="s">
        <v>246</v>
      </c>
      <c r="C146" s="197">
        <v>760.0</v>
      </c>
      <c r="D146" s="180"/>
      <c r="E146" s="180"/>
      <c r="F146" s="179"/>
      <c r="G146" s="182"/>
      <c r="H146" s="183"/>
      <c r="I146" s="180"/>
      <c r="J146" s="180"/>
      <c r="K146" s="180"/>
      <c r="L146" s="180"/>
      <c r="M146" s="180"/>
      <c r="N146" s="181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ht="11.25" customHeight="1">
      <c r="A147" s="179"/>
      <c r="B147" s="180"/>
      <c r="C147" s="181"/>
      <c r="D147" s="180"/>
      <c r="E147" s="180"/>
      <c r="F147" s="179"/>
      <c r="G147" s="182"/>
      <c r="H147" s="183"/>
      <c r="I147" s="180"/>
      <c r="J147" s="180"/>
      <c r="K147" s="180"/>
      <c r="L147" s="180"/>
      <c r="M147" s="180"/>
      <c r="N147" s="181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ht="11.25" customHeight="1">
      <c r="A148" s="179"/>
      <c r="B148" s="230">
        <v>46105.0</v>
      </c>
      <c r="C148" s="181"/>
      <c r="D148" s="180"/>
      <c r="E148" s="180"/>
      <c r="F148" s="179"/>
      <c r="G148" s="182"/>
      <c r="H148" s="183"/>
      <c r="I148" s="180"/>
      <c r="J148" s="180"/>
      <c r="K148" s="180"/>
      <c r="L148" s="180"/>
      <c r="M148" s="180"/>
      <c r="N148" s="181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ht="11.25" customHeight="1">
      <c r="A149" s="123">
        <v>1579.0</v>
      </c>
      <c r="B149" s="126" t="s">
        <v>246</v>
      </c>
      <c r="C149" s="208">
        <v>760.0</v>
      </c>
      <c r="D149" s="180"/>
      <c r="E149" s="180"/>
      <c r="F149" s="179"/>
      <c r="G149" s="182"/>
      <c r="H149" s="183"/>
      <c r="I149" s="180"/>
      <c r="J149" s="180"/>
      <c r="K149" s="180"/>
      <c r="L149" s="180"/>
      <c r="M149" s="180"/>
      <c r="N149" s="181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ht="11.25" customHeight="1">
      <c r="A150" s="123">
        <v>1580.0</v>
      </c>
      <c r="B150" s="126" t="s">
        <v>222</v>
      </c>
      <c r="C150" s="208">
        <v>10000.0</v>
      </c>
      <c r="D150" s="180"/>
      <c r="E150" s="180"/>
      <c r="F150" s="179"/>
      <c r="G150" s="182"/>
      <c r="H150" s="183"/>
      <c r="I150" s="180"/>
      <c r="J150" s="180"/>
      <c r="K150" s="180"/>
      <c r="L150" s="180"/>
      <c r="M150" s="180"/>
      <c r="N150" s="181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ht="11.25" customHeight="1">
      <c r="A151" s="179"/>
      <c r="B151" s="180"/>
      <c r="C151" s="181"/>
      <c r="D151" s="180"/>
      <c r="E151" s="180"/>
      <c r="F151" s="179"/>
      <c r="G151" s="182"/>
      <c r="H151" s="183"/>
      <c r="I151" s="180"/>
      <c r="J151" s="180"/>
      <c r="K151" s="180"/>
      <c r="L151" s="180"/>
      <c r="M151" s="180"/>
      <c r="N151" s="181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ht="11.25" customHeight="1">
      <c r="A152" s="179"/>
      <c r="B152" s="230">
        <v>46106.0</v>
      </c>
      <c r="C152" s="181"/>
      <c r="D152" s="180"/>
      <c r="E152" s="180"/>
      <c r="F152" s="179"/>
      <c r="G152" s="182"/>
      <c r="H152" s="183"/>
      <c r="I152" s="180"/>
      <c r="J152" s="180"/>
      <c r="K152" s="180"/>
      <c r="L152" s="180"/>
      <c r="M152" s="180"/>
      <c r="N152" s="181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ht="11.25" customHeight="1">
      <c r="A153" s="123">
        <v>1581.0</v>
      </c>
      <c r="B153" s="126" t="s">
        <v>219</v>
      </c>
      <c r="C153" s="197">
        <v>1500.0</v>
      </c>
      <c r="D153" s="180"/>
      <c r="E153" s="180"/>
      <c r="F153" s="179"/>
      <c r="G153" s="182"/>
      <c r="H153" s="183"/>
      <c r="I153" s="180"/>
      <c r="J153" s="180"/>
      <c r="K153" s="180"/>
      <c r="L153" s="180"/>
      <c r="M153" s="180"/>
      <c r="N153" s="181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ht="11.25" customHeight="1">
      <c r="A154" s="179"/>
      <c r="B154" s="180"/>
      <c r="C154" s="181"/>
      <c r="D154" s="180"/>
      <c r="E154" s="180"/>
      <c r="F154" s="179"/>
      <c r="G154" s="182"/>
      <c r="H154" s="183"/>
      <c r="I154" s="180"/>
      <c r="J154" s="180"/>
      <c r="K154" s="180"/>
      <c r="L154" s="180"/>
      <c r="M154" s="180"/>
      <c r="N154" s="181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ht="11.25" customHeight="1">
      <c r="A155" s="179"/>
      <c r="B155" s="230">
        <v>46107.0</v>
      </c>
      <c r="C155" s="181"/>
      <c r="D155" s="180"/>
      <c r="E155" s="180"/>
      <c r="F155" s="179"/>
      <c r="G155" s="182"/>
      <c r="H155" s="183"/>
      <c r="I155" s="180"/>
      <c r="J155" s="180"/>
      <c r="K155" s="180"/>
      <c r="L155" s="180"/>
      <c r="M155" s="180"/>
      <c r="N155" s="181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ht="11.25" customHeight="1">
      <c r="A156" s="123">
        <v>1582.0</v>
      </c>
      <c r="B156" s="126" t="s">
        <v>246</v>
      </c>
      <c r="C156" s="227">
        <v>4400.0</v>
      </c>
      <c r="D156" s="180"/>
      <c r="E156" s="180"/>
      <c r="F156" s="179"/>
      <c r="G156" s="182"/>
      <c r="H156" s="183"/>
      <c r="I156" s="180"/>
      <c r="J156" s="180"/>
      <c r="K156" s="180"/>
      <c r="L156" s="180"/>
      <c r="M156" s="180"/>
      <c r="N156" s="181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ht="11.25" customHeight="1">
      <c r="A157" s="123">
        <v>1583.0</v>
      </c>
      <c r="B157" s="126" t="s">
        <v>217</v>
      </c>
      <c r="C157" s="208">
        <v>12100.0</v>
      </c>
      <c r="D157" s="180"/>
      <c r="E157" s="180"/>
      <c r="F157" s="179"/>
      <c r="G157" s="182"/>
      <c r="H157" s="183"/>
      <c r="I157" s="180"/>
      <c r="J157" s="180"/>
      <c r="K157" s="180"/>
      <c r="L157" s="180"/>
      <c r="M157" s="180"/>
      <c r="N157" s="181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ht="11.25" customHeight="1">
      <c r="A158" s="123">
        <v>1584.0</v>
      </c>
      <c r="B158" s="126" t="s">
        <v>216</v>
      </c>
      <c r="C158" s="208">
        <v>2280.0</v>
      </c>
      <c r="D158" s="180"/>
      <c r="E158" s="180"/>
      <c r="F158" s="179"/>
      <c r="G158" s="182"/>
      <c r="H158" s="183"/>
      <c r="I158" s="180"/>
      <c r="J158" s="180"/>
      <c r="K158" s="180"/>
      <c r="L158" s="180"/>
      <c r="M158" s="180"/>
      <c r="N158" s="181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ht="11.25" customHeight="1">
      <c r="A159" s="156">
        <v>1585.0</v>
      </c>
      <c r="B159" s="126" t="s">
        <v>245</v>
      </c>
      <c r="C159" s="208">
        <v>1480.0</v>
      </c>
      <c r="D159" s="180"/>
      <c r="E159" s="180"/>
      <c r="F159" s="179"/>
      <c r="G159" s="182"/>
      <c r="H159" s="183"/>
      <c r="I159" s="180"/>
      <c r="J159" s="180"/>
      <c r="K159" s="180"/>
      <c r="L159" s="180"/>
      <c r="M159" s="180"/>
      <c r="N159" s="181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ht="11.25" customHeight="1">
      <c r="A160" s="179"/>
      <c r="B160" s="180"/>
      <c r="C160" s="181"/>
      <c r="D160" s="180"/>
      <c r="E160" s="180"/>
      <c r="F160" s="179"/>
      <c r="G160" s="182"/>
      <c r="H160" s="183"/>
      <c r="I160" s="180"/>
      <c r="J160" s="180"/>
      <c r="K160" s="180"/>
      <c r="L160" s="180"/>
      <c r="M160" s="180"/>
      <c r="N160" s="181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ht="11.25" customHeight="1">
      <c r="A161" s="179"/>
      <c r="B161" s="230">
        <v>46121.0</v>
      </c>
      <c r="C161" s="181"/>
      <c r="D161" s="180"/>
      <c r="E161" s="180"/>
      <c r="F161" s="179"/>
      <c r="G161" s="182"/>
      <c r="H161" s="183"/>
      <c r="I161" s="180"/>
      <c r="J161" s="180"/>
      <c r="K161" s="180"/>
      <c r="L161" s="180"/>
      <c r="M161" s="180"/>
      <c r="N161" s="181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ht="11.25" customHeight="1">
      <c r="A162" s="123">
        <v>1801.0</v>
      </c>
      <c r="B162" s="126" t="s">
        <v>246</v>
      </c>
      <c r="C162" s="208">
        <v>8940.0</v>
      </c>
      <c r="D162" s="180"/>
      <c r="E162" s="180"/>
      <c r="F162" s="179"/>
      <c r="G162" s="182"/>
      <c r="H162" s="183"/>
      <c r="I162" s="180"/>
      <c r="J162" s="180"/>
      <c r="K162" s="180"/>
      <c r="L162" s="180"/>
      <c r="M162" s="180"/>
      <c r="N162" s="181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ht="11.25" customHeight="1">
      <c r="A163" s="123">
        <v>1802.0</v>
      </c>
      <c r="B163" s="126" t="s">
        <v>217</v>
      </c>
      <c r="C163" s="208">
        <v>17120.0</v>
      </c>
      <c r="D163" s="180"/>
      <c r="E163" s="180"/>
      <c r="F163" s="179"/>
      <c r="G163" s="182"/>
      <c r="H163" s="183"/>
      <c r="I163" s="180"/>
      <c r="J163" s="180"/>
      <c r="K163" s="180"/>
      <c r="L163" s="180"/>
      <c r="M163" s="180"/>
      <c r="N163" s="181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ht="11.25" customHeight="1">
      <c r="A164" s="123">
        <v>1803.0</v>
      </c>
      <c r="B164" s="126" t="s">
        <v>297</v>
      </c>
      <c r="C164" s="208">
        <v>2300.0</v>
      </c>
      <c r="D164" s="180"/>
      <c r="E164" s="180"/>
      <c r="F164" s="179"/>
      <c r="G164" s="182"/>
      <c r="H164" s="183"/>
      <c r="I164" s="180"/>
      <c r="J164" s="180"/>
      <c r="K164" s="180"/>
      <c r="L164" s="180"/>
      <c r="M164" s="180"/>
      <c r="N164" s="181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ht="11.25" customHeight="1">
      <c r="A165" s="123">
        <v>1804.0</v>
      </c>
      <c r="B165" s="126" t="s">
        <v>216</v>
      </c>
      <c r="C165" s="208">
        <v>3860.0</v>
      </c>
      <c r="D165" s="180"/>
      <c r="E165" s="180"/>
      <c r="F165" s="179"/>
      <c r="G165" s="182"/>
      <c r="H165" s="183"/>
      <c r="I165" s="180"/>
      <c r="J165" s="180"/>
      <c r="K165" s="180"/>
      <c r="L165" s="180"/>
      <c r="M165" s="180"/>
      <c r="N165" s="181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ht="11.25" customHeight="1">
      <c r="A166" s="123">
        <v>1805.0</v>
      </c>
      <c r="B166" s="126" t="s">
        <v>218</v>
      </c>
      <c r="C166" s="208">
        <v>3650.0</v>
      </c>
      <c r="D166" s="180"/>
      <c r="E166" s="180"/>
      <c r="F166" s="179"/>
      <c r="G166" s="182"/>
      <c r="H166" s="183"/>
      <c r="I166" s="180"/>
      <c r="J166" s="180"/>
      <c r="K166" s="180"/>
      <c r="L166" s="180"/>
      <c r="M166" s="180"/>
      <c r="N166" s="181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ht="11.25" customHeight="1">
      <c r="A167" s="123">
        <v>1806.0</v>
      </c>
      <c r="B167" s="126" t="s">
        <v>223</v>
      </c>
      <c r="C167" s="208">
        <v>3200.0</v>
      </c>
      <c r="D167" s="180"/>
      <c r="E167" s="180"/>
      <c r="F167" s="179"/>
      <c r="G167" s="182"/>
      <c r="H167" s="183"/>
      <c r="I167" s="180"/>
      <c r="J167" s="180"/>
      <c r="K167" s="180"/>
      <c r="L167" s="180"/>
      <c r="M167" s="180"/>
      <c r="N167" s="181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ht="11.25" customHeight="1">
      <c r="A168" s="179"/>
      <c r="B168" s="180"/>
      <c r="C168" s="181"/>
      <c r="D168" s="180"/>
      <c r="E168" s="180"/>
      <c r="F168" s="179"/>
      <c r="G168" s="182"/>
      <c r="H168" s="183"/>
      <c r="I168" s="180"/>
      <c r="J168" s="180"/>
      <c r="K168" s="180"/>
      <c r="L168" s="180"/>
      <c r="M168" s="180"/>
      <c r="N168" s="181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ht="11.25" customHeight="1">
      <c r="A169" s="179"/>
      <c r="B169" s="231">
        <v>46122.0</v>
      </c>
      <c r="C169" s="181"/>
      <c r="D169" s="180"/>
      <c r="E169" s="180"/>
      <c r="F169" s="179"/>
      <c r="G169" s="182"/>
      <c r="H169" s="183"/>
      <c r="I169" s="180"/>
      <c r="J169" s="180"/>
      <c r="K169" s="180"/>
      <c r="L169" s="180"/>
      <c r="M169" s="180"/>
      <c r="N169" s="181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ht="11.25" customHeight="1">
      <c r="A170" s="123">
        <v>1807.0</v>
      </c>
      <c r="B170" s="126" t="s">
        <v>246</v>
      </c>
      <c r="C170" s="208">
        <v>1500.0</v>
      </c>
      <c r="D170" s="180"/>
      <c r="E170" s="180"/>
      <c r="F170" s="179"/>
      <c r="G170" s="182"/>
      <c r="H170" s="183"/>
      <c r="I170" s="180"/>
      <c r="J170" s="180"/>
      <c r="K170" s="180"/>
      <c r="L170" s="180"/>
      <c r="M170" s="180"/>
      <c r="N170" s="181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ht="11.25" customHeight="1">
      <c r="A171" s="123">
        <v>1808.0</v>
      </c>
      <c r="B171" s="126" t="s">
        <v>216</v>
      </c>
      <c r="C171" s="208">
        <v>8500.0</v>
      </c>
      <c r="D171" s="180"/>
      <c r="E171" s="180"/>
      <c r="F171" s="179"/>
      <c r="G171" s="182"/>
      <c r="H171" s="183"/>
      <c r="I171" s="180"/>
      <c r="J171" s="180"/>
      <c r="K171" s="180"/>
      <c r="L171" s="180"/>
      <c r="M171" s="180"/>
      <c r="N171" s="181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ht="11.25" customHeight="1">
      <c r="A172" s="123">
        <v>1809.0</v>
      </c>
      <c r="B172" s="126" t="s">
        <v>214</v>
      </c>
      <c r="C172" s="208">
        <v>9000.0</v>
      </c>
      <c r="D172" s="180"/>
      <c r="E172" s="180"/>
      <c r="F172" s="179"/>
      <c r="G172" s="182"/>
      <c r="H172" s="183"/>
      <c r="I172" s="180"/>
      <c r="J172" s="180"/>
      <c r="K172" s="180"/>
      <c r="L172" s="180"/>
      <c r="M172" s="180"/>
      <c r="N172" s="181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ht="11.25" customHeight="1">
      <c r="A173" s="123">
        <v>1810.0</v>
      </c>
      <c r="B173" s="126" t="s">
        <v>227</v>
      </c>
      <c r="C173" s="208">
        <v>5200.0</v>
      </c>
      <c r="D173" s="180"/>
      <c r="E173" s="180"/>
      <c r="F173" s="179"/>
      <c r="G173" s="182"/>
      <c r="H173" s="183"/>
      <c r="I173" s="180"/>
      <c r="J173" s="180"/>
      <c r="K173" s="180"/>
      <c r="L173" s="180"/>
      <c r="M173" s="180"/>
      <c r="N173" s="181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ht="11.25" customHeight="1">
      <c r="A174" s="179"/>
      <c r="B174" s="180"/>
      <c r="C174" s="181"/>
      <c r="D174" s="180"/>
      <c r="E174" s="180"/>
      <c r="F174" s="179"/>
      <c r="G174" s="182"/>
      <c r="H174" s="183"/>
      <c r="I174" s="180"/>
      <c r="J174" s="180"/>
      <c r="K174" s="180"/>
      <c r="L174" s="180"/>
      <c r="M174" s="180"/>
      <c r="N174" s="181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ht="11.25" customHeight="1">
      <c r="A175" s="179"/>
      <c r="B175" s="180"/>
      <c r="C175" s="181"/>
      <c r="D175" s="180"/>
      <c r="E175" s="180"/>
      <c r="F175" s="179"/>
      <c r="G175" s="182"/>
      <c r="H175" s="183"/>
      <c r="I175" s="180"/>
      <c r="J175" s="180"/>
      <c r="K175" s="180"/>
      <c r="L175" s="180"/>
      <c r="M175" s="180"/>
      <c r="N175" s="181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ht="11.25" customHeight="1">
      <c r="A176" s="179"/>
      <c r="B176" s="180"/>
      <c r="C176" s="181"/>
      <c r="D176" s="180"/>
      <c r="E176" s="180"/>
      <c r="F176" s="179"/>
      <c r="G176" s="182"/>
      <c r="H176" s="183"/>
      <c r="I176" s="180"/>
      <c r="J176" s="180"/>
      <c r="K176" s="180"/>
      <c r="L176" s="180"/>
      <c r="M176" s="180"/>
      <c r="N176" s="181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ht="11.25" customHeight="1">
      <c r="A177" s="179"/>
      <c r="B177" s="180"/>
      <c r="C177" s="181"/>
      <c r="D177" s="180"/>
      <c r="E177" s="180"/>
      <c r="F177" s="179"/>
      <c r="G177" s="182"/>
      <c r="H177" s="183"/>
      <c r="I177" s="180"/>
      <c r="J177" s="180"/>
      <c r="K177" s="180"/>
      <c r="L177" s="180"/>
      <c r="M177" s="180"/>
      <c r="N177" s="181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ht="11.25" customHeight="1">
      <c r="A178" s="179"/>
      <c r="B178" s="180"/>
      <c r="C178" s="181"/>
      <c r="D178" s="180"/>
      <c r="E178" s="180"/>
      <c r="F178" s="179"/>
      <c r="G178" s="182"/>
      <c r="H178" s="183"/>
      <c r="I178" s="180"/>
      <c r="J178" s="180"/>
      <c r="K178" s="180"/>
      <c r="L178" s="180"/>
      <c r="M178" s="180"/>
      <c r="N178" s="181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ht="11.25" customHeight="1">
      <c r="A179" s="179"/>
      <c r="B179" s="180"/>
      <c r="C179" s="181"/>
      <c r="D179" s="180"/>
      <c r="E179" s="180"/>
      <c r="F179" s="179"/>
      <c r="G179" s="182"/>
      <c r="H179" s="183"/>
      <c r="I179" s="180"/>
      <c r="J179" s="180"/>
      <c r="K179" s="180"/>
      <c r="L179" s="180"/>
      <c r="M179" s="180"/>
      <c r="N179" s="181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ht="11.25" customHeight="1">
      <c r="A180" s="179"/>
      <c r="B180" s="180"/>
      <c r="C180" s="181"/>
      <c r="D180" s="180"/>
      <c r="E180" s="180"/>
      <c r="F180" s="179"/>
      <c r="G180" s="182"/>
      <c r="H180" s="183"/>
      <c r="I180" s="180"/>
      <c r="J180" s="180"/>
      <c r="K180" s="180"/>
      <c r="L180" s="180"/>
      <c r="M180" s="180"/>
      <c r="N180" s="181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ht="11.25" customHeight="1">
      <c r="A181" s="179"/>
      <c r="B181" s="180"/>
      <c r="C181" s="181"/>
      <c r="D181" s="180"/>
      <c r="E181" s="180"/>
      <c r="F181" s="179"/>
      <c r="G181" s="182"/>
      <c r="H181" s="183"/>
      <c r="I181" s="180"/>
      <c r="J181" s="180"/>
      <c r="K181" s="180"/>
      <c r="L181" s="180"/>
      <c r="M181" s="180"/>
      <c r="N181" s="181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ht="11.25" customHeight="1">
      <c r="A182" s="179"/>
      <c r="B182" s="180"/>
      <c r="C182" s="181"/>
      <c r="D182" s="180"/>
      <c r="E182" s="180"/>
      <c r="F182" s="179"/>
      <c r="G182" s="182"/>
      <c r="H182" s="183"/>
      <c r="I182" s="180"/>
      <c r="J182" s="180"/>
      <c r="K182" s="180"/>
      <c r="L182" s="180"/>
      <c r="M182" s="180"/>
      <c r="N182" s="181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ht="11.25" customHeight="1">
      <c r="A183" s="179"/>
      <c r="B183" s="180"/>
      <c r="C183" s="181"/>
      <c r="D183" s="180"/>
      <c r="E183" s="180"/>
      <c r="F183" s="179"/>
      <c r="G183" s="182"/>
      <c r="H183" s="183"/>
      <c r="I183" s="180"/>
      <c r="J183" s="180"/>
      <c r="K183" s="180"/>
      <c r="L183" s="180"/>
      <c r="M183" s="180"/>
      <c r="N183" s="181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ht="11.25" customHeight="1">
      <c r="A184" s="179"/>
      <c r="B184" s="180"/>
      <c r="C184" s="181"/>
      <c r="D184" s="180"/>
      <c r="E184" s="180"/>
      <c r="F184" s="179"/>
      <c r="G184" s="182"/>
      <c r="H184" s="183"/>
      <c r="I184" s="180"/>
      <c r="J184" s="180"/>
      <c r="K184" s="180"/>
      <c r="L184" s="180"/>
      <c r="M184" s="180"/>
      <c r="N184" s="181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ht="11.25" customHeight="1">
      <c r="A185" s="179"/>
      <c r="B185" s="180"/>
      <c r="C185" s="181"/>
      <c r="D185" s="180"/>
      <c r="E185" s="180"/>
      <c r="F185" s="179"/>
      <c r="G185" s="182"/>
      <c r="H185" s="183"/>
      <c r="I185" s="180"/>
      <c r="J185" s="180"/>
      <c r="K185" s="180"/>
      <c r="L185" s="180"/>
      <c r="M185" s="180"/>
      <c r="N185" s="181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ht="11.25" customHeight="1">
      <c r="A186" s="179"/>
      <c r="B186" s="180"/>
      <c r="C186" s="181"/>
      <c r="D186" s="180"/>
      <c r="E186" s="180"/>
      <c r="F186" s="179"/>
      <c r="G186" s="182"/>
      <c r="H186" s="183"/>
      <c r="I186" s="180"/>
      <c r="J186" s="180"/>
      <c r="K186" s="180"/>
      <c r="L186" s="180"/>
      <c r="M186" s="180"/>
      <c r="N186" s="181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ht="11.25" customHeight="1">
      <c r="A187" s="179"/>
      <c r="B187" s="180"/>
      <c r="C187" s="181"/>
      <c r="D187" s="180"/>
      <c r="E187" s="180"/>
      <c r="F187" s="179"/>
      <c r="G187" s="182"/>
      <c r="H187" s="183"/>
      <c r="I187" s="180"/>
      <c r="J187" s="180"/>
      <c r="K187" s="180"/>
      <c r="L187" s="180"/>
      <c r="M187" s="180"/>
      <c r="N187" s="181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ht="11.25" customHeight="1">
      <c r="A188" s="179"/>
      <c r="B188" s="180"/>
      <c r="C188" s="181"/>
      <c r="D188" s="180"/>
      <c r="E188" s="180"/>
      <c r="F188" s="179"/>
      <c r="G188" s="182"/>
      <c r="H188" s="183"/>
      <c r="I188" s="180"/>
      <c r="J188" s="180"/>
      <c r="K188" s="180"/>
      <c r="L188" s="180"/>
      <c r="M188" s="180"/>
      <c r="N188" s="181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ht="11.25" customHeight="1">
      <c r="A189" s="179"/>
      <c r="B189" s="180"/>
      <c r="C189" s="181"/>
      <c r="D189" s="180"/>
      <c r="E189" s="180"/>
      <c r="F189" s="179"/>
      <c r="G189" s="182"/>
      <c r="H189" s="183"/>
      <c r="I189" s="180"/>
      <c r="J189" s="180"/>
      <c r="K189" s="180"/>
      <c r="L189" s="180"/>
      <c r="M189" s="180"/>
      <c r="N189" s="181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ht="11.25" customHeight="1">
      <c r="A190" s="179"/>
      <c r="B190" s="180"/>
      <c r="C190" s="181"/>
      <c r="D190" s="180"/>
      <c r="E190" s="180"/>
      <c r="F190" s="179"/>
      <c r="G190" s="182"/>
      <c r="H190" s="183"/>
      <c r="I190" s="180"/>
      <c r="J190" s="180"/>
      <c r="K190" s="180"/>
      <c r="L190" s="180"/>
      <c r="M190" s="180"/>
      <c r="N190" s="181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ht="11.25" customHeight="1">
      <c r="A191" s="179"/>
      <c r="B191" s="180"/>
      <c r="C191" s="181"/>
      <c r="D191" s="180"/>
      <c r="E191" s="180"/>
      <c r="F191" s="179"/>
      <c r="G191" s="182"/>
      <c r="H191" s="183"/>
      <c r="I191" s="180"/>
      <c r="J191" s="180"/>
      <c r="K191" s="180"/>
      <c r="L191" s="180"/>
      <c r="M191" s="180"/>
      <c r="N191" s="181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ht="11.25" customHeight="1">
      <c r="A192" s="179"/>
      <c r="B192" s="180"/>
      <c r="C192" s="181"/>
      <c r="D192" s="180"/>
      <c r="E192" s="180"/>
      <c r="F192" s="179"/>
      <c r="G192" s="182"/>
      <c r="H192" s="183"/>
      <c r="I192" s="180"/>
      <c r="J192" s="180"/>
      <c r="K192" s="180"/>
      <c r="L192" s="180"/>
      <c r="M192" s="180"/>
      <c r="N192" s="181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ht="11.25" customHeight="1">
      <c r="A193" s="179"/>
      <c r="B193" s="180"/>
      <c r="C193" s="181"/>
      <c r="D193" s="180"/>
      <c r="E193" s="180"/>
      <c r="F193" s="179"/>
      <c r="G193" s="182"/>
      <c r="H193" s="183"/>
      <c r="I193" s="180"/>
      <c r="J193" s="180"/>
      <c r="K193" s="180"/>
      <c r="L193" s="180"/>
      <c r="M193" s="180"/>
      <c r="N193" s="181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ht="11.25" customHeight="1">
      <c r="A194" s="179"/>
      <c r="B194" s="180"/>
      <c r="C194" s="181"/>
      <c r="D194" s="180"/>
      <c r="E194" s="180"/>
      <c r="F194" s="179"/>
      <c r="G194" s="182"/>
      <c r="H194" s="183"/>
      <c r="I194" s="180"/>
      <c r="J194" s="180"/>
      <c r="K194" s="180"/>
      <c r="L194" s="180"/>
      <c r="M194" s="180"/>
      <c r="N194" s="181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ht="11.25" customHeight="1">
      <c r="A195" s="179"/>
      <c r="B195" s="180"/>
      <c r="C195" s="181"/>
      <c r="D195" s="180"/>
      <c r="E195" s="180"/>
      <c r="F195" s="179"/>
      <c r="G195" s="182"/>
      <c r="H195" s="183"/>
      <c r="I195" s="180"/>
      <c r="J195" s="180"/>
      <c r="K195" s="180"/>
      <c r="L195" s="180"/>
      <c r="M195" s="180"/>
      <c r="N195" s="181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ht="11.25" customHeight="1">
      <c r="A196" s="179"/>
      <c r="B196" s="180"/>
      <c r="C196" s="181"/>
      <c r="D196" s="180"/>
      <c r="E196" s="180"/>
      <c r="F196" s="179"/>
      <c r="G196" s="182"/>
      <c r="H196" s="183"/>
      <c r="I196" s="180"/>
      <c r="J196" s="180"/>
      <c r="K196" s="180"/>
      <c r="L196" s="180"/>
      <c r="M196" s="180"/>
      <c r="N196" s="181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ht="11.25" customHeight="1">
      <c r="A197" s="179"/>
      <c r="B197" s="180"/>
      <c r="C197" s="181"/>
      <c r="D197" s="180"/>
      <c r="E197" s="180"/>
      <c r="F197" s="179"/>
      <c r="G197" s="182"/>
      <c r="H197" s="183"/>
      <c r="I197" s="180"/>
      <c r="J197" s="180"/>
      <c r="K197" s="180"/>
      <c r="L197" s="180"/>
      <c r="M197" s="180"/>
      <c r="N197" s="181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ht="11.25" customHeight="1">
      <c r="A198" s="179"/>
      <c r="B198" s="180"/>
      <c r="C198" s="181"/>
      <c r="D198" s="180"/>
      <c r="E198" s="180"/>
      <c r="F198" s="179"/>
      <c r="G198" s="182"/>
      <c r="H198" s="183"/>
      <c r="I198" s="180"/>
      <c r="J198" s="180"/>
      <c r="K198" s="180"/>
      <c r="L198" s="180"/>
      <c r="M198" s="180"/>
      <c r="N198" s="181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ht="11.25" customHeight="1">
      <c r="A199" s="179"/>
      <c r="B199" s="180"/>
      <c r="C199" s="181"/>
      <c r="D199" s="180"/>
      <c r="E199" s="180"/>
      <c r="F199" s="179"/>
      <c r="G199" s="182"/>
      <c r="H199" s="183"/>
      <c r="I199" s="180"/>
      <c r="J199" s="180"/>
      <c r="K199" s="180"/>
      <c r="L199" s="180"/>
      <c r="M199" s="180"/>
      <c r="N199" s="181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ht="11.25" customHeight="1">
      <c r="A200" s="179"/>
      <c r="B200" s="180"/>
      <c r="C200" s="181"/>
      <c r="D200" s="180"/>
      <c r="E200" s="180"/>
      <c r="F200" s="179"/>
      <c r="G200" s="182"/>
      <c r="H200" s="183"/>
      <c r="I200" s="180"/>
      <c r="J200" s="180"/>
      <c r="K200" s="180"/>
      <c r="L200" s="180"/>
      <c r="M200" s="180"/>
      <c r="N200" s="181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ht="11.25" customHeight="1">
      <c r="A201" s="179"/>
      <c r="B201" s="180"/>
      <c r="C201" s="181"/>
      <c r="D201" s="180"/>
      <c r="E201" s="180"/>
      <c r="F201" s="179"/>
      <c r="G201" s="182"/>
      <c r="H201" s="183"/>
      <c r="I201" s="180"/>
      <c r="J201" s="180"/>
      <c r="K201" s="180"/>
      <c r="L201" s="180"/>
      <c r="M201" s="180"/>
      <c r="N201" s="181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ht="11.25" customHeight="1">
      <c r="A202" s="179"/>
      <c r="B202" s="180"/>
      <c r="C202" s="181"/>
      <c r="D202" s="180"/>
      <c r="E202" s="180"/>
      <c r="F202" s="179"/>
      <c r="G202" s="182"/>
      <c r="H202" s="183"/>
      <c r="I202" s="180"/>
      <c r="J202" s="180"/>
      <c r="K202" s="180"/>
      <c r="L202" s="180"/>
      <c r="M202" s="180"/>
      <c r="N202" s="181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ht="11.25" customHeight="1">
      <c r="A203" s="179"/>
      <c r="B203" s="180"/>
      <c r="C203" s="181"/>
      <c r="D203" s="180"/>
      <c r="E203" s="180"/>
      <c r="F203" s="179"/>
      <c r="G203" s="182"/>
      <c r="H203" s="183"/>
      <c r="I203" s="180"/>
      <c r="J203" s="180"/>
      <c r="K203" s="180"/>
      <c r="L203" s="180"/>
      <c r="M203" s="180"/>
      <c r="N203" s="181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ht="11.25" customHeight="1">
      <c r="A204" s="179"/>
      <c r="B204" s="180"/>
      <c r="C204" s="181"/>
      <c r="D204" s="180"/>
      <c r="E204" s="180"/>
      <c r="F204" s="179"/>
      <c r="G204" s="182"/>
      <c r="H204" s="183"/>
      <c r="I204" s="180"/>
      <c r="J204" s="180"/>
      <c r="K204" s="180"/>
      <c r="L204" s="180"/>
      <c r="M204" s="180"/>
      <c r="N204" s="181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ht="11.25" customHeight="1">
      <c r="A205" s="179"/>
      <c r="B205" s="180"/>
      <c r="C205" s="181"/>
      <c r="D205" s="180"/>
      <c r="E205" s="180"/>
      <c r="F205" s="179"/>
      <c r="G205" s="182"/>
      <c r="H205" s="183"/>
      <c r="I205" s="180"/>
      <c r="J205" s="180"/>
      <c r="K205" s="180"/>
      <c r="L205" s="180"/>
      <c r="M205" s="180"/>
      <c r="N205" s="181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ht="11.25" customHeight="1">
      <c r="A206" s="179"/>
      <c r="B206" s="180"/>
      <c r="C206" s="181"/>
      <c r="D206" s="180"/>
      <c r="E206" s="180"/>
      <c r="F206" s="179"/>
      <c r="G206" s="182"/>
      <c r="H206" s="183"/>
      <c r="I206" s="180"/>
      <c r="J206" s="180"/>
      <c r="K206" s="180"/>
      <c r="L206" s="180"/>
      <c r="M206" s="180"/>
      <c r="N206" s="181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ht="11.25" customHeight="1">
      <c r="A207" s="179"/>
      <c r="B207" s="180"/>
      <c r="C207" s="181"/>
      <c r="D207" s="180"/>
      <c r="E207" s="180"/>
      <c r="F207" s="179"/>
      <c r="G207" s="182"/>
      <c r="H207" s="183"/>
      <c r="I207" s="180"/>
      <c r="J207" s="180"/>
      <c r="K207" s="180"/>
      <c r="L207" s="180"/>
      <c r="M207" s="180"/>
      <c r="N207" s="181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ht="11.25" customHeight="1">
      <c r="A208" s="179"/>
      <c r="B208" s="180"/>
      <c r="C208" s="181"/>
      <c r="D208" s="180"/>
      <c r="E208" s="180"/>
      <c r="F208" s="179"/>
      <c r="G208" s="182"/>
      <c r="H208" s="183"/>
      <c r="I208" s="180"/>
      <c r="J208" s="180"/>
      <c r="K208" s="180"/>
      <c r="L208" s="180"/>
      <c r="M208" s="180"/>
      <c r="N208" s="181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ht="11.25" customHeight="1">
      <c r="A209" s="179"/>
      <c r="B209" s="180"/>
      <c r="C209" s="181"/>
      <c r="D209" s="180"/>
      <c r="E209" s="180"/>
      <c r="F209" s="179"/>
      <c r="G209" s="182"/>
      <c r="H209" s="183"/>
      <c r="I209" s="180"/>
      <c r="J209" s="180"/>
      <c r="K209" s="180"/>
      <c r="L209" s="180"/>
      <c r="M209" s="180"/>
      <c r="N209" s="181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ht="11.25" customHeight="1">
      <c r="A210" s="179"/>
      <c r="B210" s="180"/>
      <c r="C210" s="181"/>
      <c r="D210" s="180"/>
      <c r="E210" s="180"/>
      <c r="F210" s="179"/>
      <c r="G210" s="182"/>
      <c r="H210" s="183"/>
      <c r="I210" s="180"/>
      <c r="J210" s="180"/>
      <c r="K210" s="180"/>
      <c r="L210" s="180"/>
      <c r="M210" s="180"/>
      <c r="N210" s="181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ht="11.25" customHeight="1">
      <c r="A211" s="179"/>
      <c r="B211" s="180"/>
      <c r="C211" s="181"/>
      <c r="D211" s="180"/>
      <c r="E211" s="180"/>
      <c r="F211" s="179"/>
      <c r="G211" s="182"/>
      <c r="H211" s="183"/>
      <c r="I211" s="180"/>
      <c r="J211" s="180"/>
      <c r="K211" s="180"/>
      <c r="L211" s="180"/>
      <c r="M211" s="180"/>
      <c r="N211" s="181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ht="11.25" customHeight="1">
      <c r="A212" s="179"/>
      <c r="B212" s="180"/>
      <c r="C212" s="181"/>
      <c r="D212" s="180"/>
      <c r="E212" s="180"/>
      <c r="F212" s="179"/>
      <c r="G212" s="182"/>
      <c r="H212" s="183"/>
      <c r="I212" s="180"/>
      <c r="J212" s="180"/>
      <c r="K212" s="180"/>
      <c r="L212" s="180"/>
      <c r="M212" s="180"/>
      <c r="N212" s="181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ht="11.25" customHeight="1">
      <c r="A213" s="179"/>
      <c r="B213" s="180"/>
      <c r="C213" s="181"/>
      <c r="D213" s="180"/>
      <c r="E213" s="180"/>
      <c r="F213" s="179"/>
      <c r="G213" s="182"/>
      <c r="H213" s="183"/>
      <c r="I213" s="180"/>
      <c r="J213" s="180"/>
      <c r="K213" s="180"/>
      <c r="L213" s="180"/>
      <c r="M213" s="180"/>
      <c r="N213" s="181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ht="11.25" customHeight="1">
      <c r="A214" s="179"/>
      <c r="B214" s="180"/>
      <c r="C214" s="181"/>
      <c r="D214" s="180"/>
      <c r="E214" s="180"/>
      <c r="F214" s="179"/>
      <c r="G214" s="182"/>
      <c r="H214" s="183"/>
      <c r="I214" s="180"/>
      <c r="J214" s="180"/>
      <c r="K214" s="180"/>
      <c r="L214" s="180"/>
      <c r="M214" s="180"/>
      <c r="N214" s="181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ht="11.25" customHeight="1">
      <c r="A215" s="179"/>
      <c r="B215" s="180"/>
      <c r="C215" s="181"/>
      <c r="D215" s="180"/>
      <c r="E215" s="180"/>
      <c r="F215" s="179"/>
      <c r="G215" s="182"/>
      <c r="H215" s="183"/>
      <c r="I215" s="180"/>
      <c r="J215" s="180"/>
      <c r="K215" s="180"/>
      <c r="L215" s="180"/>
      <c r="M215" s="180"/>
      <c r="N215" s="181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ht="11.25" customHeight="1">
      <c r="A216" s="179"/>
      <c r="B216" s="180"/>
      <c r="C216" s="181"/>
      <c r="D216" s="180"/>
      <c r="E216" s="180"/>
      <c r="F216" s="179"/>
      <c r="G216" s="182"/>
      <c r="H216" s="183"/>
      <c r="I216" s="180"/>
      <c r="J216" s="180"/>
      <c r="K216" s="180"/>
      <c r="L216" s="180"/>
      <c r="M216" s="180"/>
      <c r="N216" s="181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ht="11.25" customHeight="1">
      <c r="A217" s="179"/>
      <c r="B217" s="180"/>
      <c r="C217" s="181"/>
      <c r="D217" s="180"/>
      <c r="E217" s="180"/>
      <c r="F217" s="179"/>
      <c r="G217" s="182"/>
      <c r="H217" s="183"/>
      <c r="I217" s="180"/>
      <c r="J217" s="180"/>
      <c r="K217" s="180"/>
      <c r="L217" s="180"/>
      <c r="M217" s="180"/>
      <c r="N217" s="181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ht="11.25" customHeight="1">
      <c r="A218" s="179"/>
      <c r="B218" s="180"/>
      <c r="C218" s="181"/>
      <c r="D218" s="180"/>
      <c r="E218" s="180"/>
      <c r="F218" s="179"/>
      <c r="G218" s="182"/>
      <c r="H218" s="183"/>
      <c r="I218" s="180"/>
      <c r="J218" s="180"/>
      <c r="K218" s="180"/>
      <c r="L218" s="180"/>
      <c r="M218" s="180"/>
      <c r="N218" s="181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ht="11.25" customHeight="1">
      <c r="A219" s="179"/>
      <c r="B219" s="180"/>
      <c r="C219" s="181"/>
      <c r="D219" s="180"/>
      <c r="E219" s="180"/>
      <c r="F219" s="179"/>
      <c r="G219" s="182"/>
      <c r="H219" s="183"/>
      <c r="I219" s="180"/>
      <c r="J219" s="180"/>
      <c r="K219" s="180"/>
      <c r="L219" s="180"/>
      <c r="M219" s="180"/>
      <c r="N219" s="181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ht="11.25" customHeight="1">
      <c r="A220" s="179"/>
      <c r="B220" s="180"/>
      <c r="C220" s="181"/>
      <c r="D220" s="180"/>
      <c r="E220" s="180"/>
      <c r="F220" s="179"/>
      <c r="G220" s="182"/>
      <c r="H220" s="183"/>
      <c r="I220" s="180"/>
      <c r="J220" s="180"/>
      <c r="K220" s="180"/>
      <c r="L220" s="180"/>
      <c r="M220" s="180"/>
      <c r="N220" s="181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ht="11.25" customHeight="1">
      <c r="A221" s="179"/>
      <c r="B221" s="180"/>
      <c r="C221" s="181"/>
      <c r="D221" s="180"/>
      <c r="E221" s="180"/>
      <c r="F221" s="179"/>
      <c r="G221" s="182"/>
      <c r="H221" s="183"/>
      <c r="I221" s="180"/>
      <c r="J221" s="180"/>
      <c r="K221" s="180"/>
      <c r="L221" s="180"/>
      <c r="M221" s="180"/>
      <c r="N221" s="181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1.25" customHeight="1">
      <c r="A222" s="179"/>
      <c r="B222" s="180"/>
      <c r="C222" s="181"/>
      <c r="D222" s="180"/>
      <c r="E222" s="180"/>
      <c r="F222" s="179"/>
      <c r="G222" s="182"/>
      <c r="H222" s="183"/>
      <c r="I222" s="180"/>
      <c r="J222" s="180"/>
      <c r="K222" s="180"/>
      <c r="L222" s="180"/>
      <c r="M222" s="180"/>
      <c r="N222" s="181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1.25" customHeight="1">
      <c r="A223" s="179"/>
      <c r="B223" s="180"/>
      <c r="C223" s="181"/>
      <c r="D223" s="180"/>
      <c r="E223" s="180"/>
      <c r="F223" s="179"/>
      <c r="G223" s="182"/>
      <c r="H223" s="183"/>
      <c r="I223" s="180"/>
      <c r="J223" s="180"/>
      <c r="K223" s="180"/>
      <c r="L223" s="180"/>
      <c r="M223" s="180"/>
      <c r="N223" s="181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1.25" customHeight="1">
      <c r="A224" s="179"/>
      <c r="B224" s="180"/>
      <c r="C224" s="181"/>
      <c r="D224" s="180"/>
      <c r="E224" s="180"/>
      <c r="F224" s="179"/>
      <c r="G224" s="182"/>
      <c r="H224" s="183"/>
      <c r="I224" s="180"/>
      <c r="J224" s="180"/>
      <c r="K224" s="180"/>
      <c r="L224" s="180"/>
      <c r="M224" s="180"/>
      <c r="N224" s="181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1.25" customHeight="1">
      <c r="A225" s="179"/>
      <c r="B225" s="180"/>
      <c r="C225" s="181"/>
      <c r="D225" s="180"/>
      <c r="E225" s="180"/>
      <c r="F225" s="179"/>
      <c r="G225" s="182"/>
      <c r="H225" s="183"/>
      <c r="I225" s="180"/>
      <c r="J225" s="180"/>
      <c r="K225" s="180"/>
      <c r="L225" s="180"/>
      <c r="M225" s="180"/>
      <c r="N225" s="181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1.25" customHeight="1">
      <c r="A226" s="179"/>
      <c r="B226" s="180"/>
      <c r="C226" s="181"/>
      <c r="D226" s="180"/>
      <c r="E226" s="180"/>
      <c r="F226" s="179"/>
      <c r="G226" s="182"/>
      <c r="H226" s="183"/>
      <c r="I226" s="180"/>
      <c r="J226" s="180"/>
      <c r="K226" s="180"/>
      <c r="L226" s="180"/>
      <c r="M226" s="180"/>
      <c r="N226" s="181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1.25" customHeight="1">
      <c r="A227" s="179"/>
      <c r="B227" s="180"/>
      <c r="C227" s="181"/>
      <c r="D227" s="180"/>
      <c r="E227" s="180"/>
      <c r="F227" s="179"/>
      <c r="G227" s="182"/>
      <c r="H227" s="183"/>
      <c r="I227" s="180"/>
      <c r="J227" s="180"/>
      <c r="K227" s="180"/>
      <c r="L227" s="180"/>
      <c r="M227" s="180"/>
      <c r="N227" s="181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1.25" customHeight="1">
      <c r="A228" s="179"/>
      <c r="B228" s="180"/>
      <c r="C228" s="181"/>
      <c r="D228" s="180"/>
      <c r="E228" s="180"/>
      <c r="F228" s="179"/>
      <c r="G228" s="182"/>
      <c r="H228" s="183"/>
      <c r="I228" s="180"/>
      <c r="J228" s="180"/>
      <c r="K228" s="180"/>
      <c r="L228" s="180"/>
      <c r="M228" s="180"/>
      <c r="N228" s="181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1.25" customHeight="1">
      <c r="A229" s="179"/>
      <c r="B229" s="180"/>
      <c r="C229" s="181"/>
      <c r="D229" s="180"/>
      <c r="E229" s="180"/>
      <c r="F229" s="179"/>
      <c r="G229" s="182"/>
      <c r="H229" s="183"/>
      <c r="I229" s="180"/>
      <c r="J229" s="180"/>
      <c r="K229" s="180"/>
      <c r="L229" s="180"/>
      <c r="M229" s="180"/>
      <c r="N229" s="181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1.25" customHeight="1">
      <c r="A230" s="179"/>
      <c r="B230" s="180"/>
      <c r="C230" s="181"/>
      <c r="D230" s="180"/>
      <c r="E230" s="180"/>
      <c r="F230" s="179"/>
      <c r="G230" s="182"/>
      <c r="H230" s="183"/>
      <c r="I230" s="180"/>
      <c r="J230" s="180"/>
      <c r="K230" s="180"/>
      <c r="L230" s="180"/>
      <c r="M230" s="180"/>
      <c r="N230" s="181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1.25" customHeight="1">
      <c r="A231" s="179"/>
      <c r="B231" s="180"/>
      <c r="C231" s="181"/>
      <c r="D231" s="180"/>
      <c r="E231" s="180"/>
      <c r="F231" s="179"/>
      <c r="G231" s="182"/>
      <c r="H231" s="183"/>
      <c r="I231" s="180"/>
      <c r="J231" s="180"/>
      <c r="K231" s="180"/>
      <c r="L231" s="180"/>
      <c r="M231" s="180"/>
      <c r="N231" s="181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1.25" customHeight="1">
      <c r="A232" s="179"/>
      <c r="B232" s="180"/>
      <c r="C232" s="181"/>
      <c r="D232" s="180"/>
      <c r="E232" s="180"/>
      <c r="F232" s="179"/>
      <c r="G232" s="182"/>
      <c r="H232" s="183"/>
      <c r="I232" s="180"/>
      <c r="J232" s="180"/>
      <c r="K232" s="180"/>
      <c r="L232" s="180"/>
      <c r="M232" s="180"/>
      <c r="N232" s="181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1.25" customHeight="1">
      <c r="A233" s="179"/>
      <c r="B233" s="180"/>
      <c r="C233" s="181"/>
      <c r="D233" s="180"/>
      <c r="E233" s="180"/>
      <c r="F233" s="179"/>
      <c r="G233" s="182"/>
      <c r="H233" s="183"/>
      <c r="I233" s="180"/>
      <c r="J233" s="180"/>
      <c r="K233" s="180"/>
      <c r="L233" s="180"/>
      <c r="M233" s="180"/>
      <c r="N233" s="181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1.25" customHeight="1">
      <c r="A234" s="179"/>
      <c r="B234" s="180"/>
      <c r="C234" s="181"/>
      <c r="D234" s="180"/>
      <c r="E234" s="180"/>
      <c r="F234" s="179"/>
      <c r="G234" s="182"/>
      <c r="H234" s="183"/>
      <c r="I234" s="180"/>
      <c r="J234" s="180"/>
      <c r="K234" s="180"/>
      <c r="L234" s="180"/>
      <c r="M234" s="180"/>
      <c r="N234" s="181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1.25" customHeight="1">
      <c r="A235" s="179"/>
      <c r="B235" s="180"/>
      <c r="C235" s="181"/>
      <c r="D235" s="180"/>
      <c r="E235" s="180"/>
      <c r="F235" s="179"/>
      <c r="G235" s="182"/>
      <c r="H235" s="183"/>
      <c r="I235" s="180"/>
      <c r="J235" s="180"/>
      <c r="K235" s="180"/>
      <c r="L235" s="180"/>
      <c r="M235" s="180"/>
      <c r="N235" s="181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1.25" customHeight="1">
      <c r="A236" s="179"/>
      <c r="B236" s="180"/>
      <c r="C236" s="181"/>
      <c r="D236" s="180"/>
      <c r="E236" s="180"/>
      <c r="F236" s="179"/>
      <c r="G236" s="182"/>
      <c r="H236" s="183"/>
      <c r="I236" s="180"/>
      <c r="J236" s="180"/>
      <c r="K236" s="180"/>
      <c r="L236" s="180"/>
      <c r="M236" s="180"/>
      <c r="N236" s="181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1.25" customHeight="1">
      <c r="A237" s="179"/>
      <c r="B237" s="180"/>
      <c r="C237" s="181"/>
      <c r="D237" s="180"/>
      <c r="E237" s="180"/>
      <c r="F237" s="179"/>
      <c r="G237" s="182"/>
      <c r="H237" s="183"/>
      <c r="I237" s="180"/>
      <c r="J237" s="180"/>
      <c r="K237" s="180"/>
      <c r="L237" s="180"/>
      <c r="M237" s="180"/>
      <c r="N237" s="181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1.25" customHeight="1">
      <c r="A238" s="179"/>
      <c r="B238" s="180"/>
      <c r="C238" s="181"/>
      <c r="D238" s="180"/>
      <c r="E238" s="180"/>
      <c r="F238" s="179"/>
      <c r="G238" s="182"/>
      <c r="H238" s="183"/>
      <c r="I238" s="180"/>
      <c r="J238" s="180"/>
      <c r="K238" s="180"/>
      <c r="L238" s="180"/>
      <c r="M238" s="180"/>
      <c r="N238" s="181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1.25" customHeight="1">
      <c r="A239" s="179"/>
      <c r="B239" s="180"/>
      <c r="C239" s="181"/>
      <c r="D239" s="180"/>
      <c r="E239" s="180"/>
      <c r="F239" s="179"/>
      <c r="G239" s="182"/>
      <c r="H239" s="183"/>
      <c r="I239" s="180"/>
      <c r="J239" s="180"/>
      <c r="K239" s="180"/>
      <c r="L239" s="180"/>
      <c r="M239" s="180"/>
      <c r="N239" s="181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1.25" customHeight="1">
      <c r="A240" s="179"/>
      <c r="B240" s="180"/>
      <c r="C240" s="181"/>
      <c r="D240" s="180"/>
      <c r="E240" s="180"/>
      <c r="F240" s="179"/>
      <c r="G240" s="182"/>
      <c r="H240" s="183"/>
      <c r="I240" s="180"/>
      <c r="J240" s="180"/>
      <c r="K240" s="180"/>
      <c r="L240" s="180"/>
      <c r="M240" s="180"/>
      <c r="N240" s="181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1.25" customHeight="1">
      <c r="A241" s="179"/>
      <c r="B241" s="180"/>
      <c r="C241" s="181"/>
      <c r="D241" s="180"/>
      <c r="E241" s="180"/>
      <c r="F241" s="179"/>
      <c r="G241" s="182"/>
      <c r="H241" s="183"/>
      <c r="I241" s="180"/>
      <c r="J241" s="180"/>
      <c r="K241" s="180"/>
      <c r="L241" s="180"/>
      <c r="M241" s="180"/>
      <c r="N241" s="181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1.25" customHeight="1">
      <c r="A242" s="179"/>
      <c r="B242" s="180"/>
      <c r="C242" s="181"/>
      <c r="D242" s="180"/>
      <c r="E242" s="180"/>
      <c r="F242" s="179"/>
      <c r="G242" s="182"/>
      <c r="H242" s="183"/>
      <c r="I242" s="180"/>
      <c r="J242" s="180"/>
      <c r="K242" s="180"/>
      <c r="L242" s="180"/>
      <c r="M242" s="180"/>
      <c r="N242" s="181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1.25" customHeight="1">
      <c r="A243" s="179"/>
      <c r="B243" s="180"/>
      <c r="C243" s="181"/>
      <c r="D243" s="180"/>
      <c r="E243" s="180"/>
      <c r="F243" s="179"/>
      <c r="G243" s="182"/>
      <c r="H243" s="183"/>
      <c r="I243" s="180"/>
      <c r="J243" s="180"/>
      <c r="K243" s="180"/>
      <c r="L243" s="180"/>
      <c r="M243" s="180"/>
      <c r="N243" s="181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1.25" customHeight="1">
      <c r="A244" s="179"/>
      <c r="B244" s="180"/>
      <c r="C244" s="181"/>
      <c r="D244" s="180"/>
      <c r="E244" s="180"/>
      <c r="F244" s="179"/>
      <c r="G244" s="182"/>
      <c r="H244" s="183"/>
      <c r="I244" s="180"/>
      <c r="J244" s="180"/>
      <c r="K244" s="180"/>
      <c r="L244" s="180"/>
      <c r="M244" s="180"/>
      <c r="N244" s="181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1.25" customHeight="1">
      <c r="A245" s="179"/>
      <c r="B245" s="180"/>
      <c r="C245" s="181"/>
      <c r="D245" s="180"/>
      <c r="E245" s="180"/>
      <c r="F245" s="179"/>
      <c r="G245" s="182"/>
      <c r="H245" s="183"/>
      <c r="I245" s="180"/>
      <c r="J245" s="180"/>
      <c r="K245" s="180"/>
      <c r="L245" s="180"/>
      <c r="M245" s="180"/>
      <c r="N245" s="181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1.25" customHeight="1">
      <c r="A246" s="179"/>
      <c r="B246" s="180"/>
      <c r="C246" s="181"/>
      <c r="D246" s="180"/>
      <c r="E246" s="180"/>
      <c r="F246" s="179"/>
      <c r="G246" s="182"/>
      <c r="H246" s="183"/>
      <c r="I246" s="180"/>
      <c r="J246" s="180"/>
      <c r="K246" s="180"/>
      <c r="L246" s="180"/>
      <c r="M246" s="180"/>
      <c r="N246" s="181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1.25" customHeight="1">
      <c r="A247" s="179"/>
      <c r="B247" s="180"/>
      <c r="C247" s="181"/>
      <c r="D247" s="180"/>
      <c r="E247" s="180"/>
      <c r="F247" s="179"/>
      <c r="G247" s="182"/>
      <c r="H247" s="183"/>
      <c r="I247" s="180"/>
      <c r="J247" s="180"/>
      <c r="K247" s="180"/>
      <c r="L247" s="180"/>
      <c r="M247" s="180"/>
      <c r="N247" s="181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1.25" customHeight="1">
      <c r="A248" s="179"/>
      <c r="B248" s="180"/>
      <c r="C248" s="181"/>
      <c r="D248" s="180"/>
      <c r="E248" s="180"/>
      <c r="F248" s="179"/>
      <c r="G248" s="182"/>
      <c r="H248" s="183"/>
      <c r="I248" s="180"/>
      <c r="J248" s="180"/>
      <c r="K248" s="180"/>
      <c r="L248" s="180"/>
      <c r="M248" s="180"/>
      <c r="N248" s="181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1.25" customHeight="1">
      <c r="A249" s="179"/>
      <c r="B249" s="180"/>
      <c r="C249" s="181"/>
      <c r="D249" s="180"/>
      <c r="E249" s="180"/>
      <c r="F249" s="179"/>
      <c r="G249" s="182"/>
      <c r="H249" s="183"/>
      <c r="I249" s="180"/>
      <c r="J249" s="180"/>
      <c r="K249" s="180"/>
      <c r="L249" s="180"/>
      <c r="M249" s="180"/>
      <c r="N249" s="181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1.25" customHeight="1">
      <c r="A250" s="179"/>
      <c r="B250" s="180"/>
      <c r="C250" s="181"/>
      <c r="D250" s="180"/>
      <c r="E250" s="180"/>
      <c r="F250" s="179"/>
      <c r="G250" s="182"/>
      <c r="H250" s="183"/>
      <c r="I250" s="180"/>
      <c r="J250" s="180"/>
      <c r="K250" s="180"/>
      <c r="L250" s="180"/>
      <c r="M250" s="180"/>
      <c r="N250" s="181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1.25" customHeight="1">
      <c r="A251" s="179"/>
      <c r="B251" s="180"/>
      <c r="C251" s="181"/>
      <c r="D251" s="180"/>
      <c r="E251" s="180"/>
      <c r="F251" s="179"/>
      <c r="G251" s="182"/>
      <c r="H251" s="183"/>
      <c r="I251" s="180"/>
      <c r="J251" s="180"/>
      <c r="K251" s="180"/>
      <c r="L251" s="180"/>
      <c r="M251" s="180"/>
      <c r="N251" s="181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1.25" customHeight="1">
      <c r="A252" s="179"/>
      <c r="B252" s="180"/>
      <c r="C252" s="181"/>
      <c r="D252" s="180"/>
      <c r="E252" s="180"/>
      <c r="F252" s="179"/>
      <c r="G252" s="182"/>
      <c r="H252" s="183"/>
      <c r="I252" s="180"/>
      <c r="J252" s="180"/>
      <c r="K252" s="180"/>
      <c r="L252" s="180"/>
      <c r="M252" s="180"/>
      <c r="N252" s="181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1.25" customHeight="1">
      <c r="A253" s="179"/>
      <c r="B253" s="180"/>
      <c r="C253" s="181"/>
      <c r="D253" s="180"/>
      <c r="E253" s="180"/>
      <c r="F253" s="179"/>
      <c r="G253" s="182"/>
      <c r="H253" s="183"/>
      <c r="I253" s="180"/>
      <c r="J253" s="180"/>
      <c r="K253" s="180"/>
      <c r="L253" s="180"/>
      <c r="M253" s="180"/>
      <c r="N253" s="181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1.25" customHeight="1">
      <c r="A254" s="179"/>
      <c r="B254" s="180"/>
      <c r="C254" s="181"/>
      <c r="D254" s="180"/>
      <c r="E254" s="180"/>
      <c r="F254" s="179"/>
      <c r="G254" s="182"/>
      <c r="H254" s="183"/>
      <c r="I254" s="180"/>
      <c r="J254" s="180"/>
      <c r="K254" s="180"/>
      <c r="L254" s="180"/>
      <c r="M254" s="180"/>
      <c r="N254" s="181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1.25" customHeight="1">
      <c r="A255" s="179"/>
      <c r="B255" s="180"/>
      <c r="C255" s="181"/>
      <c r="D255" s="180"/>
      <c r="E255" s="180"/>
      <c r="F255" s="179"/>
      <c r="G255" s="182"/>
      <c r="H255" s="183"/>
      <c r="I255" s="180"/>
      <c r="J255" s="180"/>
      <c r="K255" s="180"/>
      <c r="L255" s="180"/>
      <c r="M255" s="180"/>
      <c r="N255" s="181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1.25" customHeight="1">
      <c r="A256" s="179"/>
      <c r="B256" s="180"/>
      <c r="C256" s="181"/>
      <c r="D256" s="180"/>
      <c r="E256" s="180"/>
      <c r="F256" s="179"/>
      <c r="G256" s="182"/>
      <c r="H256" s="183"/>
      <c r="I256" s="180"/>
      <c r="J256" s="180"/>
      <c r="K256" s="180"/>
      <c r="L256" s="180"/>
      <c r="M256" s="180"/>
      <c r="N256" s="181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1.25" customHeight="1">
      <c r="A257" s="179"/>
      <c r="B257" s="180"/>
      <c r="C257" s="181"/>
      <c r="D257" s="180"/>
      <c r="E257" s="180"/>
      <c r="F257" s="179"/>
      <c r="G257" s="182"/>
      <c r="H257" s="183"/>
      <c r="I257" s="180"/>
      <c r="J257" s="180"/>
      <c r="K257" s="180"/>
      <c r="L257" s="180"/>
      <c r="M257" s="180"/>
      <c r="N257" s="181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1.25" customHeight="1">
      <c r="A258" s="179"/>
      <c r="B258" s="180"/>
      <c r="C258" s="181"/>
      <c r="D258" s="180"/>
      <c r="E258" s="180"/>
      <c r="F258" s="179"/>
      <c r="G258" s="182"/>
      <c r="H258" s="183"/>
      <c r="I258" s="180"/>
      <c r="J258" s="180"/>
      <c r="K258" s="180"/>
      <c r="L258" s="180"/>
      <c r="M258" s="180"/>
      <c r="N258" s="181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1.25" customHeight="1">
      <c r="A259" s="179"/>
      <c r="B259" s="180"/>
      <c r="C259" s="181"/>
      <c r="D259" s="180"/>
      <c r="E259" s="180"/>
      <c r="F259" s="179"/>
      <c r="G259" s="182"/>
      <c r="H259" s="183"/>
      <c r="I259" s="180"/>
      <c r="J259" s="180"/>
      <c r="K259" s="180"/>
      <c r="L259" s="180"/>
      <c r="M259" s="180"/>
      <c r="N259" s="181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1.25" customHeight="1">
      <c r="A260" s="179"/>
      <c r="B260" s="180"/>
      <c r="C260" s="181"/>
      <c r="D260" s="180"/>
      <c r="E260" s="180"/>
      <c r="F260" s="179"/>
      <c r="G260" s="182"/>
      <c r="H260" s="183"/>
      <c r="I260" s="180"/>
      <c r="J260" s="180"/>
      <c r="K260" s="180"/>
      <c r="L260" s="180"/>
      <c r="M260" s="180"/>
      <c r="N260" s="181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1.25" customHeight="1">
      <c r="A261" s="179"/>
      <c r="B261" s="180"/>
      <c r="C261" s="181"/>
      <c r="D261" s="180"/>
      <c r="E261" s="180"/>
      <c r="F261" s="179"/>
      <c r="G261" s="182"/>
      <c r="H261" s="183"/>
      <c r="I261" s="180"/>
      <c r="J261" s="180"/>
      <c r="K261" s="180"/>
      <c r="L261" s="180"/>
      <c r="M261" s="180"/>
      <c r="N261" s="181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1.25" customHeight="1">
      <c r="A262" s="179"/>
      <c r="B262" s="180"/>
      <c r="C262" s="181"/>
      <c r="D262" s="180"/>
      <c r="E262" s="180"/>
      <c r="F262" s="179"/>
      <c r="G262" s="182"/>
      <c r="H262" s="183"/>
      <c r="I262" s="180"/>
      <c r="J262" s="180"/>
      <c r="K262" s="180"/>
      <c r="L262" s="180"/>
      <c r="M262" s="180"/>
      <c r="N262" s="181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1.25" customHeight="1">
      <c r="A263" s="179"/>
      <c r="B263" s="180"/>
      <c r="C263" s="181"/>
      <c r="D263" s="180"/>
      <c r="E263" s="180"/>
      <c r="F263" s="179"/>
      <c r="G263" s="182"/>
      <c r="H263" s="183"/>
      <c r="I263" s="180"/>
      <c r="J263" s="180"/>
      <c r="K263" s="180"/>
      <c r="L263" s="180"/>
      <c r="M263" s="180"/>
      <c r="N263" s="181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1.25" customHeight="1">
      <c r="A264" s="179"/>
      <c r="B264" s="180"/>
      <c r="C264" s="181"/>
      <c r="D264" s="180"/>
      <c r="E264" s="180"/>
      <c r="F264" s="179"/>
      <c r="G264" s="182"/>
      <c r="H264" s="183"/>
      <c r="I264" s="180"/>
      <c r="J264" s="180"/>
      <c r="K264" s="180"/>
      <c r="L264" s="180"/>
      <c r="M264" s="180"/>
      <c r="N264" s="181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1.25" customHeight="1">
      <c r="A265" s="179"/>
      <c r="B265" s="180"/>
      <c r="C265" s="181"/>
      <c r="D265" s="180"/>
      <c r="E265" s="180"/>
      <c r="F265" s="179"/>
      <c r="G265" s="182"/>
      <c r="H265" s="183"/>
      <c r="I265" s="180"/>
      <c r="J265" s="180"/>
      <c r="K265" s="180"/>
      <c r="L265" s="180"/>
      <c r="M265" s="180"/>
      <c r="N265" s="181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1.25" customHeight="1">
      <c r="A266" s="179"/>
      <c r="B266" s="180"/>
      <c r="C266" s="181"/>
      <c r="D266" s="180"/>
      <c r="E266" s="180"/>
      <c r="F266" s="179"/>
      <c r="G266" s="182"/>
      <c r="H266" s="183"/>
      <c r="I266" s="180"/>
      <c r="J266" s="180"/>
      <c r="K266" s="180"/>
      <c r="L266" s="180"/>
      <c r="M266" s="180"/>
      <c r="N266" s="181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1.25" customHeight="1">
      <c r="A267" s="179"/>
      <c r="B267" s="180"/>
      <c r="C267" s="181"/>
      <c r="D267" s="180"/>
      <c r="E267" s="180"/>
      <c r="F267" s="179"/>
      <c r="G267" s="182"/>
      <c r="H267" s="183"/>
      <c r="I267" s="180"/>
      <c r="J267" s="180"/>
      <c r="K267" s="180"/>
      <c r="L267" s="180"/>
      <c r="M267" s="180"/>
      <c r="N267" s="181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1.25" customHeight="1">
      <c r="A268" s="179"/>
      <c r="B268" s="180"/>
      <c r="C268" s="181"/>
      <c r="D268" s="180"/>
      <c r="E268" s="180"/>
      <c r="F268" s="179"/>
      <c r="G268" s="182"/>
      <c r="H268" s="183"/>
      <c r="I268" s="180"/>
      <c r="J268" s="180"/>
      <c r="K268" s="180"/>
      <c r="L268" s="180"/>
      <c r="M268" s="180"/>
      <c r="N268" s="181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1.25" customHeight="1">
      <c r="A269" s="179"/>
      <c r="B269" s="180"/>
      <c r="C269" s="181"/>
      <c r="D269" s="180"/>
      <c r="E269" s="180"/>
      <c r="F269" s="179"/>
      <c r="G269" s="182"/>
      <c r="H269" s="183"/>
      <c r="I269" s="180"/>
      <c r="J269" s="180"/>
      <c r="K269" s="180"/>
      <c r="L269" s="180"/>
      <c r="M269" s="180"/>
      <c r="N269" s="181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1.25" customHeight="1">
      <c r="A270" s="179"/>
      <c r="B270" s="180"/>
      <c r="C270" s="181"/>
      <c r="D270" s="180"/>
      <c r="E270" s="180"/>
      <c r="F270" s="179"/>
      <c r="G270" s="182"/>
      <c r="H270" s="183"/>
      <c r="I270" s="180"/>
      <c r="J270" s="180"/>
      <c r="K270" s="180"/>
      <c r="L270" s="180"/>
      <c r="M270" s="180"/>
      <c r="N270" s="181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1.25" customHeight="1">
      <c r="A271" s="179"/>
      <c r="B271" s="180"/>
      <c r="C271" s="181"/>
      <c r="D271" s="180"/>
      <c r="E271" s="180"/>
      <c r="F271" s="179"/>
      <c r="G271" s="182"/>
      <c r="H271" s="183"/>
      <c r="I271" s="180"/>
      <c r="J271" s="180"/>
      <c r="K271" s="180"/>
      <c r="L271" s="180"/>
      <c r="M271" s="180"/>
      <c r="N271" s="181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1.25" customHeight="1">
      <c r="A272" s="179"/>
      <c r="B272" s="180"/>
      <c r="C272" s="181"/>
      <c r="D272" s="180"/>
      <c r="E272" s="180"/>
      <c r="F272" s="179"/>
      <c r="G272" s="182"/>
      <c r="H272" s="183"/>
      <c r="I272" s="180"/>
      <c r="J272" s="180"/>
      <c r="K272" s="180"/>
      <c r="L272" s="180"/>
      <c r="M272" s="180"/>
      <c r="N272" s="181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1.25" customHeight="1">
      <c r="A273" s="179"/>
      <c r="B273" s="180"/>
      <c r="C273" s="181"/>
      <c r="D273" s="180"/>
      <c r="E273" s="180"/>
      <c r="F273" s="179"/>
      <c r="G273" s="182"/>
      <c r="H273" s="183"/>
      <c r="I273" s="180"/>
      <c r="J273" s="180"/>
      <c r="K273" s="180"/>
      <c r="L273" s="180"/>
      <c r="M273" s="180"/>
      <c r="N273" s="181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1.25" customHeight="1">
      <c r="A274" s="179"/>
      <c r="B274" s="180"/>
      <c r="C274" s="181"/>
      <c r="D274" s="180"/>
      <c r="E274" s="180"/>
      <c r="F274" s="179"/>
      <c r="G274" s="182"/>
      <c r="H274" s="183"/>
      <c r="I274" s="180"/>
      <c r="J274" s="180"/>
      <c r="K274" s="180"/>
      <c r="L274" s="180"/>
      <c r="M274" s="180"/>
      <c r="N274" s="181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1.25" customHeight="1">
      <c r="A275" s="179"/>
      <c r="B275" s="180"/>
      <c r="C275" s="181"/>
      <c r="D275" s="180"/>
      <c r="E275" s="180"/>
      <c r="F275" s="179"/>
      <c r="G275" s="182"/>
      <c r="H275" s="183"/>
      <c r="I275" s="180"/>
      <c r="J275" s="180"/>
      <c r="K275" s="180"/>
      <c r="L275" s="180"/>
      <c r="M275" s="180"/>
      <c r="N275" s="181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1.25" customHeight="1">
      <c r="A276" s="179"/>
      <c r="B276" s="180"/>
      <c r="C276" s="181"/>
      <c r="D276" s="180"/>
      <c r="E276" s="180"/>
      <c r="F276" s="179"/>
      <c r="G276" s="182"/>
      <c r="H276" s="183"/>
      <c r="I276" s="180"/>
      <c r="J276" s="180"/>
      <c r="K276" s="180"/>
      <c r="L276" s="180"/>
      <c r="M276" s="180"/>
      <c r="N276" s="181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1.25" customHeight="1">
      <c r="A277" s="179"/>
      <c r="B277" s="180"/>
      <c r="C277" s="181"/>
      <c r="D277" s="180"/>
      <c r="E277" s="180"/>
      <c r="F277" s="179"/>
      <c r="G277" s="182"/>
      <c r="H277" s="183"/>
      <c r="I277" s="180"/>
      <c r="J277" s="180"/>
      <c r="K277" s="180"/>
      <c r="L277" s="180"/>
      <c r="M277" s="180"/>
      <c r="N277" s="181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1.25" customHeight="1">
      <c r="A278" s="179"/>
      <c r="B278" s="180"/>
      <c r="C278" s="181"/>
      <c r="D278" s="180"/>
      <c r="E278" s="180"/>
      <c r="F278" s="179"/>
      <c r="G278" s="182"/>
      <c r="H278" s="183"/>
      <c r="I278" s="180"/>
      <c r="J278" s="180"/>
      <c r="K278" s="180"/>
      <c r="L278" s="180"/>
      <c r="M278" s="180"/>
      <c r="N278" s="181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1.25" customHeight="1">
      <c r="A279" s="179"/>
      <c r="B279" s="180"/>
      <c r="C279" s="181"/>
      <c r="D279" s="180"/>
      <c r="E279" s="180"/>
      <c r="F279" s="179"/>
      <c r="G279" s="182"/>
      <c r="H279" s="183"/>
      <c r="I279" s="180"/>
      <c r="J279" s="180"/>
      <c r="K279" s="180"/>
      <c r="L279" s="180"/>
      <c r="M279" s="180"/>
      <c r="N279" s="181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1.25" customHeight="1">
      <c r="A280" s="179"/>
      <c r="B280" s="180"/>
      <c r="C280" s="181"/>
      <c r="D280" s="180"/>
      <c r="E280" s="180"/>
      <c r="F280" s="179"/>
      <c r="G280" s="182"/>
      <c r="H280" s="183"/>
      <c r="I280" s="180"/>
      <c r="J280" s="180"/>
      <c r="K280" s="180"/>
      <c r="L280" s="180"/>
      <c r="M280" s="180"/>
      <c r="N280" s="181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1.25" customHeight="1">
      <c r="A281" s="179"/>
      <c r="B281" s="180"/>
      <c r="C281" s="181"/>
      <c r="D281" s="180"/>
      <c r="E281" s="180"/>
      <c r="F281" s="179"/>
      <c r="G281" s="182"/>
      <c r="H281" s="183"/>
      <c r="I281" s="180"/>
      <c r="J281" s="180"/>
      <c r="K281" s="180"/>
      <c r="L281" s="180"/>
      <c r="M281" s="180"/>
      <c r="N281" s="181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1.25" customHeight="1">
      <c r="A282" s="179"/>
      <c r="B282" s="180"/>
      <c r="C282" s="181"/>
      <c r="D282" s="180"/>
      <c r="E282" s="180"/>
      <c r="F282" s="179"/>
      <c r="G282" s="182"/>
      <c r="H282" s="183"/>
      <c r="I282" s="180"/>
      <c r="J282" s="180"/>
      <c r="K282" s="180"/>
      <c r="L282" s="180"/>
      <c r="M282" s="180"/>
      <c r="N282" s="181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1.25" customHeight="1">
      <c r="A283" s="179"/>
      <c r="B283" s="180"/>
      <c r="C283" s="181"/>
      <c r="D283" s="180"/>
      <c r="E283" s="180"/>
      <c r="F283" s="179"/>
      <c r="G283" s="182"/>
      <c r="H283" s="183"/>
      <c r="I283" s="180"/>
      <c r="J283" s="180"/>
      <c r="K283" s="180"/>
      <c r="L283" s="180"/>
      <c r="M283" s="180"/>
      <c r="N283" s="181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1.25" customHeight="1">
      <c r="A284" s="179"/>
      <c r="B284" s="180"/>
      <c r="C284" s="181"/>
      <c r="D284" s="180"/>
      <c r="E284" s="180"/>
      <c r="F284" s="179"/>
      <c r="G284" s="182"/>
      <c r="H284" s="183"/>
      <c r="I284" s="180"/>
      <c r="J284" s="180"/>
      <c r="K284" s="180"/>
      <c r="L284" s="180"/>
      <c r="M284" s="180"/>
      <c r="N284" s="181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1.25" customHeight="1">
      <c r="A285" s="179"/>
      <c r="B285" s="180"/>
      <c r="C285" s="181"/>
      <c r="D285" s="180"/>
      <c r="E285" s="180"/>
      <c r="F285" s="179"/>
      <c r="G285" s="182"/>
      <c r="H285" s="183"/>
      <c r="I285" s="180"/>
      <c r="J285" s="180"/>
      <c r="K285" s="180"/>
      <c r="L285" s="180"/>
      <c r="M285" s="180"/>
      <c r="N285" s="181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1.25" customHeight="1">
      <c r="A286" s="179"/>
      <c r="B286" s="180"/>
      <c r="C286" s="181"/>
      <c r="D286" s="180"/>
      <c r="E286" s="180"/>
      <c r="F286" s="179"/>
      <c r="G286" s="182"/>
      <c r="H286" s="183"/>
      <c r="I286" s="180"/>
      <c r="J286" s="180"/>
      <c r="K286" s="180"/>
      <c r="L286" s="180"/>
      <c r="M286" s="180"/>
      <c r="N286" s="181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1.25" customHeight="1">
      <c r="A287" s="179"/>
      <c r="B287" s="180"/>
      <c r="C287" s="181"/>
      <c r="D287" s="180"/>
      <c r="E287" s="180"/>
      <c r="F287" s="179"/>
      <c r="G287" s="182"/>
      <c r="H287" s="183"/>
      <c r="I287" s="180"/>
      <c r="J287" s="180"/>
      <c r="K287" s="180"/>
      <c r="L287" s="180"/>
      <c r="M287" s="180"/>
      <c r="N287" s="181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1.25" customHeight="1">
      <c r="A288" s="179"/>
      <c r="B288" s="180"/>
      <c r="C288" s="181"/>
      <c r="D288" s="180"/>
      <c r="E288" s="180"/>
      <c r="F288" s="179"/>
      <c r="G288" s="182"/>
      <c r="H288" s="183"/>
      <c r="I288" s="180"/>
      <c r="J288" s="180"/>
      <c r="K288" s="180"/>
      <c r="L288" s="180"/>
      <c r="M288" s="180"/>
      <c r="N288" s="181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1.25" customHeight="1">
      <c r="A289" s="179"/>
      <c r="B289" s="180"/>
      <c r="C289" s="181"/>
      <c r="D289" s="180"/>
      <c r="E289" s="180"/>
      <c r="F289" s="179"/>
      <c r="G289" s="182"/>
      <c r="H289" s="183"/>
      <c r="I289" s="180"/>
      <c r="J289" s="180"/>
      <c r="K289" s="180"/>
      <c r="L289" s="180"/>
      <c r="M289" s="180"/>
      <c r="N289" s="181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1.25" customHeight="1">
      <c r="A290" s="179"/>
      <c r="B290" s="180"/>
      <c r="C290" s="181"/>
      <c r="D290" s="180"/>
      <c r="E290" s="180"/>
      <c r="F290" s="179"/>
      <c r="G290" s="182"/>
      <c r="H290" s="183"/>
      <c r="I290" s="180"/>
      <c r="J290" s="180"/>
      <c r="K290" s="180"/>
      <c r="L290" s="180"/>
      <c r="M290" s="180"/>
      <c r="N290" s="181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1.25" customHeight="1">
      <c r="A291" s="179"/>
      <c r="B291" s="180"/>
      <c r="C291" s="181"/>
      <c r="D291" s="180"/>
      <c r="E291" s="180"/>
      <c r="F291" s="179"/>
      <c r="G291" s="182"/>
      <c r="H291" s="183"/>
      <c r="I291" s="180"/>
      <c r="J291" s="180"/>
      <c r="K291" s="180"/>
      <c r="L291" s="180"/>
      <c r="M291" s="180"/>
      <c r="N291" s="181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1.25" customHeight="1">
      <c r="A292" s="179"/>
      <c r="B292" s="180"/>
      <c r="C292" s="181"/>
      <c r="D292" s="180"/>
      <c r="E292" s="180"/>
      <c r="F292" s="179"/>
      <c r="G292" s="182"/>
      <c r="H292" s="183"/>
      <c r="I292" s="180"/>
      <c r="J292" s="180"/>
      <c r="K292" s="180"/>
      <c r="L292" s="180"/>
      <c r="M292" s="180"/>
      <c r="N292" s="181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1.25" customHeight="1">
      <c r="A293" s="179"/>
      <c r="B293" s="180"/>
      <c r="C293" s="181"/>
      <c r="D293" s="180"/>
      <c r="E293" s="180"/>
      <c r="F293" s="179"/>
      <c r="G293" s="182"/>
      <c r="H293" s="183"/>
      <c r="I293" s="180"/>
      <c r="J293" s="180"/>
      <c r="K293" s="180"/>
      <c r="L293" s="180"/>
      <c r="M293" s="180"/>
      <c r="N293" s="181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1.25" customHeight="1">
      <c r="A294" s="179"/>
      <c r="B294" s="180"/>
      <c r="C294" s="181"/>
      <c r="D294" s="180"/>
      <c r="E294" s="180"/>
      <c r="F294" s="179"/>
      <c r="G294" s="182"/>
      <c r="H294" s="183"/>
      <c r="I294" s="180"/>
      <c r="J294" s="180"/>
      <c r="K294" s="180"/>
      <c r="L294" s="180"/>
      <c r="M294" s="180"/>
      <c r="N294" s="181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1.25" customHeight="1">
      <c r="A295" s="179"/>
      <c r="B295" s="180"/>
      <c r="C295" s="181"/>
      <c r="D295" s="180"/>
      <c r="E295" s="180"/>
      <c r="F295" s="179"/>
      <c r="G295" s="182"/>
      <c r="H295" s="183"/>
      <c r="I295" s="180"/>
      <c r="J295" s="180"/>
      <c r="K295" s="180"/>
      <c r="L295" s="180"/>
      <c r="M295" s="180"/>
      <c r="N295" s="181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1.25" customHeight="1">
      <c r="A296" s="179"/>
      <c r="B296" s="180"/>
      <c r="C296" s="181"/>
      <c r="D296" s="180"/>
      <c r="E296" s="180"/>
      <c r="F296" s="179"/>
      <c r="G296" s="182"/>
      <c r="H296" s="183"/>
      <c r="I296" s="180"/>
      <c r="J296" s="180"/>
      <c r="K296" s="180"/>
      <c r="L296" s="180"/>
      <c r="M296" s="180"/>
      <c r="N296" s="181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1.25" customHeight="1">
      <c r="A297" s="179"/>
      <c r="B297" s="180"/>
      <c r="C297" s="181"/>
      <c r="D297" s="180"/>
      <c r="E297" s="180"/>
      <c r="F297" s="179"/>
      <c r="G297" s="182"/>
      <c r="H297" s="183"/>
      <c r="I297" s="180"/>
      <c r="J297" s="180"/>
      <c r="K297" s="180"/>
      <c r="L297" s="180"/>
      <c r="M297" s="180"/>
      <c r="N297" s="181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1.25" customHeight="1">
      <c r="A298" s="179"/>
      <c r="B298" s="180"/>
      <c r="C298" s="181"/>
      <c r="D298" s="180"/>
      <c r="E298" s="180"/>
      <c r="F298" s="179"/>
      <c r="G298" s="182"/>
      <c r="H298" s="183"/>
      <c r="I298" s="180"/>
      <c r="J298" s="180"/>
      <c r="K298" s="180"/>
      <c r="L298" s="180"/>
      <c r="M298" s="180"/>
      <c r="N298" s="181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1.25" customHeight="1">
      <c r="A299" s="179"/>
      <c r="B299" s="180"/>
      <c r="C299" s="181"/>
      <c r="D299" s="180"/>
      <c r="E299" s="180"/>
      <c r="F299" s="179"/>
      <c r="G299" s="182"/>
      <c r="H299" s="183"/>
      <c r="I299" s="180"/>
      <c r="J299" s="180"/>
      <c r="K299" s="180"/>
      <c r="L299" s="180"/>
      <c r="M299" s="180"/>
      <c r="N299" s="181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1.25" customHeight="1">
      <c r="A300" s="179"/>
      <c r="B300" s="180"/>
      <c r="C300" s="181"/>
      <c r="D300" s="180"/>
      <c r="E300" s="180"/>
      <c r="F300" s="179"/>
      <c r="G300" s="182"/>
      <c r="H300" s="183"/>
      <c r="I300" s="180"/>
      <c r="J300" s="180"/>
      <c r="K300" s="180"/>
      <c r="L300" s="180"/>
      <c r="M300" s="180"/>
      <c r="N300" s="181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1.25" customHeight="1">
      <c r="A301" s="179"/>
      <c r="B301" s="180"/>
      <c r="C301" s="181"/>
      <c r="D301" s="180"/>
      <c r="E301" s="180"/>
      <c r="F301" s="179"/>
      <c r="G301" s="182"/>
      <c r="H301" s="183"/>
      <c r="I301" s="180"/>
      <c r="J301" s="180"/>
      <c r="K301" s="180"/>
      <c r="L301" s="180"/>
      <c r="M301" s="180"/>
      <c r="N301" s="181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1.25" customHeight="1">
      <c r="A302" s="179"/>
      <c r="B302" s="180"/>
      <c r="C302" s="181"/>
      <c r="D302" s="180"/>
      <c r="E302" s="180"/>
      <c r="F302" s="179"/>
      <c r="G302" s="182"/>
      <c r="H302" s="183"/>
      <c r="I302" s="180"/>
      <c r="J302" s="180"/>
      <c r="K302" s="180"/>
      <c r="L302" s="180"/>
      <c r="M302" s="180"/>
      <c r="N302" s="181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1.25" customHeight="1">
      <c r="A303" s="179"/>
      <c r="B303" s="180"/>
      <c r="C303" s="181"/>
      <c r="D303" s="180"/>
      <c r="E303" s="180"/>
      <c r="F303" s="179"/>
      <c r="G303" s="182"/>
      <c r="H303" s="183"/>
      <c r="I303" s="180"/>
      <c r="J303" s="180"/>
      <c r="K303" s="180"/>
      <c r="L303" s="180"/>
      <c r="M303" s="180"/>
      <c r="N303" s="181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1.25" customHeight="1">
      <c r="A304" s="179"/>
      <c r="B304" s="180"/>
      <c r="C304" s="181"/>
      <c r="D304" s="180"/>
      <c r="E304" s="180"/>
      <c r="F304" s="179"/>
      <c r="G304" s="182"/>
      <c r="H304" s="183"/>
      <c r="I304" s="180"/>
      <c r="J304" s="180"/>
      <c r="K304" s="180"/>
      <c r="L304" s="180"/>
      <c r="M304" s="180"/>
      <c r="N304" s="181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1.25" customHeight="1">
      <c r="A305" s="179"/>
      <c r="B305" s="180"/>
      <c r="C305" s="181"/>
      <c r="D305" s="180"/>
      <c r="E305" s="180"/>
      <c r="F305" s="179"/>
      <c r="G305" s="182"/>
      <c r="H305" s="183"/>
      <c r="I305" s="180"/>
      <c r="J305" s="180"/>
      <c r="K305" s="180"/>
      <c r="L305" s="180"/>
      <c r="M305" s="180"/>
      <c r="N305" s="181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1.25" customHeight="1">
      <c r="A306" s="179"/>
      <c r="B306" s="180"/>
      <c r="C306" s="181"/>
      <c r="D306" s="180"/>
      <c r="E306" s="180"/>
      <c r="F306" s="179"/>
      <c r="G306" s="182"/>
      <c r="H306" s="183"/>
      <c r="I306" s="180"/>
      <c r="J306" s="180"/>
      <c r="K306" s="180"/>
      <c r="L306" s="180"/>
      <c r="M306" s="180"/>
      <c r="N306" s="181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1.25" customHeight="1">
      <c r="A307" s="179"/>
      <c r="B307" s="180"/>
      <c r="C307" s="181"/>
      <c r="D307" s="180"/>
      <c r="E307" s="180"/>
      <c r="F307" s="179"/>
      <c r="G307" s="182"/>
      <c r="H307" s="183"/>
      <c r="I307" s="180"/>
      <c r="J307" s="180"/>
      <c r="K307" s="180"/>
      <c r="L307" s="180"/>
      <c r="M307" s="180"/>
      <c r="N307" s="181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1.25" customHeight="1">
      <c r="A308" s="179"/>
      <c r="B308" s="180"/>
      <c r="C308" s="181"/>
      <c r="D308" s="180"/>
      <c r="E308" s="180"/>
      <c r="F308" s="179"/>
      <c r="G308" s="182"/>
      <c r="H308" s="183"/>
      <c r="I308" s="180"/>
      <c r="J308" s="180"/>
      <c r="K308" s="180"/>
      <c r="L308" s="180"/>
      <c r="M308" s="180"/>
      <c r="N308" s="181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1.25" customHeight="1">
      <c r="A309" s="179"/>
      <c r="B309" s="180"/>
      <c r="C309" s="181"/>
      <c r="D309" s="180"/>
      <c r="E309" s="180"/>
      <c r="F309" s="179"/>
      <c r="G309" s="182"/>
      <c r="H309" s="183"/>
      <c r="I309" s="180"/>
      <c r="J309" s="180"/>
      <c r="K309" s="180"/>
      <c r="L309" s="180"/>
      <c r="M309" s="180"/>
      <c r="N309" s="181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1.25" customHeight="1">
      <c r="A310" s="179"/>
      <c r="B310" s="180"/>
      <c r="C310" s="181"/>
      <c r="D310" s="180"/>
      <c r="E310" s="180"/>
      <c r="F310" s="179"/>
      <c r="G310" s="182"/>
      <c r="H310" s="183"/>
      <c r="I310" s="180"/>
      <c r="J310" s="180"/>
      <c r="K310" s="180"/>
      <c r="L310" s="180"/>
      <c r="M310" s="180"/>
      <c r="N310" s="181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1.25" customHeight="1">
      <c r="A311" s="179"/>
      <c r="B311" s="180"/>
      <c r="C311" s="181"/>
      <c r="D311" s="180"/>
      <c r="E311" s="180"/>
      <c r="F311" s="179"/>
      <c r="G311" s="182"/>
      <c r="H311" s="183"/>
      <c r="I311" s="180"/>
      <c r="J311" s="180"/>
      <c r="K311" s="180"/>
      <c r="L311" s="180"/>
      <c r="M311" s="180"/>
      <c r="N311" s="181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1.25" customHeight="1">
      <c r="A312" s="179"/>
      <c r="B312" s="180"/>
      <c r="C312" s="181"/>
      <c r="D312" s="180"/>
      <c r="E312" s="180"/>
      <c r="F312" s="179"/>
      <c r="G312" s="182"/>
      <c r="H312" s="183"/>
      <c r="I312" s="180"/>
      <c r="J312" s="180"/>
      <c r="K312" s="180"/>
      <c r="L312" s="180"/>
      <c r="M312" s="180"/>
      <c r="N312" s="181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1.25" customHeight="1">
      <c r="A313" s="179"/>
      <c r="B313" s="180"/>
      <c r="C313" s="181"/>
      <c r="D313" s="180"/>
      <c r="E313" s="180"/>
      <c r="F313" s="179"/>
      <c r="G313" s="182"/>
      <c r="H313" s="183"/>
      <c r="I313" s="180"/>
      <c r="J313" s="180"/>
      <c r="K313" s="180"/>
      <c r="L313" s="180"/>
      <c r="M313" s="180"/>
      <c r="N313" s="181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1.25" customHeight="1">
      <c r="A314" s="179"/>
      <c r="B314" s="180"/>
      <c r="C314" s="181"/>
      <c r="D314" s="180"/>
      <c r="E314" s="180"/>
      <c r="F314" s="179"/>
      <c r="G314" s="182"/>
      <c r="H314" s="183"/>
      <c r="I314" s="180"/>
      <c r="J314" s="180"/>
      <c r="K314" s="180"/>
      <c r="L314" s="180"/>
      <c r="M314" s="180"/>
      <c r="N314" s="181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1.25" customHeight="1">
      <c r="A315" s="179"/>
      <c r="B315" s="180"/>
      <c r="C315" s="181"/>
      <c r="D315" s="180"/>
      <c r="E315" s="180"/>
      <c r="F315" s="179"/>
      <c r="G315" s="182"/>
      <c r="H315" s="183"/>
      <c r="I315" s="180"/>
      <c r="J315" s="180"/>
      <c r="K315" s="180"/>
      <c r="L315" s="180"/>
      <c r="M315" s="180"/>
      <c r="N315" s="181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1.25" customHeight="1">
      <c r="A316" s="179"/>
      <c r="B316" s="180"/>
      <c r="C316" s="181"/>
      <c r="D316" s="180"/>
      <c r="E316" s="180"/>
      <c r="F316" s="179"/>
      <c r="G316" s="182"/>
      <c r="H316" s="183"/>
      <c r="I316" s="180"/>
      <c r="J316" s="180"/>
      <c r="K316" s="180"/>
      <c r="L316" s="180"/>
      <c r="M316" s="180"/>
      <c r="N316" s="181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1.25" customHeight="1">
      <c r="A317" s="179"/>
      <c r="B317" s="180"/>
      <c r="C317" s="181"/>
      <c r="D317" s="180"/>
      <c r="E317" s="180"/>
      <c r="F317" s="179"/>
      <c r="G317" s="182"/>
      <c r="H317" s="183"/>
      <c r="I317" s="180"/>
      <c r="J317" s="180"/>
      <c r="K317" s="180"/>
      <c r="L317" s="180"/>
      <c r="M317" s="180"/>
      <c r="N317" s="181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1.25" customHeight="1">
      <c r="A318" s="179"/>
      <c r="B318" s="180"/>
      <c r="C318" s="181"/>
      <c r="D318" s="180"/>
      <c r="E318" s="180"/>
      <c r="F318" s="179"/>
      <c r="G318" s="182"/>
      <c r="H318" s="183"/>
      <c r="I318" s="180"/>
      <c r="J318" s="180"/>
      <c r="K318" s="180"/>
      <c r="L318" s="180"/>
      <c r="M318" s="180"/>
      <c r="N318" s="181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1.25" customHeight="1">
      <c r="A319" s="179"/>
      <c r="B319" s="180"/>
      <c r="C319" s="181"/>
      <c r="D319" s="180"/>
      <c r="E319" s="180"/>
      <c r="F319" s="179"/>
      <c r="G319" s="182"/>
      <c r="H319" s="183"/>
      <c r="I319" s="180"/>
      <c r="J319" s="180"/>
      <c r="K319" s="180"/>
      <c r="L319" s="180"/>
      <c r="M319" s="180"/>
      <c r="N319" s="181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1.25" customHeight="1">
      <c r="A320" s="179"/>
      <c r="B320" s="180"/>
      <c r="C320" s="181"/>
      <c r="D320" s="180"/>
      <c r="E320" s="180"/>
      <c r="F320" s="179"/>
      <c r="G320" s="182"/>
      <c r="H320" s="183"/>
      <c r="I320" s="180"/>
      <c r="J320" s="180"/>
      <c r="K320" s="180"/>
      <c r="L320" s="180"/>
      <c r="M320" s="180"/>
      <c r="N320" s="181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1.25" customHeight="1">
      <c r="A321" s="179"/>
      <c r="B321" s="180"/>
      <c r="C321" s="181"/>
      <c r="D321" s="180"/>
      <c r="E321" s="180"/>
      <c r="F321" s="179"/>
      <c r="G321" s="182"/>
      <c r="H321" s="183"/>
      <c r="I321" s="180"/>
      <c r="J321" s="180"/>
      <c r="K321" s="180"/>
      <c r="L321" s="180"/>
      <c r="M321" s="180"/>
      <c r="N321" s="181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1.25" customHeight="1">
      <c r="A322" s="179"/>
      <c r="B322" s="180"/>
      <c r="C322" s="181"/>
      <c r="D322" s="180"/>
      <c r="E322" s="180"/>
      <c r="F322" s="179"/>
      <c r="G322" s="182"/>
      <c r="H322" s="183"/>
      <c r="I322" s="180"/>
      <c r="J322" s="180"/>
      <c r="K322" s="180"/>
      <c r="L322" s="180"/>
      <c r="M322" s="180"/>
      <c r="N322" s="181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1.25" customHeight="1">
      <c r="A323" s="179"/>
      <c r="B323" s="180"/>
      <c r="C323" s="181"/>
      <c r="D323" s="180"/>
      <c r="E323" s="180"/>
      <c r="F323" s="179"/>
      <c r="G323" s="182"/>
      <c r="H323" s="183"/>
      <c r="I323" s="180"/>
      <c r="J323" s="180"/>
      <c r="K323" s="180"/>
      <c r="L323" s="180"/>
      <c r="M323" s="180"/>
      <c r="N323" s="181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1.25" customHeight="1">
      <c r="A324" s="179"/>
      <c r="B324" s="180"/>
      <c r="C324" s="181"/>
      <c r="D324" s="180"/>
      <c r="E324" s="180"/>
      <c r="F324" s="179"/>
      <c r="G324" s="182"/>
      <c r="H324" s="183"/>
      <c r="I324" s="180"/>
      <c r="J324" s="180"/>
      <c r="K324" s="180"/>
      <c r="L324" s="180"/>
      <c r="M324" s="180"/>
      <c r="N324" s="181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1.25" customHeight="1">
      <c r="A325" s="179"/>
      <c r="B325" s="180"/>
      <c r="C325" s="181"/>
      <c r="D325" s="180"/>
      <c r="E325" s="180"/>
      <c r="F325" s="179"/>
      <c r="G325" s="182"/>
      <c r="H325" s="183"/>
      <c r="I325" s="180"/>
      <c r="J325" s="180"/>
      <c r="K325" s="180"/>
      <c r="L325" s="180"/>
      <c r="M325" s="180"/>
      <c r="N325" s="181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1.25" customHeight="1">
      <c r="A326" s="179"/>
      <c r="B326" s="180"/>
      <c r="C326" s="181"/>
      <c r="D326" s="180"/>
      <c r="E326" s="180"/>
      <c r="F326" s="179"/>
      <c r="G326" s="182"/>
      <c r="H326" s="183"/>
      <c r="I326" s="180"/>
      <c r="J326" s="180"/>
      <c r="K326" s="180"/>
      <c r="L326" s="180"/>
      <c r="M326" s="180"/>
      <c r="N326" s="181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1.25" customHeight="1">
      <c r="A327" s="179"/>
      <c r="B327" s="180"/>
      <c r="C327" s="181"/>
      <c r="D327" s="180"/>
      <c r="E327" s="180"/>
      <c r="F327" s="179"/>
      <c r="G327" s="182"/>
      <c r="H327" s="183"/>
      <c r="I327" s="180"/>
      <c r="J327" s="180"/>
      <c r="K327" s="180"/>
      <c r="L327" s="180"/>
      <c r="M327" s="180"/>
      <c r="N327" s="181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1.25" customHeight="1">
      <c r="A328" s="179"/>
      <c r="B328" s="180"/>
      <c r="C328" s="181"/>
      <c r="D328" s="180"/>
      <c r="E328" s="180"/>
      <c r="F328" s="179"/>
      <c r="G328" s="182"/>
      <c r="H328" s="183"/>
      <c r="I328" s="180"/>
      <c r="J328" s="180"/>
      <c r="K328" s="180"/>
      <c r="L328" s="180"/>
      <c r="M328" s="180"/>
      <c r="N328" s="181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1.25" customHeight="1">
      <c r="A329" s="179"/>
      <c r="B329" s="180"/>
      <c r="C329" s="181"/>
      <c r="D329" s="180"/>
      <c r="E329" s="180"/>
      <c r="F329" s="179"/>
      <c r="G329" s="182"/>
      <c r="H329" s="183"/>
      <c r="I329" s="180"/>
      <c r="J329" s="180"/>
      <c r="K329" s="180"/>
      <c r="L329" s="180"/>
      <c r="M329" s="180"/>
      <c r="N329" s="181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1.25" customHeight="1">
      <c r="A330" s="179"/>
      <c r="B330" s="180"/>
      <c r="C330" s="181"/>
      <c r="D330" s="180"/>
      <c r="E330" s="180"/>
      <c r="F330" s="179"/>
      <c r="G330" s="182"/>
      <c r="H330" s="183"/>
      <c r="I330" s="180"/>
      <c r="J330" s="180"/>
      <c r="K330" s="180"/>
      <c r="L330" s="180"/>
      <c r="M330" s="180"/>
      <c r="N330" s="181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1.25" customHeight="1">
      <c r="A331" s="179"/>
      <c r="B331" s="180"/>
      <c r="C331" s="181"/>
      <c r="D331" s="180"/>
      <c r="E331" s="180"/>
      <c r="F331" s="179"/>
      <c r="G331" s="182"/>
      <c r="H331" s="183"/>
      <c r="I331" s="180"/>
      <c r="J331" s="180"/>
      <c r="K331" s="180"/>
      <c r="L331" s="180"/>
      <c r="M331" s="180"/>
      <c r="N331" s="181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1.25" customHeight="1">
      <c r="A332" s="179"/>
      <c r="B332" s="180"/>
      <c r="C332" s="181"/>
      <c r="D332" s="180"/>
      <c r="E332" s="180"/>
      <c r="F332" s="179"/>
      <c r="G332" s="182"/>
      <c r="H332" s="183"/>
      <c r="I332" s="180"/>
      <c r="J332" s="180"/>
      <c r="K332" s="180"/>
      <c r="L332" s="180"/>
      <c r="M332" s="180"/>
      <c r="N332" s="181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1.25" customHeight="1">
      <c r="A333" s="179"/>
      <c r="B333" s="180"/>
      <c r="C333" s="181"/>
      <c r="D333" s="180"/>
      <c r="E333" s="180"/>
      <c r="F333" s="179"/>
      <c r="G333" s="182"/>
      <c r="H333" s="183"/>
      <c r="I333" s="180"/>
      <c r="J333" s="180"/>
      <c r="K333" s="180"/>
      <c r="L333" s="180"/>
      <c r="M333" s="180"/>
      <c r="N333" s="181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1.25" customHeight="1">
      <c r="A334" s="179"/>
      <c r="B334" s="180"/>
      <c r="C334" s="181"/>
      <c r="D334" s="180"/>
      <c r="E334" s="180"/>
      <c r="F334" s="179"/>
      <c r="G334" s="182"/>
      <c r="H334" s="183"/>
      <c r="I334" s="180"/>
      <c r="J334" s="180"/>
      <c r="K334" s="180"/>
      <c r="L334" s="180"/>
      <c r="M334" s="180"/>
      <c r="N334" s="181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1.25" customHeight="1">
      <c r="A335" s="179"/>
      <c r="B335" s="180"/>
      <c r="C335" s="181"/>
      <c r="D335" s="180"/>
      <c r="E335" s="180"/>
      <c r="F335" s="179"/>
      <c r="G335" s="182"/>
      <c r="H335" s="183"/>
      <c r="I335" s="180"/>
      <c r="J335" s="180"/>
      <c r="K335" s="180"/>
      <c r="L335" s="180"/>
      <c r="M335" s="180"/>
      <c r="N335" s="181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1.25" customHeight="1">
      <c r="A336" s="179"/>
      <c r="B336" s="180"/>
      <c r="C336" s="181"/>
      <c r="D336" s="180"/>
      <c r="E336" s="180"/>
      <c r="F336" s="179"/>
      <c r="G336" s="182"/>
      <c r="H336" s="183"/>
      <c r="I336" s="180"/>
      <c r="J336" s="180"/>
      <c r="K336" s="180"/>
      <c r="L336" s="180"/>
      <c r="M336" s="180"/>
      <c r="N336" s="181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1.25" customHeight="1">
      <c r="A337" s="179"/>
      <c r="B337" s="180"/>
      <c r="C337" s="181"/>
      <c r="D337" s="180"/>
      <c r="E337" s="180"/>
      <c r="F337" s="179"/>
      <c r="G337" s="182"/>
      <c r="H337" s="183"/>
      <c r="I337" s="180"/>
      <c r="J337" s="180"/>
      <c r="K337" s="180"/>
      <c r="L337" s="180"/>
      <c r="M337" s="180"/>
      <c r="N337" s="181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1.25" customHeight="1">
      <c r="A338" s="179"/>
      <c r="B338" s="180"/>
      <c r="C338" s="181"/>
      <c r="D338" s="180"/>
      <c r="E338" s="180"/>
      <c r="F338" s="179"/>
      <c r="G338" s="182"/>
      <c r="H338" s="183"/>
      <c r="I338" s="180"/>
      <c r="J338" s="180"/>
      <c r="K338" s="180"/>
      <c r="L338" s="180"/>
      <c r="M338" s="180"/>
      <c r="N338" s="181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1.25" customHeight="1">
      <c r="A339" s="179"/>
      <c r="B339" s="180"/>
      <c r="C339" s="181"/>
      <c r="D339" s="180"/>
      <c r="E339" s="180"/>
      <c r="F339" s="179"/>
      <c r="G339" s="182"/>
      <c r="H339" s="183"/>
      <c r="I339" s="180"/>
      <c r="J339" s="180"/>
      <c r="K339" s="180"/>
      <c r="L339" s="180"/>
      <c r="M339" s="180"/>
      <c r="N339" s="181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1.25" customHeight="1">
      <c r="A340" s="179"/>
      <c r="B340" s="180"/>
      <c r="C340" s="181"/>
      <c r="D340" s="180"/>
      <c r="E340" s="180"/>
      <c r="F340" s="179"/>
      <c r="G340" s="182"/>
      <c r="H340" s="183"/>
      <c r="I340" s="180"/>
      <c r="J340" s="180"/>
      <c r="K340" s="180"/>
      <c r="L340" s="180"/>
      <c r="M340" s="180"/>
      <c r="N340" s="181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1.25" customHeight="1">
      <c r="A341" s="179"/>
      <c r="B341" s="180"/>
      <c r="C341" s="181"/>
      <c r="D341" s="180"/>
      <c r="E341" s="180"/>
      <c r="F341" s="179"/>
      <c r="G341" s="182"/>
      <c r="H341" s="183"/>
      <c r="I341" s="180"/>
      <c r="J341" s="180"/>
      <c r="K341" s="180"/>
      <c r="L341" s="180"/>
      <c r="M341" s="180"/>
      <c r="N341" s="181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1.25" customHeight="1">
      <c r="A342" s="179"/>
      <c r="B342" s="180"/>
      <c r="C342" s="181"/>
      <c r="D342" s="180"/>
      <c r="E342" s="180"/>
      <c r="F342" s="179"/>
      <c r="G342" s="182"/>
      <c r="H342" s="183"/>
      <c r="I342" s="180"/>
      <c r="J342" s="180"/>
      <c r="K342" s="180"/>
      <c r="L342" s="180"/>
      <c r="M342" s="180"/>
      <c r="N342" s="181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1.25" customHeight="1">
      <c r="A343" s="179"/>
      <c r="B343" s="180"/>
      <c r="C343" s="181"/>
      <c r="D343" s="180"/>
      <c r="E343" s="180"/>
      <c r="F343" s="179"/>
      <c r="G343" s="182"/>
      <c r="H343" s="183"/>
      <c r="I343" s="180"/>
      <c r="J343" s="180"/>
      <c r="K343" s="180"/>
      <c r="L343" s="180"/>
      <c r="M343" s="180"/>
      <c r="N343" s="181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1.25" customHeight="1">
      <c r="A344" s="179"/>
      <c r="B344" s="180"/>
      <c r="C344" s="181"/>
      <c r="D344" s="180"/>
      <c r="E344" s="180"/>
      <c r="F344" s="179"/>
      <c r="G344" s="182"/>
      <c r="H344" s="183"/>
      <c r="I344" s="180"/>
      <c r="J344" s="180"/>
      <c r="K344" s="180"/>
      <c r="L344" s="180"/>
      <c r="M344" s="180"/>
      <c r="N344" s="181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1.25" customHeight="1">
      <c r="A345" s="179"/>
      <c r="B345" s="180"/>
      <c r="C345" s="181"/>
      <c r="D345" s="180"/>
      <c r="E345" s="180"/>
      <c r="F345" s="179"/>
      <c r="G345" s="182"/>
      <c r="H345" s="183"/>
      <c r="I345" s="180"/>
      <c r="J345" s="180"/>
      <c r="K345" s="180"/>
      <c r="L345" s="180"/>
      <c r="M345" s="180"/>
      <c r="N345" s="181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1.25" customHeight="1">
      <c r="A346" s="179"/>
      <c r="B346" s="180"/>
      <c r="C346" s="181"/>
      <c r="D346" s="180"/>
      <c r="E346" s="180"/>
      <c r="F346" s="179"/>
      <c r="G346" s="182"/>
      <c r="H346" s="183"/>
      <c r="I346" s="180"/>
      <c r="J346" s="180"/>
      <c r="K346" s="180"/>
      <c r="L346" s="180"/>
      <c r="M346" s="180"/>
      <c r="N346" s="181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1.25" customHeight="1">
      <c r="A347" s="179"/>
      <c r="B347" s="180"/>
      <c r="C347" s="181"/>
      <c r="D347" s="180"/>
      <c r="E347" s="180"/>
      <c r="F347" s="179"/>
      <c r="G347" s="182"/>
      <c r="H347" s="183"/>
      <c r="I347" s="180"/>
      <c r="J347" s="180"/>
      <c r="K347" s="180"/>
      <c r="L347" s="180"/>
      <c r="M347" s="180"/>
      <c r="N347" s="181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1.25" customHeight="1">
      <c r="A348" s="179"/>
      <c r="B348" s="180"/>
      <c r="C348" s="181"/>
      <c r="D348" s="180"/>
      <c r="E348" s="180"/>
      <c r="F348" s="179"/>
      <c r="G348" s="182"/>
      <c r="H348" s="183"/>
      <c r="I348" s="180"/>
      <c r="J348" s="180"/>
      <c r="K348" s="180"/>
      <c r="L348" s="180"/>
      <c r="M348" s="180"/>
      <c r="N348" s="181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1.25" customHeight="1">
      <c r="A349" s="179"/>
      <c r="B349" s="180"/>
      <c r="C349" s="181"/>
      <c r="D349" s="180"/>
      <c r="E349" s="180"/>
      <c r="F349" s="179"/>
      <c r="G349" s="182"/>
      <c r="H349" s="183"/>
      <c r="I349" s="180"/>
      <c r="J349" s="180"/>
      <c r="K349" s="180"/>
      <c r="L349" s="180"/>
      <c r="M349" s="180"/>
      <c r="N349" s="181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1.25" customHeight="1">
      <c r="A350" s="179"/>
      <c r="B350" s="180"/>
      <c r="C350" s="181"/>
      <c r="D350" s="180"/>
      <c r="E350" s="180"/>
      <c r="F350" s="179"/>
      <c r="G350" s="182"/>
      <c r="H350" s="183"/>
      <c r="I350" s="180"/>
      <c r="J350" s="180"/>
      <c r="K350" s="180"/>
      <c r="L350" s="180"/>
      <c r="M350" s="180"/>
      <c r="N350" s="181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1.25" customHeight="1">
      <c r="A351" s="179"/>
      <c r="B351" s="180"/>
      <c r="C351" s="181"/>
      <c r="D351" s="180"/>
      <c r="E351" s="180"/>
      <c r="F351" s="179"/>
      <c r="G351" s="182"/>
      <c r="H351" s="183"/>
      <c r="I351" s="180"/>
      <c r="J351" s="180"/>
      <c r="K351" s="180"/>
      <c r="L351" s="180"/>
      <c r="M351" s="180"/>
      <c r="N351" s="181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1.25" customHeight="1">
      <c r="A352" s="179"/>
      <c r="B352" s="180"/>
      <c r="C352" s="181"/>
      <c r="D352" s="180"/>
      <c r="E352" s="180"/>
      <c r="F352" s="179"/>
      <c r="G352" s="182"/>
      <c r="H352" s="183"/>
      <c r="I352" s="180"/>
      <c r="J352" s="180"/>
      <c r="K352" s="180"/>
      <c r="L352" s="180"/>
      <c r="M352" s="180"/>
      <c r="N352" s="181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1.25" customHeight="1">
      <c r="A353" s="179"/>
      <c r="B353" s="180"/>
      <c r="C353" s="181"/>
      <c r="D353" s="180"/>
      <c r="E353" s="180"/>
      <c r="F353" s="179"/>
      <c r="G353" s="182"/>
      <c r="H353" s="183"/>
      <c r="I353" s="180"/>
      <c r="J353" s="180"/>
      <c r="K353" s="180"/>
      <c r="L353" s="180"/>
      <c r="M353" s="180"/>
      <c r="N353" s="181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1.25" customHeight="1">
      <c r="A354" s="179"/>
      <c r="B354" s="180"/>
      <c r="C354" s="181"/>
      <c r="D354" s="180"/>
      <c r="E354" s="180"/>
      <c r="F354" s="179"/>
      <c r="G354" s="182"/>
      <c r="H354" s="183"/>
      <c r="I354" s="180"/>
      <c r="J354" s="180"/>
      <c r="K354" s="180"/>
      <c r="L354" s="180"/>
      <c r="M354" s="180"/>
      <c r="N354" s="181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1.25" customHeight="1">
      <c r="A355" s="179"/>
      <c r="B355" s="180"/>
      <c r="C355" s="181"/>
      <c r="D355" s="180"/>
      <c r="E355" s="180"/>
      <c r="F355" s="179"/>
      <c r="G355" s="182"/>
      <c r="H355" s="183"/>
      <c r="I355" s="180"/>
      <c r="J355" s="180"/>
      <c r="K355" s="180"/>
      <c r="L355" s="180"/>
      <c r="M355" s="180"/>
      <c r="N355" s="181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1.25" customHeight="1">
      <c r="A356" s="179"/>
      <c r="B356" s="180"/>
      <c r="C356" s="181"/>
      <c r="D356" s="180"/>
      <c r="E356" s="180"/>
      <c r="F356" s="179"/>
      <c r="G356" s="182"/>
      <c r="H356" s="183"/>
      <c r="I356" s="180"/>
      <c r="J356" s="180"/>
      <c r="K356" s="180"/>
      <c r="L356" s="180"/>
      <c r="M356" s="180"/>
      <c r="N356" s="181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1.25" customHeight="1">
      <c r="A357" s="179"/>
      <c r="B357" s="180"/>
      <c r="C357" s="181"/>
      <c r="D357" s="180"/>
      <c r="E357" s="180"/>
      <c r="F357" s="179"/>
      <c r="G357" s="182"/>
      <c r="H357" s="183"/>
      <c r="I357" s="180"/>
      <c r="J357" s="180"/>
      <c r="K357" s="180"/>
      <c r="L357" s="180"/>
      <c r="M357" s="180"/>
      <c r="N357" s="181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1.25" customHeight="1">
      <c r="A358" s="179"/>
      <c r="B358" s="180"/>
      <c r="C358" s="181"/>
      <c r="D358" s="180"/>
      <c r="E358" s="180"/>
      <c r="F358" s="179"/>
      <c r="G358" s="182"/>
      <c r="H358" s="183"/>
      <c r="I358" s="180"/>
      <c r="J358" s="180"/>
      <c r="K358" s="180"/>
      <c r="L358" s="180"/>
      <c r="M358" s="180"/>
      <c r="N358" s="181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1.25" customHeight="1">
      <c r="A359" s="179"/>
      <c r="B359" s="180"/>
      <c r="C359" s="181"/>
      <c r="D359" s="180"/>
      <c r="E359" s="180"/>
      <c r="F359" s="179"/>
      <c r="G359" s="182"/>
      <c r="H359" s="183"/>
      <c r="I359" s="180"/>
      <c r="J359" s="180"/>
      <c r="K359" s="180"/>
      <c r="L359" s="180"/>
      <c r="M359" s="180"/>
      <c r="N359" s="181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1.25" customHeight="1">
      <c r="A360" s="179"/>
      <c r="B360" s="180"/>
      <c r="C360" s="181"/>
      <c r="D360" s="180"/>
      <c r="E360" s="180"/>
      <c r="F360" s="179"/>
      <c r="G360" s="182"/>
      <c r="H360" s="183"/>
      <c r="I360" s="180"/>
      <c r="J360" s="180"/>
      <c r="K360" s="180"/>
      <c r="L360" s="180"/>
      <c r="M360" s="180"/>
      <c r="N360" s="181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1.25" customHeight="1">
      <c r="A361" s="179"/>
      <c r="B361" s="180"/>
      <c r="C361" s="181"/>
      <c r="D361" s="180"/>
      <c r="E361" s="180"/>
      <c r="F361" s="179"/>
      <c r="G361" s="182"/>
      <c r="H361" s="183"/>
      <c r="I361" s="180"/>
      <c r="J361" s="180"/>
      <c r="K361" s="180"/>
      <c r="L361" s="180"/>
      <c r="M361" s="180"/>
      <c r="N361" s="181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1.25" customHeight="1">
      <c r="A362" s="179"/>
      <c r="B362" s="180"/>
      <c r="C362" s="181"/>
      <c r="D362" s="180"/>
      <c r="E362" s="180"/>
      <c r="F362" s="179"/>
      <c r="G362" s="182"/>
      <c r="H362" s="183"/>
      <c r="I362" s="180"/>
      <c r="J362" s="180"/>
      <c r="K362" s="180"/>
      <c r="L362" s="180"/>
      <c r="M362" s="180"/>
      <c r="N362" s="181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1.25" customHeight="1">
      <c r="A363" s="179"/>
      <c r="B363" s="180"/>
      <c r="C363" s="181"/>
      <c r="D363" s="180"/>
      <c r="E363" s="180"/>
      <c r="F363" s="179"/>
      <c r="G363" s="182"/>
      <c r="H363" s="183"/>
      <c r="I363" s="180"/>
      <c r="J363" s="180"/>
      <c r="K363" s="180"/>
      <c r="L363" s="180"/>
      <c r="M363" s="180"/>
      <c r="N363" s="181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1.25" customHeight="1">
      <c r="A364" s="179"/>
      <c r="B364" s="180"/>
      <c r="C364" s="181"/>
      <c r="D364" s="180"/>
      <c r="E364" s="180"/>
      <c r="F364" s="179"/>
      <c r="G364" s="182"/>
      <c r="H364" s="183"/>
      <c r="I364" s="180"/>
      <c r="J364" s="180"/>
      <c r="K364" s="180"/>
      <c r="L364" s="180"/>
      <c r="M364" s="180"/>
      <c r="N364" s="181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1.25" customHeight="1">
      <c r="A365" s="179"/>
      <c r="B365" s="180"/>
      <c r="C365" s="181"/>
      <c r="D365" s="180"/>
      <c r="E365" s="180"/>
      <c r="F365" s="179"/>
      <c r="G365" s="182"/>
      <c r="H365" s="183"/>
      <c r="I365" s="180"/>
      <c r="J365" s="180"/>
      <c r="K365" s="180"/>
      <c r="L365" s="180"/>
      <c r="M365" s="180"/>
      <c r="N365" s="181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1.25" customHeight="1">
      <c r="A366" s="179"/>
      <c r="B366" s="180"/>
      <c r="C366" s="181"/>
      <c r="D366" s="180"/>
      <c r="E366" s="180"/>
      <c r="F366" s="179"/>
      <c r="G366" s="182"/>
      <c r="H366" s="183"/>
      <c r="I366" s="180"/>
      <c r="J366" s="180"/>
      <c r="K366" s="180"/>
      <c r="L366" s="180"/>
      <c r="M366" s="180"/>
      <c r="N366" s="181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1.25" customHeight="1">
      <c r="A367" s="179"/>
      <c r="B367" s="180"/>
      <c r="C367" s="181"/>
      <c r="D367" s="180"/>
      <c r="E367" s="180"/>
      <c r="F367" s="179"/>
      <c r="G367" s="182"/>
      <c r="H367" s="183"/>
      <c r="I367" s="180"/>
      <c r="J367" s="180"/>
      <c r="K367" s="180"/>
      <c r="L367" s="180"/>
      <c r="M367" s="180"/>
      <c r="N367" s="181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1.25" customHeight="1">
      <c r="A368" s="179"/>
      <c r="B368" s="180"/>
      <c r="C368" s="181"/>
      <c r="D368" s="180"/>
      <c r="E368" s="180"/>
      <c r="F368" s="179"/>
      <c r="G368" s="182"/>
      <c r="H368" s="183"/>
      <c r="I368" s="180"/>
      <c r="J368" s="180"/>
      <c r="K368" s="180"/>
      <c r="L368" s="180"/>
      <c r="M368" s="180"/>
      <c r="N368" s="181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1.25" customHeight="1">
      <c r="A369" s="179"/>
      <c r="B369" s="180"/>
      <c r="C369" s="181"/>
      <c r="D369" s="180"/>
      <c r="E369" s="180"/>
      <c r="F369" s="179"/>
      <c r="G369" s="182"/>
      <c r="H369" s="183"/>
      <c r="I369" s="180"/>
      <c r="J369" s="180"/>
      <c r="K369" s="180"/>
      <c r="L369" s="180"/>
      <c r="M369" s="180"/>
      <c r="N369" s="181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1.25" customHeight="1">
      <c r="A370" s="179"/>
      <c r="B370" s="180"/>
      <c r="C370" s="181"/>
      <c r="D370" s="180"/>
      <c r="E370" s="180"/>
      <c r="F370" s="179"/>
      <c r="G370" s="182"/>
      <c r="H370" s="183"/>
      <c r="I370" s="180"/>
      <c r="J370" s="180"/>
      <c r="K370" s="180"/>
      <c r="L370" s="180"/>
      <c r="M370" s="180"/>
      <c r="N370" s="181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1.25" customHeight="1">
      <c r="A371" s="179"/>
      <c r="B371" s="180"/>
      <c r="C371" s="181"/>
      <c r="D371" s="180"/>
      <c r="E371" s="180"/>
      <c r="F371" s="179"/>
      <c r="G371" s="182"/>
      <c r="H371" s="183"/>
      <c r="I371" s="180"/>
      <c r="J371" s="180"/>
      <c r="K371" s="180"/>
      <c r="L371" s="180"/>
      <c r="M371" s="180"/>
      <c r="N371" s="181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1.25" customHeight="1">
      <c r="A372" s="179"/>
      <c r="B372" s="180"/>
      <c r="C372" s="181"/>
      <c r="D372" s="180"/>
      <c r="E372" s="180"/>
      <c r="F372" s="179"/>
      <c r="G372" s="182"/>
      <c r="H372" s="183"/>
      <c r="I372" s="180"/>
      <c r="J372" s="180"/>
      <c r="K372" s="180"/>
      <c r="L372" s="180"/>
      <c r="M372" s="180"/>
      <c r="N372" s="181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1.25" customHeight="1">
      <c r="A373" s="179"/>
      <c r="B373" s="180"/>
      <c r="C373" s="181"/>
      <c r="D373" s="180"/>
      <c r="E373" s="180"/>
      <c r="F373" s="179"/>
      <c r="G373" s="182"/>
      <c r="H373" s="183"/>
      <c r="I373" s="180"/>
      <c r="J373" s="180"/>
      <c r="K373" s="180"/>
      <c r="L373" s="180"/>
      <c r="M373" s="180"/>
      <c r="N373" s="181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1.25" customHeight="1">
      <c r="A374" s="179"/>
      <c r="B374" s="180"/>
      <c r="C374" s="181"/>
      <c r="D374" s="180"/>
      <c r="E374" s="180"/>
      <c r="F374" s="179"/>
      <c r="G374" s="182"/>
      <c r="H374" s="183"/>
      <c r="I374" s="180"/>
      <c r="J374" s="180"/>
      <c r="K374" s="180"/>
      <c r="L374" s="180"/>
      <c r="M374" s="180"/>
      <c r="N374" s="181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1.25" customHeight="1">
      <c r="A375" s="179"/>
      <c r="B375" s="180"/>
      <c r="C375" s="181"/>
      <c r="D375" s="180"/>
      <c r="E375" s="180"/>
      <c r="F375" s="179"/>
      <c r="G375" s="182"/>
      <c r="H375" s="183"/>
      <c r="I375" s="180"/>
      <c r="J375" s="180"/>
      <c r="K375" s="180"/>
      <c r="L375" s="180"/>
      <c r="M375" s="180"/>
      <c r="N375" s="181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1.25" customHeight="1">
      <c r="A376" s="179"/>
      <c r="B376" s="180"/>
      <c r="C376" s="181"/>
      <c r="D376" s="180"/>
      <c r="E376" s="180"/>
      <c r="F376" s="179"/>
      <c r="G376" s="182"/>
      <c r="H376" s="183"/>
      <c r="I376" s="180"/>
      <c r="J376" s="180"/>
      <c r="K376" s="180"/>
      <c r="L376" s="180"/>
      <c r="M376" s="180"/>
      <c r="N376" s="181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1.25" customHeight="1">
      <c r="A377" s="179"/>
      <c r="B377" s="180"/>
      <c r="C377" s="181"/>
      <c r="D377" s="180"/>
      <c r="E377" s="180"/>
      <c r="F377" s="179"/>
      <c r="G377" s="182"/>
      <c r="H377" s="183"/>
      <c r="I377" s="180"/>
      <c r="J377" s="180"/>
      <c r="K377" s="180"/>
      <c r="L377" s="180"/>
      <c r="M377" s="180"/>
      <c r="N377" s="181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1.25" customHeight="1">
      <c r="A378" s="179"/>
      <c r="B378" s="180"/>
      <c r="C378" s="181"/>
      <c r="D378" s="180"/>
      <c r="E378" s="180"/>
      <c r="F378" s="179"/>
      <c r="G378" s="182"/>
      <c r="H378" s="183"/>
      <c r="I378" s="180"/>
      <c r="J378" s="180"/>
      <c r="K378" s="180"/>
      <c r="L378" s="180"/>
      <c r="M378" s="180"/>
      <c r="N378" s="181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1.25" customHeight="1">
      <c r="A379" s="179"/>
      <c r="B379" s="180"/>
      <c r="C379" s="181"/>
      <c r="D379" s="180"/>
      <c r="E379" s="180"/>
      <c r="F379" s="179"/>
      <c r="G379" s="182"/>
      <c r="H379" s="183"/>
      <c r="I379" s="180"/>
      <c r="J379" s="180"/>
      <c r="K379" s="180"/>
      <c r="L379" s="180"/>
      <c r="M379" s="180"/>
      <c r="N379" s="181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1.25" customHeight="1">
      <c r="A380" s="179"/>
      <c r="B380" s="180"/>
      <c r="C380" s="181"/>
      <c r="D380" s="180"/>
      <c r="E380" s="180"/>
      <c r="F380" s="179"/>
      <c r="G380" s="182"/>
      <c r="H380" s="183"/>
      <c r="I380" s="180"/>
      <c r="J380" s="180"/>
      <c r="K380" s="180"/>
      <c r="L380" s="180"/>
      <c r="M380" s="180"/>
      <c r="N380" s="181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1.25" customHeight="1">
      <c r="A381" s="179"/>
      <c r="B381" s="180"/>
      <c r="C381" s="181"/>
      <c r="D381" s="180"/>
      <c r="E381" s="180"/>
      <c r="F381" s="179"/>
      <c r="G381" s="182"/>
      <c r="H381" s="183"/>
      <c r="I381" s="180"/>
      <c r="J381" s="180"/>
      <c r="K381" s="180"/>
      <c r="L381" s="180"/>
      <c r="M381" s="180"/>
      <c r="N381" s="181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1.25" customHeight="1">
      <c r="A382" s="179"/>
      <c r="B382" s="180"/>
      <c r="C382" s="181"/>
      <c r="D382" s="180"/>
      <c r="E382" s="180"/>
      <c r="F382" s="179"/>
      <c r="G382" s="182"/>
      <c r="H382" s="183"/>
      <c r="I382" s="180"/>
      <c r="J382" s="180"/>
      <c r="K382" s="180"/>
      <c r="L382" s="180"/>
      <c r="M382" s="180"/>
      <c r="N382" s="181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1.25" customHeight="1">
      <c r="A383" s="179"/>
      <c r="B383" s="180"/>
      <c r="C383" s="181"/>
      <c r="D383" s="180"/>
      <c r="E383" s="180"/>
      <c r="F383" s="179"/>
      <c r="G383" s="182"/>
      <c r="H383" s="183"/>
      <c r="I383" s="180"/>
      <c r="J383" s="180"/>
      <c r="K383" s="180"/>
      <c r="L383" s="180"/>
      <c r="M383" s="180"/>
      <c r="N383" s="181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1.25" customHeight="1">
      <c r="A384" s="179"/>
      <c r="B384" s="180"/>
      <c r="C384" s="181"/>
      <c r="D384" s="180"/>
      <c r="E384" s="180"/>
      <c r="F384" s="179"/>
      <c r="G384" s="182"/>
      <c r="H384" s="183"/>
      <c r="I384" s="180"/>
      <c r="J384" s="180"/>
      <c r="K384" s="180"/>
      <c r="L384" s="180"/>
      <c r="M384" s="180"/>
      <c r="N384" s="181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1.25" customHeight="1">
      <c r="A385" s="179"/>
      <c r="B385" s="180"/>
      <c r="C385" s="181"/>
      <c r="D385" s="180"/>
      <c r="E385" s="180"/>
      <c r="F385" s="179"/>
      <c r="G385" s="182"/>
      <c r="H385" s="183"/>
      <c r="I385" s="180"/>
      <c r="J385" s="180"/>
      <c r="K385" s="180"/>
      <c r="L385" s="180"/>
      <c r="M385" s="180"/>
      <c r="N385" s="181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1.25" customHeight="1">
      <c r="A386" s="179"/>
      <c r="B386" s="180"/>
      <c r="C386" s="181"/>
      <c r="D386" s="180"/>
      <c r="E386" s="180"/>
      <c r="F386" s="179"/>
      <c r="G386" s="182"/>
      <c r="H386" s="183"/>
      <c r="I386" s="180"/>
      <c r="J386" s="180"/>
      <c r="K386" s="180"/>
      <c r="L386" s="180"/>
      <c r="M386" s="180"/>
      <c r="N386" s="181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1.25" customHeight="1">
      <c r="A387" s="179"/>
      <c r="B387" s="180"/>
      <c r="C387" s="181"/>
      <c r="D387" s="180"/>
      <c r="E387" s="180"/>
      <c r="F387" s="179"/>
      <c r="G387" s="182"/>
      <c r="H387" s="183"/>
      <c r="I387" s="180"/>
      <c r="J387" s="180"/>
      <c r="K387" s="180"/>
      <c r="L387" s="180"/>
      <c r="M387" s="180"/>
      <c r="N387" s="181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1.25" customHeight="1">
      <c r="A388" s="179"/>
      <c r="B388" s="180"/>
      <c r="C388" s="181"/>
      <c r="D388" s="180"/>
      <c r="E388" s="180"/>
      <c r="F388" s="179"/>
      <c r="G388" s="182"/>
      <c r="H388" s="183"/>
      <c r="I388" s="180"/>
      <c r="J388" s="180"/>
      <c r="K388" s="180"/>
      <c r="L388" s="180"/>
      <c r="M388" s="180"/>
      <c r="N388" s="181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1.25" customHeight="1">
      <c r="A389" s="179"/>
      <c r="B389" s="180"/>
      <c r="C389" s="181"/>
      <c r="D389" s="180"/>
      <c r="E389" s="180"/>
      <c r="F389" s="179"/>
      <c r="G389" s="182"/>
      <c r="H389" s="183"/>
      <c r="I389" s="180"/>
      <c r="J389" s="180"/>
      <c r="K389" s="180"/>
      <c r="L389" s="180"/>
      <c r="M389" s="180"/>
      <c r="N389" s="181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1.25" customHeight="1">
      <c r="A390" s="179"/>
      <c r="B390" s="180"/>
      <c r="C390" s="181"/>
      <c r="D390" s="180"/>
      <c r="E390" s="180"/>
      <c r="F390" s="179"/>
      <c r="G390" s="182"/>
      <c r="H390" s="183"/>
      <c r="I390" s="180"/>
      <c r="J390" s="180"/>
      <c r="K390" s="180"/>
      <c r="L390" s="180"/>
      <c r="M390" s="180"/>
      <c r="N390" s="181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1.25" customHeight="1">
      <c r="A391" s="179"/>
      <c r="B391" s="180"/>
      <c r="C391" s="181"/>
      <c r="D391" s="180"/>
      <c r="E391" s="180"/>
      <c r="F391" s="179"/>
      <c r="G391" s="182"/>
      <c r="H391" s="183"/>
      <c r="I391" s="180"/>
      <c r="J391" s="180"/>
      <c r="K391" s="180"/>
      <c r="L391" s="180"/>
      <c r="M391" s="180"/>
      <c r="N391" s="181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1.25" customHeight="1">
      <c r="A392" s="179"/>
      <c r="B392" s="180"/>
      <c r="C392" s="181"/>
      <c r="D392" s="180"/>
      <c r="E392" s="180"/>
      <c r="F392" s="179"/>
      <c r="G392" s="182"/>
      <c r="H392" s="183"/>
      <c r="I392" s="180"/>
      <c r="J392" s="180"/>
      <c r="K392" s="180"/>
      <c r="L392" s="180"/>
      <c r="M392" s="180"/>
      <c r="N392" s="181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1.25" customHeight="1">
      <c r="A393" s="179"/>
      <c r="B393" s="180"/>
      <c r="C393" s="181"/>
      <c r="D393" s="180"/>
      <c r="E393" s="180"/>
      <c r="F393" s="179"/>
      <c r="G393" s="182"/>
      <c r="H393" s="183"/>
      <c r="I393" s="180"/>
      <c r="J393" s="180"/>
      <c r="K393" s="180"/>
      <c r="L393" s="180"/>
      <c r="M393" s="180"/>
      <c r="N393" s="181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1.25" customHeight="1">
      <c r="A394" s="179"/>
      <c r="B394" s="180"/>
      <c r="C394" s="181"/>
      <c r="D394" s="180"/>
      <c r="E394" s="180"/>
      <c r="F394" s="179"/>
      <c r="G394" s="182"/>
      <c r="H394" s="183"/>
      <c r="I394" s="180"/>
      <c r="J394" s="180"/>
      <c r="K394" s="180"/>
      <c r="L394" s="180"/>
      <c r="M394" s="180"/>
      <c r="N394" s="181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1.25" customHeight="1">
      <c r="A395" s="179"/>
      <c r="B395" s="180"/>
      <c r="C395" s="181"/>
      <c r="D395" s="180"/>
      <c r="E395" s="180"/>
      <c r="F395" s="179"/>
      <c r="G395" s="182"/>
      <c r="H395" s="183"/>
      <c r="I395" s="180"/>
      <c r="J395" s="180"/>
      <c r="K395" s="180"/>
      <c r="L395" s="180"/>
      <c r="M395" s="180"/>
      <c r="N395" s="181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1.25" customHeight="1">
      <c r="A396" s="179"/>
      <c r="B396" s="180"/>
      <c r="C396" s="181"/>
      <c r="D396" s="180"/>
      <c r="E396" s="180"/>
      <c r="F396" s="179"/>
      <c r="G396" s="182"/>
      <c r="H396" s="183"/>
      <c r="I396" s="180"/>
      <c r="J396" s="180"/>
      <c r="K396" s="180"/>
      <c r="L396" s="180"/>
      <c r="M396" s="180"/>
      <c r="N396" s="181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1.25" customHeight="1">
      <c r="A397" s="179"/>
      <c r="B397" s="180"/>
      <c r="C397" s="181"/>
      <c r="D397" s="180"/>
      <c r="E397" s="180"/>
      <c r="F397" s="179"/>
      <c r="G397" s="182"/>
      <c r="H397" s="183"/>
      <c r="I397" s="180"/>
      <c r="J397" s="180"/>
      <c r="K397" s="180"/>
      <c r="L397" s="180"/>
      <c r="M397" s="180"/>
      <c r="N397" s="181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1.25" customHeight="1">
      <c r="A398" s="179"/>
      <c r="B398" s="180"/>
      <c r="C398" s="181"/>
      <c r="D398" s="180"/>
      <c r="E398" s="180"/>
      <c r="F398" s="179"/>
      <c r="G398" s="182"/>
      <c r="H398" s="183"/>
      <c r="I398" s="180"/>
      <c r="J398" s="180"/>
      <c r="K398" s="180"/>
      <c r="L398" s="180"/>
      <c r="M398" s="180"/>
      <c r="N398" s="181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1.25" customHeight="1">
      <c r="A399" s="179"/>
      <c r="B399" s="180"/>
      <c r="C399" s="181"/>
      <c r="D399" s="180"/>
      <c r="E399" s="180"/>
      <c r="F399" s="179"/>
      <c r="G399" s="182"/>
      <c r="H399" s="183"/>
      <c r="I399" s="180"/>
      <c r="J399" s="180"/>
      <c r="K399" s="180"/>
      <c r="L399" s="180"/>
      <c r="M399" s="180"/>
      <c r="N399" s="181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1.25" customHeight="1">
      <c r="A400" s="179"/>
      <c r="B400" s="180"/>
      <c r="C400" s="181"/>
      <c r="D400" s="180"/>
      <c r="E400" s="180"/>
      <c r="F400" s="179"/>
      <c r="G400" s="182"/>
      <c r="H400" s="183"/>
      <c r="I400" s="180"/>
      <c r="J400" s="180"/>
      <c r="K400" s="180"/>
      <c r="L400" s="180"/>
      <c r="M400" s="180"/>
      <c r="N400" s="181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1.25" customHeight="1">
      <c r="A401" s="179"/>
      <c r="B401" s="180"/>
      <c r="C401" s="181"/>
      <c r="D401" s="180"/>
      <c r="E401" s="180"/>
      <c r="F401" s="179"/>
      <c r="G401" s="182"/>
      <c r="H401" s="183"/>
      <c r="I401" s="180"/>
      <c r="J401" s="180"/>
      <c r="K401" s="180"/>
      <c r="L401" s="180"/>
      <c r="M401" s="180"/>
      <c r="N401" s="181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1.25" customHeight="1">
      <c r="A402" s="179"/>
      <c r="B402" s="180"/>
      <c r="C402" s="181"/>
      <c r="D402" s="180"/>
      <c r="E402" s="180"/>
      <c r="F402" s="179"/>
      <c r="G402" s="182"/>
      <c r="H402" s="183"/>
      <c r="I402" s="180"/>
      <c r="J402" s="180"/>
      <c r="K402" s="180"/>
      <c r="L402" s="180"/>
      <c r="M402" s="180"/>
      <c r="N402" s="181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1.25" customHeight="1">
      <c r="A403" s="179"/>
      <c r="B403" s="180"/>
      <c r="C403" s="181"/>
      <c r="D403" s="180"/>
      <c r="E403" s="180"/>
      <c r="F403" s="179"/>
      <c r="G403" s="182"/>
      <c r="H403" s="183"/>
      <c r="I403" s="180"/>
      <c r="J403" s="180"/>
      <c r="K403" s="180"/>
      <c r="L403" s="180"/>
      <c r="M403" s="180"/>
      <c r="N403" s="181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1.25" customHeight="1">
      <c r="A404" s="179"/>
      <c r="B404" s="180"/>
      <c r="C404" s="181"/>
      <c r="D404" s="180"/>
      <c r="E404" s="180"/>
      <c r="F404" s="179"/>
      <c r="G404" s="182"/>
      <c r="H404" s="183"/>
      <c r="I404" s="180"/>
      <c r="J404" s="180"/>
      <c r="K404" s="180"/>
      <c r="L404" s="180"/>
      <c r="M404" s="180"/>
      <c r="N404" s="181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1.25" customHeight="1">
      <c r="A405" s="179"/>
      <c r="B405" s="180"/>
      <c r="C405" s="181"/>
      <c r="D405" s="180"/>
      <c r="E405" s="180"/>
      <c r="F405" s="179"/>
      <c r="G405" s="182"/>
      <c r="H405" s="183"/>
      <c r="I405" s="180"/>
      <c r="J405" s="180"/>
      <c r="K405" s="180"/>
      <c r="L405" s="180"/>
      <c r="M405" s="180"/>
      <c r="N405" s="181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1.25" customHeight="1">
      <c r="A406" s="179"/>
      <c r="B406" s="180"/>
      <c r="C406" s="181"/>
      <c r="D406" s="180"/>
      <c r="E406" s="180"/>
      <c r="F406" s="179"/>
      <c r="G406" s="182"/>
      <c r="H406" s="183"/>
      <c r="I406" s="180"/>
      <c r="J406" s="180"/>
      <c r="K406" s="180"/>
      <c r="L406" s="180"/>
      <c r="M406" s="180"/>
      <c r="N406" s="181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1.25" customHeight="1">
      <c r="A407" s="179"/>
      <c r="B407" s="180"/>
      <c r="C407" s="181"/>
      <c r="D407" s="180"/>
      <c r="E407" s="180"/>
      <c r="F407" s="179"/>
      <c r="G407" s="182"/>
      <c r="H407" s="183"/>
      <c r="I407" s="180"/>
      <c r="J407" s="180"/>
      <c r="K407" s="180"/>
      <c r="L407" s="180"/>
      <c r="M407" s="180"/>
      <c r="N407" s="181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1.25" customHeight="1">
      <c r="A408" s="179"/>
      <c r="B408" s="180"/>
      <c r="C408" s="181"/>
      <c r="D408" s="180"/>
      <c r="E408" s="180"/>
      <c r="F408" s="179"/>
      <c r="G408" s="182"/>
      <c r="H408" s="183"/>
      <c r="I408" s="180"/>
      <c r="J408" s="180"/>
      <c r="K408" s="180"/>
      <c r="L408" s="180"/>
      <c r="M408" s="180"/>
      <c r="N408" s="181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1.25" customHeight="1">
      <c r="A409" s="179"/>
      <c r="B409" s="180"/>
      <c r="C409" s="181"/>
      <c r="D409" s="180"/>
      <c r="E409" s="180"/>
      <c r="F409" s="179"/>
      <c r="G409" s="182"/>
      <c r="H409" s="183"/>
      <c r="I409" s="180"/>
      <c r="J409" s="180"/>
      <c r="K409" s="180"/>
      <c r="L409" s="180"/>
      <c r="M409" s="180"/>
      <c r="N409" s="181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1.25" customHeight="1">
      <c r="A410" s="179"/>
      <c r="B410" s="180"/>
      <c r="C410" s="181"/>
      <c r="D410" s="180"/>
      <c r="E410" s="180"/>
      <c r="F410" s="179"/>
      <c r="G410" s="182"/>
      <c r="H410" s="183"/>
      <c r="I410" s="180"/>
      <c r="J410" s="180"/>
      <c r="K410" s="180"/>
      <c r="L410" s="180"/>
      <c r="M410" s="180"/>
      <c r="N410" s="181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1.25" customHeight="1">
      <c r="A411" s="179"/>
      <c r="B411" s="180"/>
      <c r="C411" s="181"/>
      <c r="D411" s="180"/>
      <c r="E411" s="180"/>
      <c r="F411" s="179"/>
      <c r="G411" s="182"/>
      <c r="H411" s="183"/>
      <c r="I411" s="180"/>
      <c r="J411" s="180"/>
      <c r="K411" s="180"/>
      <c r="L411" s="180"/>
      <c r="M411" s="180"/>
      <c r="N411" s="181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1.25" customHeight="1">
      <c r="A412" s="179"/>
      <c r="B412" s="180"/>
      <c r="C412" s="181"/>
      <c r="D412" s="180"/>
      <c r="E412" s="180"/>
      <c r="F412" s="179"/>
      <c r="G412" s="182"/>
      <c r="H412" s="183"/>
      <c r="I412" s="180"/>
      <c r="J412" s="180"/>
      <c r="K412" s="180"/>
      <c r="L412" s="180"/>
      <c r="M412" s="180"/>
      <c r="N412" s="181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1.25" customHeight="1">
      <c r="A413" s="179"/>
      <c r="B413" s="180"/>
      <c r="C413" s="181"/>
      <c r="D413" s="180"/>
      <c r="E413" s="180"/>
      <c r="F413" s="179"/>
      <c r="G413" s="182"/>
      <c r="H413" s="183"/>
      <c r="I413" s="180"/>
      <c r="J413" s="180"/>
      <c r="K413" s="180"/>
      <c r="L413" s="180"/>
      <c r="M413" s="180"/>
      <c r="N413" s="181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1.25" customHeight="1">
      <c r="A414" s="179"/>
      <c r="B414" s="180"/>
      <c r="C414" s="181"/>
      <c r="D414" s="180"/>
      <c r="E414" s="180"/>
      <c r="F414" s="179"/>
      <c r="G414" s="182"/>
      <c r="H414" s="183"/>
      <c r="I414" s="180"/>
      <c r="J414" s="180"/>
      <c r="K414" s="180"/>
      <c r="L414" s="180"/>
      <c r="M414" s="180"/>
      <c r="N414" s="181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1.25" customHeight="1">
      <c r="A415" s="179"/>
      <c r="B415" s="180"/>
      <c r="C415" s="181"/>
      <c r="D415" s="180"/>
      <c r="E415" s="180"/>
      <c r="F415" s="179"/>
      <c r="G415" s="182"/>
      <c r="H415" s="183"/>
      <c r="I415" s="180"/>
      <c r="J415" s="180"/>
      <c r="K415" s="180"/>
      <c r="L415" s="180"/>
      <c r="M415" s="180"/>
      <c r="N415" s="181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1.25" customHeight="1">
      <c r="A416" s="179"/>
      <c r="B416" s="180"/>
      <c r="C416" s="181"/>
      <c r="D416" s="180"/>
      <c r="E416" s="180"/>
      <c r="F416" s="179"/>
      <c r="G416" s="182"/>
      <c r="H416" s="183"/>
      <c r="I416" s="180"/>
      <c r="J416" s="180"/>
      <c r="K416" s="180"/>
      <c r="L416" s="180"/>
      <c r="M416" s="180"/>
      <c r="N416" s="181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1.25" customHeight="1">
      <c r="A417" s="179"/>
      <c r="B417" s="180"/>
      <c r="C417" s="181"/>
      <c r="D417" s="180"/>
      <c r="E417" s="180"/>
      <c r="F417" s="179"/>
      <c r="G417" s="182"/>
      <c r="H417" s="183"/>
      <c r="I417" s="180"/>
      <c r="J417" s="180"/>
      <c r="K417" s="180"/>
      <c r="L417" s="180"/>
      <c r="M417" s="180"/>
      <c r="N417" s="181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1.25" customHeight="1">
      <c r="A418" s="179"/>
      <c r="B418" s="180"/>
      <c r="C418" s="181"/>
      <c r="D418" s="180"/>
      <c r="E418" s="180"/>
      <c r="F418" s="179"/>
      <c r="G418" s="182"/>
      <c r="H418" s="183"/>
      <c r="I418" s="180"/>
      <c r="J418" s="180"/>
      <c r="K418" s="180"/>
      <c r="L418" s="180"/>
      <c r="M418" s="180"/>
      <c r="N418" s="181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1.25" customHeight="1">
      <c r="A419" s="179"/>
      <c r="B419" s="180"/>
      <c r="C419" s="181"/>
      <c r="D419" s="180"/>
      <c r="E419" s="180"/>
      <c r="F419" s="179"/>
      <c r="G419" s="182"/>
      <c r="H419" s="183"/>
      <c r="I419" s="180"/>
      <c r="J419" s="180"/>
      <c r="K419" s="180"/>
      <c r="L419" s="180"/>
      <c r="M419" s="180"/>
      <c r="N419" s="181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1.25" customHeight="1">
      <c r="A420" s="179"/>
      <c r="B420" s="180"/>
      <c r="C420" s="181"/>
      <c r="D420" s="180"/>
      <c r="E420" s="180"/>
      <c r="F420" s="179"/>
      <c r="G420" s="182"/>
      <c r="H420" s="183"/>
      <c r="I420" s="180"/>
      <c r="J420" s="180"/>
      <c r="K420" s="180"/>
      <c r="L420" s="180"/>
      <c r="M420" s="180"/>
      <c r="N420" s="181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1.25" customHeight="1">
      <c r="A421" s="179"/>
      <c r="B421" s="180"/>
      <c r="C421" s="181"/>
      <c r="D421" s="180"/>
      <c r="E421" s="180"/>
      <c r="F421" s="179"/>
      <c r="G421" s="182"/>
      <c r="H421" s="183"/>
      <c r="I421" s="180"/>
      <c r="J421" s="180"/>
      <c r="K421" s="180"/>
      <c r="L421" s="180"/>
      <c r="M421" s="180"/>
      <c r="N421" s="181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1.25" customHeight="1">
      <c r="A422" s="179"/>
      <c r="B422" s="180"/>
      <c r="C422" s="181"/>
      <c r="D422" s="180"/>
      <c r="E422" s="180"/>
      <c r="F422" s="179"/>
      <c r="G422" s="182"/>
      <c r="H422" s="183"/>
      <c r="I422" s="180"/>
      <c r="J422" s="180"/>
      <c r="K422" s="180"/>
      <c r="L422" s="180"/>
      <c r="M422" s="180"/>
      <c r="N422" s="181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1.25" customHeight="1">
      <c r="A423" s="179"/>
      <c r="B423" s="180"/>
      <c r="C423" s="181"/>
      <c r="D423" s="180"/>
      <c r="E423" s="180"/>
      <c r="F423" s="179"/>
      <c r="G423" s="182"/>
      <c r="H423" s="183"/>
      <c r="I423" s="180"/>
      <c r="J423" s="180"/>
      <c r="K423" s="180"/>
      <c r="L423" s="180"/>
      <c r="M423" s="180"/>
      <c r="N423" s="181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1.25" customHeight="1">
      <c r="A424" s="179"/>
      <c r="B424" s="180"/>
      <c r="C424" s="181"/>
      <c r="D424" s="180"/>
      <c r="E424" s="180"/>
      <c r="F424" s="179"/>
      <c r="G424" s="182"/>
      <c r="H424" s="183"/>
      <c r="I424" s="180"/>
      <c r="J424" s="180"/>
      <c r="K424" s="180"/>
      <c r="L424" s="180"/>
      <c r="M424" s="180"/>
      <c r="N424" s="181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1.25" customHeight="1">
      <c r="A425" s="179"/>
      <c r="B425" s="180"/>
      <c r="C425" s="181"/>
      <c r="D425" s="180"/>
      <c r="E425" s="180"/>
      <c r="F425" s="179"/>
      <c r="G425" s="182"/>
      <c r="H425" s="183"/>
      <c r="I425" s="180"/>
      <c r="J425" s="180"/>
      <c r="K425" s="180"/>
      <c r="L425" s="180"/>
      <c r="M425" s="180"/>
      <c r="N425" s="181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1.25" customHeight="1">
      <c r="A426" s="179"/>
      <c r="B426" s="180"/>
      <c r="C426" s="181"/>
      <c r="D426" s="180"/>
      <c r="E426" s="180"/>
      <c r="F426" s="179"/>
      <c r="G426" s="182"/>
      <c r="H426" s="183"/>
      <c r="I426" s="180"/>
      <c r="J426" s="180"/>
      <c r="K426" s="180"/>
      <c r="L426" s="180"/>
      <c r="M426" s="180"/>
      <c r="N426" s="181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1.25" customHeight="1">
      <c r="A427" s="179"/>
      <c r="B427" s="180"/>
      <c r="C427" s="181"/>
      <c r="D427" s="180"/>
      <c r="E427" s="180"/>
      <c r="F427" s="179"/>
      <c r="G427" s="182"/>
      <c r="H427" s="183"/>
      <c r="I427" s="180"/>
      <c r="J427" s="180"/>
      <c r="K427" s="180"/>
      <c r="L427" s="180"/>
      <c r="M427" s="180"/>
      <c r="N427" s="181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1.25" customHeight="1">
      <c r="A428" s="179"/>
      <c r="B428" s="180"/>
      <c r="C428" s="181"/>
      <c r="D428" s="180"/>
      <c r="E428" s="180"/>
      <c r="F428" s="179"/>
      <c r="G428" s="182"/>
      <c r="H428" s="183"/>
      <c r="I428" s="180"/>
      <c r="J428" s="180"/>
      <c r="K428" s="180"/>
      <c r="L428" s="180"/>
      <c r="M428" s="180"/>
      <c r="N428" s="181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1.25" customHeight="1">
      <c r="A429" s="179"/>
      <c r="B429" s="180"/>
      <c r="C429" s="181"/>
      <c r="D429" s="180"/>
      <c r="E429" s="180"/>
      <c r="F429" s="179"/>
      <c r="G429" s="182"/>
      <c r="H429" s="183"/>
      <c r="I429" s="180"/>
      <c r="J429" s="180"/>
      <c r="K429" s="180"/>
      <c r="L429" s="180"/>
      <c r="M429" s="180"/>
      <c r="N429" s="181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1.25" customHeight="1">
      <c r="A430" s="179"/>
      <c r="B430" s="180"/>
      <c r="C430" s="181"/>
      <c r="D430" s="180"/>
      <c r="E430" s="180"/>
      <c r="F430" s="179"/>
      <c r="G430" s="182"/>
      <c r="H430" s="183"/>
      <c r="I430" s="180"/>
      <c r="J430" s="180"/>
      <c r="K430" s="180"/>
      <c r="L430" s="180"/>
      <c r="M430" s="180"/>
      <c r="N430" s="181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1.25" customHeight="1">
      <c r="A431" s="179"/>
      <c r="B431" s="180"/>
      <c r="C431" s="181"/>
      <c r="D431" s="180"/>
      <c r="E431" s="180"/>
      <c r="F431" s="179"/>
      <c r="G431" s="182"/>
      <c r="H431" s="183"/>
      <c r="I431" s="180"/>
      <c r="J431" s="180"/>
      <c r="K431" s="180"/>
      <c r="L431" s="180"/>
      <c r="M431" s="180"/>
      <c r="N431" s="181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1.25" customHeight="1">
      <c r="A432" s="179"/>
      <c r="B432" s="180"/>
      <c r="C432" s="181"/>
      <c r="D432" s="180"/>
      <c r="E432" s="180"/>
      <c r="F432" s="179"/>
      <c r="G432" s="182"/>
      <c r="H432" s="183"/>
      <c r="I432" s="180"/>
      <c r="J432" s="180"/>
      <c r="K432" s="180"/>
      <c r="L432" s="180"/>
      <c r="M432" s="180"/>
      <c r="N432" s="181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1.25" customHeight="1">
      <c r="A433" s="179"/>
      <c r="B433" s="180"/>
      <c r="C433" s="181"/>
      <c r="D433" s="180"/>
      <c r="E433" s="180"/>
      <c r="F433" s="179"/>
      <c r="G433" s="182"/>
      <c r="H433" s="183"/>
      <c r="I433" s="180"/>
      <c r="J433" s="180"/>
      <c r="K433" s="180"/>
      <c r="L433" s="180"/>
      <c r="M433" s="180"/>
      <c r="N433" s="181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1.25" customHeight="1">
      <c r="A434" s="179"/>
      <c r="B434" s="180"/>
      <c r="C434" s="181"/>
      <c r="D434" s="180"/>
      <c r="E434" s="180"/>
      <c r="F434" s="179"/>
      <c r="G434" s="182"/>
      <c r="H434" s="183"/>
      <c r="I434" s="180"/>
      <c r="J434" s="180"/>
      <c r="K434" s="180"/>
      <c r="L434" s="180"/>
      <c r="M434" s="180"/>
      <c r="N434" s="181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1.25" customHeight="1">
      <c r="A435" s="179"/>
      <c r="B435" s="180"/>
      <c r="C435" s="181"/>
      <c r="D435" s="180"/>
      <c r="E435" s="180"/>
      <c r="F435" s="179"/>
      <c r="G435" s="182"/>
      <c r="H435" s="183"/>
      <c r="I435" s="180"/>
      <c r="J435" s="180"/>
      <c r="K435" s="180"/>
      <c r="L435" s="180"/>
      <c r="M435" s="180"/>
      <c r="N435" s="181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1.25" customHeight="1">
      <c r="A436" s="179"/>
      <c r="B436" s="180"/>
      <c r="C436" s="181"/>
      <c r="D436" s="180"/>
      <c r="E436" s="180"/>
      <c r="F436" s="179"/>
      <c r="G436" s="182"/>
      <c r="H436" s="183"/>
      <c r="I436" s="180"/>
      <c r="J436" s="180"/>
      <c r="K436" s="180"/>
      <c r="L436" s="180"/>
      <c r="M436" s="180"/>
      <c r="N436" s="181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1.25" customHeight="1">
      <c r="A437" s="179"/>
      <c r="B437" s="180"/>
      <c r="C437" s="181"/>
      <c r="D437" s="180"/>
      <c r="E437" s="180"/>
      <c r="F437" s="179"/>
      <c r="G437" s="182"/>
      <c r="H437" s="183"/>
      <c r="I437" s="180"/>
      <c r="J437" s="180"/>
      <c r="K437" s="180"/>
      <c r="L437" s="180"/>
      <c r="M437" s="180"/>
      <c r="N437" s="181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1.25" customHeight="1">
      <c r="A438" s="179"/>
      <c r="B438" s="180"/>
      <c r="C438" s="181"/>
      <c r="D438" s="180"/>
      <c r="E438" s="180"/>
      <c r="F438" s="179"/>
      <c r="G438" s="182"/>
      <c r="H438" s="183"/>
      <c r="I438" s="180"/>
      <c r="J438" s="180"/>
      <c r="K438" s="180"/>
      <c r="L438" s="180"/>
      <c r="M438" s="180"/>
      <c r="N438" s="181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1.25" customHeight="1">
      <c r="A439" s="179"/>
      <c r="B439" s="180"/>
      <c r="C439" s="181"/>
      <c r="D439" s="180"/>
      <c r="E439" s="180"/>
      <c r="F439" s="179"/>
      <c r="G439" s="182"/>
      <c r="H439" s="183"/>
      <c r="I439" s="180"/>
      <c r="J439" s="180"/>
      <c r="K439" s="180"/>
      <c r="L439" s="180"/>
      <c r="M439" s="180"/>
      <c r="N439" s="181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1.25" customHeight="1">
      <c r="A440" s="179"/>
      <c r="B440" s="180"/>
      <c r="C440" s="181"/>
      <c r="D440" s="180"/>
      <c r="E440" s="180"/>
      <c r="F440" s="179"/>
      <c r="G440" s="182"/>
      <c r="H440" s="183"/>
      <c r="I440" s="180"/>
      <c r="J440" s="180"/>
      <c r="K440" s="180"/>
      <c r="L440" s="180"/>
      <c r="M440" s="180"/>
      <c r="N440" s="181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1.25" customHeight="1">
      <c r="A441" s="179"/>
      <c r="B441" s="180"/>
      <c r="C441" s="181"/>
      <c r="D441" s="180"/>
      <c r="E441" s="180"/>
      <c r="F441" s="179"/>
      <c r="G441" s="182"/>
      <c r="H441" s="183"/>
      <c r="I441" s="180"/>
      <c r="J441" s="180"/>
      <c r="K441" s="180"/>
      <c r="L441" s="180"/>
      <c r="M441" s="180"/>
      <c r="N441" s="181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1.25" customHeight="1">
      <c r="A442" s="179"/>
      <c r="B442" s="180"/>
      <c r="C442" s="181"/>
      <c r="D442" s="180"/>
      <c r="E442" s="180"/>
      <c r="F442" s="179"/>
      <c r="G442" s="182"/>
      <c r="H442" s="183"/>
      <c r="I442" s="180"/>
      <c r="J442" s="180"/>
      <c r="K442" s="180"/>
      <c r="L442" s="180"/>
      <c r="M442" s="180"/>
      <c r="N442" s="181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1.25" customHeight="1">
      <c r="A443" s="179"/>
      <c r="B443" s="180"/>
      <c r="C443" s="181"/>
      <c r="D443" s="180"/>
      <c r="E443" s="180"/>
      <c r="F443" s="179"/>
      <c r="G443" s="182"/>
      <c r="H443" s="183"/>
      <c r="I443" s="180"/>
      <c r="J443" s="180"/>
      <c r="K443" s="180"/>
      <c r="L443" s="180"/>
      <c r="M443" s="180"/>
      <c r="N443" s="181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1.25" customHeight="1">
      <c r="A444" s="179"/>
      <c r="B444" s="180"/>
      <c r="C444" s="181"/>
      <c r="D444" s="180"/>
      <c r="E444" s="180"/>
      <c r="F444" s="179"/>
      <c r="G444" s="182"/>
      <c r="H444" s="183"/>
      <c r="I444" s="180"/>
      <c r="J444" s="180"/>
      <c r="K444" s="180"/>
      <c r="L444" s="180"/>
      <c r="M444" s="180"/>
      <c r="N444" s="181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1.25" customHeight="1">
      <c r="A445" s="179"/>
      <c r="B445" s="180"/>
      <c r="C445" s="181"/>
      <c r="D445" s="180"/>
      <c r="E445" s="180"/>
      <c r="F445" s="179"/>
      <c r="G445" s="182"/>
      <c r="H445" s="183"/>
      <c r="I445" s="180"/>
      <c r="J445" s="180"/>
      <c r="K445" s="180"/>
      <c r="L445" s="180"/>
      <c r="M445" s="180"/>
      <c r="N445" s="181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1.25" customHeight="1">
      <c r="A446" s="179"/>
      <c r="B446" s="180"/>
      <c r="C446" s="181"/>
      <c r="D446" s="180"/>
      <c r="E446" s="180"/>
      <c r="F446" s="179"/>
      <c r="G446" s="182"/>
      <c r="H446" s="183"/>
      <c r="I446" s="180"/>
      <c r="J446" s="180"/>
      <c r="K446" s="180"/>
      <c r="L446" s="180"/>
      <c r="M446" s="180"/>
      <c r="N446" s="181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1.25" customHeight="1">
      <c r="A447" s="179"/>
      <c r="B447" s="180"/>
      <c r="C447" s="181"/>
      <c r="D447" s="180"/>
      <c r="E447" s="180"/>
      <c r="F447" s="179"/>
      <c r="G447" s="182"/>
      <c r="H447" s="183"/>
      <c r="I447" s="180"/>
      <c r="J447" s="180"/>
      <c r="K447" s="180"/>
      <c r="L447" s="180"/>
      <c r="M447" s="180"/>
      <c r="N447" s="181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1.25" customHeight="1">
      <c r="A448" s="179"/>
      <c r="B448" s="180"/>
      <c r="C448" s="181"/>
      <c r="D448" s="180"/>
      <c r="E448" s="180"/>
      <c r="F448" s="179"/>
      <c r="G448" s="182"/>
      <c r="H448" s="183"/>
      <c r="I448" s="180"/>
      <c r="J448" s="180"/>
      <c r="K448" s="180"/>
      <c r="L448" s="180"/>
      <c r="M448" s="180"/>
      <c r="N448" s="181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1.25" customHeight="1">
      <c r="A449" s="179"/>
      <c r="B449" s="180"/>
      <c r="C449" s="181"/>
      <c r="D449" s="180"/>
      <c r="E449" s="180"/>
      <c r="F449" s="179"/>
      <c r="G449" s="182"/>
      <c r="H449" s="183"/>
      <c r="I449" s="180"/>
      <c r="J449" s="180"/>
      <c r="K449" s="180"/>
      <c r="L449" s="180"/>
      <c r="M449" s="180"/>
      <c r="N449" s="181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1.25" customHeight="1">
      <c r="A450" s="179"/>
      <c r="B450" s="180"/>
      <c r="C450" s="181"/>
      <c r="D450" s="180"/>
      <c r="E450" s="180"/>
      <c r="F450" s="179"/>
      <c r="G450" s="182"/>
      <c r="H450" s="183"/>
      <c r="I450" s="180"/>
      <c r="J450" s="180"/>
      <c r="K450" s="180"/>
      <c r="L450" s="180"/>
      <c r="M450" s="180"/>
      <c r="N450" s="181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1.25" customHeight="1">
      <c r="A451" s="179"/>
      <c r="B451" s="180"/>
      <c r="C451" s="181"/>
      <c r="D451" s="180"/>
      <c r="E451" s="180"/>
      <c r="F451" s="179"/>
      <c r="G451" s="182"/>
      <c r="H451" s="183"/>
      <c r="I451" s="180"/>
      <c r="J451" s="180"/>
      <c r="K451" s="180"/>
      <c r="L451" s="180"/>
      <c r="M451" s="180"/>
      <c r="N451" s="181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1.25" customHeight="1">
      <c r="A452" s="179"/>
      <c r="B452" s="180"/>
      <c r="C452" s="181"/>
      <c r="D452" s="180"/>
      <c r="E452" s="180"/>
      <c r="F452" s="179"/>
      <c r="G452" s="182"/>
      <c r="H452" s="183"/>
      <c r="I452" s="180"/>
      <c r="J452" s="180"/>
      <c r="K452" s="180"/>
      <c r="L452" s="180"/>
      <c r="M452" s="180"/>
      <c r="N452" s="181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1.25" customHeight="1">
      <c r="A453" s="179"/>
      <c r="B453" s="180"/>
      <c r="C453" s="181"/>
      <c r="D453" s="180"/>
      <c r="E453" s="180"/>
      <c r="F453" s="179"/>
      <c r="G453" s="182"/>
      <c r="H453" s="183"/>
      <c r="I453" s="180"/>
      <c r="J453" s="180"/>
      <c r="K453" s="180"/>
      <c r="L453" s="180"/>
      <c r="M453" s="180"/>
      <c r="N453" s="181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1.25" customHeight="1">
      <c r="A454" s="179"/>
      <c r="B454" s="180"/>
      <c r="C454" s="181"/>
      <c r="D454" s="180"/>
      <c r="E454" s="180"/>
      <c r="F454" s="179"/>
      <c r="G454" s="182"/>
      <c r="H454" s="183"/>
      <c r="I454" s="180"/>
      <c r="J454" s="180"/>
      <c r="K454" s="180"/>
      <c r="L454" s="180"/>
      <c r="M454" s="180"/>
      <c r="N454" s="181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1.25" customHeight="1">
      <c r="A455" s="179"/>
      <c r="B455" s="180"/>
      <c r="C455" s="181"/>
      <c r="D455" s="180"/>
      <c r="E455" s="180"/>
      <c r="F455" s="179"/>
      <c r="G455" s="182"/>
      <c r="H455" s="183"/>
      <c r="I455" s="180"/>
      <c r="J455" s="180"/>
      <c r="K455" s="180"/>
      <c r="L455" s="180"/>
      <c r="M455" s="180"/>
      <c r="N455" s="181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1.25" customHeight="1">
      <c r="A456" s="179"/>
      <c r="B456" s="180"/>
      <c r="C456" s="181"/>
      <c r="D456" s="180"/>
      <c r="E456" s="180"/>
      <c r="F456" s="179"/>
      <c r="G456" s="182"/>
      <c r="H456" s="183"/>
      <c r="I456" s="180"/>
      <c r="J456" s="180"/>
      <c r="K456" s="180"/>
      <c r="L456" s="180"/>
      <c r="M456" s="180"/>
      <c r="N456" s="181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1.25" customHeight="1">
      <c r="A457" s="179"/>
      <c r="B457" s="180"/>
      <c r="C457" s="181"/>
      <c r="D457" s="180"/>
      <c r="E457" s="180"/>
      <c r="F457" s="179"/>
      <c r="G457" s="182"/>
      <c r="H457" s="183"/>
      <c r="I457" s="180"/>
      <c r="J457" s="180"/>
      <c r="K457" s="180"/>
      <c r="L457" s="180"/>
      <c r="M457" s="180"/>
      <c r="N457" s="181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1.25" customHeight="1">
      <c r="A458" s="179"/>
      <c r="B458" s="180"/>
      <c r="C458" s="181"/>
      <c r="D458" s="180"/>
      <c r="E458" s="180"/>
      <c r="F458" s="179"/>
      <c r="G458" s="182"/>
      <c r="H458" s="183"/>
      <c r="I458" s="180"/>
      <c r="J458" s="180"/>
      <c r="K458" s="180"/>
      <c r="L458" s="180"/>
      <c r="M458" s="180"/>
      <c r="N458" s="181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1.25" customHeight="1">
      <c r="A459" s="179"/>
      <c r="B459" s="180"/>
      <c r="C459" s="181"/>
      <c r="D459" s="180"/>
      <c r="E459" s="180"/>
      <c r="F459" s="179"/>
      <c r="G459" s="182"/>
      <c r="H459" s="183"/>
      <c r="I459" s="180"/>
      <c r="J459" s="180"/>
      <c r="K459" s="180"/>
      <c r="L459" s="180"/>
      <c r="M459" s="180"/>
      <c r="N459" s="181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1.25" customHeight="1">
      <c r="A460" s="179"/>
      <c r="B460" s="180"/>
      <c r="C460" s="181"/>
      <c r="D460" s="180"/>
      <c r="E460" s="180"/>
      <c r="F460" s="179"/>
      <c r="G460" s="182"/>
      <c r="H460" s="183"/>
      <c r="I460" s="180"/>
      <c r="J460" s="180"/>
      <c r="K460" s="180"/>
      <c r="L460" s="180"/>
      <c r="M460" s="180"/>
      <c r="N460" s="181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1.25" customHeight="1">
      <c r="A461" s="179"/>
      <c r="B461" s="180"/>
      <c r="C461" s="181"/>
      <c r="D461" s="180"/>
      <c r="E461" s="180"/>
      <c r="F461" s="179"/>
      <c r="G461" s="182"/>
      <c r="H461" s="183"/>
      <c r="I461" s="180"/>
      <c r="J461" s="180"/>
      <c r="K461" s="180"/>
      <c r="L461" s="180"/>
      <c r="M461" s="180"/>
      <c r="N461" s="181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1.25" customHeight="1">
      <c r="A462" s="179"/>
      <c r="B462" s="180"/>
      <c r="C462" s="181"/>
      <c r="D462" s="180"/>
      <c r="E462" s="180"/>
      <c r="F462" s="179"/>
      <c r="G462" s="182"/>
      <c r="H462" s="183"/>
      <c r="I462" s="180"/>
      <c r="J462" s="180"/>
      <c r="K462" s="180"/>
      <c r="L462" s="180"/>
      <c r="M462" s="180"/>
      <c r="N462" s="181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1.25" customHeight="1">
      <c r="A463" s="179"/>
      <c r="B463" s="180"/>
      <c r="C463" s="181"/>
      <c r="D463" s="180"/>
      <c r="E463" s="180"/>
      <c r="F463" s="179"/>
      <c r="G463" s="182"/>
      <c r="H463" s="183"/>
      <c r="I463" s="180"/>
      <c r="J463" s="180"/>
      <c r="K463" s="180"/>
      <c r="L463" s="180"/>
      <c r="M463" s="180"/>
      <c r="N463" s="181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1.25" customHeight="1">
      <c r="A464" s="179"/>
      <c r="B464" s="180"/>
      <c r="C464" s="181"/>
      <c r="D464" s="180"/>
      <c r="E464" s="180"/>
      <c r="F464" s="179"/>
      <c r="G464" s="182"/>
      <c r="H464" s="183"/>
      <c r="I464" s="180"/>
      <c r="J464" s="180"/>
      <c r="K464" s="180"/>
      <c r="L464" s="180"/>
      <c r="M464" s="180"/>
      <c r="N464" s="181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1.25" customHeight="1">
      <c r="A465" s="179"/>
      <c r="B465" s="180"/>
      <c r="C465" s="181"/>
      <c r="D465" s="180"/>
      <c r="E465" s="180"/>
      <c r="F465" s="179"/>
      <c r="G465" s="182"/>
      <c r="H465" s="183"/>
      <c r="I465" s="180"/>
      <c r="J465" s="180"/>
      <c r="K465" s="180"/>
      <c r="L465" s="180"/>
      <c r="M465" s="180"/>
      <c r="N465" s="181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1.25" customHeight="1">
      <c r="A466" s="179"/>
      <c r="B466" s="180"/>
      <c r="C466" s="181"/>
      <c r="D466" s="180"/>
      <c r="E466" s="180"/>
      <c r="F466" s="179"/>
      <c r="G466" s="182"/>
      <c r="H466" s="183"/>
      <c r="I466" s="180"/>
      <c r="J466" s="180"/>
      <c r="K466" s="180"/>
      <c r="L466" s="180"/>
      <c r="M466" s="180"/>
      <c r="N466" s="181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1.25" customHeight="1">
      <c r="A467" s="179"/>
      <c r="B467" s="180"/>
      <c r="C467" s="181"/>
      <c r="D467" s="180"/>
      <c r="E467" s="180"/>
      <c r="F467" s="179"/>
      <c r="G467" s="182"/>
      <c r="H467" s="183"/>
      <c r="I467" s="180"/>
      <c r="J467" s="180"/>
      <c r="K467" s="180"/>
      <c r="L467" s="180"/>
      <c r="M467" s="180"/>
      <c r="N467" s="181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1.25" customHeight="1">
      <c r="A468" s="179"/>
      <c r="B468" s="180"/>
      <c r="C468" s="181"/>
      <c r="D468" s="180"/>
      <c r="E468" s="180"/>
      <c r="F468" s="179"/>
      <c r="G468" s="182"/>
      <c r="H468" s="183"/>
      <c r="I468" s="180"/>
      <c r="J468" s="180"/>
      <c r="K468" s="180"/>
      <c r="L468" s="180"/>
      <c r="M468" s="180"/>
      <c r="N468" s="181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1.25" customHeight="1">
      <c r="A469" s="179"/>
      <c r="B469" s="180"/>
      <c r="C469" s="181"/>
      <c r="D469" s="180"/>
      <c r="E469" s="180"/>
      <c r="F469" s="179"/>
      <c r="G469" s="182"/>
      <c r="H469" s="183"/>
      <c r="I469" s="180"/>
      <c r="J469" s="180"/>
      <c r="K469" s="180"/>
      <c r="L469" s="180"/>
      <c r="M469" s="180"/>
      <c r="N469" s="181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1.25" customHeight="1">
      <c r="A470" s="179"/>
      <c r="B470" s="180"/>
      <c r="C470" s="181"/>
      <c r="D470" s="180"/>
      <c r="E470" s="180"/>
      <c r="F470" s="179"/>
      <c r="G470" s="182"/>
      <c r="H470" s="183"/>
      <c r="I470" s="180"/>
      <c r="J470" s="180"/>
      <c r="K470" s="180"/>
      <c r="L470" s="180"/>
      <c r="M470" s="180"/>
      <c r="N470" s="181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1.25" customHeight="1">
      <c r="A471" s="179"/>
      <c r="B471" s="180"/>
      <c r="C471" s="181"/>
      <c r="D471" s="180"/>
      <c r="E471" s="180"/>
      <c r="F471" s="179"/>
      <c r="G471" s="182"/>
      <c r="H471" s="183"/>
      <c r="I471" s="180"/>
      <c r="J471" s="180"/>
      <c r="K471" s="180"/>
      <c r="L471" s="180"/>
      <c r="M471" s="180"/>
      <c r="N471" s="181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1.25" customHeight="1">
      <c r="A472" s="179"/>
      <c r="B472" s="180"/>
      <c r="C472" s="181"/>
      <c r="D472" s="180"/>
      <c r="E472" s="180"/>
      <c r="F472" s="179"/>
      <c r="G472" s="182"/>
      <c r="H472" s="183"/>
      <c r="I472" s="180"/>
      <c r="J472" s="180"/>
      <c r="K472" s="180"/>
      <c r="L472" s="180"/>
      <c r="M472" s="180"/>
      <c r="N472" s="181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1.25" customHeight="1">
      <c r="A473" s="179"/>
      <c r="B473" s="180"/>
      <c r="C473" s="181"/>
      <c r="D473" s="180"/>
      <c r="E473" s="180"/>
      <c r="F473" s="179"/>
      <c r="G473" s="182"/>
      <c r="H473" s="183"/>
      <c r="I473" s="180"/>
      <c r="J473" s="180"/>
      <c r="K473" s="180"/>
      <c r="L473" s="180"/>
      <c r="M473" s="180"/>
      <c r="N473" s="181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1.25" customHeight="1">
      <c r="A474" s="179"/>
      <c r="B474" s="180"/>
      <c r="C474" s="181"/>
      <c r="D474" s="180"/>
      <c r="E474" s="180"/>
      <c r="F474" s="179"/>
      <c r="G474" s="182"/>
      <c r="H474" s="183"/>
      <c r="I474" s="180"/>
      <c r="J474" s="180"/>
      <c r="K474" s="180"/>
      <c r="L474" s="180"/>
      <c r="M474" s="180"/>
      <c r="N474" s="181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1.25" customHeight="1">
      <c r="A475" s="179"/>
      <c r="B475" s="180"/>
      <c r="C475" s="181"/>
      <c r="D475" s="180"/>
      <c r="E475" s="180"/>
      <c r="F475" s="179"/>
      <c r="G475" s="182"/>
      <c r="H475" s="183"/>
      <c r="I475" s="180"/>
      <c r="J475" s="180"/>
      <c r="K475" s="180"/>
      <c r="L475" s="180"/>
      <c r="M475" s="180"/>
      <c r="N475" s="181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1.25" customHeight="1">
      <c r="A476" s="179"/>
      <c r="B476" s="180"/>
      <c r="C476" s="181"/>
      <c r="D476" s="180"/>
      <c r="E476" s="180"/>
      <c r="F476" s="179"/>
      <c r="G476" s="182"/>
      <c r="H476" s="183"/>
      <c r="I476" s="180"/>
      <c r="J476" s="180"/>
      <c r="K476" s="180"/>
      <c r="L476" s="180"/>
      <c r="M476" s="180"/>
      <c r="N476" s="181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1.25" customHeight="1">
      <c r="A477" s="179"/>
      <c r="B477" s="180"/>
      <c r="C477" s="181"/>
      <c r="D477" s="180"/>
      <c r="E477" s="180"/>
      <c r="F477" s="179"/>
      <c r="G477" s="182"/>
      <c r="H477" s="183"/>
      <c r="I477" s="180"/>
      <c r="J477" s="180"/>
      <c r="K477" s="180"/>
      <c r="L477" s="180"/>
      <c r="M477" s="180"/>
      <c r="N477" s="181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1.25" customHeight="1">
      <c r="A478" s="179"/>
      <c r="B478" s="180"/>
      <c r="C478" s="181"/>
      <c r="D478" s="180"/>
      <c r="E478" s="180"/>
      <c r="F478" s="179"/>
      <c r="G478" s="182"/>
      <c r="H478" s="183"/>
      <c r="I478" s="180"/>
      <c r="J478" s="180"/>
      <c r="K478" s="180"/>
      <c r="L478" s="180"/>
      <c r="M478" s="180"/>
      <c r="N478" s="181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1.25" customHeight="1">
      <c r="A479" s="179"/>
      <c r="B479" s="180"/>
      <c r="C479" s="181"/>
      <c r="D479" s="180"/>
      <c r="E479" s="180"/>
      <c r="F479" s="179"/>
      <c r="G479" s="182"/>
      <c r="H479" s="183"/>
      <c r="I479" s="180"/>
      <c r="J479" s="180"/>
      <c r="K479" s="180"/>
      <c r="L479" s="180"/>
      <c r="M479" s="180"/>
      <c r="N479" s="181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1.25" customHeight="1">
      <c r="A480" s="179"/>
      <c r="B480" s="180"/>
      <c r="C480" s="181"/>
      <c r="D480" s="180"/>
      <c r="E480" s="180"/>
      <c r="F480" s="179"/>
      <c r="G480" s="182"/>
      <c r="H480" s="183"/>
      <c r="I480" s="180"/>
      <c r="J480" s="180"/>
      <c r="K480" s="180"/>
      <c r="L480" s="180"/>
      <c r="M480" s="180"/>
      <c r="N480" s="181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1.25" customHeight="1">
      <c r="A481" s="179"/>
      <c r="B481" s="180"/>
      <c r="C481" s="181"/>
      <c r="D481" s="180"/>
      <c r="E481" s="180"/>
      <c r="F481" s="179"/>
      <c r="G481" s="182"/>
      <c r="H481" s="183"/>
      <c r="I481" s="180"/>
      <c r="J481" s="180"/>
      <c r="K481" s="180"/>
      <c r="L481" s="180"/>
      <c r="M481" s="180"/>
      <c r="N481" s="181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1.25" customHeight="1">
      <c r="A482" s="179"/>
      <c r="B482" s="180"/>
      <c r="C482" s="181"/>
      <c r="D482" s="180"/>
      <c r="E482" s="180"/>
      <c r="F482" s="179"/>
      <c r="G482" s="182"/>
      <c r="H482" s="183"/>
      <c r="I482" s="180"/>
      <c r="J482" s="180"/>
      <c r="K482" s="180"/>
      <c r="L482" s="180"/>
      <c r="M482" s="180"/>
      <c r="N482" s="181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1.25" customHeight="1">
      <c r="A483" s="179"/>
      <c r="B483" s="180"/>
      <c r="C483" s="181"/>
      <c r="D483" s="180"/>
      <c r="E483" s="180"/>
      <c r="F483" s="179"/>
      <c r="G483" s="182"/>
      <c r="H483" s="183"/>
      <c r="I483" s="180"/>
      <c r="J483" s="180"/>
      <c r="K483" s="180"/>
      <c r="L483" s="180"/>
      <c r="M483" s="180"/>
      <c r="N483" s="181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1.25" customHeight="1">
      <c r="A484" s="179"/>
      <c r="B484" s="180"/>
      <c r="C484" s="181"/>
      <c r="D484" s="180"/>
      <c r="E484" s="180"/>
      <c r="F484" s="179"/>
      <c r="G484" s="182"/>
      <c r="H484" s="183"/>
      <c r="I484" s="180"/>
      <c r="J484" s="180"/>
      <c r="K484" s="180"/>
      <c r="L484" s="180"/>
      <c r="M484" s="180"/>
      <c r="N484" s="181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1.25" customHeight="1">
      <c r="A485" s="179"/>
      <c r="B485" s="180"/>
      <c r="C485" s="181"/>
      <c r="D485" s="180"/>
      <c r="E485" s="180"/>
      <c r="F485" s="179"/>
      <c r="G485" s="182"/>
      <c r="H485" s="183"/>
      <c r="I485" s="180"/>
      <c r="J485" s="180"/>
      <c r="K485" s="180"/>
      <c r="L485" s="180"/>
      <c r="M485" s="180"/>
      <c r="N485" s="181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1.25" customHeight="1">
      <c r="A486" s="179"/>
      <c r="B486" s="180"/>
      <c r="C486" s="181"/>
      <c r="D486" s="180"/>
      <c r="E486" s="180"/>
      <c r="F486" s="179"/>
      <c r="G486" s="182"/>
      <c r="H486" s="183"/>
      <c r="I486" s="180"/>
      <c r="J486" s="180"/>
      <c r="K486" s="180"/>
      <c r="L486" s="180"/>
      <c r="M486" s="180"/>
      <c r="N486" s="181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1.25" customHeight="1">
      <c r="A487" s="179"/>
      <c r="B487" s="180"/>
      <c r="C487" s="181"/>
      <c r="D487" s="180"/>
      <c r="E487" s="180"/>
      <c r="F487" s="179"/>
      <c r="G487" s="182"/>
      <c r="H487" s="183"/>
      <c r="I487" s="180"/>
      <c r="J487" s="180"/>
      <c r="K487" s="180"/>
      <c r="L487" s="180"/>
      <c r="M487" s="180"/>
      <c r="N487" s="181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1.25" customHeight="1">
      <c r="A488" s="179"/>
      <c r="B488" s="180"/>
      <c r="C488" s="181"/>
      <c r="D488" s="180"/>
      <c r="E488" s="180"/>
      <c r="F488" s="179"/>
      <c r="G488" s="182"/>
      <c r="H488" s="183"/>
      <c r="I488" s="180"/>
      <c r="J488" s="180"/>
      <c r="K488" s="180"/>
      <c r="L488" s="180"/>
      <c r="M488" s="180"/>
      <c r="N488" s="181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1.25" customHeight="1">
      <c r="A489" s="179"/>
      <c r="B489" s="180"/>
      <c r="C489" s="181"/>
      <c r="D489" s="180"/>
      <c r="E489" s="180"/>
      <c r="F489" s="179"/>
      <c r="G489" s="182"/>
      <c r="H489" s="183"/>
      <c r="I489" s="180"/>
      <c r="J489" s="180"/>
      <c r="K489" s="180"/>
      <c r="L489" s="180"/>
      <c r="M489" s="180"/>
      <c r="N489" s="181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1.25" customHeight="1">
      <c r="A490" s="179"/>
      <c r="B490" s="180"/>
      <c r="C490" s="181"/>
      <c r="D490" s="180"/>
      <c r="E490" s="180"/>
      <c r="F490" s="179"/>
      <c r="G490" s="182"/>
      <c r="H490" s="183"/>
      <c r="I490" s="180"/>
      <c r="J490" s="180"/>
      <c r="K490" s="180"/>
      <c r="L490" s="180"/>
      <c r="M490" s="180"/>
      <c r="N490" s="181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1.25" customHeight="1">
      <c r="A491" s="179"/>
      <c r="B491" s="180"/>
      <c r="C491" s="181"/>
      <c r="D491" s="180"/>
      <c r="E491" s="180"/>
      <c r="F491" s="179"/>
      <c r="G491" s="182"/>
      <c r="H491" s="183"/>
      <c r="I491" s="180"/>
      <c r="J491" s="180"/>
      <c r="K491" s="180"/>
      <c r="L491" s="180"/>
      <c r="M491" s="180"/>
      <c r="N491" s="181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1.25" customHeight="1">
      <c r="A492" s="179"/>
      <c r="B492" s="180"/>
      <c r="C492" s="181"/>
      <c r="D492" s="180"/>
      <c r="E492" s="180"/>
      <c r="F492" s="179"/>
      <c r="G492" s="182"/>
      <c r="H492" s="183"/>
      <c r="I492" s="180"/>
      <c r="J492" s="180"/>
      <c r="K492" s="180"/>
      <c r="L492" s="180"/>
      <c r="M492" s="180"/>
      <c r="N492" s="181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1.25" customHeight="1">
      <c r="A493" s="179"/>
      <c r="B493" s="180"/>
      <c r="C493" s="181"/>
      <c r="D493" s="180"/>
      <c r="E493" s="180"/>
      <c r="F493" s="179"/>
      <c r="G493" s="182"/>
      <c r="H493" s="183"/>
      <c r="I493" s="180"/>
      <c r="J493" s="180"/>
      <c r="K493" s="180"/>
      <c r="L493" s="180"/>
      <c r="M493" s="180"/>
      <c r="N493" s="181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1.25" customHeight="1">
      <c r="A494" s="179"/>
      <c r="B494" s="180"/>
      <c r="C494" s="181"/>
      <c r="D494" s="180"/>
      <c r="E494" s="180"/>
      <c r="F494" s="179"/>
      <c r="G494" s="182"/>
      <c r="H494" s="183"/>
      <c r="I494" s="180"/>
      <c r="J494" s="180"/>
      <c r="K494" s="180"/>
      <c r="L494" s="180"/>
      <c r="M494" s="180"/>
      <c r="N494" s="181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1.25" customHeight="1">
      <c r="A495" s="179"/>
      <c r="B495" s="180"/>
      <c r="C495" s="181"/>
      <c r="D495" s="180"/>
      <c r="E495" s="180"/>
      <c r="F495" s="179"/>
      <c r="G495" s="182"/>
      <c r="H495" s="183"/>
      <c r="I495" s="180"/>
      <c r="J495" s="180"/>
      <c r="K495" s="180"/>
      <c r="L495" s="180"/>
      <c r="M495" s="180"/>
      <c r="N495" s="181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1.25" customHeight="1">
      <c r="A496" s="179"/>
      <c r="B496" s="180"/>
      <c r="C496" s="181"/>
      <c r="D496" s="180"/>
      <c r="E496" s="180"/>
      <c r="F496" s="179"/>
      <c r="G496" s="182"/>
      <c r="H496" s="183"/>
      <c r="I496" s="180"/>
      <c r="J496" s="180"/>
      <c r="K496" s="180"/>
      <c r="L496" s="180"/>
      <c r="M496" s="180"/>
      <c r="N496" s="181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1.25" customHeight="1">
      <c r="A497" s="179"/>
      <c r="B497" s="180"/>
      <c r="C497" s="181"/>
      <c r="D497" s="180"/>
      <c r="E497" s="180"/>
      <c r="F497" s="179"/>
      <c r="G497" s="182"/>
      <c r="H497" s="183"/>
      <c r="I497" s="180"/>
      <c r="J497" s="180"/>
      <c r="K497" s="180"/>
      <c r="L497" s="180"/>
      <c r="M497" s="180"/>
      <c r="N497" s="181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1.25" customHeight="1">
      <c r="A498" s="179"/>
      <c r="B498" s="180"/>
      <c r="C498" s="181"/>
      <c r="D498" s="180"/>
      <c r="E498" s="180"/>
      <c r="F498" s="179"/>
      <c r="G498" s="182"/>
      <c r="H498" s="183"/>
      <c r="I498" s="180"/>
      <c r="J498" s="180"/>
      <c r="K498" s="180"/>
      <c r="L498" s="180"/>
      <c r="M498" s="180"/>
      <c r="N498" s="181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1.25" customHeight="1">
      <c r="A499" s="179"/>
      <c r="B499" s="180"/>
      <c r="C499" s="181"/>
      <c r="D499" s="180"/>
      <c r="E499" s="180"/>
      <c r="F499" s="179"/>
      <c r="G499" s="182"/>
      <c r="H499" s="183"/>
      <c r="I499" s="180"/>
      <c r="J499" s="180"/>
      <c r="K499" s="180"/>
      <c r="L499" s="180"/>
      <c r="M499" s="180"/>
      <c r="N499" s="181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1.25" customHeight="1">
      <c r="A500" s="179"/>
      <c r="B500" s="180"/>
      <c r="C500" s="181"/>
      <c r="D500" s="180"/>
      <c r="E500" s="180"/>
      <c r="F500" s="179"/>
      <c r="G500" s="182"/>
      <c r="H500" s="183"/>
      <c r="I500" s="180"/>
      <c r="J500" s="180"/>
      <c r="K500" s="180"/>
      <c r="L500" s="180"/>
      <c r="M500" s="180"/>
      <c r="N500" s="181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1.25" customHeight="1">
      <c r="A501" s="179"/>
      <c r="B501" s="180"/>
      <c r="C501" s="181"/>
      <c r="D501" s="180"/>
      <c r="E501" s="180"/>
      <c r="F501" s="179"/>
      <c r="G501" s="182"/>
      <c r="H501" s="183"/>
      <c r="I501" s="180"/>
      <c r="J501" s="180"/>
      <c r="K501" s="180"/>
      <c r="L501" s="180"/>
      <c r="M501" s="180"/>
      <c r="N501" s="181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1.25" customHeight="1">
      <c r="A502" s="179"/>
      <c r="B502" s="180"/>
      <c r="C502" s="181"/>
      <c r="D502" s="180"/>
      <c r="E502" s="180"/>
      <c r="F502" s="179"/>
      <c r="G502" s="182"/>
      <c r="H502" s="183"/>
      <c r="I502" s="180"/>
      <c r="J502" s="180"/>
      <c r="K502" s="180"/>
      <c r="L502" s="180"/>
      <c r="M502" s="180"/>
      <c r="N502" s="181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1.25" customHeight="1">
      <c r="A503" s="179"/>
      <c r="B503" s="180"/>
      <c r="C503" s="181"/>
      <c r="D503" s="180"/>
      <c r="E503" s="180"/>
      <c r="F503" s="179"/>
      <c r="G503" s="182"/>
      <c r="H503" s="183"/>
      <c r="I503" s="180"/>
      <c r="J503" s="180"/>
      <c r="K503" s="180"/>
      <c r="L503" s="180"/>
      <c r="M503" s="180"/>
      <c r="N503" s="181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1.25" customHeight="1">
      <c r="A504" s="179"/>
      <c r="B504" s="180"/>
      <c r="C504" s="181"/>
      <c r="D504" s="180"/>
      <c r="E504" s="180"/>
      <c r="F504" s="179"/>
      <c r="G504" s="182"/>
      <c r="H504" s="183"/>
      <c r="I504" s="180"/>
      <c r="J504" s="180"/>
      <c r="K504" s="180"/>
      <c r="L504" s="180"/>
      <c r="M504" s="180"/>
      <c r="N504" s="181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1.25" customHeight="1">
      <c r="A505" s="179"/>
      <c r="B505" s="180"/>
      <c r="C505" s="181"/>
      <c r="D505" s="180"/>
      <c r="E505" s="180"/>
      <c r="F505" s="179"/>
      <c r="G505" s="182"/>
      <c r="H505" s="183"/>
      <c r="I505" s="180"/>
      <c r="J505" s="180"/>
      <c r="K505" s="180"/>
      <c r="L505" s="180"/>
      <c r="M505" s="180"/>
      <c r="N505" s="181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1.25" customHeight="1">
      <c r="A506" s="179"/>
      <c r="B506" s="180"/>
      <c r="C506" s="181"/>
      <c r="D506" s="180"/>
      <c r="E506" s="180"/>
      <c r="F506" s="179"/>
      <c r="G506" s="182"/>
      <c r="H506" s="183"/>
      <c r="I506" s="180"/>
      <c r="J506" s="180"/>
      <c r="K506" s="180"/>
      <c r="L506" s="180"/>
      <c r="M506" s="180"/>
      <c r="N506" s="181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1.25" customHeight="1">
      <c r="A507" s="179"/>
      <c r="B507" s="180"/>
      <c r="C507" s="181"/>
      <c r="D507" s="180"/>
      <c r="E507" s="180"/>
      <c r="F507" s="179"/>
      <c r="G507" s="182"/>
      <c r="H507" s="183"/>
      <c r="I507" s="180"/>
      <c r="J507" s="180"/>
      <c r="K507" s="180"/>
      <c r="L507" s="180"/>
      <c r="M507" s="180"/>
      <c r="N507" s="181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1.25" customHeight="1">
      <c r="A508" s="179"/>
      <c r="B508" s="180"/>
      <c r="C508" s="181"/>
      <c r="D508" s="180"/>
      <c r="E508" s="180"/>
      <c r="F508" s="179"/>
      <c r="G508" s="182"/>
      <c r="H508" s="183"/>
      <c r="I508" s="180"/>
      <c r="J508" s="180"/>
      <c r="K508" s="180"/>
      <c r="L508" s="180"/>
      <c r="M508" s="180"/>
      <c r="N508" s="181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1.25" customHeight="1">
      <c r="A509" s="179"/>
      <c r="B509" s="180"/>
      <c r="C509" s="181"/>
      <c r="D509" s="180"/>
      <c r="E509" s="180"/>
      <c r="F509" s="179"/>
      <c r="G509" s="182"/>
      <c r="H509" s="183"/>
      <c r="I509" s="180"/>
      <c r="J509" s="180"/>
      <c r="K509" s="180"/>
      <c r="L509" s="180"/>
      <c r="M509" s="180"/>
      <c r="N509" s="181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1.25" customHeight="1">
      <c r="A510" s="179"/>
      <c r="B510" s="180"/>
      <c r="C510" s="181"/>
      <c r="D510" s="180"/>
      <c r="E510" s="180"/>
      <c r="F510" s="179"/>
      <c r="G510" s="182"/>
      <c r="H510" s="183"/>
      <c r="I510" s="180"/>
      <c r="J510" s="180"/>
      <c r="K510" s="180"/>
      <c r="L510" s="180"/>
      <c r="M510" s="180"/>
      <c r="N510" s="181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1.25" customHeight="1">
      <c r="A511" s="179"/>
      <c r="B511" s="180"/>
      <c r="C511" s="181"/>
      <c r="D511" s="180"/>
      <c r="E511" s="180"/>
      <c r="F511" s="179"/>
      <c r="G511" s="182"/>
      <c r="H511" s="183"/>
      <c r="I511" s="180"/>
      <c r="J511" s="180"/>
      <c r="K511" s="180"/>
      <c r="L511" s="180"/>
      <c r="M511" s="180"/>
      <c r="N511" s="181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1.25" customHeight="1">
      <c r="A512" s="179"/>
      <c r="B512" s="180"/>
      <c r="C512" s="181"/>
      <c r="D512" s="180"/>
      <c r="E512" s="180"/>
      <c r="F512" s="179"/>
      <c r="G512" s="182"/>
      <c r="H512" s="183"/>
      <c r="I512" s="180"/>
      <c r="J512" s="180"/>
      <c r="K512" s="180"/>
      <c r="L512" s="180"/>
      <c r="M512" s="180"/>
      <c r="N512" s="181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1.25" customHeight="1">
      <c r="A513" s="179"/>
      <c r="B513" s="180"/>
      <c r="C513" s="181"/>
      <c r="D513" s="180"/>
      <c r="E513" s="180"/>
      <c r="F513" s="179"/>
      <c r="G513" s="182"/>
      <c r="H513" s="183"/>
      <c r="I513" s="180"/>
      <c r="J513" s="180"/>
      <c r="K513" s="180"/>
      <c r="L513" s="180"/>
      <c r="M513" s="180"/>
      <c r="N513" s="181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1.25" customHeight="1">
      <c r="A514" s="179"/>
      <c r="B514" s="180"/>
      <c r="C514" s="181"/>
      <c r="D514" s="180"/>
      <c r="E514" s="180"/>
      <c r="F514" s="179"/>
      <c r="G514" s="182"/>
      <c r="H514" s="183"/>
      <c r="I514" s="180"/>
      <c r="J514" s="180"/>
      <c r="K514" s="180"/>
      <c r="L514" s="180"/>
      <c r="M514" s="180"/>
      <c r="N514" s="181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1.25" customHeight="1">
      <c r="A515" s="179"/>
      <c r="B515" s="180"/>
      <c r="C515" s="181"/>
      <c r="D515" s="180"/>
      <c r="E515" s="180"/>
      <c r="F515" s="179"/>
      <c r="G515" s="182"/>
      <c r="H515" s="183"/>
      <c r="I515" s="180"/>
      <c r="J515" s="180"/>
      <c r="K515" s="180"/>
      <c r="L515" s="180"/>
      <c r="M515" s="180"/>
      <c r="N515" s="181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1.25" customHeight="1">
      <c r="A516" s="179"/>
      <c r="B516" s="180"/>
      <c r="C516" s="181"/>
      <c r="D516" s="180"/>
      <c r="E516" s="180"/>
      <c r="F516" s="179"/>
      <c r="G516" s="182"/>
      <c r="H516" s="183"/>
      <c r="I516" s="180"/>
      <c r="J516" s="180"/>
      <c r="K516" s="180"/>
      <c r="L516" s="180"/>
      <c r="M516" s="180"/>
      <c r="N516" s="181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1.25" customHeight="1">
      <c r="A517" s="179"/>
      <c r="B517" s="180"/>
      <c r="C517" s="181"/>
      <c r="D517" s="180"/>
      <c r="E517" s="180"/>
      <c r="F517" s="179"/>
      <c r="G517" s="182"/>
      <c r="H517" s="183"/>
      <c r="I517" s="180"/>
      <c r="J517" s="180"/>
      <c r="K517" s="180"/>
      <c r="L517" s="180"/>
      <c r="M517" s="180"/>
      <c r="N517" s="181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1.25" customHeight="1">
      <c r="A518" s="179"/>
      <c r="B518" s="180"/>
      <c r="C518" s="181"/>
      <c r="D518" s="180"/>
      <c r="E518" s="180"/>
      <c r="F518" s="179"/>
      <c r="G518" s="182"/>
      <c r="H518" s="183"/>
      <c r="I518" s="180"/>
      <c r="J518" s="180"/>
      <c r="K518" s="180"/>
      <c r="L518" s="180"/>
      <c r="M518" s="180"/>
      <c r="N518" s="181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1.25" customHeight="1">
      <c r="A519" s="179"/>
      <c r="B519" s="180"/>
      <c r="C519" s="181"/>
      <c r="D519" s="180"/>
      <c r="E519" s="180"/>
      <c r="F519" s="179"/>
      <c r="G519" s="182"/>
      <c r="H519" s="183"/>
      <c r="I519" s="180"/>
      <c r="J519" s="180"/>
      <c r="K519" s="180"/>
      <c r="L519" s="180"/>
      <c r="M519" s="180"/>
      <c r="N519" s="181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1.25" customHeight="1">
      <c r="A520" s="179"/>
      <c r="B520" s="180"/>
      <c r="C520" s="181"/>
      <c r="D520" s="180"/>
      <c r="E520" s="180"/>
      <c r="F520" s="179"/>
      <c r="G520" s="182"/>
      <c r="H520" s="183"/>
      <c r="I520" s="180"/>
      <c r="J520" s="180"/>
      <c r="K520" s="180"/>
      <c r="L520" s="180"/>
      <c r="M520" s="180"/>
      <c r="N520" s="181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1.25" customHeight="1">
      <c r="A521" s="179"/>
      <c r="B521" s="180"/>
      <c r="C521" s="181"/>
      <c r="D521" s="180"/>
      <c r="E521" s="180"/>
      <c r="F521" s="179"/>
      <c r="G521" s="182"/>
      <c r="H521" s="183"/>
      <c r="I521" s="180"/>
      <c r="J521" s="180"/>
      <c r="K521" s="180"/>
      <c r="L521" s="180"/>
      <c r="M521" s="180"/>
      <c r="N521" s="181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1.25" customHeight="1">
      <c r="A522" s="179"/>
      <c r="B522" s="180"/>
      <c r="C522" s="181"/>
      <c r="D522" s="180"/>
      <c r="E522" s="180"/>
      <c r="F522" s="179"/>
      <c r="G522" s="182"/>
      <c r="H522" s="183"/>
      <c r="I522" s="180"/>
      <c r="J522" s="180"/>
      <c r="K522" s="180"/>
      <c r="L522" s="180"/>
      <c r="M522" s="180"/>
      <c r="N522" s="181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1.25" customHeight="1">
      <c r="A523" s="179"/>
      <c r="B523" s="180"/>
      <c r="C523" s="181"/>
      <c r="D523" s="180"/>
      <c r="E523" s="180"/>
      <c r="F523" s="179"/>
      <c r="G523" s="182"/>
      <c r="H523" s="183"/>
      <c r="I523" s="180"/>
      <c r="J523" s="180"/>
      <c r="K523" s="180"/>
      <c r="L523" s="180"/>
      <c r="M523" s="180"/>
      <c r="N523" s="181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1.25" customHeight="1">
      <c r="A524" s="179"/>
      <c r="B524" s="180"/>
      <c r="C524" s="181"/>
      <c r="D524" s="180"/>
      <c r="E524" s="180"/>
      <c r="F524" s="179"/>
      <c r="G524" s="182"/>
      <c r="H524" s="183"/>
      <c r="I524" s="180"/>
      <c r="J524" s="180"/>
      <c r="K524" s="180"/>
      <c r="L524" s="180"/>
      <c r="M524" s="180"/>
      <c r="N524" s="181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1.25" customHeight="1">
      <c r="A525" s="179"/>
      <c r="B525" s="180"/>
      <c r="C525" s="181"/>
      <c r="D525" s="180"/>
      <c r="E525" s="180"/>
      <c r="F525" s="179"/>
      <c r="G525" s="182"/>
      <c r="H525" s="183"/>
      <c r="I525" s="180"/>
      <c r="J525" s="180"/>
      <c r="K525" s="180"/>
      <c r="L525" s="180"/>
      <c r="M525" s="180"/>
      <c r="N525" s="181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1.25" customHeight="1">
      <c r="A526" s="179"/>
      <c r="B526" s="180"/>
      <c r="C526" s="181"/>
      <c r="D526" s="180"/>
      <c r="E526" s="180"/>
      <c r="F526" s="179"/>
      <c r="G526" s="182"/>
      <c r="H526" s="183"/>
      <c r="I526" s="180"/>
      <c r="J526" s="180"/>
      <c r="K526" s="180"/>
      <c r="L526" s="180"/>
      <c r="M526" s="180"/>
      <c r="N526" s="181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1.25" customHeight="1">
      <c r="A527" s="179"/>
      <c r="B527" s="180"/>
      <c r="C527" s="181"/>
      <c r="D527" s="180"/>
      <c r="E527" s="180"/>
      <c r="F527" s="179"/>
      <c r="G527" s="182"/>
      <c r="H527" s="183"/>
      <c r="I527" s="180"/>
      <c r="J527" s="180"/>
      <c r="K527" s="180"/>
      <c r="L527" s="180"/>
      <c r="M527" s="180"/>
      <c r="N527" s="181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1.25" customHeight="1">
      <c r="A528" s="179"/>
      <c r="B528" s="180"/>
      <c r="C528" s="181"/>
      <c r="D528" s="180"/>
      <c r="E528" s="180"/>
      <c r="F528" s="179"/>
      <c r="G528" s="182"/>
      <c r="H528" s="183"/>
      <c r="I528" s="180"/>
      <c r="J528" s="180"/>
      <c r="K528" s="180"/>
      <c r="L528" s="180"/>
      <c r="M528" s="180"/>
      <c r="N528" s="181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1.25" customHeight="1">
      <c r="A529" s="179"/>
      <c r="B529" s="180"/>
      <c r="C529" s="181"/>
      <c r="D529" s="180"/>
      <c r="E529" s="180"/>
      <c r="F529" s="179"/>
      <c r="G529" s="182"/>
      <c r="H529" s="183"/>
      <c r="I529" s="180"/>
      <c r="J529" s="180"/>
      <c r="K529" s="180"/>
      <c r="L529" s="180"/>
      <c r="M529" s="180"/>
      <c r="N529" s="181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1.25" customHeight="1">
      <c r="A530" s="179"/>
      <c r="B530" s="180"/>
      <c r="C530" s="181"/>
      <c r="D530" s="180"/>
      <c r="E530" s="180"/>
      <c r="F530" s="179"/>
      <c r="G530" s="182"/>
      <c r="H530" s="183"/>
      <c r="I530" s="180"/>
      <c r="J530" s="180"/>
      <c r="K530" s="180"/>
      <c r="L530" s="180"/>
      <c r="M530" s="180"/>
      <c r="N530" s="181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1.25" customHeight="1">
      <c r="A531" s="179"/>
      <c r="B531" s="180"/>
      <c r="C531" s="181"/>
      <c r="D531" s="180"/>
      <c r="E531" s="180"/>
      <c r="F531" s="179"/>
      <c r="G531" s="182"/>
      <c r="H531" s="183"/>
      <c r="I531" s="180"/>
      <c r="J531" s="180"/>
      <c r="K531" s="180"/>
      <c r="L531" s="180"/>
      <c r="M531" s="180"/>
      <c r="N531" s="181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1.25" customHeight="1">
      <c r="A532" s="179"/>
      <c r="B532" s="180"/>
      <c r="C532" s="181"/>
      <c r="D532" s="180"/>
      <c r="E532" s="180"/>
      <c r="F532" s="179"/>
      <c r="G532" s="182"/>
      <c r="H532" s="183"/>
      <c r="I532" s="180"/>
      <c r="J532" s="180"/>
      <c r="K532" s="180"/>
      <c r="L532" s="180"/>
      <c r="M532" s="180"/>
      <c r="N532" s="181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1.25" customHeight="1">
      <c r="A533" s="179"/>
      <c r="B533" s="180"/>
      <c r="C533" s="181"/>
      <c r="D533" s="180"/>
      <c r="E533" s="180"/>
      <c r="F533" s="179"/>
      <c r="G533" s="182"/>
      <c r="H533" s="183"/>
      <c r="I533" s="180"/>
      <c r="J533" s="180"/>
      <c r="K533" s="180"/>
      <c r="L533" s="180"/>
      <c r="M533" s="180"/>
      <c r="N533" s="181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1.25" customHeight="1">
      <c r="A534" s="179"/>
      <c r="B534" s="180"/>
      <c r="C534" s="181"/>
      <c r="D534" s="180"/>
      <c r="E534" s="180"/>
      <c r="F534" s="179"/>
      <c r="G534" s="182"/>
      <c r="H534" s="183"/>
      <c r="I534" s="180"/>
      <c r="J534" s="180"/>
      <c r="K534" s="180"/>
      <c r="L534" s="180"/>
      <c r="M534" s="180"/>
      <c r="N534" s="181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1.25" customHeight="1">
      <c r="A535" s="179"/>
      <c r="B535" s="180"/>
      <c r="C535" s="181"/>
      <c r="D535" s="180"/>
      <c r="E535" s="180"/>
      <c r="F535" s="179"/>
      <c r="G535" s="182"/>
      <c r="H535" s="183"/>
      <c r="I535" s="180"/>
      <c r="J535" s="180"/>
      <c r="K535" s="180"/>
      <c r="L535" s="180"/>
      <c r="M535" s="180"/>
      <c r="N535" s="181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1.25" customHeight="1">
      <c r="A536" s="179"/>
      <c r="B536" s="180"/>
      <c r="C536" s="181"/>
      <c r="D536" s="180"/>
      <c r="E536" s="180"/>
      <c r="F536" s="179"/>
      <c r="G536" s="182"/>
      <c r="H536" s="183"/>
      <c r="I536" s="180"/>
      <c r="J536" s="180"/>
      <c r="K536" s="180"/>
      <c r="L536" s="180"/>
      <c r="M536" s="180"/>
      <c r="N536" s="181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1.25" customHeight="1">
      <c r="A537" s="179"/>
      <c r="B537" s="180"/>
      <c r="C537" s="181"/>
      <c r="D537" s="180"/>
      <c r="E537" s="180"/>
      <c r="F537" s="179"/>
      <c r="G537" s="182"/>
      <c r="H537" s="183"/>
      <c r="I537" s="180"/>
      <c r="J537" s="180"/>
      <c r="K537" s="180"/>
      <c r="L537" s="180"/>
      <c r="M537" s="180"/>
      <c r="N537" s="181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1.25" customHeight="1">
      <c r="A538" s="179"/>
      <c r="B538" s="180"/>
      <c r="C538" s="181"/>
      <c r="D538" s="180"/>
      <c r="E538" s="180"/>
      <c r="F538" s="179"/>
      <c r="G538" s="182"/>
      <c r="H538" s="183"/>
      <c r="I538" s="180"/>
      <c r="J538" s="180"/>
      <c r="K538" s="180"/>
      <c r="L538" s="180"/>
      <c r="M538" s="180"/>
      <c r="N538" s="181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1.25" customHeight="1">
      <c r="A539" s="179"/>
      <c r="B539" s="180"/>
      <c r="C539" s="181"/>
      <c r="D539" s="180"/>
      <c r="E539" s="180"/>
      <c r="F539" s="179"/>
      <c r="G539" s="182"/>
      <c r="H539" s="183"/>
      <c r="I539" s="180"/>
      <c r="J539" s="180"/>
      <c r="K539" s="180"/>
      <c r="L539" s="180"/>
      <c r="M539" s="180"/>
      <c r="N539" s="181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1.25" customHeight="1">
      <c r="A540" s="179"/>
      <c r="B540" s="180"/>
      <c r="C540" s="181"/>
      <c r="D540" s="180"/>
      <c r="E540" s="180"/>
      <c r="F540" s="179"/>
      <c r="G540" s="182"/>
      <c r="H540" s="183"/>
      <c r="I540" s="180"/>
      <c r="J540" s="180"/>
      <c r="K540" s="180"/>
      <c r="L540" s="180"/>
      <c r="M540" s="180"/>
      <c r="N540" s="181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1.25" customHeight="1">
      <c r="A541" s="179"/>
      <c r="B541" s="180"/>
      <c r="C541" s="181"/>
      <c r="D541" s="180"/>
      <c r="E541" s="180"/>
      <c r="F541" s="179"/>
      <c r="G541" s="182"/>
      <c r="H541" s="183"/>
      <c r="I541" s="180"/>
      <c r="J541" s="180"/>
      <c r="K541" s="180"/>
      <c r="L541" s="180"/>
      <c r="M541" s="180"/>
      <c r="N541" s="181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1.25" customHeight="1">
      <c r="A542" s="179"/>
      <c r="B542" s="180"/>
      <c r="C542" s="181"/>
      <c r="D542" s="180"/>
      <c r="E542" s="180"/>
      <c r="F542" s="179"/>
      <c r="G542" s="182"/>
      <c r="H542" s="183"/>
      <c r="I542" s="180"/>
      <c r="J542" s="180"/>
      <c r="K542" s="180"/>
      <c r="L542" s="180"/>
      <c r="M542" s="180"/>
      <c r="N542" s="181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1.25" customHeight="1">
      <c r="A543" s="179"/>
      <c r="B543" s="180"/>
      <c r="C543" s="181"/>
      <c r="D543" s="180"/>
      <c r="E543" s="180"/>
      <c r="F543" s="179"/>
      <c r="G543" s="182"/>
      <c r="H543" s="183"/>
      <c r="I543" s="180"/>
      <c r="J543" s="180"/>
      <c r="K543" s="180"/>
      <c r="L543" s="180"/>
      <c r="M543" s="180"/>
      <c r="N543" s="181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1.25" customHeight="1">
      <c r="A544" s="179"/>
      <c r="B544" s="180"/>
      <c r="C544" s="181"/>
      <c r="D544" s="180"/>
      <c r="E544" s="180"/>
      <c r="F544" s="179"/>
      <c r="G544" s="182"/>
      <c r="H544" s="183"/>
      <c r="I544" s="180"/>
      <c r="J544" s="180"/>
      <c r="K544" s="180"/>
      <c r="L544" s="180"/>
      <c r="M544" s="180"/>
      <c r="N544" s="181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1.25" customHeight="1">
      <c r="A545" s="179"/>
      <c r="B545" s="180"/>
      <c r="C545" s="181"/>
      <c r="D545" s="180"/>
      <c r="E545" s="180"/>
      <c r="F545" s="179"/>
      <c r="G545" s="182"/>
      <c r="H545" s="183"/>
      <c r="I545" s="180"/>
      <c r="J545" s="180"/>
      <c r="K545" s="180"/>
      <c r="L545" s="180"/>
      <c r="M545" s="180"/>
      <c r="N545" s="181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1.25" customHeight="1">
      <c r="A546" s="179"/>
      <c r="B546" s="180"/>
      <c r="C546" s="181"/>
      <c r="D546" s="180"/>
      <c r="E546" s="180"/>
      <c r="F546" s="179"/>
      <c r="G546" s="182"/>
      <c r="H546" s="183"/>
      <c r="I546" s="180"/>
      <c r="J546" s="180"/>
      <c r="K546" s="180"/>
      <c r="L546" s="180"/>
      <c r="M546" s="180"/>
      <c r="N546" s="181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1.25" customHeight="1">
      <c r="A547" s="179"/>
      <c r="B547" s="180"/>
      <c r="C547" s="181"/>
      <c r="D547" s="180"/>
      <c r="E547" s="180"/>
      <c r="F547" s="179"/>
      <c r="G547" s="182"/>
      <c r="H547" s="183"/>
      <c r="I547" s="180"/>
      <c r="J547" s="180"/>
      <c r="K547" s="180"/>
      <c r="L547" s="180"/>
      <c r="M547" s="180"/>
      <c r="N547" s="181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1.25" customHeight="1">
      <c r="A548" s="179"/>
      <c r="B548" s="180"/>
      <c r="C548" s="181"/>
      <c r="D548" s="180"/>
      <c r="E548" s="180"/>
      <c r="F548" s="179"/>
      <c r="G548" s="182"/>
      <c r="H548" s="183"/>
      <c r="I548" s="180"/>
      <c r="J548" s="180"/>
      <c r="K548" s="180"/>
      <c r="L548" s="180"/>
      <c r="M548" s="180"/>
      <c r="N548" s="181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1.25" customHeight="1">
      <c r="A549" s="179"/>
      <c r="B549" s="180"/>
      <c r="C549" s="181"/>
      <c r="D549" s="180"/>
      <c r="E549" s="180"/>
      <c r="F549" s="179"/>
      <c r="G549" s="182"/>
      <c r="H549" s="183"/>
      <c r="I549" s="180"/>
      <c r="J549" s="180"/>
      <c r="K549" s="180"/>
      <c r="L549" s="180"/>
      <c r="M549" s="180"/>
      <c r="N549" s="181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1.25" customHeight="1">
      <c r="A550" s="179"/>
      <c r="B550" s="180"/>
      <c r="C550" s="181"/>
      <c r="D550" s="180"/>
      <c r="E550" s="180"/>
      <c r="F550" s="179"/>
      <c r="G550" s="182"/>
      <c r="H550" s="183"/>
      <c r="I550" s="180"/>
      <c r="J550" s="180"/>
      <c r="K550" s="180"/>
      <c r="L550" s="180"/>
      <c r="M550" s="180"/>
      <c r="N550" s="181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1.25" customHeight="1">
      <c r="A551" s="179"/>
      <c r="B551" s="180"/>
      <c r="C551" s="181"/>
      <c r="D551" s="180"/>
      <c r="E551" s="180"/>
      <c r="F551" s="179"/>
      <c r="G551" s="182"/>
      <c r="H551" s="183"/>
      <c r="I551" s="180"/>
      <c r="J551" s="180"/>
      <c r="K551" s="180"/>
      <c r="L551" s="180"/>
      <c r="M551" s="180"/>
      <c r="N551" s="181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1.25" customHeight="1">
      <c r="A552" s="179"/>
      <c r="B552" s="180"/>
      <c r="C552" s="181"/>
      <c r="D552" s="180"/>
      <c r="E552" s="180"/>
      <c r="F552" s="179"/>
      <c r="G552" s="182"/>
      <c r="H552" s="183"/>
      <c r="I552" s="180"/>
      <c r="J552" s="180"/>
      <c r="K552" s="180"/>
      <c r="L552" s="180"/>
      <c r="M552" s="180"/>
      <c r="N552" s="181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1.25" customHeight="1">
      <c r="A553" s="179"/>
      <c r="B553" s="180"/>
      <c r="C553" s="181"/>
      <c r="D553" s="180"/>
      <c r="E553" s="180"/>
      <c r="F553" s="179"/>
      <c r="G553" s="182"/>
      <c r="H553" s="183"/>
      <c r="I553" s="180"/>
      <c r="J553" s="180"/>
      <c r="K553" s="180"/>
      <c r="L553" s="180"/>
      <c r="M553" s="180"/>
      <c r="N553" s="181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1.25" customHeight="1">
      <c r="A554" s="179"/>
      <c r="B554" s="180"/>
      <c r="C554" s="181"/>
      <c r="D554" s="180"/>
      <c r="E554" s="180"/>
      <c r="F554" s="179"/>
      <c r="G554" s="182"/>
      <c r="H554" s="183"/>
      <c r="I554" s="180"/>
      <c r="J554" s="180"/>
      <c r="K554" s="180"/>
      <c r="L554" s="180"/>
      <c r="M554" s="180"/>
      <c r="N554" s="181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1.25" customHeight="1">
      <c r="A555" s="179"/>
      <c r="B555" s="180"/>
      <c r="C555" s="181"/>
      <c r="D555" s="180"/>
      <c r="E555" s="180"/>
      <c r="F555" s="179"/>
      <c r="G555" s="182"/>
      <c r="H555" s="183"/>
      <c r="I555" s="180"/>
      <c r="J555" s="180"/>
      <c r="K555" s="180"/>
      <c r="L555" s="180"/>
      <c r="M555" s="180"/>
      <c r="N555" s="181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1.25" customHeight="1">
      <c r="A556" s="179"/>
      <c r="B556" s="180"/>
      <c r="C556" s="181"/>
      <c r="D556" s="180"/>
      <c r="E556" s="180"/>
      <c r="F556" s="179"/>
      <c r="G556" s="182"/>
      <c r="H556" s="183"/>
      <c r="I556" s="180"/>
      <c r="J556" s="180"/>
      <c r="K556" s="180"/>
      <c r="L556" s="180"/>
      <c r="M556" s="180"/>
      <c r="N556" s="181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1.25" customHeight="1">
      <c r="A557" s="179"/>
      <c r="B557" s="180"/>
      <c r="C557" s="181"/>
      <c r="D557" s="180"/>
      <c r="E557" s="180"/>
      <c r="F557" s="179"/>
      <c r="G557" s="182"/>
      <c r="H557" s="183"/>
      <c r="I557" s="180"/>
      <c r="J557" s="180"/>
      <c r="K557" s="180"/>
      <c r="L557" s="180"/>
      <c r="M557" s="180"/>
      <c r="N557" s="181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1.25" customHeight="1">
      <c r="A558" s="179"/>
      <c r="B558" s="180"/>
      <c r="C558" s="181"/>
      <c r="D558" s="180"/>
      <c r="E558" s="180"/>
      <c r="F558" s="179"/>
      <c r="G558" s="182"/>
      <c r="H558" s="183"/>
      <c r="I558" s="180"/>
      <c r="J558" s="180"/>
      <c r="K558" s="180"/>
      <c r="L558" s="180"/>
      <c r="M558" s="180"/>
      <c r="N558" s="181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1.25" customHeight="1">
      <c r="A559" s="179"/>
      <c r="B559" s="180"/>
      <c r="C559" s="181"/>
      <c r="D559" s="180"/>
      <c r="E559" s="180"/>
      <c r="F559" s="179"/>
      <c r="G559" s="182"/>
      <c r="H559" s="183"/>
      <c r="I559" s="180"/>
      <c r="J559" s="180"/>
      <c r="K559" s="180"/>
      <c r="L559" s="180"/>
      <c r="M559" s="180"/>
      <c r="N559" s="181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1.25" customHeight="1">
      <c r="A560" s="179"/>
      <c r="B560" s="180"/>
      <c r="C560" s="181"/>
      <c r="D560" s="180"/>
      <c r="E560" s="180"/>
      <c r="F560" s="179"/>
      <c r="G560" s="182"/>
      <c r="H560" s="183"/>
      <c r="I560" s="180"/>
      <c r="J560" s="180"/>
      <c r="K560" s="180"/>
      <c r="L560" s="180"/>
      <c r="M560" s="180"/>
      <c r="N560" s="181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1.25" customHeight="1">
      <c r="A561" s="179"/>
      <c r="B561" s="180"/>
      <c r="C561" s="181"/>
      <c r="D561" s="180"/>
      <c r="E561" s="180"/>
      <c r="F561" s="179"/>
      <c r="G561" s="182"/>
      <c r="H561" s="183"/>
      <c r="I561" s="180"/>
      <c r="J561" s="180"/>
      <c r="K561" s="180"/>
      <c r="L561" s="180"/>
      <c r="M561" s="180"/>
      <c r="N561" s="181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1.25" customHeight="1">
      <c r="A562" s="179"/>
      <c r="B562" s="180"/>
      <c r="C562" s="181"/>
      <c r="D562" s="180"/>
      <c r="E562" s="180"/>
      <c r="F562" s="179"/>
      <c r="G562" s="182"/>
      <c r="H562" s="183"/>
      <c r="I562" s="180"/>
      <c r="J562" s="180"/>
      <c r="K562" s="180"/>
      <c r="L562" s="180"/>
      <c r="M562" s="180"/>
      <c r="N562" s="181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1.25" customHeight="1">
      <c r="A563" s="179"/>
      <c r="B563" s="180"/>
      <c r="C563" s="181"/>
      <c r="D563" s="180"/>
      <c r="E563" s="180"/>
      <c r="F563" s="179"/>
      <c r="G563" s="182"/>
      <c r="H563" s="183"/>
      <c r="I563" s="180"/>
      <c r="J563" s="180"/>
      <c r="K563" s="180"/>
      <c r="L563" s="180"/>
      <c r="M563" s="180"/>
      <c r="N563" s="181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1.25" customHeight="1">
      <c r="A564" s="179"/>
      <c r="B564" s="180"/>
      <c r="C564" s="181"/>
      <c r="D564" s="180"/>
      <c r="E564" s="180"/>
      <c r="F564" s="179"/>
      <c r="G564" s="182"/>
      <c r="H564" s="183"/>
      <c r="I564" s="180"/>
      <c r="J564" s="180"/>
      <c r="K564" s="180"/>
      <c r="L564" s="180"/>
      <c r="M564" s="180"/>
      <c r="N564" s="181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1.25" customHeight="1">
      <c r="A565" s="179"/>
      <c r="B565" s="180"/>
      <c r="C565" s="181"/>
      <c r="D565" s="180"/>
      <c r="E565" s="180"/>
      <c r="F565" s="179"/>
      <c r="G565" s="182"/>
      <c r="H565" s="183"/>
      <c r="I565" s="180"/>
      <c r="J565" s="180"/>
      <c r="K565" s="180"/>
      <c r="L565" s="180"/>
      <c r="M565" s="180"/>
      <c r="N565" s="181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1.25" customHeight="1">
      <c r="A566" s="179"/>
      <c r="B566" s="180"/>
      <c r="C566" s="181"/>
      <c r="D566" s="180"/>
      <c r="E566" s="180"/>
      <c r="F566" s="179"/>
      <c r="G566" s="182"/>
      <c r="H566" s="183"/>
      <c r="I566" s="180"/>
      <c r="J566" s="180"/>
      <c r="K566" s="180"/>
      <c r="L566" s="180"/>
      <c r="M566" s="180"/>
      <c r="N566" s="181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1.25" customHeight="1">
      <c r="A567" s="179"/>
      <c r="B567" s="180"/>
      <c r="C567" s="181"/>
      <c r="D567" s="180"/>
      <c r="E567" s="180"/>
      <c r="F567" s="179"/>
      <c r="G567" s="182"/>
      <c r="H567" s="183"/>
      <c r="I567" s="180"/>
      <c r="J567" s="180"/>
      <c r="K567" s="180"/>
      <c r="L567" s="180"/>
      <c r="M567" s="180"/>
      <c r="N567" s="181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1.25" customHeight="1">
      <c r="A568" s="179"/>
      <c r="B568" s="180"/>
      <c r="C568" s="181"/>
      <c r="D568" s="180"/>
      <c r="E568" s="180"/>
      <c r="F568" s="179"/>
      <c r="G568" s="182"/>
      <c r="H568" s="183"/>
      <c r="I568" s="180"/>
      <c r="J568" s="180"/>
      <c r="K568" s="180"/>
      <c r="L568" s="180"/>
      <c r="M568" s="180"/>
      <c r="N568" s="181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1.25" customHeight="1">
      <c r="A569" s="179"/>
      <c r="B569" s="180"/>
      <c r="C569" s="181"/>
      <c r="D569" s="180"/>
      <c r="E569" s="180"/>
      <c r="F569" s="179"/>
      <c r="G569" s="182"/>
      <c r="H569" s="183"/>
      <c r="I569" s="180"/>
      <c r="J569" s="180"/>
      <c r="K569" s="180"/>
      <c r="L569" s="180"/>
      <c r="M569" s="180"/>
      <c r="N569" s="181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1.25" customHeight="1">
      <c r="A570" s="179"/>
      <c r="B570" s="180"/>
      <c r="C570" s="181"/>
      <c r="D570" s="180"/>
      <c r="E570" s="180"/>
      <c r="F570" s="179"/>
      <c r="G570" s="182"/>
      <c r="H570" s="183"/>
      <c r="I570" s="180"/>
      <c r="J570" s="180"/>
      <c r="K570" s="180"/>
      <c r="L570" s="180"/>
      <c r="M570" s="180"/>
      <c r="N570" s="181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1.25" customHeight="1">
      <c r="A571" s="179"/>
      <c r="B571" s="180"/>
      <c r="C571" s="181"/>
      <c r="D571" s="180"/>
      <c r="E571" s="180"/>
      <c r="F571" s="179"/>
      <c r="G571" s="182"/>
      <c r="H571" s="183"/>
      <c r="I571" s="180"/>
      <c r="J571" s="180"/>
      <c r="K571" s="180"/>
      <c r="L571" s="180"/>
      <c r="M571" s="180"/>
      <c r="N571" s="181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1.25" customHeight="1">
      <c r="A572" s="179"/>
      <c r="B572" s="180"/>
      <c r="C572" s="181"/>
      <c r="D572" s="180"/>
      <c r="E572" s="180"/>
      <c r="F572" s="179"/>
      <c r="G572" s="182"/>
      <c r="H572" s="183"/>
      <c r="I572" s="180"/>
      <c r="J572" s="180"/>
      <c r="K572" s="180"/>
      <c r="L572" s="180"/>
      <c r="M572" s="180"/>
      <c r="N572" s="181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1.25" customHeight="1">
      <c r="A573" s="179"/>
      <c r="B573" s="180"/>
      <c r="C573" s="181"/>
      <c r="D573" s="180"/>
      <c r="E573" s="180"/>
      <c r="F573" s="179"/>
      <c r="G573" s="182"/>
      <c r="H573" s="183"/>
      <c r="I573" s="180"/>
      <c r="J573" s="180"/>
      <c r="K573" s="180"/>
      <c r="L573" s="180"/>
      <c r="M573" s="180"/>
      <c r="N573" s="181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1.25" customHeight="1">
      <c r="A574" s="179"/>
      <c r="B574" s="180"/>
      <c r="C574" s="181"/>
      <c r="D574" s="180"/>
      <c r="E574" s="180"/>
      <c r="F574" s="179"/>
      <c r="G574" s="182"/>
      <c r="H574" s="183"/>
      <c r="I574" s="180"/>
      <c r="J574" s="180"/>
      <c r="K574" s="180"/>
      <c r="L574" s="180"/>
      <c r="M574" s="180"/>
      <c r="N574" s="181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1.25" customHeight="1">
      <c r="A575" s="179"/>
      <c r="B575" s="180"/>
      <c r="C575" s="181"/>
      <c r="D575" s="180"/>
      <c r="E575" s="180"/>
      <c r="F575" s="179"/>
      <c r="G575" s="182"/>
      <c r="H575" s="183"/>
      <c r="I575" s="180"/>
      <c r="J575" s="180"/>
      <c r="K575" s="180"/>
      <c r="L575" s="180"/>
      <c r="M575" s="180"/>
      <c r="N575" s="181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1.25" customHeight="1">
      <c r="A576" s="179"/>
      <c r="B576" s="180"/>
      <c r="C576" s="181"/>
      <c r="D576" s="180"/>
      <c r="E576" s="180"/>
      <c r="F576" s="179"/>
      <c r="G576" s="182"/>
      <c r="H576" s="183"/>
      <c r="I576" s="180"/>
      <c r="J576" s="180"/>
      <c r="K576" s="180"/>
      <c r="L576" s="180"/>
      <c r="M576" s="180"/>
      <c r="N576" s="181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1.25" customHeight="1">
      <c r="A577" s="179"/>
      <c r="B577" s="180"/>
      <c r="C577" s="181"/>
      <c r="D577" s="180"/>
      <c r="E577" s="180"/>
      <c r="F577" s="179"/>
      <c r="G577" s="182"/>
      <c r="H577" s="183"/>
      <c r="I577" s="180"/>
      <c r="J577" s="180"/>
      <c r="K577" s="180"/>
      <c r="L577" s="180"/>
      <c r="M577" s="180"/>
      <c r="N577" s="181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1.25" customHeight="1">
      <c r="A578" s="179"/>
      <c r="B578" s="180"/>
      <c r="C578" s="181"/>
      <c r="D578" s="180"/>
      <c r="E578" s="180"/>
      <c r="F578" s="179"/>
      <c r="G578" s="182"/>
      <c r="H578" s="183"/>
      <c r="I578" s="180"/>
      <c r="J578" s="180"/>
      <c r="K578" s="180"/>
      <c r="L578" s="180"/>
      <c r="M578" s="180"/>
      <c r="N578" s="181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1.25" customHeight="1">
      <c r="A579" s="179"/>
      <c r="B579" s="180"/>
      <c r="C579" s="181"/>
      <c r="D579" s="180"/>
      <c r="E579" s="180"/>
      <c r="F579" s="179"/>
      <c r="G579" s="182"/>
      <c r="H579" s="183"/>
      <c r="I579" s="180"/>
      <c r="J579" s="180"/>
      <c r="K579" s="180"/>
      <c r="L579" s="180"/>
      <c r="M579" s="180"/>
      <c r="N579" s="181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1.25" customHeight="1">
      <c r="A580" s="179"/>
      <c r="B580" s="180"/>
      <c r="C580" s="181"/>
      <c r="D580" s="180"/>
      <c r="E580" s="180"/>
      <c r="F580" s="179"/>
      <c r="G580" s="182"/>
      <c r="H580" s="183"/>
      <c r="I580" s="180"/>
      <c r="J580" s="180"/>
      <c r="K580" s="180"/>
      <c r="L580" s="180"/>
      <c r="M580" s="180"/>
      <c r="N580" s="181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1.25" customHeight="1">
      <c r="A581" s="179"/>
      <c r="B581" s="180"/>
      <c r="C581" s="181"/>
      <c r="D581" s="180"/>
      <c r="E581" s="180"/>
      <c r="F581" s="179"/>
      <c r="G581" s="182"/>
      <c r="H581" s="183"/>
      <c r="I581" s="180"/>
      <c r="J581" s="180"/>
      <c r="K581" s="180"/>
      <c r="L581" s="180"/>
      <c r="M581" s="180"/>
      <c r="N581" s="181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1.25" customHeight="1">
      <c r="A582" s="179"/>
      <c r="B582" s="180"/>
      <c r="C582" s="181"/>
      <c r="D582" s="180"/>
      <c r="E582" s="180"/>
      <c r="F582" s="179"/>
      <c r="G582" s="182"/>
      <c r="H582" s="183"/>
      <c r="I582" s="180"/>
      <c r="J582" s="180"/>
      <c r="K582" s="180"/>
      <c r="L582" s="180"/>
      <c r="M582" s="180"/>
      <c r="N582" s="181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1.25" customHeight="1">
      <c r="A583" s="179"/>
      <c r="B583" s="180"/>
      <c r="C583" s="181"/>
      <c r="D583" s="180"/>
      <c r="E583" s="180"/>
      <c r="F583" s="179"/>
      <c r="G583" s="182"/>
      <c r="H583" s="183"/>
      <c r="I583" s="180"/>
      <c r="J583" s="180"/>
      <c r="K583" s="180"/>
      <c r="L583" s="180"/>
      <c r="M583" s="180"/>
      <c r="N583" s="181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1.25" customHeight="1">
      <c r="A584" s="179"/>
      <c r="B584" s="180"/>
      <c r="C584" s="181"/>
      <c r="D584" s="180"/>
      <c r="E584" s="180"/>
      <c r="F584" s="179"/>
      <c r="G584" s="182"/>
      <c r="H584" s="183"/>
      <c r="I584" s="180"/>
      <c r="J584" s="180"/>
      <c r="K584" s="180"/>
      <c r="L584" s="180"/>
      <c r="M584" s="180"/>
      <c r="N584" s="181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1.25" customHeight="1">
      <c r="A585" s="179"/>
      <c r="B585" s="180"/>
      <c r="C585" s="181"/>
      <c r="D585" s="180"/>
      <c r="E585" s="180"/>
      <c r="F585" s="179"/>
      <c r="G585" s="182"/>
      <c r="H585" s="183"/>
      <c r="I585" s="180"/>
      <c r="J585" s="180"/>
      <c r="K585" s="180"/>
      <c r="L585" s="180"/>
      <c r="M585" s="180"/>
      <c r="N585" s="181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1.25" customHeight="1">
      <c r="A586" s="179"/>
      <c r="B586" s="180"/>
      <c r="C586" s="181"/>
      <c r="D586" s="180"/>
      <c r="E586" s="180"/>
      <c r="F586" s="179"/>
      <c r="G586" s="182"/>
      <c r="H586" s="183"/>
      <c r="I586" s="180"/>
      <c r="J586" s="180"/>
      <c r="K586" s="180"/>
      <c r="L586" s="180"/>
      <c r="M586" s="180"/>
      <c r="N586" s="181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1.25" customHeight="1">
      <c r="A587" s="179"/>
      <c r="B587" s="180"/>
      <c r="C587" s="181"/>
      <c r="D587" s="180"/>
      <c r="E587" s="180"/>
      <c r="F587" s="179"/>
      <c r="G587" s="182"/>
      <c r="H587" s="183"/>
      <c r="I587" s="180"/>
      <c r="J587" s="180"/>
      <c r="K587" s="180"/>
      <c r="L587" s="180"/>
      <c r="M587" s="180"/>
      <c r="N587" s="181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1.25" customHeight="1">
      <c r="A588" s="179"/>
      <c r="B588" s="180"/>
      <c r="C588" s="181"/>
      <c r="D588" s="180"/>
      <c r="E588" s="180"/>
      <c r="F588" s="179"/>
      <c r="G588" s="182"/>
      <c r="H588" s="183"/>
      <c r="I588" s="180"/>
      <c r="J588" s="180"/>
      <c r="K588" s="180"/>
      <c r="L588" s="180"/>
      <c r="M588" s="180"/>
      <c r="N588" s="181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1.25" customHeight="1">
      <c r="A589" s="179"/>
      <c r="B589" s="180"/>
      <c r="C589" s="181"/>
      <c r="D589" s="180"/>
      <c r="E589" s="180"/>
      <c r="F589" s="179"/>
      <c r="G589" s="182"/>
      <c r="H589" s="183"/>
      <c r="I589" s="180"/>
      <c r="J589" s="180"/>
      <c r="K589" s="180"/>
      <c r="L589" s="180"/>
      <c r="M589" s="180"/>
      <c r="N589" s="181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1.25" customHeight="1">
      <c r="A590" s="179"/>
      <c r="B590" s="180"/>
      <c r="C590" s="181"/>
      <c r="D590" s="180"/>
      <c r="E590" s="180"/>
      <c r="F590" s="179"/>
      <c r="G590" s="182"/>
      <c r="H590" s="183"/>
      <c r="I590" s="180"/>
      <c r="J590" s="180"/>
      <c r="K590" s="180"/>
      <c r="L590" s="180"/>
      <c r="M590" s="180"/>
      <c r="N590" s="181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1.25" customHeight="1">
      <c r="A591" s="179"/>
      <c r="B591" s="180"/>
      <c r="C591" s="181"/>
      <c r="D591" s="180"/>
      <c r="E591" s="180"/>
      <c r="F591" s="179"/>
      <c r="G591" s="182"/>
      <c r="H591" s="183"/>
      <c r="I591" s="180"/>
      <c r="J591" s="180"/>
      <c r="K591" s="180"/>
      <c r="L591" s="180"/>
      <c r="M591" s="180"/>
      <c r="N591" s="181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1.25" customHeight="1">
      <c r="A592" s="179"/>
      <c r="B592" s="180"/>
      <c r="C592" s="181"/>
      <c r="D592" s="180"/>
      <c r="E592" s="180"/>
      <c r="F592" s="179"/>
      <c r="G592" s="182"/>
      <c r="H592" s="183"/>
      <c r="I592" s="180"/>
      <c r="J592" s="180"/>
      <c r="K592" s="180"/>
      <c r="L592" s="180"/>
      <c r="M592" s="180"/>
      <c r="N592" s="181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1.25" customHeight="1">
      <c r="A593" s="179"/>
      <c r="B593" s="180"/>
      <c r="C593" s="181"/>
      <c r="D593" s="180"/>
      <c r="E593" s="180"/>
      <c r="F593" s="179"/>
      <c r="G593" s="182"/>
      <c r="H593" s="183"/>
      <c r="I593" s="180"/>
      <c r="J593" s="180"/>
      <c r="K593" s="180"/>
      <c r="L593" s="180"/>
      <c r="M593" s="180"/>
      <c r="N593" s="181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1.25" customHeight="1">
      <c r="A594" s="179"/>
      <c r="B594" s="180"/>
      <c r="C594" s="181"/>
      <c r="D594" s="180"/>
      <c r="E594" s="180"/>
      <c r="F594" s="179"/>
      <c r="G594" s="182"/>
      <c r="H594" s="183"/>
      <c r="I594" s="180"/>
      <c r="J594" s="180"/>
      <c r="K594" s="180"/>
      <c r="L594" s="180"/>
      <c r="M594" s="180"/>
      <c r="N594" s="181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1.25" customHeight="1">
      <c r="A595" s="179"/>
      <c r="B595" s="180"/>
      <c r="C595" s="181"/>
      <c r="D595" s="180"/>
      <c r="E595" s="180"/>
      <c r="F595" s="179"/>
      <c r="G595" s="182"/>
      <c r="H595" s="183"/>
      <c r="I595" s="180"/>
      <c r="J595" s="180"/>
      <c r="K595" s="180"/>
      <c r="L595" s="180"/>
      <c r="M595" s="180"/>
      <c r="N595" s="181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1.25" customHeight="1">
      <c r="A596" s="179"/>
      <c r="B596" s="180"/>
      <c r="C596" s="181"/>
      <c r="D596" s="180"/>
      <c r="E596" s="180"/>
      <c r="F596" s="179"/>
      <c r="G596" s="182"/>
      <c r="H596" s="183"/>
      <c r="I596" s="180"/>
      <c r="J596" s="180"/>
      <c r="K596" s="180"/>
      <c r="L596" s="180"/>
      <c r="M596" s="180"/>
      <c r="N596" s="181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1.25" customHeight="1">
      <c r="A597" s="179"/>
      <c r="B597" s="180"/>
      <c r="C597" s="181"/>
      <c r="D597" s="180"/>
      <c r="E597" s="180"/>
      <c r="F597" s="179"/>
      <c r="G597" s="182"/>
      <c r="H597" s="183"/>
      <c r="I597" s="180"/>
      <c r="J597" s="180"/>
      <c r="K597" s="180"/>
      <c r="L597" s="180"/>
      <c r="M597" s="180"/>
      <c r="N597" s="181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1.25" customHeight="1">
      <c r="A598" s="179"/>
      <c r="B598" s="180"/>
      <c r="C598" s="181"/>
      <c r="D598" s="180"/>
      <c r="E598" s="180"/>
      <c r="F598" s="179"/>
      <c r="G598" s="182"/>
      <c r="H598" s="183"/>
      <c r="I598" s="180"/>
      <c r="J598" s="180"/>
      <c r="K598" s="180"/>
      <c r="L598" s="180"/>
      <c r="M598" s="180"/>
      <c r="N598" s="181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1.25" customHeight="1">
      <c r="A599" s="179"/>
      <c r="B599" s="180"/>
      <c r="C599" s="181"/>
      <c r="D599" s="180"/>
      <c r="E599" s="180"/>
      <c r="F599" s="179"/>
      <c r="G599" s="182"/>
      <c r="H599" s="183"/>
      <c r="I599" s="180"/>
      <c r="J599" s="180"/>
      <c r="K599" s="180"/>
      <c r="L599" s="180"/>
      <c r="M599" s="180"/>
      <c r="N599" s="181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1.25" customHeight="1">
      <c r="A600" s="179"/>
      <c r="B600" s="180"/>
      <c r="C600" s="181"/>
      <c r="D600" s="180"/>
      <c r="E600" s="180"/>
      <c r="F600" s="179"/>
      <c r="G600" s="182"/>
      <c r="H600" s="183"/>
      <c r="I600" s="180"/>
      <c r="J600" s="180"/>
      <c r="K600" s="180"/>
      <c r="L600" s="180"/>
      <c r="M600" s="180"/>
      <c r="N600" s="181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1.25" customHeight="1">
      <c r="A601" s="179"/>
      <c r="B601" s="180"/>
      <c r="C601" s="181"/>
      <c r="D601" s="180"/>
      <c r="E601" s="180"/>
      <c r="F601" s="179"/>
      <c r="G601" s="182"/>
      <c r="H601" s="183"/>
      <c r="I601" s="180"/>
      <c r="J601" s="180"/>
      <c r="K601" s="180"/>
      <c r="L601" s="180"/>
      <c r="M601" s="180"/>
      <c r="N601" s="181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1.25" customHeight="1">
      <c r="A602" s="179"/>
      <c r="B602" s="180"/>
      <c r="C602" s="181"/>
      <c r="D602" s="180"/>
      <c r="E602" s="180"/>
      <c r="F602" s="179"/>
      <c r="G602" s="182"/>
      <c r="H602" s="183"/>
      <c r="I602" s="180"/>
      <c r="J602" s="180"/>
      <c r="K602" s="180"/>
      <c r="L602" s="180"/>
      <c r="M602" s="180"/>
      <c r="N602" s="181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1.25" customHeight="1">
      <c r="A603" s="179"/>
      <c r="B603" s="180"/>
      <c r="C603" s="181"/>
      <c r="D603" s="180"/>
      <c r="E603" s="180"/>
      <c r="F603" s="179"/>
      <c r="G603" s="182"/>
      <c r="H603" s="183"/>
      <c r="I603" s="180"/>
      <c r="J603" s="180"/>
      <c r="K603" s="180"/>
      <c r="L603" s="180"/>
      <c r="M603" s="180"/>
      <c r="N603" s="181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1.25" customHeight="1">
      <c r="A604" s="179"/>
      <c r="B604" s="180"/>
      <c r="C604" s="181"/>
      <c r="D604" s="180"/>
      <c r="E604" s="180"/>
      <c r="F604" s="179"/>
      <c r="G604" s="182"/>
      <c r="H604" s="183"/>
      <c r="I604" s="180"/>
      <c r="J604" s="180"/>
      <c r="K604" s="180"/>
      <c r="L604" s="180"/>
      <c r="M604" s="180"/>
      <c r="N604" s="181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1.25" customHeight="1">
      <c r="A605" s="179"/>
      <c r="B605" s="180"/>
      <c r="C605" s="181"/>
      <c r="D605" s="180"/>
      <c r="E605" s="180"/>
      <c r="F605" s="179"/>
      <c r="G605" s="182"/>
      <c r="H605" s="183"/>
      <c r="I605" s="180"/>
      <c r="J605" s="180"/>
      <c r="K605" s="180"/>
      <c r="L605" s="180"/>
      <c r="M605" s="180"/>
      <c r="N605" s="181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1.25" customHeight="1">
      <c r="A606" s="179"/>
      <c r="B606" s="180"/>
      <c r="C606" s="181"/>
      <c r="D606" s="180"/>
      <c r="E606" s="180"/>
      <c r="F606" s="179"/>
      <c r="G606" s="182"/>
      <c r="H606" s="183"/>
      <c r="I606" s="180"/>
      <c r="J606" s="180"/>
      <c r="K606" s="180"/>
      <c r="L606" s="180"/>
      <c r="M606" s="180"/>
      <c r="N606" s="181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1.25" customHeight="1">
      <c r="A607" s="179"/>
      <c r="B607" s="180"/>
      <c r="C607" s="181"/>
      <c r="D607" s="180"/>
      <c r="E607" s="180"/>
      <c r="F607" s="179"/>
      <c r="G607" s="182"/>
      <c r="H607" s="183"/>
      <c r="I607" s="180"/>
      <c r="J607" s="180"/>
      <c r="K607" s="180"/>
      <c r="L607" s="180"/>
      <c r="M607" s="180"/>
      <c r="N607" s="181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1.25" customHeight="1">
      <c r="A608" s="179"/>
      <c r="B608" s="180"/>
      <c r="C608" s="181"/>
      <c r="D608" s="180"/>
      <c r="E608" s="180"/>
      <c r="F608" s="179"/>
      <c r="G608" s="182"/>
      <c r="H608" s="183"/>
      <c r="I608" s="180"/>
      <c r="J608" s="180"/>
      <c r="K608" s="180"/>
      <c r="L608" s="180"/>
      <c r="M608" s="180"/>
      <c r="N608" s="181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1.25" customHeight="1">
      <c r="A609" s="179"/>
      <c r="B609" s="180"/>
      <c r="C609" s="181"/>
      <c r="D609" s="180"/>
      <c r="E609" s="180"/>
      <c r="F609" s="179"/>
      <c r="G609" s="182"/>
      <c r="H609" s="183"/>
      <c r="I609" s="180"/>
      <c r="J609" s="180"/>
      <c r="K609" s="180"/>
      <c r="L609" s="180"/>
      <c r="M609" s="180"/>
      <c r="N609" s="181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1.25" customHeight="1">
      <c r="A610" s="179"/>
      <c r="B610" s="180"/>
      <c r="C610" s="181"/>
      <c r="D610" s="180"/>
      <c r="E610" s="180"/>
      <c r="F610" s="179"/>
      <c r="G610" s="182"/>
      <c r="H610" s="183"/>
      <c r="I610" s="180"/>
      <c r="J610" s="180"/>
      <c r="K610" s="180"/>
      <c r="L610" s="180"/>
      <c r="M610" s="180"/>
      <c r="N610" s="181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1.25" customHeight="1">
      <c r="A611" s="179"/>
      <c r="B611" s="180"/>
      <c r="C611" s="181"/>
      <c r="D611" s="180"/>
      <c r="E611" s="180"/>
      <c r="F611" s="179"/>
      <c r="G611" s="182"/>
      <c r="H611" s="183"/>
      <c r="I611" s="180"/>
      <c r="J611" s="180"/>
      <c r="K611" s="180"/>
      <c r="L611" s="180"/>
      <c r="M611" s="180"/>
      <c r="N611" s="181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1.25" customHeight="1">
      <c r="A612" s="179"/>
      <c r="B612" s="180"/>
      <c r="C612" s="181"/>
      <c r="D612" s="180"/>
      <c r="E612" s="180"/>
      <c r="F612" s="179"/>
      <c r="G612" s="182"/>
      <c r="H612" s="183"/>
      <c r="I612" s="180"/>
      <c r="J612" s="180"/>
      <c r="K612" s="180"/>
      <c r="L612" s="180"/>
      <c r="M612" s="180"/>
      <c r="N612" s="181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1.25" customHeight="1">
      <c r="A613" s="179"/>
      <c r="B613" s="180"/>
      <c r="C613" s="181"/>
      <c r="D613" s="180"/>
      <c r="E613" s="180"/>
      <c r="F613" s="179"/>
      <c r="G613" s="182"/>
      <c r="H613" s="183"/>
      <c r="I613" s="180"/>
      <c r="J613" s="180"/>
      <c r="K613" s="180"/>
      <c r="L613" s="180"/>
      <c r="M613" s="180"/>
      <c r="N613" s="181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1.25" customHeight="1">
      <c r="A614" s="179"/>
      <c r="B614" s="180"/>
      <c r="C614" s="181"/>
      <c r="D614" s="180"/>
      <c r="E614" s="180"/>
      <c r="F614" s="179"/>
      <c r="G614" s="182"/>
      <c r="H614" s="183"/>
      <c r="I614" s="180"/>
      <c r="J614" s="180"/>
      <c r="K614" s="180"/>
      <c r="L614" s="180"/>
      <c r="M614" s="180"/>
      <c r="N614" s="181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1.25" customHeight="1">
      <c r="A615" s="179"/>
      <c r="B615" s="180"/>
      <c r="C615" s="181"/>
      <c r="D615" s="180"/>
      <c r="E615" s="180"/>
      <c r="F615" s="179"/>
      <c r="G615" s="182"/>
      <c r="H615" s="183"/>
      <c r="I615" s="180"/>
      <c r="J615" s="180"/>
      <c r="K615" s="180"/>
      <c r="L615" s="180"/>
      <c r="M615" s="180"/>
      <c r="N615" s="181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1.25" customHeight="1">
      <c r="A616" s="179"/>
      <c r="B616" s="180"/>
      <c r="C616" s="181"/>
      <c r="D616" s="180"/>
      <c r="E616" s="180"/>
      <c r="F616" s="179"/>
      <c r="G616" s="182"/>
      <c r="H616" s="183"/>
      <c r="I616" s="180"/>
      <c r="J616" s="180"/>
      <c r="K616" s="180"/>
      <c r="L616" s="180"/>
      <c r="M616" s="180"/>
      <c r="N616" s="181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1.25" customHeight="1">
      <c r="A617" s="179"/>
      <c r="B617" s="180"/>
      <c r="C617" s="181"/>
      <c r="D617" s="180"/>
      <c r="E617" s="180"/>
      <c r="F617" s="179"/>
      <c r="G617" s="182"/>
      <c r="H617" s="183"/>
      <c r="I617" s="180"/>
      <c r="J617" s="180"/>
      <c r="K617" s="180"/>
      <c r="L617" s="180"/>
      <c r="M617" s="180"/>
      <c r="N617" s="181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1.25" customHeight="1">
      <c r="A618" s="179"/>
      <c r="B618" s="180"/>
      <c r="C618" s="181"/>
      <c r="D618" s="180"/>
      <c r="E618" s="180"/>
      <c r="F618" s="179"/>
      <c r="G618" s="182"/>
      <c r="H618" s="183"/>
      <c r="I618" s="180"/>
      <c r="J618" s="180"/>
      <c r="K618" s="180"/>
      <c r="L618" s="180"/>
      <c r="M618" s="180"/>
      <c r="N618" s="181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1.25" customHeight="1">
      <c r="A619" s="179"/>
      <c r="B619" s="180"/>
      <c r="C619" s="181"/>
      <c r="D619" s="180"/>
      <c r="E619" s="180"/>
      <c r="F619" s="179"/>
      <c r="G619" s="182"/>
      <c r="H619" s="183"/>
      <c r="I619" s="180"/>
      <c r="J619" s="180"/>
      <c r="K619" s="180"/>
      <c r="L619" s="180"/>
      <c r="M619" s="180"/>
      <c r="N619" s="181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1.25" customHeight="1">
      <c r="A620" s="179"/>
      <c r="B620" s="180"/>
      <c r="C620" s="181"/>
      <c r="D620" s="180"/>
      <c r="E620" s="180"/>
      <c r="F620" s="179"/>
      <c r="G620" s="182"/>
      <c r="H620" s="183"/>
      <c r="I620" s="180"/>
      <c r="J620" s="180"/>
      <c r="K620" s="180"/>
      <c r="L620" s="180"/>
      <c r="M620" s="180"/>
      <c r="N620" s="181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1.25" customHeight="1">
      <c r="A621" s="179"/>
      <c r="B621" s="180"/>
      <c r="C621" s="181"/>
      <c r="D621" s="180"/>
      <c r="E621" s="180"/>
      <c r="F621" s="179"/>
      <c r="G621" s="182"/>
      <c r="H621" s="183"/>
      <c r="I621" s="180"/>
      <c r="J621" s="180"/>
      <c r="K621" s="180"/>
      <c r="L621" s="180"/>
      <c r="M621" s="180"/>
      <c r="N621" s="181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1.25" customHeight="1">
      <c r="A622" s="179"/>
      <c r="B622" s="180"/>
      <c r="C622" s="181"/>
      <c r="D622" s="180"/>
      <c r="E622" s="180"/>
      <c r="F622" s="179"/>
      <c r="G622" s="182"/>
      <c r="H622" s="183"/>
      <c r="I622" s="180"/>
      <c r="J622" s="180"/>
      <c r="K622" s="180"/>
      <c r="L622" s="180"/>
      <c r="M622" s="180"/>
      <c r="N622" s="181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1.25" customHeight="1">
      <c r="A623" s="179"/>
      <c r="B623" s="180"/>
      <c r="C623" s="181"/>
      <c r="D623" s="180"/>
      <c r="E623" s="180"/>
      <c r="F623" s="179"/>
      <c r="G623" s="182"/>
      <c r="H623" s="183"/>
      <c r="I623" s="180"/>
      <c r="J623" s="180"/>
      <c r="K623" s="180"/>
      <c r="L623" s="180"/>
      <c r="M623" s="180"/>
      <c r="N623" s="181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1.25" customHeight="1">
      <c r="A624" s="179"/>
      <c r="B624" s="180"/>
      <c r="C624" s="181"/>
      <c r="D624" s="180"/>
      <c r="E624" s="180"/>
      <c r="F624" s="179"/>
      <c r="G624" s="182"/>
      <c r="H624" s="183"/>
      <c r="I624" s="180"/>
      <c r="J624" s="180"/>
      <c r="K624" s="180"/>
      <c r="L624" s="180"/>
      <c r="M624" s="180"/>
      <c r="N624" s="181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1.25" customHeight="1">
      <c r="A625" s="179"/>
      <c r="B625" s="180"/>
      <c r="C625" s="181"/>
      <c r="D625" s="180"/>
      <c r="E625" s="180"/>
      <c r="F625" s="179"/>
      <c r="G625" s="182"/>
      <c r="H625" s="183"/>
      <c r="I625" s="180"/>
      <c r="J625" s="180"/>
      <c r="K625" s="180"/>
      <c r="L625" s="180"/>
      <c r="M625" s="180"/>
      <c r="N625" s="181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1.25" customHeight="1">
      <c r="A626" s="179"/>
      <c r="B626" s="180"/>
      <c r="C626" s="181"/>
      <c r="D626" s="180"/>
      <c r="E626" s="180"/>
      <c r="F626" s="179"/>
      <c r="G626" s="182"/>
      <c r="H626" s="183"/>
      <c r="I626" s="180"/>
      <c r="J626" s="180"/>
      <c r="K626" s="180"/>
      <c r="L626" s="180"/>
      <c r="M626" s="180"/>
      <c r="N626" s="181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1.25" customHeight="1">
      <c r="A627" s="179"/>
      <c r="B627" s="180"/>
      <c r="C627" s="181"/>
      <c r="D627" s="180"/>
      <c r="E627" s="180"/>
      <c r="F627" s="179"/>
      <c r="G627" s="182"/>
      <c r="H627" s="183"/>
      <c r="I627" s="180"/>
      <c r="J627" s="180"/>
      <c r="K627" s="180"/>
      <c r="L627" s="180"/>
      <c r="M627" s="180"/>
      <c r="N627" s="181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1.25" customHeight="1">
      <c r="A628" s="179"/>
      <c r="B628" s="180"/>
      <c r="C628" s="181"/>
      <c r="D628" s="180"/>
      <c r="E628" s="180"/>
      <c r="F628" s="179"/>
      <c r="G628" s="182"/>
      <c r="H628" s="183"/>
      <c r="I628" s="180"/>
      <c r="J628" s="180"/>
      <c r="K628" s="180"/>
      <c r="L628" s="180"/>
      <c r="M628" s="180"/>
      <c r="N628" s="181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1.25" customHeight="1">
      <c r="A629" s="179"/>
      <c r="B629" s="180"/>
      <c r="C629" s="181"/>
      <c r="D629" s="180"/>
      <c r="E629" s="180"/>
      <c r="F629" s="179"/>
      <c r="G629" s="182"/>
      <c r="H629" s="183"/>
      <c r="I629" s="180"/>
      <c r="J629" s="180"/>
      <c r="K629" s="180"/>
      <c r="L629" s="180"/>
      <c r="M629" s="180"/>
      <c r="N629" s="181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1.25" customHeight="1">
      <c r="A630" s="179"/>
      <c r="B630" s="180"/>
      <c r="C630" s="181"/>
      <c r="D630" s="180"/>
      <c r="E630" s="180"/>
      <c r="F630" s="179"/>
      <c r="G630" s="182"/>
      <c r="H630" s="183"/>
      <c r="I630" s="180"/>
      <c r="J630" s="180"/>
      <c r="K630" s="180"/>
      <c r="L630" s="180"/>
      <c r="M630" s="180"/>
      <c r="N630" s="181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1.25" customHeight="1">
      <c r="A631" s="179"/>
      <c r="B631" s="180"/>
      <c r="C631" s="181"/>
      <c r="D631" s="180"/>
      <c r="E631" s="180"/>
      <c r="F631" s="179"/>
      <c r="G631" s="182"/>
      <c r="H631" s="183"/>
      <c r="I631" s="180"/>
      <c r="J631" s="180"/>
      <c r="K631" s="180"/>
      <c r="L631" s="180"/>
      <c r="M631" s="180"/>
      <c r="N631" s="181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1.25" customHeight="1">
      <c r="A632" s="179"/>
      <c r="B632" s="180"/>
      <c r="C632" s="181"/>
      <c r="D632" s="180"/>
      <c r="E632" s="180"/>
      <c r="F632" s="179"/>
      <c r="G632" s="182"/>
      <c r="H632" s="183"/>
      <c r="I632" s="180"/>
      <c r="J632" s="180"/>
      <c r="K632" s="180"/>
      <c r="L632" s="180"/>
      <c r="M632" s="180"/>
      <c r="N632" s="181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1.25" customHeight="1">
      <c r="A633" s="179"/>
      <c r="B633" s="180"/>
      <c r="C633" s="181"/>
      <c r="D633" s="180"/>
      <c r="E633" s="180"/>
      <c r="F633" s="179"/>
      <c r="G633" s="182"/>
      <c r="H633" s="183"/>
      <c r="I633" s="180"/>
      <c r="J633" s="180"/>
      <c r="K633" s="180"/>
      <c r="L633" s="180"/>
      <c r="M633" s="180"/>
      <c r="N633" s="181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1.25" customHeight="1">
      <c r="A634" s="179"/>
      <c r="B634" s="180"/>
      <c r="C634" s="181"/>
      <c r="D634" s="180"/>
      <c r="E634" s="180"/>
      <c r="F634" s="179"/>
      <c r="G634" s="182"/>
      <c r="H634" s="183"/>
      <c r="I634" s="180"/>
      <c r="J634" s="180"/>
      <c r="K634" s="180"/>
      <c r="L634" s="180"/>
      <c r="M634" s="180"/>
      <c r="N634" s="181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1.25" customHeight="1">
      <c r="A635" s="179"/>
      <c r="B635" s="180"/>
      <c r="C635" s="181"/>
      <c r="D635" s="180"/>
      <c r="E635" s="180"/>
      <c r="F635" s="179"/>
      <c r="G635" s="182"/>
      <c r="H635" s="183"/>
      <c r="I635" s="180"/>
      <c r="J635" s="180"/>
      <c r="K635" s="180"/>
      <c r="L635" s="180"/>
      <c r="M635" s="180"/>
      <c r="N635" s="181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1.25" customHeight="1">
      <c r="A636" s="179"/>
      <c r="B636" s="180"/>
      <c r="C636" s="181"/>
      <c r="D636" s="180"/>
      <c r="E636" s="180"/>
      <c r="F636" s="179"/>
      <c r="G636" s="182"/>
      <c r="H636" s="183"/>
      <c r="I636" s="180"/>
      <c r="J636" s="180"/>
      <c r="K636" s="180"/>
      <c r="L636" s="180"/>
      <c r="M636" s="180"/>
      <c r="N636" s="181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1.25" customHeight="1">
      <c r="A637" s="179"/>
      <c r="B637" s="180"/>
      <c r="C637" s="181"/>
      <c r="D637" s="180"/>
      <c r="E637" s="180"/>
      <c r="F637" s="179"/>
      <c r="G637" s="182"/>
      <c r="H637" s="183"/>
      <c r="I637" s="180"/>
      <c r="J637" s="180"/>
      <c r="K637" s="180"/>
      <c r="L637" s="180"/>
      <c r="M637" s="180"/>
      <c r="N637" s="181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1.25" customHeight="1">
      <c r="A638" s="179"/>
      <c r="B638" s="180"/>
      <c r="C638" s="181"/>
      <c r="D638" s="180"/>
      <c r="E638" s="180"/>
      <c r="F638" s="179"/>
      <c r="G638" s="182"/>
      <c r="H638" s="183"/>
      <c r="I638" s="180"/>
      <c r="J638" s="180"/>
      <c r="K638" s="180"/>
      <c r="L638" s="180"/>
      <c r="M638" s="180"/>
      <c r="N638" s="181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1.25" customHeight="1">
      <c r="A639" s="179"/>
      <c r="B639" s="180"/>
      <c r="C639" s="181"/>
      <c r="D639" s="180"/>
      <c r="E639" s="180"/>
      <c r="F639" s="179"/>
      <c r="G639" s="182"/>
      <c r="H639" s="183"/>
      <c r="I639" s="180"/>
      <c r="J639" s="180"/>
      <c r="K639" s="180"/>
      <c r="L639" s="180"/>
      <c r="M639" s="180"/>
      <c r="N639" s="181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1.25" customHeight="1">
      <c r="A640" s="179"/>
      <c r="B640" s="180"/>
      <c r="C640" s="181"/>
      <c r="D640" s="180"/>
      <c r="E640" s="180"/>
      <c r="F640" s="179"/>
      <c r="G640" s="182"/>
      <c r="H640" s="183"/>
      <c r="I640" s="180"/>
      <c r="J640" s="180"/>
      <c r="K640" s="180"/>
      <c r="L640" s="180"/>
      <c r="M640" s="180"/>
      <c r="N640" s="181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1.25" customHeight="1">
      <c r="A641" s="179"/>
      <c r="B641" s="180"/>
      <c r="C641" s="181"/>
      <c r="D641" s="180"/>
      <c r="E641" s="180"/>
      <c r="F641" s="179"/>
      <c r="G641" s="182"/>
      <c r="H641" s="183"/>
      <c r="I641" s="180"/>
      <c r="J641" s="180"/>
      <c r="K641" s="180"/>
      <c r="L641" s="180"/>
      <c r="M641" s="180"/>
      <c r="N641" s="181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1.25" customHeight="1">
      <c r="A642" s="179"/>
      <c r="B642" s="180"/>
      <c r="C642" s="181"/>
      <c r="D642" s="180"/>
      <c r="E642" s="180"/>
      <c r="F642" s="179"/>
      <c r="G642" s="182"/>
      <c r="H642" s="183"/>
      <c r="I642" s="180"/>
      <c r="J642" s="180"/>
      <c r="K642" s="180"/>
      <c r="L642" s="180"/>
      <c r="M642" s="180"/>
      <c r="N642" s="181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1.25" customHeight="1">
      <c r="A643" s="179"/>
      <c r="B643" s="180"/>
      <c r="C643" s="181"/>
      <c r="D643" s="180"/>
      <c r="E643" s="180"/>
      <c r="F643" s="179"/>
      <c r="G643" s="182"/>
      <c r="H643" s="183"/>
      <c r="I643" s="180"/>
      <c r="J643" s="180"/>
      <c r="K643" s="180"/>
      <c r="L643" s="180"/>
      <c r="M643" s="180"/>
      <c r="N643" s="181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1.25" customHeight="1">
      <c r="A644" s="179"/>
      <c r="B644" s="180"/>
      <c r="C644" s="181"/>
      <c r="D644" s="180"/>
      <c r="E644" s="180"/>
      <c r="F644" s="179"/>
      <c r="G644" s="182"/>
      <c r="H644" s="183"/>
      <c r="I644" s="180"/>
      <c r="J644" s="180"/>
      <c r="K644" s="180"/>
      <c r="L644" s="180"/>
      <c r="M644" s="180"/>
      <c r="N644" s="181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1.25" customHeight="1">
      <c r="A645" s="179"/>
      <c r="B645" s="180"/>
      <c r="C645" s="181"/>
      <c r="D645" s="180"/>
      <c r="E645" s="180"/>
      <c r="F645" s="179"/>
      <c r="G645" s="182"/>
      <c r="H645" s="183"/>
      <c r="I645" s="180"/>
      <c r="J645" s="180"/>
      <c r="K645" s="180"/>
      <c r="L645" s="180"/>
      <c r="M645" s="180"/>
      <c r="N645" s="181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1.25" customHeight="1">
      <c r="A646" s="179"/>
      <c r="B646" s="180"/>
      <c r="C646" s="181"/>
      <c r="D646" s="180"/>
      <c r="E646" s="180"/>
      <c r="F646" s="179"/>
      <c r="G646" s="182"/>
      <c r="H646" s="183"/>
      <c r="I646" s="180"/>
      <c r="J646" s="180"/>
      <c r="K646" s="180"/>
      <c r="L646" s="180"/>
      <c r="M646" s="180"/>
      <c r="N646" s="181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1.25" customHeight="1">
      <c r="A647" s="179"/>
      <c r="B647" s="180"/>
      <c r="C647" s="181"/>
      <c r="D647" s="180"/>
      <c r="E647" s="180"/>
      <c r="F647" s="179"/>
      <c r="G647" s="182"/>
      <c r="H647" s="183"/>
      <c r="I647" s="180"/>
      <c r="J647" s="180"/>
      <c r="K647" s="180"/>
      <c r="L647" s="180"/>
      <c r="M647" s="180"/>
      <c r="N647" s="181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1.25" customHeight="1">
      <c r="A648" s="179"/>
      <c r="B648" s="180"/>
      <c r="C648" s="181"/>
      <c r="D648" s="180"/>
      <c r="E648" s="180"/>
      <c r="F648" s="179"/>
      <c r="G648" s="182"/>
      <c r="H648" s="183"/>
      <c r="I648" s="180"/>
      <c r="J648" s="180"/>
      <c r="K648" s="180"/>
      <c r="L648" s="180"/>
      <c r="M648" s="180"/>
      <c r="N648" s="181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1.25" customHeight="1">
      <c r="A649" s="179"/>
      <c r="B649" s="180"/>
      <c r="C649" s="181"/>
      <c r="D649" s="180"/>
      <c r="E649" s="180"/>
      <c r="F649" s="179"/>
      <c r="G649" s="182"/>
      <c r="H649" s="183"/>
      <c r="I649" s="180"/>
      <c r="J649" s="180"/>
      <c r="K649" s="180"/>
      <c r="L649" s="180"/>
      <c r="M649" s="180"/>
      <c r="N649" s="181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1.25" customHeight="1">
      <c r="A650" s="179"/>
      <c r="B650" s="180"/>
      <c r="C650" s="181"/>
      <c r="D650" s="180"/>
      <c r="E650" s="180"/>
      <c r="F650" s="179"/>
      <c r="G650" s="182"/>
      <c r="H650" s="183"/>
      <c r="I650" s="180"/>
      <c r="J650" s="180"/>
      <c r="K650" s="180"/>
      <c r="L650" s="180"/>
      <c r="M650" s="180"/>
      <c r="N650" s="181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1.25" customHeight="1">
      <c r="A651" s="179"/>
      <c r="B651" s="180"/>
      <c r="C651" s="181"/>
      <c r="D651" s="180"/>
      <c r="E651" s="180"/>
      <c r="F651" s="179"/>
      <c r="G651" s="182"/>
      <c r="H651" s="183"/>
      <c r="I651" s="180"/>
      <c r="J651" s="180"/>
      <c r="K651" s="180"/>
      <c r="L651" s="180"/>
      <c r="M651" s="180"/>
      <c r="N651" s="181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1.25" customHeight="1">
      <c r="A652" s="179"/>
      <c r="B652" s="180"/>
      <c r="C652" s="181"/>
      <c r="D652" s="180"/>
      <c r="E652" s="180"/>
      <c r="F652" s="179"/>
      <c r="G652" s="182"/>
      <c r="H652" s="183"/>
      <c r="I652" s="180"/>
      <c r="J652" s="180"/>
      <c r="K652" s="180"/>
      <c r="L652" s="180"/>
      <c r="M652" s="180"/>
      <c r="N652" s="181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1.25" customHeight="1">
      <c r="A653" s="179"/>
      <c r="B653" s="180"/>
      <c r="C653" s="181"/>
      <c r="D653" s="180"/>
      <c r="E653" s="180"/>
      <c r="F653" s="179"/>
      <c r="G653" s="182"/>
      <c r="H653" s="183"/>
      <c r="I653" s="180"/>
      <c r="J653" s="180"/>
      <c r="K653" s="180"/>
      <c r="L653" s="180"/>
      <c r="M653" s="180"/>
      <c r="N653" s="181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1.25" customHeight="1">
      <c r="A654" s="179"/>
      <c r="B654" s="180"/>
      <c r="C654" s="181"/>
      <c r="D654" s="180"/>
      <c r="E654" s="180"/>
      <c r="F654" s="179"/>
      <c r="G654" s="182"/>
      <c r="H654" s="183"/>
      <c r="I654" s="180"/>
      <c r="J654" s="180"/>
      <c r="K654" s="180"/>
      <c r="L654" s="180"/>
      <c r="M654" s="180"/>
      <c r="N654" s="181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1.25" customHeight="1">
      <c r="A655" s="179"/>
      <c r="B655" s="180"/>
      <c r="C655" s="181"/>
      <c r="D655" s="180"/>
      <c r="E655" s="180"/>
      <c r="F655" s="179"/>
      <c r="G655" s="182"/>
      <c r="H655" s="183"/>
      <c r="I655" s="180"/>
      <c r="J655" s="180"/>
      <c r="K655" s="180"/>
      <c r="L655" s="180"/>
      <c r="M655" s="180"/>
      <c r="N655" s="181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1.25" customHeight="1">
      <c r="A656" s="179"/>
      <c r="B656" s="180"/>
      <c r="C656" s="181"/>
      <c r="D656" s="180"/>
      <c r="E656" s="180"/>
      <c r="F656" s="179"/>
      <c r="G656" s="182"/>
      <c r="H656" s="183"/>
      <c r="I656" s="180"/>
      <c r="J656" s="180"/>
      <c r="K656" s="180"/>
      <c r="L656" s="180"/>
      <c r="M656" s="180"/>
      <c r="N656" s="181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1.25" customHeight="1">
      <c r="A657" s="179"/>
      <c r="B657" s="180"/>
      <c r="C657" s="181"/>
      <c r="D657" s="180"/>
      <c r="E657" s="180"/>
      <c r="F657" s="179"/>
      <c r="G657" s="182"/>
      <c r="H657" s="183"/>
      <c r="I657" s="180"/>
      <c r="J657" s="180"/>
      <c r="K657" s="180"/>
      <c r="L657" s="180"/>
      <c r="M657" s="180"/>
      <c r="N657" s="181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1.25" customHeight="1">
      <c r="A658" s="179"/>
      <c r="B658" s="180"/>
      <c r="C658" s="181"/>
      <c r="D658" s="180"/>
      <c r="E658" s="180"/>
      <c r="F658" s="179"/>
      <c r="G658" s="182"/>
      <c r="H658" s="183"/>
      <c r="I658" s="180"/>
      <c r="J658" s="180"/>
      <c r="K658" s="180"/>
      <c r="L658" s="180"/>
      <c r="M658" s="180"/>
      <c r="N658" s="181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1.25" customHeight="1">
      <c r="A659" s="179"/>
      <c r="B659" s="180"/>
      <c r="C659" s="181"/>
      <c r="D659" s="180"/>
      <c r="E659" s="180"/>
      <c r="F659" s="179"/>
      <c r="G659" s="182"/>
      <c r="H659" s="183"/>
      <c r="I659" s="180"/>
      <c r="J659" s="180"/>
      <c r="K659" s="180"/>
      <c r="L659" s="180"/>
      <c r="M659" s="180"/>
      <c r="N659" s="181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1.25" customHeight="1">
      <c r="A660" s="179"/>
      <c r="B660" s="180"/>
      <c r="C660" s="181"/>
      <c r="D660" s="180"/>
      <c r="E660" s="180"/>
      <c r="F660" s="179"/>
      <c r="G660" s="182"/>
      <c r="H660" s="183"/>
      <c r="I660" s="180"/>
      <c r="J660" s="180"/>
      <c r="K660" s="180"/>
      <c r="L660" s="180"/>
      <c r="M660" s="180"/>
      <c r="N660" s="181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1.25" customHeight="1">
      <c r="A661" s="179"/>
      <c r="B661" s="180"/>
      <c r="C661" s="181"/>
      <c r="D661" s="180"/>
      <c r="E661" s="180"/>
      <c r="F661" s="179"/>
      <c r="G661" s="182"/>
      <c r="H661" s="183"/>
      <c r="I661" s="180"/>
      <c r="J661" s="180"/>
      <c r="K661" s="180"/>
      <c r="L661" s="180"/>
      <c r="M661" s="180"/>
      <c r="N661" s="181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1.25" customHeight="1">
      <c r="A662" s="179"/>
      <c r="B662" s="180"/>
      <c r="C662" s="181"/>
      <c r="D662" s="180"/>
      <c r="E662" s="180"/>
      <c r="F662" s="179"/>
      <c r="G662" s="182"/>
      <c r="H662" s="183"/>
      <c r="I662" s="180"/>
      <c r="J662" s="180"/>
      <c r="K662" s="180"/>
      <c r="L662" s="180"/>
      <c r="M662" s="180"/>
      <c r="N662" s="181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1.25" customHeight="1">
      <c r="A663" s="179"/>
      <c r="B663" s="180"/>
      <c r="C663" s="181"/>
      <c r="D663" s="180"/>
      <c r="E663" s="180"/>
      <c r="F663" s="179"/>
      <c r="G663" s="182"/>
      <c r="H663" s="183"/>
      <c r="I663" s="180"/>
      <c r="J663" s="180"/>
      <c r="K663" s="180"/>
      <c r="L663" s="180"/>
      <c r="M663" s="180"/>
      <c r="N663" s="181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1.25" customHeight="1">
      <c r="A664" s="179"/>
      <c r="B664" s="180"/>
      <c r="C664" s="181"/>
      <c r="D664" s="180"/>
      <c r="E664" s="180"/>
      <c r="F664" s="179"/>
      <c r="G664" s="182"/>
      <c r="H664" s="183"/>
      <c r="I664" s="180"/>
      <c r="J664" s="180"/>
      <c r="K664" s="180"/>
      <c r="L664" s="180"/>
      <c r="M664" s="180"/>
      <c r="N664" s="181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1.25" customHeight="1">
      <c r="A665" s="179"/>
      <c r="B665" s="180"/>
      <c r="C665" s="181"/>
      <c r="D665" s="180"/>
      <c r="E665" s="180"/>
      <c r="F665" s="179"/>
      <c r="G665" s="182"/>
      <c r="H665" s="183"/>
      <c r="I665" s="180"/>
      <c r="J665" s="180"/>
      <c r="K665" s="180"/>
      <c r="L665" s="180"/>
      <c r="M665" s="180"/>
      <c r="N665" s="181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1.25" customHeight="1">
      <c r="A666" s="179"/>
      <c r="B666" s="180"/>
      <c r="C666" s="181"/>
      <c r="D666" s="180"/>
      <c r="E666" s="180"/>
      <c r="F666" s="179"/>
      <c r="G666" s="182"/>
      <c r="H666" s="183"/>
      <c r="I666" s="180"/>
      <c r="J666" s="180"/>
      <c r="K666" s="180"/>
      <c r="L666" s="180"/>
      <c r="M666" s="180"/>
      <c r="N666" s="181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1.25" customHeight="1">
      <c r="A667" s="179"/>
      <c r="B667" s="180"/>
      <c r="C667" s="181"/>
      <c r="D667" s="180"/>
      <c r="E667" s="180"/>
      <c r="F667" s="179"/>
      <c r="G667" s="182"/>
      <c r="H667" s="183"/>
      <c r="I667" s="180"/>
      <c r="J667" s="180"/>
      <c r="K667" s="180"/>
      <c r="L667" s="180"/>
      <c r="M667" s="180"/>
      <c r="N667" s="181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1.25" customHeight="1">
      <c r="A668" s="179"/>
      <c r="B668" s="180"/>
      <c r="C668" s="181"/>
      <c r="D668" s="180"/>
      <c r="E668" s="180"/>
      <c r="F668" s="179"/>
      <c r="G668" s="182"/>
      <c r="H668" s="183"/>
      <c r="I668" s="180"/>
      <c r="J668" s="180"/>
      <c r="K668" s="180"/>
      <c r="L668" s="180"/>
      <c r="M668" s="180"/>
      <c r="N668" s="181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1.25" customHeight="1">
      <c r="A669" s="179"/>
      <c r="B669" s="180"/>
      <c r="C669" s="181"/>
      <c r="D669" s="180"/>
      <c r="E669" s="180"/>
      <c r="F669" s="179"/>
      <c r="G669" s="182"/>
      <c r="H669" s="183"/>
      <c r="I669" s="180"/>
      <c r="J669" s="180"/>
      <c r="K669" s="180"/>
      <c r="L669" s="180"/>
      <c r="M669" s="180"/>
      <c r="N669" s="181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1.25" customHeight="1">
      <c r="A670" s="179"/>
      <c r="B670" s="180"/>
      <c r="C670" s="181"/>
      <c r="D670" s="180"/>
      <c r="E670" s="180"/>
      <c r="F670" s="179"/>
      <c r="G670" s="182"/>
      <c r="H670" s="183"/>
      <c r="I670" s="180"/>
      <c r="J670" s="180"/>
      <c r="K670" s="180"/>
      <c r="L670" s="180"/>
      <c r="M670" s="180"/>
      <c r="N670" s="181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1.25" customHeight="1">
      <c r="A671" s="179"/>
      <c r="B671" s="180"/>
      <c r="C671" s="181"/>
      <c r="D671" s="180"/>
      <c r="E671" s="180"/>
      <c r="F671" s="179"/>
      <c r="G671" s="182"/>
      <c r="H671" s="183"/>
      <c r="I671" s="180"/>
      <c r="J671" s="180"/>
      <c r="K671" s="180"/>
      <c r="L671" s="180"/>
      <c r="M671" s="180"/>
      <c r="N671" s="181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1.25" customHeight="1">
      <c r="A672" s="179"/>
      <c r="B672" s="180"/>
      <c r="C672" s="181"/>
      <c r="D672" s="180"/>
      <c r="E672" s="180"/>
      <c r="F672" s="179"/>
      <c r="G672" s="182"/>
      <c r="H672" s="183"/>
      <c r="I672" s="180"/>
      <c r="J672" s="180"/>
      <c r="K672" s="180"/>
      <c r="L672" s="180"/>
      <c r="M672" s="180"/>
      <c r="N672" s="181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1.25" customHeight="1">
      <c r="A673" s="179"/>
      <c r="B673" s="180"/>
      <c r="C673" s="181"/>
      <c r="D673" s="180"/>
      <c r="E673" s="180"/>
      <c r="F673" s="179"/>
      <c r="G673" s="182"/>
      <c r="H673" s="183"/>
      <c r="I673" s="180"/>
      <c r="J673" s="180"/>
      <c r="K673" s="180"/>
      <c r="L673" s="180"/>
      <c r="M673" s="180"/>
      <c r="N673" s="181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1.25" customHeight="1">
      <c r="A674" s="179"/>
      <c r="B674" s="180"/>
      <c r="C674" s="181"/>
      <c r="D674" s="180"/>
      <c r="E674" s="180"/>
      <c r="F674" s="179"/>
      <c r="G674" s="182"/>
      <c r="H674" s="183"/>
      <c r="I674" s="180"/>
      <c r="J674" s="180"/>
      <c r="K674" s="180"/>
      <c r="L674" s="180"/>
      <c r="M674" s="180"/>
      <c r="N674" s="181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1.25" customHeight="1">
      <c r="A675" s="179"/>
      <c r="B675" s="180"/>
      <c r="C675" s="181"/>
      <c r="D675" s="180"/>
      <c r="E675" s="180"/>
      <c r="F675" s="179"/>
      <c r="G675" s="182"/>
      <c r="H675" s="183"/>
      <c r="I675" s="180"/>
      <c r="J675" s="180"/>
      <c r="K675" s="180"/>
      <c r="L675" s="180"/>
      <c r="M675" s="180"/>
      <c r="N675" s="181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1.25" customHeight="1">
      <c r="A676" s="179"/>
      <c r="B676" s="180"/>
      <c r="C676" s="181"/>
      <c r="D676" s="180"/>
      <c r="E676" s="180"/>
      <c r="F676" s="179"/>
      <c r="G676" s="182"/>
      <c r="H676" s="183"/>
      <c r="I676" s="180"/>
      <c r="J676" s="180"/>
      <c r="K676" s="180"/>
      <c r="L676" s="180"/>
      <c r="M676" s="180"/>
      <c r="N676" s="181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1.25" customHeight="1">
      <c r="A677" s="179"/>
      <c r="B677" s="180"/>
      <c r="C677" s="181"/>
      <c r="D677" s="180"/>
      <c r="E677" s="180"/>
      <c r="F677" s="179"/>
      <c r="G677" s="182"/>
      <c r="H677" s="183"/>
      <c r="I677" s="180"/>
      <c r="J677" s="180"/>
      <c r="K677" s="180"/>
      <c r="L677" s="180"/>
      <c r="M677" s="180"/>
      <c r="N677" s="181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1.25" customHeight="1">
      <c r="A678" s="179"/>
      <c r="B678" s="180"/>
      <c r="C678" s="181"/>
      <c r="D678" s="180"/>
      <c r="E678" s="180"/>
      <c r="F678" s="179"/>
      <c r="G678" s="182"/>
      <c r="H678" s="183"/>
      <c r="I678" s="180"/>
      <c r="J678" s="180"/>
      <c r="K678" s="180"/>
      <c r="L678" s="180"/>
      <c r="M678" s="180"/>
      <c r="N678" s="181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1.25" customHeight="1">
      <c r="A679" s="179"/>
      <c r="B679" s="180"/>
      <c r="C679" s="181"/>
      <c r="D679" s="180"/>
      <c r="E679" s="180"/>
      <c r="F679" s="179"/>
      <c r="G679" s="182"/>
      <c r="H679" s="183"/>
      <c r="I679" s="180"/>
      <c r="J679" s="180"/>
      <c r="K679" s="180"/>
      <c r="L679" s="180"/>
      <c r="M679" s="180"/>
      <c r="N679" s="181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1.25" customHeight="1">
      <c r="A680" s="179"/>
      <c r="B680" s="180"/>
      <c r="C680" s="181"/>
      <c r="D680" s="180"/>
      <c r="E680" s="180"/>
      <c r="F680" s="179"/>
      <c r="G680" s="182"/>
      <c r="H680" s="183"/>
      <c r="I680" s="180"/>
      <c r="J680" s="180"/>
      <c r="K680" s="180"/>
      <c r="L680" s="180"/>
      <c r="M680" s="180"/>
      <c r="N680" s="181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1.25" customHeight="1">
      <c r="A681" s="179"/>
      <c r="B681" s="180"/>
      <c r="C681" s="181"/>
      <c r="D681" s="180"/>
      <c r="E681" s="180"/>
      <c r="F681" s="179"/>
      <c r="G681" s="182"/>
      <c r="H681" s="183"/>
      <c r="I681" s="180"/>
      <c r="J681" s="180"/>
      <c r="K681" s="180"/>
      <c r="L681" s="180"/>
      <c r="M681" s="180"/>
      <c r="N681" s="181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1.25" customHeight="1">
      <c r="A682" s="179"/>
      <c r="B682" s="180"/>
      <c r="C682" s="181"/>
      <c r="D682" s="180"/>
      <c r="E682" s="180"/>
      <c r="F682" s="179"/>
      <c r="G682" s="182"/>
      <c r="H682" s="183"/>
      <c r="I682" s="180"/>
      <c r="J682" s="180"/>
      <c r="K682" s="180"/>
      <c r="L682" s="180"/>
      <c r="M682" s="180"/>
      <c r="N682" s="181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1.25" customHeight="1">
      <c r="A683" s="179"/>
      <c r="B683" s="180"/>
      <c r="C683" s="181"/>
      <c r="D683" s="180"/>
      <c r="E683" s="180"/>
      <c r="F683" s="179"/>
      <c r="G683" s="182"/>
      <c r="H683" s="183"/>
      <c r="I683" s="180"/>
      <c r="J683" s="180"/>
      <c r="K683" s="180"/>
      <c r="L683" s="180"/>
      <c r="M683" s="180"/>
      <c r="N683" s="181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1.25" customHeight="1">
      <c r="A684" s="179"/>
      <c r="B684" s="180"/>
      <c r="C684" s="181"/>
      <c r="D684" s="180"/>
      <c r="E684" s="180"/>
      <c r="F684" s="179"/>
      <c r="G684" s="182"/>
      <c r="H684" s="183"/>
      <c r="I684" s="180"/>
      <c r="J684" s="180"/>
      <c r="K684" s="180"/>
      <c r="L684" s="180"/>
      <c r="M684" s="180"/>
      <c r="N684" s="181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1.25" customHeight="1">
      <c r="A685" s="179"/>
      <c r="B685" s="180"/>
      <c r="C685" s="181"/>
      <c r="D685" s="180"/>
      <c r="E685" s="180"/>
      <c r="F685" s="179"/>
      <c r="G685" s="182"/>
      <c r="H685" s="183"/>
      <c r="I685" s="180"/>
      <c r="J685" s="180"/>
      <c r="K685" s="180"/>
      <c r="L685" s="180"/>
      <c r="M685" s="180"/>
      <c r="N685" s="181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1.25" customHeight="1">
      <c r="A686" s="179"/>
      <c r="B686" s="180"/>
      <c r="C686" s="181"/>
      <c r="D686" s="180"/>
      <c r="E686" s="180"/>
      <c r="F686" s="179"/>
      <c r="G686" s="182"/>
      <c r="H686" s="183"/>
      <c r="I686" s="180"/>
      <c r="J686" s="180"/>
      <c r="K686" s="180"/>
      <c r="L686" s="180"/>
      <c r="M686" s="180"/>
      <c r="N686" s="181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1.25" customHeight="1">
      <c r="A687" s="179"/>
      <c r="B687" s="180"/>
      <c r="C687" s="181"/>
      <c r="D687" s="180"/>
      <c r="E687" s="180"/>
      <c r="F687" s="179"/>
      <c r="G687" s="182"/>
      <c r="H687" s="183"/>
      <c r="I687" s="180"/>
      <c r="J687" s="180"/>
      <c r="K687" s="180"/>
      <c r="L687" s="180"/>
      <c r="M687" s="180"/>
      <c r="N687" s="181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1.25" customHeight="1">
      <c r="A688" s="179"/>
      <c r="B688" s="180"/>
      <c r="C688" s="181"/>
      <c r="D688" s="180"/>
      <c r="E688" s="180"/>
      <c r="F688" s="179"/>
      <c r="G688" s="182"/>
      <c r="H688" s="183"/>
      <c r="I688" s="180"/>
      <c r="J688" s="180"/>
      <c r="K688" s="180"/>
      <c r="L688" s="180"/>
      <c r="M688" s="180"/>
      <c r="N688" s="181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1.25" customHeight="1">
      <c r="A689" s="179"/>
      <c r="B689" s="180"/>
      <c r="C689" s="181"/>
      <c r="D689" s="180"/>
      <c r="E689" s="180"/>
      <c r="F689" s="179"/>
      <c r="G689" s="182"/>
      <c r="H689" s="183"/>
      <c r="I689" s="180"/>
      <c r="J689" s="180"/>
      <c r="K689" s="180"/>
      <c r="L689" s="180"/>
      <c r="M689" s="180"/>
      <c r="N689" s="181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1.25" customHeight="1">
      <c r="A690" s="179"/>
      <c r="B690" s="180"/>
      <c r="C690" s="181"/>
      <c r="D690" s="180"/>
      <c r="E690" s="180"/>
      <c r="F690" s="179"/>
      <c r="G690" s="182"/>
      <c r="H690" s="183"/>
      <c r="I690" s="180"/>
      <c r="J690" s="180"/>
      <c r="K690" s="180"/>
      <c r="L690" s="180"/>
      <c r="M690" s="180"/>
      <c r="N690" s="181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1.25" customHeight="1">
      <c r="A691" s="179"/>
      <c r="B691" s="180"/>
      <c r="C691" s="181"/>
      <c r="D691" s="180"/>
      <c r="E691" s="180"/>
      <c r="F691" s="179"/>
      <c r="G691" s="182"/>
      <c r="H691" s="183"/>
      <c r="I691" s="180"/>
      <c r="J691" s="180"/>
      <c r="K691" s="180"/>
      <c r="L691" s="180"/>
      <c r="M691" s="180"/>
      <c r="N691" s="181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1.25" customHeight="1">
      <c r="A692" s="179"/>
      <c r="B692" s="180"/>
      <c r="C692" s="181"/>
      <c r="D692" s="180"/>
      <c r="E692" s="180"/>
      <c r="F692" s="179"/>
      <c r="G692" s="182"/>
      <c r="H692" s="183"/>
      <c r="I692" s="180"/>
      <c r="J692" s="180"/>
      <c r="K692" s="180"/>
      <c r="L692" s="180"/>
      <c r="M692" s="180"/>
      <c r="N692" s="181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1.25" customHeight="1">
      <c r="A693" s="179"/>
      <c r="B693" s="180"/>
      <c r="C693" s="181"/>
      <c r="D693" s="180"/>
      <c r="E693" s="180"/>
      <c r="F693" s="179"/>
      <c r="G693" s="182"/>
      <c r="H693" s="183"/>
      <c r="I693" s="180"/>
      <c r="J693" s="180"/>
      <c r="K693" s="180"/>
      <c r="L693" s="180"/>
      <c r="M693" s="180"/>
      <c r="N693" s="181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1.25" customHeight="1">
      <c r="A694" s="179"/>
      <c r="B694" s="180"/>
      <c r="C694" s="181"/>
      <c r="D694" s="180"/>
      <c r="E694" s="180"/>
      <c r="F694" s="179"/>
      <c r="G694" s="182"/>
      <c r="H694" s="183"/>
      <c r="I694" s="180"/>
      <c r="J694" s="180"/>
      <c r="K694" s="180"/>
      <c r="L694" s="180"/>
      <c r="M694" s="180"/>
      <c r="N694" s="181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1.25" customHeight="1">
      <c r="A695" s="179"/>
      <c r="B695" s="180"/>
      <c r="C695" s="181"/>
      <c r="D695" s="180"/>
      <c r="E695" s="180"/>
      <c r="F695" s="179"/>
      <c r="G695" s="182"/>
      <c r="H695" s="183"/>
      <c r="I695" s="180"/>
      <c r="J695" s="180"/>
      <c r="K695" s="180"/>
      <c r="L695" s="180"/>
      <c r="M695" s="180"/>
      <c r="N695" s="181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1.25" customHeight="1">
      <c r="A696" s="179"/>
      <c r="B696" s="180"/>
      <c r="C696" s="181"/>
      <c r="D696" s="180"/>
      <c r="E696" s="180"/>
      <c r="F696" s="179"/>
      <c r="G696" s="182"/>
      <c r="H696" s="183"/>
      <c r="I696" s="180"/>
      <c r="J696" s="180"/>
      <c r="K696" s="180"/>
      <c r="L696" s="180"/>
      <c r="M696" s="180"/>
      <c r="N696" s="181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1.25" customHeight="1">
      <c r="A697" s="179"/>
      <c r="B697" s="180"/>
      <c r="C697" s="181"/>
      <c r="D697" s="180"/>
      <c r="E697" s="180"/>
      <c r="F697" s="179"/>
      <c r="G697" s="182"/>
      <c r="H697" s="183"/>
      <c r="I697" s="180"/>
      <c r="J697" s="180"/>
      <c r="K697" s="180"/>
      <c r="L697" s="180"/>
      <c r="M697" s="180"/>
      <c r="N697" s="181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1.25" customHeight="1">
      <c r="A698" s="179"/>
      <c r="B698" s="180"/>
      <c r="C698" s="181"/>
      <c r="D698" s="180"/>
      <c r="E698" s="180"/>
      <c r="F698" s="179"/>
      <c r="G698" s="182"/>
      <c r="H698" s="183"/>
      <c r="I698" s="180"/>
      <c r="J698" s="180"/>
      <c r="K698" s="180"/>
      <c r="L698" s="180"/>
      <c r="M698" s="180"/>
      <c r="N698" s="181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1.25" customHeight="1">
      <c r="A699" s="179"/>
      <c r="B699" s="180"/>
      <c r="C699" s="181"/>
      <c r="D699" s="180"/>
      <c r="E699" s="180"/>
      <c r="F699" s="179"/>
      <c r="G699" s="182"/>
      <c r="H699" s="183"/>
      <c r="I699" s="180"/>
      <c r="J699" s="180"/>
      <c r="K699" s="180"/>
      <c r="L699" s="180"/>
      <c r="M699" s="180"/>
      <c r="N699" s="181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1.25" customHeight="1">
      <c r="A700" s="179"/>
      <c r="B700" s="180"/>
      <c r="C700" s="181"/>
      <c r="D700" s="180"/>
      <c r="E700" s="180"/>
      <c r="F700" s="179"/>
      <c r="G700" s="182"/>
      <c r="H700" s="183"/>
      <c r="I700" s="180"/>
      <c r="J700" s="180"/>
      <c r="K700" s="180"/>
      <c r="L700" s="180"/>
      <c r="M700" s="180"/>
      <c r="N700" s="181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1.25" customHeight="1">
      <c r="A701" s="179"/>
      <c r="B701" s="180"/>
      <c r="C701" s="181"/>
      <c r="D701" s="180"/>
      <c r="E701" s="180"/>
      <c r="F701" s="179"/>
      <c r="G701" s="182"/>
      <c r="H701" s="183"/>
      <c r="I701" s="180"/>
      <c r="J701" s="180"/>
      <c r="K701" s="180"/>
      <c r="L701" s="180"/>
      <c r="M701" s="180"/>
      <c r="N701" s="181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1.25" customHeight="1">
      <c r="A702" s="179"/>
      <c r="B702" s="180"/>
      <c r="C702" s="181"/>
      <c r="D702" s="180"/>
      <c r="E702" s="180"/>
      <c r="F702" s="179"/>
      <c r="G702" s="182"/>
      <c r="H702" s="183"/>
      <c r="I702" s="180"/>
      <c r="J702" s="180"/>
      <c r="K702" s="180"/>
      <c r="L702" s="180"/>
      <c r="M702" s="180"/>
      <c r="N702" s="181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1.25" customHeight="1">
      <c r="A703" s="179"/>
      <c r="B703" s="180"/>
      <c r="C703" s="181"/>
      <c r="D703" s="180"/>
      <c r="E703" s="180"/>
      <c r="F703" s="179"/>
      <c r="G703" s="182"/>
      <c r="H703" s="183"/>
      <c r="I703" s="180"/>
      <c r="J703" s="180"/>
      <c r="K703" s="180"/>
      <c r="L703" s="180"/>
      <c r="M703" s="180"/>
      <c r="N703" s="181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1.25" customHeight="1">
      <c r="A704" s="179"/>
      <c r="B704" s="180"/>
      <c r="C704" s="181"/>
      <c r="D704" s="180"/>
      <c r="E704" s="180"/>
      <c r="F704" s="179"/>
      <c r="G704" s="182"/>
      <c r="H704" s="183"/>
      <c r="I704" s="180"/>
      <c r="J704" s="180"/>
      <c r="K704" s="180"/>
      <c r="L704" s="180"/>
      <c r="M704" s="180"/>
      <c r="N704" s="181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1.25" customHeight="1">
      <c r="A705" s="179"/>
      <c r="B705" s="180"/>
      <c r="C705" s="181"/>
      <c r="D705" s="180"/>
      <c r="E705" s="180"/>
      <c r="F705" s="179"/>
      <c r="G705" s="182"/>
      <c r="H705" s="183"/>
      <c r="I705" s="180"/>
      <c r="J705" s="180"/>
      <c r="K705" s="180"/>
      <c r="L705" s="180"/>
      <c r="M705" s="180"/>
      <c r="N705" s="181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1.25" customHeight="1">
      <c r="A706" s="179"/>
      <c r="B706" s="180"/>
      <c r="C706" s="181"/>
      <c r="D706" s="180"/>
      <c r="E706" s="180"/>
      <c r="F706" s="179"/>
      <c r="G706" s="182"/>
      <c r="H706" s="183"/>
      <c r="I706" s="180"/>
      <c r="J706" s="180"/>
      <c r="K706" s="180"/>
      <c r="L706" s="180"/>
      <c r="M706" s="180"/>
      <c r="N706" s="181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1.25" customHeight="1">
      <c r="A707" s="179"/>
      <c r="B707" s="180"/>
      <c r="C707" s="181"/>
      <c r="D707" s="180"/>
      <c r="E707" s="180"/>
      <c r="F707" s="179"/>
      <c r="G707" s="182"/>
      <c r="H707" s="183"/>
      <c r="I707" s="180"/>
      <c r="J707" s="180"/>
      <c r="K707" s="180"/>
      <c r="L707" s="180"/>
      <c r="M707" s="180"/>
      <c r="N707" s="181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1.25" customHeight="1">
      <c r="A708" s="179"/>
      <c r="B708" s="180"/>
      <c r="C708" s="181"/>
      <c r="D708" s="180"/>
      <c r="E708" s="180"/>
      <c r="F708" s="179"/>
      <c r="G708" s="182"/>
      <c r="H708" s="183"/>
      <c r="I708" s="180"/>
      <c r="J708" s="180"/>
      <c r="K708" s="180"/>
      <c r="L708" s="180"/>
      <c r="M708" s="180"/>
      <c r="N708" s="181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1.25" customHeight="1">
      <c r="A709" s="179"/>
      <c r="B709" s="180"/>
      <c r="C709" s="181"/>
      <c r="D709" s="180"/>
      <c r="E709" s="180"/>
      <c r="F709" s="179"/>
      <c r="G709" s="182"/>
      <c r="H709" s="183"/>
      <c r="I709" s="180"/>
      <c r="J709" s="180"/>
      <c r="K709" s="180"/>
      <c r="L709" s="180"/>
      <c r="M709" s="180"/>
      <c r="N709" s="181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1.25" customHeight="1">
      <c r="A710" s="179"/>
      <c r="B710" s="180"/>
      <c r="C710" s="181"/>
      <c r="D710" s="180"/>
      <c r="E710" s="180"/>
      <c r="F710" s="179"/>
      <c r="G710" s="182"/>
      <c r="H710" s="183"/>
      <c r="I710" s="180"/>
      <c r="J710" s="180"/>
      <c r="K710" s="180"/>
      <c r="L710" s="180"/>
      <c r="M710" s="180"/>
      <c r="N710" s="181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1.25" customHeight="1">
      <c r="A711" s="179"/>
      <c r="B711" s="180"/>
      <c r="C711" s="181"/>
      <c r="D711" s="180"/>
      <c r="E711" s="180"/>
      <c r="F711" s="179"/>
      <c r="G711" s="182"/>
      <c r="H711" s="183"/>
      <c r="I711" s="180"/>
      <c r="J711" s="180"/>
      <c r="K711" s="180"/>
      <c r="L711" s="180"/>
      <c r="M711" s="180"/>
      <c r="N711" s="181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1.25" customHeight="1">
      <c r="A712" s="179"/>
      <c r="B712" s="180"/>
      <c r="C712" s="181"/>
      <c r="D712" s="180"/>
      <c r="E712" s="180"/>
      <c r="F712" s="179"/>
      <c r="G712" s="182"/>
      <c r="H712" s="183"/>
      <c r="I712" s="180"/>
      <c r="J712" s="180"/>
      <c r="K712" s="180"/>
      <c r="L712" s="180"/>
      <c r="M712" s="180"/>
      <c r="N712" s="181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1.25" customHeight="1">
      <c r="A713" s="179"/>
      <c r="B713" s="180"/>
      <c r="C713" s="181"/>
      <c r="D713" s="180"/>
      <c r="E713" s="180"/>
      <c r="F713" s="179"/>
      <c r="G713" s="182"/>
      <c r="H713" s="183"/>
      <c r="I713" s="180"/>
      <c r="J713" s="180"/>
      <c r="K713" s="180"/>
      <c r="L713" s="180"/>
      <c r="M713" s="180"/>
      <c r="N713" s="181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1.25" customHeight="1">
      <c r="A714" s="179"/>
      <c r="B714" s="180"/>
      <c r="C714" s="181"/>
      <c r="D714" s="180"/>
      <c r="E714" s="180"/>
      <c r="F714" s="179"/>
      <c r="G714" s="182"/>
      <c r="H714" s="183"/>
      <c r="I714" s="180"/>
      <c r="J714" s="180"/>
      <c r="K714" s="180"/>
      <c r="L714" s="180"/>
      <c r="M714" s="180"/>
      <c r="N714" s="181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1.25" customHeight="1">
      <c r="A715" s="179"/>
      <c r="B715" s="180"/>
      <c r="C715" s="181"/>
      <c r="D715" s="180"/>
      <c r="E715" s="180"/>
      <c r="F715" s="179"/>
      <c r="G715" s="182"/>
      <c r="H715" s="183"/>
      <c r="I715" s="180"/>
      <c r="J715" s="180"/>
      <c r="K715" s="180"/>
      <c r="L715" s="180"/>
      <c r="M715" s="180"/>
      <c r="N715" s="181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1.25" customHeight="1">
      <c r="A716" s="179"/>
      <c r="B716" s="180"/>
      <c r="C716" s="181"/>
      <c r="D716" s="180"/>
      <c r="E716" s="180"/>
      <c r="F716" s="179"/>
      <c r="G716" s="182"/>
      <c r="H716" s="183"/>
      <c r="I716" s="180"/>
      <c r="J716" s="180"/>
      <c r="K716" s="180"/>
      <c r="L716" s="180"/>
      <c r="M716" s="180"/>
      <c r="N716" s="181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1.25" customHeight="1">
      <c r="A717" s="179"/>
      <c r="B717" s="180"/>
      <c r="C717" s="181"/>
      <c r="D717" s="180"/>
      <c r="E717" s="180"/>
      <c r="F717" s="179"/>
      <c r="G717" s="182"/>
      <c r="H717" s="183"/>
      <c r="I717" s="180"/>
      <c r="J717" s="180"/>
      <c r="K717" s="180"/>
      <c r="L717" s="180"/>
      <c r="M717" s="180"/>
      <c r="N717" s="181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1.25" customHeight="1">
      <c r="A718" s="179"/>
      <c r="B718" s="180"/>
      <c r="C718" s="181"/>
      <c r="D718" s="180"/>
      <c r="E718" s="180"/>
      <c r="F718" s="179"/>
      <c r="G718" s="182"/>
      <c r="H718" s="183"/>
      <c r="I718" s="180"/>
      <c r="J718" s="180"/>
      <c r="K718" s="180"/>
      <c r="L718" s="180"/>
      <c r="M718" s="180"/>
      <c r="N718" s="181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1.25" customHeight="1">
      <c r="A719" s="179"/>
      <c r="B719" s="180"/>
      <c r="C719" s="181"/>
      <c r="D719" s="180"/>
      <c r="E719" s="180"/>
      <c r="F719" s="179"/>
      <c r="G719" s="182"/>
      <c r="H719" s="183"/>
      <c r="I719" s="180"/>
      <c r="J719" s="180"/>
      <c r="K719" s="180"/>
      <c r="L719" s="180"/>
      <c r="M719" s="180"/>
      <c r="N719" s="181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1.25" customHeight="1">
      <c r="A720" s="179"/>
      <c r="B720" s="180"/>
      <c r="C720" s="181"/>
      <c r="D720" s="180"/>
      <c r="E720" s="180"/>
      <c r="F720" s="179"/>
      <c r="G720" s="182"/>
      <c r="H720" s="183"/>
      <c r="I720" s="180"/>
      <c r="J720" s="180"/>
      <c r="K720" s="180"/>
      <c r="L720" s="180"/>
      <c r="M720" s="180"/>
      <c r="N720" s="181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1.25" customHeight="1">
      <c r="A721" s="179"/>
      <c r="B721" s="180"/>
      <c r="C721" s="181"/>
      <c r="D721" s="180"/>
      <c r="E721" s="180"/>
      <c r="F721" s="179"/>
      <c r="G721" s="182"/>
      <c r="H721" s="183"/>
      <c r="I721" s="180"/>
      <c r="J721" s="180"/>
      <c r="K721" s="180"/>
      <c r="L721" s="180"/>
      <c r="M721" s="180"/>
      <c r="N721" s="181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1.25" customHeight="1">
      <c r="A722" s="179"/>
      <c r="B722" s="180"/>
      <c r="C722" s="181"/>
      <c r="D722" s="180"/>
      <c r="E722" s="180"/>
      <c r="F722" s="179"/>
      <c r="G722" s="182"/>
      <c r="H722" s="183"/>
      <c r="I722" s="180"/>
      <c r="J722" s="180"/>
      <c r="K722" s="180"/>
      <c r="L722" s="180"/>
      <c r="M722" s="180"/>
      <c r="N722" s="181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1.25" customHeight="1">
      <c r="A723" s="179"/>
      <c r="B723" s="180"/>
      <c r="C723" s="181"/>
      <c r="D723" s="180"/>
      <c r="E723" s="180"/>
      <c r="F723" s="179"/>
      <c r="G723" s="182"/>
      <c r="H723" s="183"/>
      <c r="I723" s="180"/>
      <c r="J723" s="180"/>
      <c r="K723" s="180"/>
      <c r="L723" s="180"/>
      <c r="M723" s="180"/>
      <c r="N723" s="181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1.25" customHeight="1">
      <c r="A724" s="179"/>
      <c r="B724" s="180"/>
      <c r="C724" s="181"/>
      <c r="D724" s="180"/>
      <c r="E724" s="180"/>
      <c r="F724" s="179"/>
      <c r="G724" s="182"/>
      <c r="H724" s="183"/>
      <c r="I724" s="180"/>
      <c r="J724" s="180"/>
      <c r="K724" s="180"/>
      <c r="L724" s="180"/>
      <c r="M724" s="180"/>
      <c r="N724" s="181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1.25" customHeight="1">
      <c r="A725" s="179"/>
      <c r="B725" s="180"/>
      <c r="C725" s="181"/>
      <c r="D725" s="180"/>
      <c r="E725" s="180"/>
      <c r="F725" s="179"/>
      <c r="G725" s="182"/>
      <c r="H725" s="183"/>
      <c r="I725" s="180"/>
      <c r="J725" s="180"/>
      <c r="K725" s="180"/>
      <c r="L725" s="180"/>
      <c r="M725" s="180"/>
      <c r="N725" s="181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1.25" customHeight="1">
      <c r="A726" s="179"/>
      <c r="B726" s="180"/>
      <c r="C726" s="181"/>
      <c r="D726" s="180"/>
      <c r="E726" s="180"/>
      <c r="F726" s="179"/>
      <c r="G726" s="182"/>
      <c r="H726" s="183"/>
      <c r="I726" s="180"/>
      <c r="J726" s="180"/>
      <c r="K726" s="180"/>
      <c r="L726" s="180"/>
      <c r="M726" s="180"/>
      <c r="N726" s="181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1.25" customHeight="1">
      <c r="A727" s="179"/>
      <c r="B727" s="180"/>
      <c r="C727" s="181"/>
      <c r="D727" s="180"/>
      <c r="E727" s="180"/>
      <c r="F727" s="179"/>
      <c r="G727" s="182"/>
      <c r="H727" s="183"/>
      <c r="I727" s="180"/>
      <c r="J727" s="180"/>
      <c r="K727" s="180"/>
      <c r="L727" s="180"/>
      <c r="M727" s="180"/>
      <c r="N727" s="181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1.25" customHeight="1">
      <c r="A728" s="179"/>
      <c r="B728" s="180"/>
      <c r="C728" s="181"/>
      <c r="D728" s="180"/>
      <c r="E728" s="180"/>
      <c r="F728" s="179"/>
      <c r="G728" s="182"/>
      <c r="H728" s="183"/>
      <c r="I728" s="180"/>
      <c r="J728" s="180"/>
      <c r="K728" s="180"/>
      <c r="L728" s="180"/>
      <c r="M728" s="180"/>
      <c r="N728" s="181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1.25" customHeight="1">
      <c r="A729" s="179"/>
      <c r="B729" s="180"/>
      <c r="C729" s="181"/>
      <c r="D729" s="180"/>
      <c r="E729" s="180"/>
      <c r="F729" s="179"/>
      <c r="G729" s="182"/>
      <c r="H729" s="183"/>
      <c r="I729" s="180"/>
      <c r="J729" s="180"/>
      <c r="K729" s="180"/>
      <c r="L729" s="180"/>
      <c r="M729" s="180"/>
      <c r="N729" s="181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1.25" customHeight="1">
      <c r="A730" s="179"/>
      <c r="B730" s="180"/>
      <c r="C730" s="181"/>
      <c r="D730" s="180"/>
      <c r="E730" s="180"/>
      <c r="F730" s="179"/>
      <c r="G730" s="182"/>
      <c r="H730" s="183"/>
      <c r="I730" s="180"/>
      <c r="J730" s="180"/>
      <c r="K730" s="180"/>
      <c r="L730" s="180"/>
      <c r="M730" s="180"/>
      <c r="N730" s="181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1.25" customHeight="1">
      <c r="A731" s="179"/>
      <c r="B731" s="180"/>
      <c r="C731" s="181"/>
      <c r="D731" s="180"/>
      <c r="E731" s="180"/>
      <c r="F731" s="179"/>
      <c r="G731" s="182"/>
      <c r="H731" s="183"/>
      <c r="I731" s="180"/>
      <c r="J731" s="180"/>
      <c r="K731" s="180"/>
      <c r="L731" s="180"/>
      <c r="M731" s="180"/>
      <c r="N731" s="181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1.25" customHeight="1">
      <c r="A732" s="179"/>
      <c r="B732" s="180"/>
      <c r="C732" s="181"/>
      <c r="D732" s="180"/>
      <c r="E732" s="180"/>
      <c r="F732" s="179"/>
      <c r="G732" s="182"/>
      <c r="H732" s="183"/>
      <c r="I732" s="180"/>
      <c r="J732" s="180"/>
      <c r="K732" s="180"/>
      <c r="L732" s="180"/>
      <c r="M732" s="180"/>
      <c r="N732" s="181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1.25" customHeight="1">
      <c r="A733" s="179"/>
      <c r="B733" s="180"/>
      <c r="C733" s="181"/>
      <c r="D733" s="180"/>
      <c r="E733" s="180"/>
      <c r="F733" s="179"/>
      <c r="G733" s="182"/>
      <c r="H733" s="183"/>
      <c r="I733" s="180"/>
      <c r="J733" s="180"/>
      <c r="K733" s="180"/>
      <c r="L733" s="180"/>
      <c r="M733" s="180"/>
      <c r="N733" s="181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1.25" customHeight="1">
      <c r="A734" s="179"/>
      <c r="B734" s="180"/>
      <c r="C734" s="181"/>
      <c r="D734" s="180"/>
      <c r="E734" s="180"/>
      <c r="F734" s="179"/>
      <c r="G734" s="182"/>
      <c r="H734" s="183"/>
      <c r="I734" s="180"/>
      <c r="J734" s="180"/>
      <c r="K734" s="180"/>
      <c r="L734" s="180"/>
      <c r="M734" s="180"/>
      <c r="N734" s="181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1.25" customHeight="1">
      <c r="A735" s="179"/>
      <c r="B735" s="180"/>
      <c r="C735" s="181"/>
      <c r="D735" s="180"/>
      <c r="E735" s="180"/>
      <c r="F735" s="179"/>
      <c r="G735" s="182"/>
      <c r="H735" s="183"/>
      <c r="I735" s="180"/>
      <c r="J735" s="180"/>
      <c r="K735" s="180"/>
      <c r="L735" s="180"/>
      <c r="M735" s="180"/>
      <c r="N735" s="181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1.25" customHeight="1">
      <c r="A736" s="179"/>
      <c r="B736" s="180"/>
      <c r="C736" s="181"/>
      <c r="D736" s="180"/>
      <c r="E736" s="180"/>
      <c r="F736" s="179"/>
      <c r="G736" s="182"/>
      <c r="H736" s="183"/>
      <c r="I736" s="180"/>
      <c r="J736" s="180"/>
      <c r="K736" s="180"/>
      <c r="L736" s="180"/>
      <c r="M736" s="180"/>
      <c r="N736" s="181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1.25" customHeight="1">
      <c r="A737" s="179"/>
      <c r="B737" s="180"/>
      <c r="C737" s="181"/>
      <c r="D737" s="180"/>
      <c r="E737" s="180"/>
      <c r="F737" s="179"/>
      <c r="G737" s="182"/>
      <c r="H737" s="183"/>
      <c r="I737" s="180"/>
      <c r="J737" s="180"/>
      <c r="K737" s="180"/>
      <c r="L737" s="180"/>
      <c r="M737" s="180"/>
      <c r="N737" s="181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1.25" customHeight="1">
      <c r="A738" s="179"/>
      <c r="B738" s="180"/>
      <c r="C738" s="181"/>
      <c r="D738" s="180"/>
      <c r="E738" s="180"/>
      <c r="F738" s="179"/>
      <c r="G738" s="182"/>
      <c r="H738" s="183"/>
      <c r="I738" s="180"/>
      <c r="J738" s="180"/>
      <c r="K738" s="180"/>
      <c r="L738" s="180"/>
      <c r="M738" s="180"/>
      <c r="N738" s="181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1.25" customHeight="1">
      <c r="A739" s="179"/>
      <c r="B739" s="180"/>
      <c r="C739" s="181"/>
      <c r="D739" s="180"/>
      <c r="E739" s="180"/>
      <c r="F739" s="179"/>
      <c r="G739" s="182"/>
      <c r="H739" s="183"/>
      <c r="I739" s="180"/>
      <c r="J739" s="180"/>
      <c r="K739" s="180"/>
      <c r="L739" s="180"/>
      <c r="M739" s="180"/>
      <c r="N739" s="181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1.25" customHeight="1">
      <c r="A740" s="179"/>
      <c r="B740" s="180"/>
      <c r="C740" s="181"/>
      <c r="D740" s="180"/>
      <c r="E740" s="180"/>
      <c r="F740" s="179"/>
      <c r="G740" s="182"/>
      <c r="H740" s="183"/>
      <c r="I740" s="180"/>
      <c r="J740" s="180"/>
      <c r="K740" s="180"/>
      <c r="L740" s="180"/>
      <c r="M740" s="180"/>
      <c r="N740" s="181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1.25" customHeight="1">
      <c r="A741" s="179"/>
      <c r="B741" s="180"/>
      <c r="C741" s="181"/>
      <c r="D741" s="180"/>
      <c r="E741" s="180"/>
      <c r="F741" s="179"/>
      <c r="G741" s="182"/>
      <c r="H741" s="183"/>
      <c r="I741" s="180"/>
      <c r="J741" s="180"/>
      <c r="K741" s="180"/>
      <c r="L741" s="180"/>
      <c r="M741" s="180"/>
      <c r="N741" s="181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1.25" customHeight="1">
      <c r="A742" s="179"/>
      <c r="B742" s="180"/>
      <c r="C742" s="181"/>
      <c r="D742" s="180"/>
      <c r="E742" s="180"/>
      <c r="F742" s="179"/>
      <c r="G742" s="182"/>
      <c r="H742" s="183"/>
      <c r="I742" s="180"/>
      <c r="J742" s="180"/>
      <c r="K742" s="180"/>
      <c r="L742" s="180"/>
      <c r="M742" s="180"/>
      <c r="N742" s="181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1.25" customHeight="1">
      <c r="A743" s="179"/>
      <c r="B743" s="180"/>
      <c r="C743" s="181"/>
      <c r="D743" s="180"/>
      <c r="E743" s="180"/>
      <c r="F743" s="179"/>
      <c r="G743" s="182"/>
      <c r="H743" s="183"/>
      <c r="I743" s="180"/>
      <c r="J743" s="180"/>
      <c r="K743" s="180"/>
      <c r="L743" s="180"/>
      <c r="M743" s="180"/>
      <c r="N743" s="181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1.25" customHeight="1">
      <c r="A744" s="179"/>
      <c r="B744" s="180"/>
      <c r="C744" s="181"/>
      <c r="D744" s="180"/>
      <c r="E744" s="180"/>
      <c r="F744" s="179"/>
      <c r="G744" s="182"/>
      <c r="H744" s="183"/>
      <c r="I744" s="180"/>
      <c r="J744" s="180"/>
      <c r="K744" s="180"/>
      <c r="L744" s="180"/>
      <c r="M744" s="180"/>
      <c r="N744" s="181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1.25" customHeight="1">
      <c r="A745" s="179"/>
      <c r="B745" s="180"/>
      <c r="C745" s="181"/>
      <c r="D745" s="180"/>
      <c r="E745" s="180"/>
      <c r="F745" s="179"/>
      <c r="G745" s="182"/>
      <c r="H745" s="183"/>
      <c r="I745" s="180"/>
      <c r="J745" s="180"/>
      <c r="K745" s="180"/>
      <c r="L745" s="180"/>
      <c r="M745" s="180"/>
      <c r="N745" s="181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1.25" customHeight="1">
      <c r="A746" s="179"/>
      <c r="B746" s="180"/>
      <c r="C746" s="181"/>
      <c r="D746" s="180"/>
      <c r="E746" s="180"/>
      <c r="F746" s="179"/>
      <c r="G746" s="182"/>
      <c r="H746" s="183"/>
      <c r="I746" s="180"/>
      <c r="J746" s="180"/>
      <c r="K746" s="180"/>
      <c r="L746" s="180"/>
      <c r="M746" s="180"/>
      <c r="N746" s="181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1.25" customHeight="1">
      <c r="A747" s="179"/>
      <c r="B747" s="180"/>
      <c r="C747" s="181"/>
      <c r="D747" s="180"/>
      <c r="E747" s="180"/>
      <c r="F747" s="179"/>
      <c r="G747" s="182"/>
      <c r="H747" s="183"/>
      <c r="I747" s="180"/>
      <c r="J747" s="180"/>
      <c r="K747" s="180"/>
      <c r="L747" s="180"/>
      <c r="M747" s="180"/>
      <c r="N747" s="181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1.25" customHeight="1">
      <c r="A748" s="179"/>
      <c r="B748" s="180"/>
      <c r="C748" s="181"/>
      <c r="D748" s="180"/>
      <c r="E748" s="180"/>
      <c r="F748" s="179"/>
      <c r="G748" s="182"/>
      <c r="H748" s="183"/>
      <c r="I748" s="180"/>
      <c r="J748" s="180"/>
      <c r="K748" s="180"/>
      <c r="L748" s="180"/>
      <c r="M748" s="180"/>
      <c r="N748" s="181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1.25" customHeight="1">
      <c r="A749" s="179"/>
      <c r="B749" s="180"/>
      <c r="C749" s="181"/>
      <c r="D749" s="180"/>
      <c r="E749" s="180"/>
      <c r="F749" s="179"/>
      <c r="G749" s="182"/>
      <c r="H749" s="183"/>
      <c r="I749" s="180"/>
      <c r="J749" s="180"/>
      <c r="K749" s="180"/>
      <c r="L749" s="180"/>
      <c r="M749" s="180"/>
      <c r="N749" s="181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1.25" customHeight="1">
      <c r="A750" s="179"/>
      <c r="B750" s="180"/>
      <c r="C750" s="181"/>
      <c r="D750" s="180"/>
      <c r="E750" s="180"/>
      <c r="F750" s="179"/>
      <c r="G750" s="182"/>
      <c r="H750" s="183"/>
      <c r="I750" s="180"/>
      <c r="J750" s="180"/>
      <c r="K750" s="180"/>
      <c r="L750" s="180"/>
      <c r="M750" s="180"/>
      <c r="N750" s="181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1.25" customHeight="1">
      <c r="A751" s="179"/>
      <c r="B751" s="180"/>
      <c r="C751" s="181"/>
      <c r="D751" s="180"/>
      <c r="E751" s="180"/>
      <c r="F751" s="179"/>
      <c r="G751" s="182"/>
      <c r="H751" s="183"/>
      <c r="I751" s="180"/>
      <c r="J751" s="180"/>
      <c r="K751" s="180"/>
      <c r="L751" s="180"/>
      <c r="M751" s="180"/>
      <c r="N751" s="181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1.25" customHeight="1">
      <c r="A752" s="179"/>
      <c r="B752" s="180"/>
      <c r="C752" s="181"/>
      <c r="D752" s="180"/>
      <c r="E752" s="180"/>
      <c r="F752" s="179"/>
      <c r="G752" s="182"/>
      <c r="H752" s="183"/>
      <c r="I752" s="180"/>
      <c r="J752" s="180"/>
      <c r="K752" s="180"/>
      <c r="L752" s="180"/>
      <c r="M752" s="180"/>
      <c r="N752" s="181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1.25" customHeight="1">
      <c r="A753" s="179"/>
      <c r="B753" s="180"/>
      <c r="C753" s="181"/>
      <c r="D753" s="180"/>
      <c r="E753" s="180"/>
      <c r="F753" s="179"/>
      <c r="G753" s="182"/>
      <c r="H753" s="183"/>
      <c r="I753" s="180"/>
      <c r="J753" s="180"/>
      <c r="K753" s="180"/>
      <c r="L753" s="180"/>
      <c r="M753" s="180"/>
      <c r="N753" s="181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1.25" customHeight="1">
      <c r="A754" s="179"/>
      <c r="B754" s="180"/>
      <c r="C754" s="181"/>
      <c r="D754" s="180"/>
      <c r="E754" s="180"/>
      <c r="F754" s="179"/>
      <c r="G754" s="182"/>
      <c r="H754" s="183"/>
      <c r="I754" s="180"/>
      <c r="J754" s="180"/>
      <c r="K754" s="180"/>
      <c r="L754" s="180"/>
      <c r="M754" s="180"/>
      <c r="N754" s="181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1.25" customHeight="1">
      <c r="A755" s="179"/>
      <c r="B755" s="180"/>
      <c r="C755" s="181"/>
      <c r="D755" s="180"/>
      <c r="E755" s="180"/>
      <c r="F755" s="179"/>
      <c r="G755" s="182"/>
      <c r="H755" s="183"/>
      <c r="I755" s="180"/>
      <c r="J755" s="180"/>
      <c r="K755" s="180"/>
      <c r="L755" s="180"/>
      <c r="M755" s="180"/>
      <c r="N755" s="181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1.25" customHeight="1">
      <c r="A756" s="179"/>
      <c r="B756" s="180"/>
      <c r="C756" s="181"/>
      <c r="D756" s="180"/>
      <c r="E756" s="180"/>
      <c r="F756" s="179"/>
      <c r="G756" s="182"/>
      <c r="H756" s="183"/>
      <c r="I756" s="180"/>
      <c r="J756" s="180"/>
      <c r="K756" s="180"/>
      <c r="L756" s="180"/>
      <c r="M756" s="180"/>
      <c r="N756" s="181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1.25" customHeight="1">
      <c r="A757" s="179"/>
      <c r="B757" s="180"/>
      <c r="C757" s="181"/>
      <c r="D757" s="180"/>
      <c r="E757" s="180"/>
      <c r="F757" s="179"/>
      <c r="G757" s="182"/>
      <c r="H757" s="183"/>
      <c r="I757" s="180"/>
      <c r="J757" s="180"/>
      <c r="K757" s="180"/>
      <c r="L757" s="180"/>
      <c r="M757" s="180"/>
      <c r="N757" s="181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1.25" customHeight="1">
      <c r="A758" s="179"/>
      <c r="B758" s="180"/>
      <c r="C758" s="181"/>
      <c r="D758" s="180"/>
      <c r="E758" s="180"/>
      <c r="F758" s="179"/>
      <c r="G758" s="182"/>
      <c r="H758" s="183"/>
      <c r="I758" s="180"/>
      <c r="J758" s="180"/>
      <c r="K758" s="180"/>
      <c r="L758" s="180"/>
      <c r="M758" s="180"/>
      <c r="N758" s="181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1.25" customHeight="1">
      <c r="A759" s="179"/>
      <c r="B759" s="180"/>
      <c r="C759" s="181"/>
      <c r="D759" s="180"/>
      <c r="E759" s="180"/>
      <c r="F759" s="179"/>
      <c r="G759" s="182"/>
      <c r="H759" s="183"/>
      <c r="I759" s="180"/>
      <c r="J759" s="180"/>
      <c r="K759" s="180"/>
      <c r="L759" s="180"/>
      <c r="M759" s="180"/>
      <c r="N759" s="181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1.25" customHeight="1">
      <c r="A760" s="179"/>
      <c r="B760" s="180"/>
      <c r="C760" s="181"/>
      <c r="D760" s="180"/>
      <c r="E760" s="180"/>
      <c r="F760" s="179"/>
      <c r="G760" s="182"/>
      <c r="H760" s="183"/>
      <c r="I760" s="180"/>
      <c r="J760" s="180"/>
      <c r="K760" s="180"/>
      <c r="L760" s="180"/>
      <c r="M760" s="180"/>
      <c r="N760" s="181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1.25" customHeight="1">
      <c r="A761" s="179"/>
      <c r="B761" s="180"/>
      <c r="C761" s="181"/>
      <c r="D761" s="180"/>
      <c r="E761" s="180"/>
      <c r="F761" s="179"/>
      <c r="G761" s="182"/>
      <c r="H761" s="183"/>
      <c r="I761" s="180"/>
      <c r="J761" s="180"/>
      <c r="K761" s="180"/>
      <c r="L761" s="180"/>
      <c r="M761" s="180"/>
      <c r="N761" s="181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1.25" customHeight="1">
      <c r="A762" s="179"/>
      <c r="B762" s="180"/>
      <c r="C762" s="181"/>
      <c r="D762" s="180"/>
      <c r="E762" s="180"/>
      <c r="F762" s="179"/>
      <c r="G762" s="182"/>
      <c r="H762" s="183"/>
      <c r="I762" s="180"/>
      <c r="J762" s="180"/>
      <c r="K762" s="180"/>
      <c r="L762" s="180"/>
      <c r="M762" s="180"/>
      <c r="N762" s="181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1.25" customHeight="1">
      <c r="A763" s="179"/>
      <c r="B763" s="180"/>
      <c r="C763" s="181"/>
      <c r="D763" s="180"/>
      <c r="E763" s="180"/>
      <c r="F763" s="179"/>
      <c r="G763" s="182"/>
      <c r="H763" s="183"/>
      <c r="I763" s="180"/>
      <c r="J763" s="180"/>
      <c r="K763" s="180"/>
      <c r="L763" s="180"/>
      <c r="M763" s="180"/>
      <c r="N763" s="181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1.25" customHeight="1">
      <c r="A764" s="179"/>
      <c r="B764" s="180"/>
      <c r="C764" s="181"/>
      <c r="D764" s="180"/>
      <c r="E764" s="180"/>
      <c r="F764" s="179"/>
      <c r="G764" s="182"/>
      <c r="H764" s="183"/>
      <c r="I764" s="180"/>
      <c r="J764" s="180"/>
      <c r="K764" s="180"/>
      <c r="L764" s="180"/>
      <c r="M764" s="180"/>
      <c r="N764" s="181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1.25" customHeight="1">
      <c r="A765" s="179"/>
      <c r="B765" s="180"/>
      <c r="C765" s="181"/>
      <c r="D765" s="180"/>
      <c r="E765" s="180"/>
      <c r="F765" s="179"/>
      <c r="G765" s="182"/>
      <c r="H765" s="183"/>
      <c r="I765" s="180"/>
      <c r="J765" s="180"/>
      <c r="K765" s="180"/>
      <c r="L765" s="180"/>
      <c r="M765" s="180"/>
      <c r="N765" s="181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1.25" customHeight="1">
      <c r="A766" s="179"/>
      <c r="B766" s="180"/>
      <c r="C766" s="181"/>
      <c r="D766" s="180"/>
      <c r="E766" s="180"/>
      <c r="F766" s="179"/>
      <c r="G766" s="182"/>
      <c r="H766" s="183"/>
      <c r="I766" s="180"/>
      <c r="J766" s="180"/>
      <c r="K766" s="180"/>
      <c r="L766" s="180"/>
      <c r="M766" s="180"/>
      <c r="N766" s="181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1.25" customHeight="1">
      <c r="A767" s="179"/>
      <c r="B767" s="180"/>
      <c r="C767" s="181"/>
      <c r="D767" s="180"/>
      <c r="E767" s="180"/>
      <c r="F767" s="179"/>
      <c r="G767" s="182"/>
      <c r="H767" s="183"/>
      <c r="I767" s="180"/>
      <c r="J767" s="180"/>
      <c r="K767" s="180"/>
      <c r="L767" s="180"/>
      <c r="M767" s="180"/>
      <c r="N767" s="181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1.25" customHeight="1">
      <c r="A768" s="179"/>
      <c r="B768" s="180"/>
      <c r="C768" s="181"/>
      <c r="D768" s="180"/>
      <c r="E768" s="180"/>
      <c r="F768" s="179"/>
      <c r="G768" s="182"/>
      <c r="H768" s="183"/>
      <c r="I768" s="180"/>
      <c r="J768" s="180"/>
      <c r="K768" s="180"/>
      <c r="L768" s="180"/>
      <c r="M768" s="180"/>
      <c r="N768" s="181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1.25" customHeight="1">
      <c r="A769" s="179"/>
      <c r="B769" s="180"/>
      <c r="C769" s="181"/>
      <c r="D769" s="180"/>
      <c r="E769" s="180"/>
      <c r="F769" s="179"/>
      <c r="G769" s="182"/>
      <c r="H769" s="183"/>
      <c r="I769" s="180"/>
      <c r="J769" s="180"/>
      <c r="K769" s="180"/>
      <c r="L769" s="180"/>
      <c r="M769" s="180"/>
      <c r="N769" s="181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1.25" customHeight="1">
      <c r="A770" s="179"/>
      <c r="B770" s="180"/>
      <c r="C770" s="181"/>
      <c r="D770" s="180"/>
      <c r="E770" s="180"/>
      <c r="F770" s="179"/>
      <c r="G770" s="182"/>
      <c r="H770" s="183"/>
      <c r="I770" s="180"/>
      <c r="J770" s="180"/>
      <c r="K770" s="180"/>
      <c r="L770" s="180"/>
      <c r="M770" s="180"/>
      <c r="N770" s="181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1.25" customHeight="1">
      <c r="A771" s="179"/>
      <c r="B771" s="180"/>
      <c r="C771" s="181"/>
      <c r="D771" s="180"/>
      <c r="E771" s="180"/>
      <c r="F771" s="179"/>
      <c r="G771" s="182"/>
      <c r="H771" s="183"/>
      <c r="I771" s="180"/>
      <c r="J771" s="180"/>
      <c r="K771" s="180"/>
      <c r="L771" s="180"/>
      <c r="M771" s="180"/>
      <c r="N771" s="181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1.25" customHeight="1">
      <c r="A772" s="179"/>
      <c r="B772" s="180"/>
      <c r="C772" s="181"/>
      <c r="D772" s="180"/>
      <c r="E772" s="180"/>
      <c r="F772" s="179"/>
      <c r="G772" s="182"/>
      <c r="H772" s="183"/>
      <c r="I772" s="180"/>
      <c r="J772" s="180"/>
      <c r="K772" s="180"/>
      <c r="L772" s="180"/>
      <c r="M772" s="180"/>
      <c r="N772" s="181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1.25" customHeight="1">
      <c r="A773" s="179"/>
      <c r="B773" s="180"/>
      <c r="C773" s="181"/>
      <c r="D773" s="180"/>
      <c r="E773" s="180"/>
      <c r="F773" s="179"/>
      <c r="G773" s="182"/>
      <c r="H773" s="183"/>
      <c r="I773" s="180"/>
      <c r="J773" s="180"/>
      <c r="K773" s="180"/>
      <c r="L773" s="180"/>
      <c r="M773" s="180"/>
      <c r="N773" s="181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1.25" customHeight="1">
      <c r="A774" s="179"/>
      <c r="B774" s="180"/>
      <c r="C774" s="181"/>
      <c r="D774" s="180"/>
      <c r="E774" s="180"/>
      <c r="F774" s="179"/>
      <c r="G774" s="182"/>
      <c r="H774" s="183"/>
      <c r="I774" s="180"/>
      <c r="J774" s="180"/>
      <c r="K774" s="180"/>
      <c r="L774" s="180"/>
      <c r="M774" s="180"/>
      <c r="N774" s="181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1.25" customHeight="1">
      <c r="A775" s="179"/>
      <c r="B775" s="180"/>
      <c r="C775" s="181"/>
      <c r="D775" s="180"/>
      <c r="E775" s="180"/>
      <c r="F775" s="179"/>
      <c r="G775" s="182"/>
      <c r="H775" s="183"/>
      <c r="I775" s="180"/>
      <c r="J775" s="180"/>
      <c r="K775" s="180"/>
      <c r="L775" s="180"/>
      <c r="M775" s="180"/>
      <c r="N775" s="181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1.25" customHeight="1">
      <c r="A776" s="179"/>
      <c r="B776" s="180"/>
      <c r="C776" s="181"/>
      <c r="D776" s="180"/>
      <c r="E776" s="180"/>
      <c r="F776" s="179"/>
      <c r="G776" s="182"/>
      <c r="H776" s="183"/>
      <c r="I776" s="180"/>
      <c r="J776" s="180"/>
      <c r="K776" s="180"/>
      <c r="L776" s="180"/>
      <c r="M776" s="180"/>
      <c r="N776" s="181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1.25" customHeight="1">
      <c r="A777" s="179"/>
      <c r="B777" s="180"/>
      <c r="C777" s="181"/>
      <c r="D777" s="180"/>
      <c r="E777" s="180"/>
      <c r="F777" s="179"/>
      <c r="G777" s="182"/>
      <c r="H777" s="183"/>
      <c r="I777" s="180"/>
      <c r="J777" s="180"/>
      <c r="K777" s="180"/>
      <c r="L777" s="180"/>
      <c r="M777" s="180"/>
      <c r="N777" s="181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1.25" customHeight="1">
      <c r="A778" s="179"/>
      <c r="B778" s="180"/>
      <c r="C778" s="181"/>
      <c r="D778" s="180"/>
      <c r="E778" s="180"/>
      <c r="F778" s="179"/>
      <c r="G778" s="182"/>
      <c r="H778" s="183"/>
      <c r="I778" s="180"/>
      <c r="J778" s="180"/>
      <c r="K778" s="180"/>
      <c r="L778" s="180"/>
      <c r="M778" s="180"/>
      <c r="N778" s="181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1.25" customHeight="1">
      <c r="A779" s="179"/>
      <c r="B779" s="180"/>
      <c r="C779" s="181"/>
      <c r="D779" s="180"/>
      <c r="E779" s="180"/>
      <c r="F779" s="179"/>
      <c r="G779" s="182"/>
      <c r="H779" s="183"/>
      <c r="I779" s="180"/>
      <c r="J779" s="180"/>
      <c r="K779" s="180"/>
      <c r="L779" s="180"/>
      <c r="M779" s="180"/>
      <c r="N779" s="181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1.25" customHeight="1">
      <c r="A780" s="179"/>
      <c r="B780" s="180"/>
      <c r="C780" s="181"/>
      <c r="D780" s="180"/>
      <c r="E780" s="180"/>
      <c r="F780" s="179"/>
      <c r="G780" s="182"/>
      <c r="H780" s="183"/>
      <c r="I780" s="180"/>
      <c r="J780" s="180"/>
      <c r="K780" s="180"/>
      <c r="L780" s="180"/>
      <c r="M780" s="180"/>
      <c r="N780" s="181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1.25" customHeight="1">
      <c r="A781" s="179"/>
      <c r="B781" s="180"/>
      <c r="C781" s="181"/>
      <c r="D781" s="180"/>
      <c r="E781" s="180"/>
      <c r="F781" s="179"/>
      <c r="G781" s="182"/>
      <c r="H781" s="183"/>
      <c r="I781" s="180"/>
      <c r="J781" s="180"/>
      <c r="K781" s="180"/>
      <c r="L781" s="180"/>
      <c r="M781" s="180"/>
      <c r="N781" s="181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1.25" customHeight="1">
      <c r="A782" s="179"/>
      <c r="B782" s="180"/>
      <c r="C782" s="181"/>
      <c r="D782" s="180"/>
      <c r="E782" s="180"/>
      <c r="F782" s="179"/>
      <c r="G782" s="182"/>
      <c r="H782" s="183"/>
      <c r="I782" s="180"/>
      <c r="J782" s="180"/>
      <c r="K782" s="180"/>
      <c r="L782" s="180"/>
      <c r="M782" s="180"/>
      <c r="N782" s="181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1.25" customHeight="1">
      <c r="A783" s="179"/>
      <c r="B783" s="180"/>
      <c r="C783" s="181"/>
      <c r="D783" s="180"/>
      <c r="E783" s="180"/>
      <c r="F783" s="179"/>
      <c r="G783" s="182"/>
      <c r="H783" s="183"/>
      <c r="I783" s="180"/>
      <c r="J783" s="180"/>
      <c r="K783" s="180"/>
      <c r="L783" s="180"/>
      <c r="M783" s="180"/>
      <c r="N783" s="181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1.25" customHeight="1">
      <c r="A784" s="179"/>
      <c r="B784" s="180"/>
      <c r="C784" s="181"/>
      <c r="D784" s="180"/>
      <c r="E784" s="180"/>
      <c r="F784" s="179"/>
      <c r="G784" s="182"/>
      <c r="H784" s="183"/>
      <c r="I784" s="180"/>
      <c r="J784" s="180"/>
      <c r="K784" s="180"/>
      <c r="L784" s="180"/>
      <c r="M784" s="180"/>
      <c r="N784" s="181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1.25" customHeight="1">
      <c r="A785" s="179"/>
      <c r="B785" s="180"/>
      <c r="C785" s="181"/>
      <c r="D785" s="180"/>
      <c r="E785" s="180"/>
      <c r="F785" s="179"/>
      <c r="G785" s="182"/>
      <c r="H785" s="183"/>
      <c r="I785" s="180"/>
      <c r="J785" s="180"/>
      <c r="K785" s="180"/>
      <c r="L785" s="180"/>
      <c r="M785" s="180"/>
      <c r="N785" s="181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1.25" customHeight="1">
      <c r="A786" s="179"/>
      <c r="B786" s="180"/>
      <c r="C786" s="181"/>
      <c r="D786" s="180"/>
      <c r="E786" s="180"/>
      <c r="F786" s="179"/>
      <c r="G786" s="182"/>
      <c r="H786" s="183"/>
      <c r="I786" s="180"/>
      <c r="J786" s="180"/>
      <c r="K786" s="180"/>
      <c r="L786" s="180"/>
      <c r="M786" s="180"/>
      <c r="N786" s="181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1.25" customHeight="1">
      <c r="A787" s="179"/>
      <c r="B787" s="180"/>
      <c r="C787" s="181"/>
      <c r="D787" s="180"/>
      <c r="E787" s="180"/>
      <c r="F787" s="179"/>
      <c r="G787" s="182"/>
      <c r="H787" s="183"/>
      <c r="I787" s="180"/>
      <c r="J787" s="180"/>
      <c r="K787" s="180"/>
      <c r="L787" s="180"/>
      <c r="M787" s="180"/>
      <c r="N787" s="181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1.25" customHeight="1">
      <c r="A788" s="179"/>
      <c r="B788" s="180"/>
      <c r="C788" s="181"/>
      <c r="D788" s="180"/>
      <c r="E788" s="180"/>
      <c r="F788" s="179"/>
      <c r="G788" s="182"/>
      <c r="H788" s="183"/>
      <c r="I788" s="180"/>
      <c r="J788" s="180"/>
      <c r="K788" s="180"/>
      <c r="L788" s="180"/>
      <c r="M788" s="180"/>
      <c r="N788" s="181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1.25" customHeight="1">
      <c r="A789" s="179"/>
      <c r="B789" s="180"/>
      <c r="C789" s="181"/>
      <c r="D789" s="180"/>
      <c r="E789" s="180"/>
      <c r="F789" s="179"/>
      <c r="G789" s="182"/>
      <c r="H789" s="183"/>
      <c r="I789" s="180"/>
      <c r="J789" s="180"/>
      <c r="K789" s="180"/>
      <c r="L789" s="180"/>
      <c r="M789" s="180"/>
      <c r="N789" s="181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1.25" customHeight="1">
      <c r="A790" s="179"/>
      <c r="B790" s="180"/>
      <c r="C790" s="181"/>
      <c r="D790" s="180"/>
      <c r="E790" s="180"/>
      <c r="F790" s="179"/>
      <c r="G790" s="182"/>
      <c r="H790" s="183"/>
      <c r="I790" s="180"/>
      <c r="J790" s="180"/>
      <c r="K790" s="180"/>
      <c r="L790" s="180"/>
      <c r="M790" s="180"/>
      <c r="N790" s="181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1.25" customHeight="1">
      <c r="A791" s="179"/>
      <c r="B791" s="180"/>
      <c r="C791" s="181"/>
      <c r="D791" s="180"/>
      <c r="E791" s="180"/>
      <c r="F791" s="179"/>
      <c r="G791" s="182"/>
      <c r="H791" s="183"/>
      <c r="I791" s="180"/>
      <c r="J791" s="180"/>
      <c r="K791" s="180"/>
      <c r="L791" s="180"/>
      <c r="M791" s="180"/>
      <c r="N791" s="181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1.25" customHeight="1">
      <c r="A792" s="179"/>
      <c r="B792" s="180"/>
      <c r="C792" s="181"/>
      <c r="D792" s="180"/>
      <c r="E792" s="180"/>
      <c r="F792" s="179"/>
      <c r="G792" s="182"/>
      <c r="H792" s="183"/>
      <c r="I792" s="180"/>
      <c r="J792" s="180"/>
      <c r="K792" s="180"/>
      <c r="L792" s="180"/>
      <c r="M792" s="180"/>
      <c r="N792" s="181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1.25" customHeight="1">
      <c r="A793" s="179"/>
      <c r="B793" s="180"/>
      <c r="C793" s="181"/>
      <c r="D793" s="180"/>
      <c r="E793" s="180"/>
      <c r="F793" s="179"/>
      <c r="G793" s="182"/>
      <c r="H793" s="183"/>
      <c r="I793" s="180"/>
      <c r="J793" s="180"/>
      <c r="K793" s="180"/>
      <c r="L793" s="180"/>
      <c r="M793" s="180"/>
      <c r="N793" s="181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1.25" customHeight="1">
      <c r="A794" s="179"/>
      <c r="B794" s="180"/>
      <c r="C794" s="181"/>
      <c r="D794" s="180"/>
      <c r="E794" s="180"/>
      <c r="F794" s="179"/>
      <c r="G794" s="182"/>
      <c r="H794" s="183"/>
      <c r="I794" s="180"/>
      <c r="J794" s="180"/>
      <c r="K794" s="180"/>
      <c r="L794" s="180"/>
      <c r="M794" s="180"/>
      <c r="N794" s="181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1.25" customHeight="1">
      <c r="A795" s="179"/>
      <c r="B795" s="180"/>
      <c r="C795" s="181"/>
      <c r="D795" s="180"/>
      <c r="E795" s="180"/>
      <c r="F795" s="179"/>
      <c r="G795" s="182"/>
      <c r="H795" s="183"/>
      <c r="I795" s="180"/>
      <c r="J795" s="180"/>
      <c r="K795" s="180"/>
      <c r="L795" s="180"/>
      <c r="M795" s="180"/>
      <c r="N795" s="181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1.25" customHeight="1">
      <c r="A796" s="179"/>
      <c r="B796" s="180"/>
      <c r="C796" s="181"/>
      <c r="D796" s="180"/>
      <c r="E796" s="180"/>
      <c r="F796" s="179"/>
      <c r="G796" s="182"/>
      <c r="H796" s="183"/>
      <c r="I796" s="180"/>
      <c r="J796" s="180"/>
      <c r="K796" s="180"/>
      <c r="L796" s="180"/>
      <c r="M796" s="180"/>
      <c r="N796" s="181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1.25" customHeight="1">
      <c r="A797" s="179"/>
      <c r="B797" s="180"/>
      <c r="C797" s="181"/>
      <c r="D797" s="180"/>
      <c r="E797" s="180"/>
      <c r="F797" s="179"/>
      <c r="G797" s="182"/>
      <c r="H797" s="183"/>
      <c r="I797" s="180"/>
      <c r="J797" s="180"/>
      <c r="K797" s="180"/>
      <c r="L797" s="180"/>
      <c r="M797" s="180"/>
      <c r="N797" s="181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1.25" customHeight="1">
      <c r="A798" s="179"/>
      <c r="B798" s="180"/>
      <c r="C798" s="181"/>
      <c r="D798" s="180"/>
      <c r="E798" s="180"/>
      <c r="F798" s="179"/>
      <c r="G798" s="182"/>
      <c r="H798" s="183"/>
      <c r="I798" s="180"/>
      <c r="J798" s="180"/>
      <c r="K798" s="180"/>
      <c r="L798" s="180"/>
      <c r="M798" s="180"/>
      <c r="N798" s="181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1.25" customHeight="1">
      <c r="A799" s="179"/>
      <c r="B799" s="180"/>
      <c r="C799" s="181"/>
      <c r="D799" s="180"/>
      <c r="E799" s="180"/>
      <c r="F799" s="179"/>
      <c r="G799" s="182"/>
      <c r="H799" s="183"/>
      <c r="I799" s="180"/>
      <c r="J799" s="180"/>
      <c r="K799" s="180"/>
      <c r="L799" s="180"/>
      <c r="M799" s="180"/>
      <c r="N799" s="181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1.25" customHeight="1">
      <c r="A800" s="179"/>
      <c r="B800" s="180"/>
      <c r="C800" s="181"/>
      <c r="D800" s="180"/>
      <c r="E800" s="180"/>
      <c r="F800" s="179"/>
      <c r="G800" s="182"/>
      <c r="H800" s="183"/>
      <c r="I800" s="180"/>
      <c r="J800" s="180"/>
      <c r="K800" s="180"/>
      <c r="L800" s="180"/>
      <c r="M800" s="180"/>
      <c r="N800" s="181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1.25" customHeight="1">
      <c r="A801" s="179"/>
      <c r="B801" s="180"/>
      <c r="C801" s="181"/>
      <c r="D801" s="180"/>
      <c r="E801" s="180"/>
      <c r="F801" s="179"/>
      <c r="G801" s="182"/>
      <c r="H801" s="183"/>
      <c r="I801" s="180"/>
      <c r="J801" s="180"/>
      <c r="K801" s="180"/>
      <c r="L801" s="180"/>
      <c r="M801" s="180"/>
      <c r="N801" s="181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1.25" customHeight="1">
      <c r="A802" s="179"/>
      <c r="B802" s="180"/>
      <c r="C802" s="181"/>
      <c r="D802" s="180"/>
      <c r="E802" s="180"/>
      <c r="F802" s="179"/>
      <c r="G802" s="182"/>
      <c r="H802" s="183"/>
      <c r="I802" s="180"/>
      <c r="J802" s="180"/>
      <c r="K802" s="180"/>
      <c r="L802" s="180"/>
      <c r="M802" s="180"/>
      <c r="N802" s="181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1.25" customHeight="1">
      <c r="A803" s="179"/>
      <c r="B803" s="180"/>
      <c r="C803" s="181"/>
      <c r="D803" s="180"/>
      <c r="E803" s="180"/>
      <c r="F803" s="179"/>
      <c r="G803" s="182"/>
      <c r="H803" s="183"/>
      <c r="I803" s="180"/>
      <c r="J803" s="180"/>
      <c r="K803" s="180"/>
      <c r="L803" s="180"/>
      <c r="M803" s="180"/>
      <c r="N803" s="181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1.25" customHeight="1">
      <c r="A804" s="179"/>
      <c r="B804" s="180"/>
      <c r="C804" s="181"/>
      <c r="D804" s="180"/>
      <c r="E804" s="180"/>
      <c r="F804" s="179"/>
      <c r="G804" s="182"/>
      <c r="H804" s="183"/>
      <c r="I804" s="180"/>
      <c r="J804" s="180"/>
      <c r="K804" s="180"/>
      <c r="L804" s="180"/>
      <c r="M804" s="180"/>
      <c r="N804" s="181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1.25" customHeight="1">
      <c r="A805" s="179"/>
      <c r="B805" s="180"/>
      <c r="C805" s="181"/>
      <c r="D805" s="180"/>
      <c r="E805" s="180"/>
      <c r="F805" s="179"/>
      <c r="G805" s="182"/>
      <c r="H805" s="183"/>
      <c r="I805" s="180"/>
      <c r="J805" s="180"/>
      <c r="K805" s="180"/>
      <c r="L805" s="180"/>
      <c r="M805" s="180"/>
      <c r="N805" s="181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1.25" customHeight="1">
      <c r="A806" s="179"/>
      <c r="B806" s="180"/>
      <c r="C806" s="181"/>
      <c r="D806" s="180"/>
      <c r="E806" s="180"/>
      <c r="F806" s="179"/>
      <c r="G806" s="182"/>
      <c r="H806" s="183"/>
      <c r="I806" s="180"/>
      <c r="J806" s="180"/>
      <c r="K806" s="180"/>
      <c r="L806" s="180"/>
      <c r="M806" s="180"/>
      <c r="N806" s="181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1.25" customHeight="1">
      <c r="A807" s="179"/>
      <c r="B807" s="180"/>
      <c r="C807" s="181"/>
      <c r="D807" s="180"/>
      <c r="E807" s="180"/>
      <c r="F807" s="179"/>
      <c r="G807" s="182"/>
      <c r="H807" s="183"/>
      <c r="I807" s="180"/>
      <c r="J807" s="180"/>
      <c r="K807" s="180"/>
      <c r="L807" s="180"/>
      <c r="M807" s="180"/>
      <c r="N807" s="181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1.25" customHeight="1">
      <c r="A808" s="179"/>
      <c r="B808" s="180"/>
      <c r="C808" s="181"/>
      <c r="D808" s="180"/>
      <c r="E808" s="180"/>
      <c r="F808" s="179"/>
      <c r="G808" s="182"/>
      <c r="H808" s="183"/>
      <c r="I808" s="180"/>
      <c r="J808" s="180"/>
      <c r="K808" s="180"/>
      <c r="L808" s="180"/>
      <c r="M808" s="180"/>
      <c r="N808" s="181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1.25" customHeight="1">
      <c r="A809" s="179"/>
      <c r="B809" s="180"/>
      <c r="C809" s="181"/>
      <c r="D809" s="180"/>
      <c r="E809" s="180"/>
      <c r="F809" s="179"/>
      <c r="G809" s="182"/>
      <c r="H809" s="183"/>
      <c r="I809" s="180"/>
      <c r="J809" s="180"/>
      <c r="K809" s="180"/>
      <c r="L809" s="180"/>
      <c r="M809" s="180"/>
      <c r="N809" s="181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1.25" customHeight="1">
      <c r="A810" s="179"/>
      <c r="B810" s="180"/>
      <c r="C810" s="181"/>
      <c r="D810" s="180"/>
      <c r="E810" s="180"/>
      <c r="F810" s="179"/>
      <c r="G810" s="182"/>
      <c r="H810" s="183"/>
      <c r="I810" s="180"/>
      <c r="J810" s="180"/>
      <c r="K810" s="180"/>
      <c r="L810" s="180"/>
      <c r="M810" s="180"/>
      <c r="N810" s="181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1.25" customHeight="1">
      <c r="A811" s="179"/>
      <c r="B811" s="180"/>
      <c r="C811" s="181"/>
      <c r="D811" s="180"/>
      <c r="E811" s="180"/>
      <c r="F811" s="179"/>
      <c r="G811" s="182"/>
      <c r="H811" s="183"/>
      <c r="I811" s="180"/>
      <c r="J811" s="180"/>
      <c r="K811" s="180"/>
      <c r="L811" s="180"/>
      <c r="M811" s="180"/>
      <c r="N811" s="181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1.25" customHeight="1">
      <c r="A812" s="179"/>
      <c r="B812" s="180"/>
      <c r="C812" s="181"/>
      <c r="D812" s="180"/>
      <c r="E812" s="180"/>
      <c r="F812" s="179"/>
      <c r="G812" s="182"/>
      <c r="H812" s="183"/>
      <c r="I812" s="180"/>
      <c r="J812" s="180"/>
      <c r="K812" s="180"/>
      <c r="L812" s="180"/>
      <c r="M812" s="180"/>
      <c r="N812" s="181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1.25" customHeight="1">
      <c r="A813" s="179"/>
      <c r="B813" s="180"/>
      <c r="C813" s="181"/>
      <c r="D813" s="180"/>
      <c r="E813" s="180"/>
      <c r="F813" s="179"/>
      <c r="G813" s="182"/>
      <c r="H813" s="183"/>
      <c r="I813" s="180"/>
      <c r="J813" s="180"/>
      <c r="K813" s="180"/>
      <c r="L813" s="180"/>
      <c r="M813" s="180"/>
      <c r="N813" s="181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1.25" customHeight="1">
      <c r="A814" s="179"/>
      <c r="B814" s="180"/>
      <c r="C814" s="181"/>
      <c r="D814" s="180"/>
      <c r="E814" s="180"/>
      <c r="F814" s="179"/>
      <c r="G814" s="182"/>
      <c r="H814" s="183"/>
      <c r="I814" s="180"/>
      <c r="J814" s="180"/>
      <c r="K814" s="180"/>
      <c r="L814" s="180"/>
      <c r="M814" s="180"/>
      <c r="N814" s="181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1.25" customHeight="1">
      <c r="A815" s="179"/>
      <c r="B815" s="180"/>
      <c r="C815" s="181"/>
      <c r="D815" s="180"/>
      <c r="E815" s="180"/>
      <c r="F815" s="179"/>
      <c r="G815" s="182"/>
      <c r="H815" s="183"/>
      <c r="I815" s="180"/>
      <c r="J815" s="180"/>
      <c r="K815" s="180"/>
      <c r="L815" s="180"/>
      <c r="M815" s="180"/>
      <c r="N815" s="181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1.25" customHeight="1">
      <c r="A816" s="179"/>
      <c r="B816" s="180"/>
      <c r="C816" s="181"/>
      <c r="D816" s="180"/>
      <c r="E816" s="180"/>
      <c r="F816" s="179"/>
      <c r="G816" s="182"/>
      <c r="H816" s="183"/>
      <c r="I816" s="180"/>
      <c r="J816" s="180"/>
      <c r="K816" s="180"/>
      <c r="L816" s="180"/>
      <c r="M816" s="180"/>
      <c r="N816" s="181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1.25" customHeight="1">
      <c r="A817" s="179"/>
      <c r="B817" s="180"/>
      <c r="C817" s="181"/>
      <c r="D817" s="180"/>
      <c r="E817" s="180"/>
      <c r="F817" s="179"/>
      <c r="G817" s="182"/>
      <c r="H817" s="183"/>
      <c r="I817" s="180"/>
      <c r="J817" s="180"/>
      <c r="K817" s="180"/>
      <c r="L817" s="180"/>
      <c r="M817" s="180"/>
      <c r="N817" s="181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1.25" customHeight="1">
      <c r="A818" s="179"/>
      <c r="B818" s="180"/>
      <c r="C818" s="181"/>
      <c r="D818" s="180"/>
      <c r="E818" s="180"/>
      <c r="F818" s="179"/>
      <c r="G818" s="182"/>
      <c r="H818" s="183"/>
      <c r="I818" s="180"/>
      <c r="J818" s="180"/>
      <c r="K818" s="180"/>
      <c r="L818" s="180"/>
      <c r="M818" s="180"/>
      <c r="N818" s="181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1.25" customHeight="1">
      <c r="A819" s="179"/>
      <c r="B819" s="180"/>
      <c r="C819" s="181"/>
      <c r="D819" s="180"/>
      <c r="E819" s="180"/>
      <c r="F819" s="179"/>
      <c r="G819" s="182"/>
      <c r="H819" s="183"/>
      <c r="I819" s="180"/>
      <c r="J819" s="180"/>
      <c r="K819" s="180"/>
      <c r="L819" s="180"/>
      <c r="M819" s="180"/>
      <c r="N819" s="181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1.25" customHeight="1">
      <c r="A820" s="179"/>
      <c r="B820" s="180"/>
      <c r="C820" s="181"/>
      <c r="D820" s="180"/>
      <c r="E820" s="180"/>
      <c r="F820" s="179"/>
      <c r="G820" s="182"/>
      <c r="H820" s="183"/>
      <c r="I820" s="180"/>
      <c r="J820" s="180"/>
      <c r="K820" s="180"/>
      <c r="L820" s="180"/>
      <c r="M820" s="180"/>
      <c r="N820" s="181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1.25" customHeight="1">
      <c r="A821" s="179"/>
      <c r="B821" s="180"/>
      <c r="C821" s="181"/>
      <c r="D821" s="180"/>
      <c r="E821" s="180"/>
      <c r="F821" s="179"/>
      <c r="G821" s="182"/>
      <c r="H821" s="183"/>
      <c r="I821" s="180"/>
      <c r="J821" s="180"/>
      <c r="K821" s="180"/>
      <c r="L821" s="180"/>
      <c r="M821" s="180"/>
      <c r="N821" s="181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1.25" customHeight="1">
      <c r="A822" s="179"/>
      <c r="B822" s="180"/>
      <c r="C822" s="181"/>
      <c r="D822" s="180"/>
      <c r="E822" s="180"/>
      <c r="F822" s="179"/>
      <c r="G822" s="182"/>
      <c r="H822" s="183"/>
      <c r="I822" s="180"/>
      <c r="J822" s="180"/>
      <c r="K822" s="180"/>
      <c r="L822" s="180"/>
      <c r="M822" s="180"/>
      <c r="N822" s="181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1.25" customHeight="1">
      <c r="A823" s="179"/>
      <c r="B823" s="180"/>
      <c r="C823" s="181"/>
      <c r="D823" s="180"/>
      <c r="E823" s="180"/>
      <c r="F823" s="179"/>
      <c r="G823" s="182"/>
      <c r="H823" s="183"/>
      <c r="I823" s="180"/>
      <c r="J823" s="180"/>
      <c r="K823" s="180"/>
      <c r="L823" s="180"/>
      <c r="M823" s="180"/>
      <c r="N823" s="181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1.25" customHeight="1">
      <c r="A824" s="179"/>
      <c r="B824" s="180"/>
      <c r="C824" s="181"/>
      <c r="D824" s="180"/>
      <c r="E824" s="180"/>
      <c r="F824" s="179"/>
      <c r="G824" s="182"/>
      <c r="H824" s="183"/>
      <c r="I824" s="180"/>
      <c r="J824" s="180"/>
      <c r="K824" s="180"/>
      <c r="L824" s="180"/>
      <c r="M824" s="180"/>
      <c r="N824" s="181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1.25" customHeight="1">
      <c r="A825" s="179"/>
      <c r="B825" s="180"/>
      <c r="C825" s="181"/>
      <c r="D825" s="180"/>
      <c r="E825" s="180"/>
      <c r="F825" s="179"/>
      <c r="G825" s="182"/>
      <c r="H825" s="183"/>
      <c r="I825" s="180"/>
      <c r="J825" s="180"/>
      <c r="K825" s="180"/>
      <c r="L825" s="180"/>
      <c r="M825" s="180"/>
      <c r="N825" s="181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1.25" customHeight="1">
      <c r="A826" s="179"/>
      <c r="B826" s="180"/>
      <c r="C826" s="181"/>
      <c r="D826" s="180"/>
      <c r="E826" s="180"/>
      <c r="F826" s="179"/>
      <c r="G826" s="182"/>
      <c r="H826" s="183"/>
      <c r="I826" s="180"/>
      <c r="J826" s="180"/>
      <c r="K826" s="180"/>
      <c r="L826" s="180"/>
      <c r="M826" s="180"/>
      <c r="N826" s="181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1.25" customHeight="1">
      <c r="A827" s="179"/>
      <c r="B827" s="180"/>
      <c r="C827" s="181"/>
      <c r="D827" s="180"/>
      <c r="E827" s="180"/>
      <c r="F827" s="179"/>
      <c r="G827" s="182"/>
      <c r="H827" s="183"/>
      <c r="I827" s="180"/>
      <c r="J827" s="180"/>
      <c r="K827" s="180"/>
      <c r="L827" s="180"/>
      <c r="M827" s="180"/>
      <c r="N827" s="181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1.25" customHeight="1">
      <c r="A828" s="179"/>
      <c r="B828" s="180"/>
      <c r="C828" s="181"/>
      <c r="D828" s="180"/>
      <c r="E828" s="180"/>
      <c r="F828" s="179"/>
      <c r="G828" s="182"/>
      <c r="H828" s="183"/>
      <c r="I828" s="180"/>
      <c r="J828" s="180"/>
      <c r="K828" s="180"/>
      <c r="L828" s="180"/>
      <c r="M828" s="180"/>
      <c r="N828" s="181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1.25" customHeight="1">
      <c r="A829" s="179"/>
      <c r="B829" s="180"/>
      <c r="C829" s="181"/>
      <c r="D829" s="180"/>
      <c r="E829" s="180"/>
      <c r="F829" s="179"/>
      <c r="G829" s="182"/>
      <c r="H829" s="183"/>
      <c r="I829" s="180"/>
      <c r="J829" s="180"/>
      <c r="K829" s="180"/>
      <c r="L829" s="180"/>
      <c r="M829" s="180"/>
      <c r="N829" s="181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1.25" customHeight="1">
      <c r="A830" s="179"/>
      <c r="B830" s="180"/>
      <c r="C830" s="181"/>
      <c r="D830" s="180"/>
      <c r="E830" s="180"/>
      <c r="F830" s="179"/>
      <c r="G830" s="182"/>
      <c r="H830" s="183"/>
      <c r="I830" s="180"/>
      <c r="J830" s="180"/>
      <c r="K830" s="180"/>
      <c r="L830" s="180"/>
      <c r="M830" s="180"/>
      <c r="N830" s="181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1.25" customHeight="1">
      <c r="A831" s="179"/>
      <c r="B831" s="180"/>
      <c r="C831" s="181"/>
      <c r="D831" s="180"/>
      <c r="E831" s="180"/>
      <c r="F831" s="179"/>
      <c r="G831" s="182"/>
      <c r="H831" s="183"/>
      <c r="I831" s="180"/>
      <c r="J831" s="180"/>
      <c r="K831" s="180"/>
      <c r="L831" s="180"/>
      <c r="M831" s="180"/>
      <c r="N831" s="181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1.25" customHeight="1">
      <c r="A832" s="179"/>
      <c r="B832" s="180"/>
      <c r="C832" s="181"/>
      <c r="D832" s="180"/>
      <c r="E832" s="180"/>
      <c r="F832" s="179"/>
      <c r="G832" s="182"/>
      <c r="H832" s="183"/>
      <c r="I832" s="180"/>
      <c r="J832" s="180"/>
      <c r="K832" s="180"/>
      <c r="L832" s="180"/>
      <c r="M832" s="180"/>
      <c r="N832" s="181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1.25" customHeight="1">
      <c r="A833" s="179"/>
      <c r="B833" s="180"/>
      <c r="C833" s="181"/>
      <c r="D833" s="180"/>
      <c r="E833" s="180"/>
      <c r="F833" s="179"/>
      <c r="G833" s="182"/>
      <c r="H833" s="183"/>
      <c r="I833" s="180"/>
      <c r="J833" s="180"/>
      <c r="K833" s="180"/>
      <c r="L833" s="180"/>
      <c r="M833" s="180"/>
      <c r="N833" s="181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1.25" customHeight="1">
      <c r="A834" s="179"/>
      <c r="B834" s="180"/>
      <c r="C834" s="181"/>
      <c r="D834" s="180"/>
      <c r="E834" s="180"/>
      <c r="F834" s="179"/>
      <c r="G834" s="182"/>
      <c r="H834" s="183"/>
      <c r="I834" s="180"/>
      <c r="J834" s="180"/>
      <c r="K834" s="180"/>
      <c r="L834" s="180"/>
      <c r="M834" s="180"/>
      <c r="N834" s="181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1.25" customHeight="1">
      <c r="A835" s="179"/>
      <c r="B835" s="180"/>
      <c r="C835" s="181"/>
      <c r="D835" s="180"/>
      <c r="E835" s="180"/>
      <c r="F835" s="179"/>
      <c r="G835" s="182"/>
      <c r="H835" s="183"/>
      <c r="I835" s="180"/>
      <c r="J835" s="180"/>
      <c r="K835" s="180"/>
      <c r="L835" s="180"/>
      <c r="M835" s="180"/>
      <c r="N835" s="181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1.25" customHeight="1">
      <c r="A836" s="179"/>
      <c r="B836" s="180"/>
      <c r="C836" s="181"/>
      <c r="D836" s="180"/>
      <c r="E836" s="180"/>
      <c r="F836" s="179"/>
      <c r="G836" s="182"/>
      <c r="H836" s="183"/>
      <c r="I836" s="180"/>
      <c r="J836" s="180"/>
      <c r="K836" s="180"/>
      <c r="L836" s="180"/>
      <c r="M836" s="180"/>
      <c r="N836" s="181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1.25" customHeight="1">
      <c r="A837" s="179"/>
      <c r="B837" s="180"/>
      <c r="C837" s="181"/>
      <c r="D837" s="180"/>
      <c r="E837" s="180"/>
      <c r="F837" s="179"/>
      <c r="G837" s="182"/>
      <c r="H837" s="183"/>
      <c r="I837" s="180"/>
      <c r="J837" s="180"/>
      <c r="K837" s="180"/>
      <c r="L837" s="180"/>
      <c r="M837" s="180"/>
      <c r="N837" s="181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1.25" customHeight="1">
      <c r="A838" s="179"/>
      <c r="B838" s="180"/>
      <c r="C838" s="181"/>
      <c r="D838" s="180"/>
      <c r="E838" s="180"/>
      <c r="F838" s="179"/>
      <c r="G838" s="182"/>
      <c r="H838" s="183"/>
      <c r="I838" s="180"/>
      <c r="J838" s="180"/>
      <c r="K838" s="180"/>
      <c r="L838" s="180"/>
      <c r="M838" s="180"/>
      <c r="N838" s="181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1.25" customHeight="1">
      <c r="A839" s="179"/>
      <c r="B839" s="180"/>
      <c r="C839" s="181"/>
      <c r="D839" s="180"/>
      <c r="E839" s="180"/>
      <c r="F839" s="179"/>
      <c r="G839" s="182"/>
      <c r="H839" s="183"/>
      <c r="I839" s="180"/>
      <c r="J839" s="180"/>
      <c r="K839" s="180"/>
      <c r="L839" s="180"/>
      <c r="M839" s="180"/>
      <c r="N839" s="181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1.25" customHeight="1">
      <c r="A840" s="179"/>
      <c r="B840" s="180"/>
      <c r="C840" s="181"/>
      <c r="D840" s="180"/>
      <c r="E840" s="180"/>
      <c r="F840" s="179"/>
      <c r="G840" s="182"/>
      <c r="H840" s="183"/>
      <c r="I840" s="180"/>
      <c r="J840" s="180"/>
      <c r="K840" s="180"/>
      <c r="L840" s="180"/>
      <c r="M840" s="180"/>
      <c r="N840" s="181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1.25" customHeight="1">
      <c r="A841" s="179"/>
      <c r="B841" s="180"/>
      <c r="C841" s="181"/>
      <c r="D841" s="180"/>
      <c r="E841" s="180"/>
      <c r="F841" s="179"/>
      <c r="G841" s="182"/>
      <c r="H841" s="183"/>
      <c r="I841" s="180"/>
      <c r="J841" s="180"/>
      <c r="K841" s="180"/>
      <c r="L841" s="180"/>
      <c r="M841" s="180"/>
      <c r="N841" s="181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1.25" customHeight="1">
      <c r="A842" s="179"/>
      <c r="B842" s="180"/>
      <c r="C842" s="181"/>
      <c r="D842" s="180"/>
      <c r="E842" s="180"/>
      <c r="F842" s="179"/>
      <c r="G842" s="182"/>
      <c r="H842" s="183"/>
      <c r="I842" s="180"/>
      <c r="J842" s="180"/>
      <c r="K842" s="180"/>
      <c r="L842" s="180"/>
      <c r="M842" s="180"/>
      <c r="N842" s="181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1.25" customHeight="1">
      <c r="A843" s="179"/>
      <c r="B843" s="180"/>
      <c r="C843" s="181"/>
      <c r="D843" s="180"/>
      <c r="E843" s="180"/>
      <c r="F843" s="179"/>
      <c r="G843" s="182"/>
      <c r="H843" s="183"/>
      <c r="I843" s="180"/>
      <c r="J843" s="180"/>
      <c r="K843" s="180"/>
      <c r="L843" s="180"/>
      <c r="M843" s="180"/>
      <c r="N843" s="181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1.25" customHeight="1">
      <c r="A844" s="179"/>
      <c r="B844" s="180"/>
      <c r="C844" s="181"/>
      <c r="D844" s="180"/>
      <c r="E844" s="180"/>
      <c r="F844" s="179"/>
      <c r="G844" s="182"/>
      <c r="H844" s="183"/>
      <c r="I844" s="180"/>
      <c r="J844" s="180"/>
      <c r="K844" s="180"/>
      <c r="L844" s="180"/>
      <c r="M844" s="180"/>
      <c r="N844" s="181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1.25" customHeight="1">
      <c r="A845" s="179"/>
      <c r="B845" s="180"/>
      <c r="C845" s="181"/>
      <c r="D845" s="180"/>
      <c r="E845" s="180"/>
      <c r="F845" s="179"/>
      <c r="G845" s="182"/>
      <c r="H845" s="183"/>
      <c r="I845" s="180"/>
      <c r="J845" s="180"/>
      <c r="K845" s="180"/>
      <c r="L845" s="180"/>
      <c r="M845" s="180"/>
      <c r="N845" s="181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1.25" customHeight="1">
      <c r="A846" s="179"/>
      <c r="B846" s="180"/>
      <c r="C846" s="181"/>
      <c r="D846" s="180"/>
      <c r="E846" s="180"/>
      <c r="F846" s="179"/>
      <c r="G846" s="182"/>
      <c r="H846" s="183"/>
      <c r="I846" s="180"/>
      <c r="J846" s="180"/>
      <c r="K846" s="180"/>
      <c r="L846" s="180"/>
      <c r="M846" s="180"/>
      <c r="N846" s="181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1.25" customHeight="1">
      <c r="A847" s="179"/>
      <c r="B847" s="180"/>
      <c r="C847" s="181"/>
      <c r="D847" s="180"/>
      <c r="E847" s="180"/>
      <c r="F847" s="179"/>
      <c r="G847" s="182"/>
      <c r="H847" s="183"/>
      <c r="I847" s="180"/>
      <c r="J847" s="180"/>
      <c r="K847" s="180"/>
      <c r="L847" s="180"/>
      <c r="M847" s="180"/>
      <c r="N847" s="181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1.25" customHeight="1">
      <c r="A848" s="179"/>
      <c r="B848" s="180"/>
      <c r="C848" s="181"/>
      <c r="D848" s="180"/>
      <c r="E848" s="180"/>
      <c r="F848" s="179"/>
      <c r="G848" s="182"/>
      <c r="H848" s="183"/>
      <c r="I848" s="180"/>
      <c r="J848" s="180"/>
      <c r="K848" s="180"/>
      <c r="L848" s="180"/>
      <c r="M848" s="180"/>
      <c r="N848" s="181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1.25" customHeight="1">
      <c r="A849" s="179"/>
      <c r="B849" s="180"/>
      <c r="C849" s="181"/>
      <c r="D849" s="180"/>
      <c r="E849" s="180"/>
      <c r="F849" s="179"/>
      <c r="G849" s="182"/>
      <c r="H849" s="183"/>
      <c r="I849" s="180"/>
      <c r="J849" s="180"/>
      <c r="K849" s="180"/>
      <c r="L849" s="180"/>
      <c r="M849" s="180"/>
      <c r="N849" s="181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1.25" customHeight="1">
      <c r="A850" s="179"/>
      <c r="B850" s="180"/>
      <c r="C850" s="181"/>
      <c r="D850" s="180"/>
      <c r="E850" s="180"/>
      <c r="F850" s="179"/>
      <c r="G850" s="182"/>
      <c r="H850" s="183"/>
      <c r="I850" s="180"/>
      <c r="J850" s="180"/>
      <c r="K850" s="180"/>
      <c r="L850" s="180"/>
      <c r="M850" s="180"/>
      <c r="N850" s="181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1.25" customHeight="1">
      <c r="A851" s="179"/>
      <c r="B851" s="180"/>
      <c r="C851" s="181"/>
      <c r="D851" s="180"/>
      <c r="E851" s="180"/>
      <c r="F851" s="179"/>
      <c r="G851" s="182"/>
      <c r="H851" s="183"/>
      <c r="I851" s="180"/>
      <c r="J851" s="180"/>
      <c r="K851" s="180"/>
      <c r="L851" s="180"/>
      <c r="M851" s="180"/>
      <c r="N851" s="181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1.25" customHeight="1">
      <c r="A852" s="179"/>
      <c r="B852" s="180"/>
      <c r="C852" s="181"/>
      <c r="D852" s="180"/>
      <c r="E852" s="180"/>
      <c r="F852" s="179"/>
      <c r="G852" s="182"/>
      <c r="H852" s="183"/>
      <c r="I852" s="180"/>
      <c r="J852" s="180"/>
      <c r="K852" s="180"/>
      <c r="L852" s="180"/>
      <c r="M852" s="180"/>
      <c r="N852" s="181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1.25" customHeight="1">
      <c r="A853" s="179"/>
      <c r="B853" s="180"/>
      <c r="C853" s="181"/>
      <c r="D853" s="180"/>
      <c r="E853" s="180"/>
      <c r="F853" s="179"/>
      <c r="G853" s="182"/>
      <c r="H853" s="183"/>
      <c r="I853" s="180"/>
      <c r="J853" s="180"/>
      <c r="K853" s="180"/>
      <c r="L853" s="180"/>
      <c r="M853" s="180"/>
      <c r="N853" s="181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1.25" customHeight="1">
      <c r="A854" s="179"/>
      <c r="B854" s="180"/>
      <c r="C854" s="181"/>
      <c r="D854" s="180"/>
      <c r="E854" s="180"/>
      <c r="F854" s="179"/>
      <c r="G854" s="182"/>
      <c r="H854" s="183"/>
      <c r="I854" s="180"/>
      <c r="J854" s="180"/>
      <c r="K854" s="180"/>
      <c r="L854" s="180"/>
      <c r="M854" s="180"/>
      <c r="N854" s="181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1.25" customHeight="1">
      <c r="A855" s="179"/>
      <c r="B855" s="180"/>
      <c r="C855" s="181"/>
      <c r="D855" s="180"/>
      <c r="E855" s="180"/>
      <c r="F855" s="179"/>
      <c r="G855" s="182"/>
      <c r="H855" s="183"/>
      <c r="I855" s="180"/>
      <c r="J855" s="180"/>
      <c r="K855" s="180"/>
      <c r="L855" s="180"/>
      <c r="M855" s="180"/>
      <c r="N855" s="181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1.25" customHeight="1">
      <c r="A856" s="179"/>
      <c r="B856" s="180"/>
      <c r="C856" s="181"/>
      <c r="D856" s="180"/>
      <c r="E856" s="180"/>
      <c r="F856" s="179"/>
      <c r="G856" s="182"/>
      <c r="H856" s="183"/>
      <c r="I856" s="180"/>
      <c r="J856" s="180"/>
      <c r="K856" s="180"/>
      <c r="L856" s="180"/>
      <c r="M856" s="180"/>
      <c r="N856" s="181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1.25" customHeight="1">
      <c r="A857" s="179"/>
      <c r="B857" s="180"/>
      <c r="C857" s="181"/>
      <c r="D857" s="180"/>
      <c r="E857" s="180"/>
      <c r="F857" s="179"/>
      <c r="G857" s="182"/>
      <c r="H857" s="183"/>
      <c r="I857" s="180"/>
      <c r="J857" s="180"/>
      <c r="K857" s="180"/>
      <c r="L857" s="180"/>
      <c r="M857" s="180"/>
      <c r="N857" s="181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1.25" customHeight="1">
      <c r="A858" s="179"/>
      <c r="B858" s="180"/>
      <c r="C858" s="181"/>
      <c r="D858" s="180"/>
      <c r="E858" s="180"/>
      <c r="F858" s="179"/>
      <c r="G858" s="182"/>
      <c r="H858" s="183"/>
      <c r="I858" s="180"/>
      <c r="J858" s="180"/>
      <c r="K858" s="180"/>
      <c r="L858" s="180"/>
      <c r="M858" s="180"/>
      <c r="N858" s="181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1.25" customHeight="1">
      <c r="A859" s="179"/>
      <c r="B859" s="180"/>
      <c r="C859" s="181"/>
      <c r="D859" s="180"/>
      <c r="E859" s="180"/>
      <c r="F859" s="179"/>
      <c r="G859" s="182"/>
      <c r="H859" s="183"/>
      <c r="I859" s="180"/>
      <c r="J859" s="180"/>
      <c r="K859" s="180"/>
      <c r="L859" s="180"/>
      <c r="M859" s="180"/>
      <c r="N859" s="181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1.25" customHeight="1">
      <c r="A860" s="179"/>
      <c r="B860" s="180"/>
      <c r="C860" s="181"/>
      <c r="D860" s="180"/>
      <c r="E860" s="180"/>
      <c r="F860" s="179"/>
      <c r="G860" s="182"/>
      <c r="H860" s="183"/>
      <c r="I860" s="180"/>
      <c r="J860" s="180"/>
      <c r="K860" s="180"/>
      <c r="L860" s="180"/>
      <c r="M860" s="180"/>
      <c r="N860" s="181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1.25" customHeight="1">
      <c r="A861" s="179"/>
      <c r="B861" s="180"/>
      <c r="C861" s="181"/>
      <c r="D861" s="180"/>
      <c r="E861" s="180"/>
      <c r="F861" s="179"/>
      <c r="G861" s="182"/>
      <c r="H861" s="183"/>
      <c r="I861" s="180"/>
      <c r="J861" s="180"/>
      <c r="K861" s="180"/>
      <c r="L861" s="180"/>
      <c r="M861" s="180"/>
      <c r="N861" s="181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1.25" customHeight="1">
      <c r="A862" s="179"/>
      <c r="B862" s="180"/>
      <c r="C862" s="181"/>
      <c r="D862" s="180"/>
      <c r="E862" s="180"/>
      <c r="F862" s="179"/>
      <c r="G862" s="182"/>
      <c r="H862" s="183"/>
      <c r="I862" s="180"/>
      <c r="J862" s="180"/>
      <c r="K862" s="180"/>
      <c r="L862" s="180"/>
      <c r="M862" s="180"/>
      <c r="N862" s="181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1.25" customHeight="1">
      <c r="A863" s="179"/>
      <c r="B863" s="180"/>
      <c r="C863" s="181"/>
      <c r="D863" s="180"/>
      <c r="E863" s="180"/>
      <c r="F863" s="179"/>
      <c r="G863" s="182"/>
      <c r="H863" s="183"/>
      <c r="I863" s="180"/>
      <c r="J863" s="180"/>
      <c r="K863" s="180"/>
      <c r="L863" s="180"/>
      <c r="M863" s="180"/>
      <c r="N863" s="181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1.25" customHeight="1">
      <c r="A864" s="179"/>
      <c r="B864" s="180"/>
      <c r="C864" s="181"/>
      <c r="D864" s="180"/>
      <c r="E864" s="180"/>
      <c r="F864" s="179"/>
      <c r="G864" s="182"/>
      <c r="H864" s="183"/>
      <c r="I864" s="180"/>
      <c r="J864" s="180"/>
      <c r="K864" s="180"/>
      <c r="L864" s="180"/>
      <c r="M864" s="180"/>
      <c r="N864" s="181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1.25" customHeight="1">
      <c r="A865" s="179"/>
      <c r="B865" s="180"/>
      <c r="C865" s="181"/>
      <c r="D865" s="180"/>
      <c r="E865" s="180"/>
      <c r="F865" s="179"/>
      <c r="G865" s="182"/>
      <c r="H865" s="183"/>
      <c r="I865" s="180"/>
      <c r="J865" s="180"/>
      <c r="K865" s="180"/>
      <c r="L865" s="180"/>
      <c r="M865" s="180"/>
      <c r="N865" s="181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1.25" customHeight="1">
      <c r="A866" s="179"/>
      <c r="B866" s="180"/>
      <c r="C866" s="181"/>
      <c r="D866" s="180"/>
      <c r="E866" s="180"/>
      <c r="F866" s="179"/>
      <c r="G866" s="182"/>
      <c r="H866" s="183"/>
      <c r="I866" s="180"/>
      <c r="J866" s="180"/>
      <c r="K866" s="180"/>
      <c r="L866" s="180"/>
      <c r="M866" s="180"/>
      <c r="N866" s="181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1.25" customHeight="1">
      <c r="A867" s="179"/>
      <c r="B867" s="180"/>
      <c r="C867" s="181"/>
      <c r="D867" s="180"/>
      <c r="E867" s="180"/>
      <c r="F867" s="179"/>
      <c r="G867" s="182"/>
      <c r="H867" s="183"/>
      <c r="I867" s="180"/>
      <c r="J867" s="180"/>
      <c r="K867" s="180"/>
      <c r="L867" s="180"/>
      <c r="M867" s="180"/>
      <c r="N867" s="181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1.25" customHeight="1">
      <c r="A868" s="179"/>
      <c r="B868" s="180"/>
      <c r="C868" s="181"/>
      <c r="D868" s="180"/>
      <c r="E868" s="180"/>
      <c r="F868" s="179"/>
      <c r="G868" s="182"/>
      <c r="H868" s="183"/>
      <c r="I868" s="180"/>
      <c r="J868" s="180"/>
      <c r="K868" s="180"/>
      <c r="L868" s="180"/>
      <c r="M868" s="180"/>
      <c r="N868" s="181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1.25" customHeight="1">
      <c r="A869" s="179"/>
      <c r="B869" s="180"/>
      <c r="C869" s="181"/>
      <c r="D869" s="180"/>
      <c r="E869" s="180"/>
      <c r="F869" s="179"/>
      <c r="G869" s="182"/>
      <c r="H869" s="183"/>
      <c r="I869" s="180"/>
      <c r="J869" s="180"/>
      <c r="K869" s="180"/>
      <c r="L869" s="180"/>
      <c r="M869" s="180"/>
      <c r="N869" s="181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1.25" customHeight="1">
      <c r="A870" s="179"/>
      <c r="B870" s="180"/>
      <c r="C870" s="181"/>
      <c r="D870" s="180"/>
      <c r="E870" s="180"/>
      <c r="F870" s="179"/>
      <c r="G870" s="182"/>
      <c r="H870" s="183"/>
      <c r="I870" s="180"/>
      <c r="J870" s="180"/>
      <c r="K870" s="180"/>
      <c r="L870" s="180"/>
      <c r="M870" s="180"/>
      <c r="N870" s="181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1.25" customHeight="1">
      <c r="A871" s="179"/>
      <c r="B871" s="180"/>
      <c r="C871" s="181"/>
      <c r="D871" s="180"/>
      <c r="E871" s="180"/>
      <c r="F871" s="179"/>
      <c r="G871" s="182"/>
      <c r="H871" s="183"/>
      <c r="I871" s="180"/>
      <c r="J871" s="180"/>
      <c r="K871" s="180"/>
      <c r="L871" s="180"/>
      <c r="M871" s="180"/>
      <c r="N871" s="181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1.25" customHeight="1">
      <c r="A872" s="179"/>
      <c r="B872" s="180"/>
      <c r="C872" s="181"/>
      <c r="D872" s="180"/>
      <c r="E872" s="180"/>
      <c r="F872" s="179"/>
      <c r="G872" s="182"/>
      <c r="H872" s="183"/>
      <c r="I872" s="180"/>
      <c r="J872" s="180"/>
      <c r="K872" s="180"/>
      <c r="L872" s="180"/>
      <c r="M872" s="180"/>
      <c r="N872" s="181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1.25" customHeight="1">
      <c r="A873" s="179"/>
      <c r="B873" s="180"/>
      <c r="C873" s="181"/>
      <c r="D873" s="180"/>
      <c r="E873" s="180"/>
      <c r="F873" s="179"/>
      <c r="G873" s="182"/>
      <c r="H873" s="183"/>
      <c r="I873" s="180"/>
      <c r="J873" s="180"/>
      <c r="K873" s="180"/>
      <c r="L873" s="180"/>
      <c r="M873" s="180"/>
      <c r="N873" s="181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1.25" customHeight="1">
      <c r="A874" s="179"/>
      <c r="B874" s="180"/>
      <c r="C874" s="181"/>
      <c r="D874" s="180"/>
      <c r="E874" s="180"/>
      <c r="F874" s="179"/>
      <c r="G874" s="182"/>
      <c r="H874" s="183"/>
      <c r="I874" s="180"/>
      <c r="J874" s="180"/>
      <c r="K874" s="180"/>
      <c r="L874" s="180"/>
      <c r="M874" s="180"/>
      <c r="N874" s="181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1.25" customHeight="1">
      <c r="A875" s="179"/>
      <c r="B875" s="180"/>
      <c r="C875" s="181"/>
      <c r="D875" s="180"/>
      <c r="E875" s="180"/>
      <c r="F875" s="179"/>
      <c r="G875" s="182"/>
      <c r="H875" s="183"/>
      <c r="I875" s="180"/>
      <c r="J875" s="180"/>
      <c r="K875" s="180"/>
      <c r="L875" s="180"/>
      <c r="M875" s="180"/>
      <c r="N875" s="181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1.25" customHeight="1">
      <c r="A876" s="179"/>
      <c r="B876" s="180"/>
      <c r="C876" s="181"/>
      <c r="D876" s="180"/>
      <c r="E876" s="180"/>
      <c r="F876" s="179"/>
      <c r="G876" s="182"/>
      <c r="H876" s="183"/>
      <c r="I876" s="180"/>
      <c r="J876" s="180"/>
      <c r="K876" s="180"/>
      <c r="L876" s="180"/>
      <c r="M876" s="180"/>
      <c r="N876" s="181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1.25" customHeight="1">
      <c r="A877" s="179"/>
      <c r="B877" s="180"/>
      <c r="C877" s="181"/>
      <c r="D877" s="180"/>
      <c r="E877" s="180"/>
      <c r="F877" s="179"/>
      <c r="G877" s="182"/>
      <c r="H877" s="183"/>
      <c r="I877" s="180"/>
      <c r="J877" s="180"/>
      <c r="K877" s="180"/>
      <c r="L877" s="180"/>
      <c r="M877" s="180"/>
      <c r="N877" s="181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1.25" customHeight="1">
      <c r="A878" s="179"/>
      <c r="B878" s="180"/>
      <c r="C878" s="181"/>
      <c r="D878" s="180"/>
      <c r="E878" s="180"/>
      <c r="F878" s="179"/>
      <c r="G878" s="182"/>
      <c r="H878" s="183"/>
      <c r="I878" s="180"/>
      <c r="J878" s="180"/>
      <c r="K878" s="180"/>
      <c r="L878" s="180"/>
      <c r="M878" s="180"/>
      <c r="N878" s="181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1.25" customHeight="1">
      <c r="A879" s="179"/>
      <c r="B879" s="180"/>
      <c r="C879" s="181"/>
      <c r="D879" s="180"/>
      <c r="E879" s="180"/>
      <c r="F879" s="179"/>
      <c r="G879" s="182"/>
      <c r="H879" s="183"/>
      <c r="I879" s="180"/>
      <c r="J879" s="180"/>
      <c r="K879" s="180"/>
      <c r="L879" s="180"/>
      <c r="M879" s="180"/>
      <c r="N879" s="181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1.25" customHeight="1">
      <c r="A880" s="179"/>
      <c r="B880" s="180"/>
      <c r="C880" s="181"/>
      <c r="D880" s="180"/>
      <c r="E880" s="180"/>
      <c r="F880" s="179"/>
      <c r="G880" s="182"/>
      <c r="H880" s="183"/>
      <c r="I880" s="180"/>
      <c r="J880" s="180"/>
      <c r="K880" s="180"/>
      <c r="L880" s="180"/>
      <c r="M880" s="180"/>
      <c r="N880" s="181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1.25" customHeight="1">
      <c r="A881" s="179"/>
      <c r="B881" s="180"/>
      <c r="C881" s="181"/>
      <c r="D881" s="180"/>
      <c r="E881" s="180"/>
      <c r="F881" s="179"/>
      <c r="G881" s="182"/>
      <c r="H881" s="183"/>
      <c r="I881" s="180"/>
      <c r="J881" s="180"/>
      <c r="K881" s="180"/>
      <c r="L881" s="180"/>
      <c r="M881" s="180"/>
      <c r="N881" s="181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1.25" customHeight="1">
      <c r="A882" s="179"/>
      <c r="B882" s="180"/>
      <c r="C882" s="181"/>
      <c r="D882" s="180"/>
      <c r="E882" s="180"/>
      <c r="F882" s="179"/>
      <c r="G882" s="182"/>
      <c r="H882" s="183"/>
      <c r="I882" s="180"/>
      <c r="J882" s="180"/>
      <c r="K882" s="180"/>
      <c r="L882" s="180"/>
      <c r="M882" s="180"/>
      <c r="N882" s="181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1.25" customHeight="1">
      <c r="A883" s="179"/>
      <c r="B883" s="180"/>
      <c r="C883" s="181"/>
      <c r="D883" s="180"/>
      <c r="E883" s="180"/>
      <c r="F883" s="179"/>
      <c r="G883" s="182"/>
      <c r="H883" s="183"/>
      <c r="I883" s="180"/>
      <c r="J883" s="180"/>
      <c r="K883" s="180"/>
      <c r="L883" s="180"/>
      <c r="M883" s="180"/>
      <c r="N883" s="181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1.25" customHeight="1">
      <c r="A884" s="179"/>
      <c r="B884" s="180"/>
      <c r="C884" s="181"/>
      <c r="D884" s="180"/>
      <c r="E884" s="180"/>
      <c r="F884" s="179"/>
      <c r="G884" s="182"/>
      <c r="H884" s="183"/>
      <c r="I884" s="180"/>
      <c r="J884" s="180"/>
      <c r="K884" s="180"/>
      <c r="L884" s="180"/>
      <c r="M884" s="180"/>
      <c r="N884" s="181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1.25" customHeight="1">
      <c r="A885" s="179"/>
      <c r="B885" s="180"/>
      <c r="C885" s="181"/>
      <c r="D885" s="180"/>
      <c r="E885" s="180"/>
      <c r="F885" s="179"/>
      <c r="G885" s="182"/>
      <c r="H885" s="183"/>
      <c r="I885" s="180"/>
      <c r="J885" s="180"/>
      <c r="K885" s="180"/>
      <c r="L885" s="180"/>
      <c r="M885" s="180"/>
      <c r="N885" s="181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1.25" customHeight="1">
      <c r="A886" s="179"/>
      <c r="B886" s="180"/>
      <c r="C886" s="181"/>
      <c r="D886" s="180"/>
      <c r="E886" s="180"/>
      <c r="F886" s="179"/>
      <c r="G886" s="182"/>
      <c r="H886" s="183"/>
      <c r="I886" s="180"/>
      <c r="J886" s="180"/>
      <c r="K886" s="180"/>
      <c r="L886" s="180"/>
      <c r="M886" s="180"/>
      <c r="N886" s="181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1.25" customHeight="1">
      <c r="A887" s="179"/>
      <c r="B887" s="180"/>
      <c r="C887" s="181"/>
      <c r="D887" s="180"/>
      <c r="E887" s="180"/>
      <c r="F887" s="179"/>
      <c r="G887" s="182"/>
      <c r="H887" s="183"/>
      <c r="I887" s="180"/>
      <c r="J887" s="180"/>
      <c r="K887" s="180"/>
      <c r="L887" s="180"/>
      <c r="M887" s="180"/>
      <c r="N887" s="181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1.25" customHeight="1">
      <c r="A888" s="179"/>
      <c r="B888" s="180"/>
      <c r="C888" s="181"/>
      <c r="D888" s="180"/>
      <c r="E888" s="180"/>
      <c r="F888" s="179"/>
      <c r="G888" s="182"/>
      <c r="H888" s="183"/>
      <c r="I888" s="180"/>
      <c r="J888" s="180"/>
      <c r="K888" s="180"/>
      <c r="L888" s="180"/>
      <c r="M888" s="180"/>
      <c r="N888" s="181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1.25" customHeight="1">
      <c r="A889" s="179"/>
      <c r="B889" s="180"/>
      <c r="C889" s="181"/>
      <c r="D889" s="180"/>
      <c r="E889" s="180"/>
      <c r="F889" s="179"/>
      <c r="G889" s="182"/>
      <c r="H889" s="183"/>
      <c r="I889" s="180"/>
      <c r="J889" s="180"/>
      <c r="K889" s="180"/>
      <c r="L889" s="180"/>
      <c r="M889" s="180"/>
      <c r="N889" s="181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1.25" customHeight="1">
      <c r="A890" s="179"/>
      <c r="B890" s="180"/>
      <c r="C890" s="181"/>
      <c r="D890" s="180"/>
      <c r="E890" s="180"/>
      <c r="F890" s="179"/>
      <c r="G890" s="182"/>
      <c r="H890" s="183"/>
      <c r="I890" s="180"/>
      <c r="J890" s="180"/>
      <c r="K890" s="180"/>
      <c r="L890" s="180"/>
      <c r="M890" s="180"/>
      <c r="N890" s="181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1.25" customHeight="1">
      <c r="A891" s="179"/>
      <c r="B891" s="180"/>
      <c r="C891" s="181"/>
      <c r="D891" s="180"/>
      <c r="E891" s="180"/>
      <c r="F891" s="179"/>
      <c r="G891" s="182"/>
      <c r="H891" s="183"/>
      <c r="I891" s="180"/>
      <c r="J891" s="180"/>
      <c r="K891" s="180"/>
      <c r="L891" s="180"/>
      <c r="M891" s="180"/>
      <c r="N891" s="181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1.25" customHeight="1">
      <c r="A892" s="179"/>
      <c r="B892" s="180"/>
      <c r="C892" s="181"/>
      <c r="D892" s="180"/>
      <c r="E892" s="180"/>
      <c r="F892" s="179"/>
      <c r="G892" s="182"/>
      <c r="H892" s="183"/>
      <c r="I892" s="180"/>
      <c r="J892" s="180"/>
      <c r="K892" s="180"/>
      <c r="L892" s="180"/>
      <c r="M892" s="180"/>
      <c r="N892" s="181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1.25" customHeight="1">
      <c r="A893" s="179"/>
      <c r="B893" s="180"/>
      <c r="C893" s="181"/>
      <c r="D893" s="180"/>
      <c r="E893" s="180"/>
      <c r="F893" s="179"/>
      <c r="G893" s="182"/>
      <c r="H893" s="183"/>
      <c r="I893" s="180"/>
      <c r="J893" s="180"/>
      <c r="K893" s="180"/>
      <c r="L893" s="180"/>
      <c r="M893" s="180"/>
      <c r="N893" s="181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1.25" customHeight="1">
      <c r="A894" s="179"/>
      <c r="B894" s="180"/>
      <c r="C894" s="181"/>
      <c r="D894" s="180"/>
      <c r="E894" s="180"/>
      <c r="F894" s="179"/>
      <c r="G894" s="182"/>
      <c r="H894" s="183"/>
      <c r="I894" s="180"/>
      <c r="J894" s="180"/>
      <c r="K894" s="180"/>
      <c r="L894" s="180"/>
      <c r="M894" s="180"/>
      <c r="N894" s="181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1.25" customHeight="1">
      <c r="A895" s="179"/>
      <c r="B895" s="180"/>
      <c r="C895" s="181"/>
      <c r="D895" s="180"/>
      <c r="E895" s="180"/>
      <c r="F895" s="179"/>
      <c r="G895" s="182"/>
      <c r="H895" s="183"/>
      <c r="I895" s="180"/>
      <c r="J895" s="180"/>
      <c r="K895" s="180"/>
      <c r="L895" s="180"/>
      <c r="M895" s="180"/>
      <c r="N895" s="181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1.25" customHeight="1">
      <c r="A896" s="179"/>
      <c r="B896" s="180"/>
      <c r="C896" s="181"/>
      <c r="D896" s="180"/>
      <c r="E896" s="180"/>
      <c r="F896" s="179"/>
      <c r="G896" s="182"/>
      <c r="H896" s="183"/>
      <c r="I896" s="180"/>
      <c r="J896" s="180"/>
      <c r="K896" s="180"/>
      <c r="L896" s="180"/>
      <c r="M896" s="180"/>
      <c r="N896" s="181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1.25" customHeight="1">
      <c r="A897" s="179"/>
      <c r="B897" s="180"/>
      <c r="C897" s="181"/>
      <c r="D897" s="180"/>
      <c r="E897" s="180"/>
      <c r="F897" s="179"/>
      <c r="G897" s="182"/>
      <c r="H897" s="183"/>
      <c r="I897" s="180"/>
      <c r="J897" s="180"/>
      <c r="K897" s="180"/>
      <c r="L897" s="180"/>
      <c r="M897" s="180"/>
      <c r="N897" s="181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1.25" customHeight="1">
      <c r="A898" s="179"/>
      <c r="B898" s="180"/>
      <c r="C898" s="181"/>
      <c r="D898" s="180"/>
      <c r="E898" s="180"/>
      <c r="F898" s="179"/>
      <c r="G898" s="182"/>
      <c r="H898" s="183"/>
      <c r="I898" s="180"/>
      <c r="J898" s="180"/>
      <c r="K898" s="180"/>
      <c r="L898" s="180"/>
      <c r="M898" s="180"/>
      <c r="N898" s="181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1.25" customHeight="1">
      <c r="A899" s="179"/>
      <c r="B899" s="180"/>
      <c r="C899" s="181"/>
      <c r="D899" s="180"/>
      <c r="E899" s="180"/>
      <c r="F899" s="179"/>
      <c r="G899" s="182"/>
      <c r="H899" s="183"/>
      <c r="I899" s="180"/>
      <c r="J899" s="180"/>
      <c r="K899" s="180"/>
      <c r="L899" s="180"/>
      <c r="M899" s="180"/>
      <c r="N899" s="181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1.25" customHeight="1">
      <c r="A900" s="179"/>
      <c r="B900" s="180"/>
      <c r="C900" s="181"/>
      <c r="D900" s="180"/>
      <c r="E900" s="180"/>
      <c r="F900" s="179"/>
      <c r="G900" s="182"/>
      <c r="H900" s="183"/>
      <c r="I900" s="180"/>
      <c r="J900" s="180"/>
      <c r="K900" s="180"/>
      <c r="L900" s="180"/>
      <c r="M900" s="180"/>
      <c r="N900" s="181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1.25" customHeight="1">
      <c r="A901" s="179"/>
      <c r="B901" s="180"/>
      <c r="C901" s="181"/>
      <c r="D901" s="180"/>
      <c r="E901" s="180"/>
      <c r="F901" s="179"/>
      <c r="G901" s="182"/>
      <c r="H901" s="183"/>
      <c r="I901" s="180"/>
      <c r="J901" s="180"/>
      <c r="K901" s="180"/>
      <c r="L901" s="180"/>
      <c r="M901" s="180"/>
      <c r="N901" s="181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1.25" customHeight="1">
      <c r="A902" s="179"/>
      <c r="B902" s="180"/>
      <c r="C902" s="181"/>
      <c r="D902" s="180"/>
      <c r="E902" s="180"/>
      <c r="F902" s="179"/>
      <c r="G902" s="182"/>
      <c r="H902" s="183"/>
      <c r="I902" s="180"/>
      <c r="J902" s="180"/>
      <c r="K902" s="180"/>
      <c r="L902" s="180"/>
      <c r="M902" s="180"/>
      <c r="N902" s="181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1.25" customHeight="1">
      <c r="A903" s="179"/>
      <c r="B903" s="180"/>
      <c r="C903" s="181"/>
      <c r="D903" s="180"/>
      <c r="E903" s="180"/>
      <c r="F903" s="179"/>
      <c r="G903" s="182"/>
      <c r="H903" s="183"/>
      <c r="I903" s="180"/>
      <c r="J903" s="180"/>
      <c r="K903" s="180"/>
      <c r="L903" s="180"/>
      <c r="M903" s="180"/>
      <c r="N903" s="181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1.25" customHeight="1">
      <c r="A904" s="179"/>
      <c r="B904" s="180"/>
      <c r="C904" s="181"/>
      <c r="D904" s="180"/>
      <c r="E904" s="180"/>
      <c r="F904" s="179"/>
      <c r="G904" s="182"/>
      <c r="H904" s="183"/>
      <c r="I904" s="180"/>
      <c r="J904" s="180"/>
      <c r="K904" s="180"/>
      <c r="L904" s="180"/>
      <c r="M904" s="180"/>
      <c r="N904" s="181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1.25" customHeight="1">
      <c r="A905" s="179"/>
      <c r="B905" s="180"/>
      <c r="C905" s="181"/>
      <c r="D905" s="180"/>
      <c r="E905" s="180"/>
      <c r="F905" s="179"/>
      <c r="G905" s="182"/>
      <c r="H905" s="183"/>
      <c r="I905" s="180"/>
      <c r="J905" s="180"/>
      <c r="K905" s="180"/>
      <c r="L905" s="180"/>
      <c r="M905" s="180"/>
      <c r="N905" s="181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1.25" customHeight="1">
      <c r="A906" s="179"/>
      <c r="B906" s="180"/>
      <c r="C906" s="181"/>
      <c r="D906" s="180"/>
      <c r="E906" s="180"/>
      <c r="F906" s="179"/>
      <c r="G906" s="182"/>
      <c r="H906" s="183"/>
      <c r="I906" s="180"/>
      <c r="J906" s="180"/>
      <c r="K906" s="180"/>
      <c r="L906" s="180"/>
      <c r="M906" s="180"/>
      <c r="N906" s="181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1.25" customHeight="1">
      <c r="A907" s="179"/>
      <c r="B907" s="180"/>
      <c r="C907" s="181"/>
      <c r="D907" s="180"/>
      <c r="E907" s="180"/>
      <c r="F907" s="179"/>
      <c r="G907" s="182"/>
      <c r="H907" s="183"/>
      <c r="I907" s="180"/>
      <c r="J907" s="180"/>
      <c r="K907" s="180"/>
      <c r="L907" s="180"/>
      <c r="M907" s="180"/>
      <c r="N907" s="181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1.25" customHeight="1">
      <c r="A908" s="179"/>
      <c r="B908" s="180"/>
      <c r="C908" s="181"/>
      <c r="D908" s="180"/>
      <c r="E908" s="180"/>
      <c r="F908" s="179"/>
      <c r="G908" s="182"/>
      <c r="H908" s="183"/>
      <c r="I908" s="180"/>
      <c r="J908" s="180"/>
      <c r="K908" s="180"/>
      <c r="L908" s="180"/>
      <c r="M908" s="180"/>
      <c r="N908" s="181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1.25" customHeight="1">
      <c r="A909" s="179"/>
      <c r="B909" s="180"/>
      <c r="C909" s="181"/>
      <c r="D909" s="180"/>
      <c r="E909" s="180"/>
      <c r="F909" s="179"/>
      <c r="G909" s="182"/>
      <c r="H909" s="183"/>
      <c r="I909" s="180"/>
      <c r="J909" s="180"/>
      <c r="K909" s="180"/>
      <c r="L909" s="180"/>
      <c r="M909" s="180"/>
      <c r="N909" s="181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1.25" customHeight="1">
      <c r="A910" s="179"/>
      <c r="B910" s="180"/>
      <c r="C910" s="181"/>
      <c r="D910" s="180"/>
      <c r="E910" s="180"/>
      <c r="F910" s="179"/>
      <c r="G910" s="182"/>
      <c r="H910" s="183"/>
      <c r="I910" s="180"/>
      <c r="J910" s="180"/>
      <c r="K910" s="180"/>
      <c r="L910" s="180"/>
      <c r="M910" s="180"/>
      <c r="N910" s="181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1.25" customHeight="1">
      <c r="A911" s="179"/>
      <c r="B911" s="180"/>
      <c r="C911" s="181"/>
      <c r="D911" s="180"/>
      <c r="E911" s="180"/>
      <c r="F911" s="179"/>
      <c r="G911" s="182"/>
      <c r="H911" s="183"/>
      <c r="I911" s="180"/>
      <c r="J911" s="180"/>
      <c r="K911" s="180"/>
      <c r="L911" s="180"/>
      <c r="M911" s="180"/>
      <c r="N911" s="181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1.25" customHeight="1">
      <c r="A912" s="179"/>
      <c r="B912" s="180"/>
      <c r="C912" s="181"/>
      <c r="D912" s="180"/>
      <c r="E912" s="180"/>
      <c r="F912" s="179"/>
      <c r="G912" s="182"/>
      <c r="H912" s="183"/>
      <c r="I912" s="180"/>
      <c r="J912" s="180"/>
      <c r="K912" s="180"/>
      <c r="L912" s="180"/>
      <c r="M912" s="180"/>
      <c r="N912" s="181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1.25" customHeight="1">
      <c r="A913" s="179"/>
      <c r="B913" s="180"/>
      <c r="C913" s="181"/>
      <c r="D913" s="180"/>
      <c r="E913" s="180"/>
      <c r="F913" s="179"/>
      <c r="G913" s="182"/>
      <c r="H913" s="183"/>
      <c r="I913" s="180"/>
      <c r="J913" s="180"/>
      <c r="K913" s="180"/>
      <c r="L913" s="180"/>
      <c r="M913" s="180"/>
      <c r="N913" s="181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1.25" customHeight="1">
      <c r="A914" s="179"/>
      <c r="B914" s="180"/>
      <c r="C914" s="181"/>
      <c r="D914" s="180"/>
      <c r="E914" s="180"/>
      <c r="F914" s="179"/>
      <c r="G914" s="182"/>
      <c r="H914" s="183"/>
      <c r="I914" s="180"/>
      <c r="J914" s="180"/>
      <c r="K914" s="180"/>
      <c r="L914" s="180"/>
      <c r="M914" s="180"/>
      <c r="N914" s="181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1.25" customHeight="1">
      <c r="A915" s="179"/>
      <c r="B915" s="180"/>
      <c r="C915" s="181"/>
      <c r="D915" s="180"/>
      <c r="E915" s="180"/>
      <c r="F915" s="179"/>
      <c r="G915" s="182"/>
      <c r="H915" s="183"/>
      <c r="I915" s="180"/>
      <c r="J915" s="180"/>
      <c r="K915" s="180"/>
      <c r="L915" s="180"/>
      <c r="M915" s="180"/>
      <c r="N915" s="181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1.25" customHeight="1">
      <c r="A916" s="179"/>
      <c r="B916" s="180"/>
      <c r="C916" s="181"/>
      <c r="D916" s="180"/>
      <c r="E916" s="180"/>
      <c r="F916" s="179"/>
      <c r="G916" s="182"/>
      <c r="H916" s="183"/>
      <c r="I916" s="180"/>
      <c r="J916" s="180"/>
      <c r="K916" s="180"/>
      <c r="L916" s="180"/>
      <c r="M916" s="180"/>
      <c r="N916" s="181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1.25" customHeight="1">
      <c r="A917" s="179"/>
      <c r="B917" s="180"/>
      <c r="C917" s="181"/>
      <c r="D917" s="180"/>
      <c r="E917" s="180"/>
      <c r="F917" s="179"/>
      <c r="G917" s="182"/>
      <c r="H917" s="183"/>
      <c r="I917" s="180"/>
      <c r="J917" s="180"/>
      <c r="K917" s="180"/>
      <c r="L917" s="180"/>
      <c r="M917" s="180"/>
      <c r="N917" s="181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1.25" customHeight="1">
      <c r="A918" s="179"/>
      <c r="B918" s="180"/>
      <c r="C918" s="181"/>
      <c r="D918" s="180"/>
      <c r="E918" s="180"/>
      <c r="F918" s="179"/>
      <c r="G918" s="182"/>
      <c r="H918" s="183"/>
      <c r="I918" s="180"/>
      <c r="J918" s="180"/>
      <c r="K918" s="180"/>
      <c r="L918" s="180"/>
      <c r="M918" s="180"/>
      <c r="N918" s="181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1.25" customHeight="1">
      <c r="A919" s="179"/>
      <c r="B919" s="180"/>
      <c r="C919" s="181"/>
      <c r="D919" s="180"/>
      <c r="E919" s="180"/>
      <c r="F919" s="179"/>
      <c r="G919" s="182"/>
      <c r="H919" s="183"/>
      <c r="I919" s="180"/>
      <c r="J919" s="180"/>
      <c r="K919" s="180"/>
      <c r="L919" s="180"/>
      <c r="M919" s="180"/>
      <c r="N919" s="181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1.25" customHeight="1">
      <c r="A920" s="179"/>
      <c r="B920" s="180"/>
      <c r="C920" s="181"/>
      <c r="D920" s="180"/>
      <c r="E920" s="180"/>
      <c r="F920" s="179"/>
      <c r="G920" s="182"/>
      <c r="H920" s="183"/>
      <c r="I920" s="180"/>
      <c r="J920" s="180"/>
      <c r="K920" s="180"/>
      <c r="L920" s="180"/>
      <c r="M920" s="180"/>
      <c r="N920" s="181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1.25" customHeight="1">
      <c r="A921" s="179"/>
      <c r="B921" s="180"/>
      <c r="C921" s="181"/>
      <c r="D921" s="180"/>
      <c r="E921" s="180"/>
      <c r="F921" s="179"/>
      <c r="G921" s="182"/>
      <c r="H921" s="183"/>
      <c r="I921" s="180"/>
      <c r="J921" s="180"/>
      <c r="K921" s="180"/>
      <c r="L921" s="180"/>
      <c r="M921" s="180"/>
      <c r="N921" s="181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1.25" customHeight="1">
      <c r="A922" s="179"/>
      <c r="B922" s="180"/>
      <c r="C922" s="181"/>
      <c r="D922" s="180"/>
      <c r="E922" s="180"/>
      <c r="F922" s="179"/>
      <c r="G922" s="182"/>
      <c r="H922" s="183"/>
      <c r="I922" s="180"/>
      <c r="J922" s="180"/>
      <c r="K922" s="180"/>
      <c r="L922" s="180"/>
      <c r="M922" s="180"/>
      <c r="N922" s="181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1.25" customHeight="1">
      <c r="A923" s="179"/>
      <c r="B923" s="180"/>
      <c r="C923" s="181"/>
      <c r="D923" s="180"/>
      <c r="E923" s="180"/>
      <c r="F923" s="179"/>
      <c r="G923" s="182"/>
      <c r="H923" s="183"/>
      <c r="I923" s="180"/>
      <c r="J923" s="180"/>
      <c r="K923" s="180"/>
      <c r="L923" s="180"/>
      <c r="M923" s="180"/>
      <c r="N923" s="181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1.25" customHeight="1">
      <c r="A924" s="179"/>
      <c r="B924" s="180"/>
      <c r="C924" s="181"/>
      <c r="D924" s="180"/>
      <c r="E924" s="180"/>
      <c r="F924" s="179"/>
      <c r="G924" s="182"/>
      <c r="H924" s="183"/>
      <c r="I924" s="180"/>
      <c r="J924" s="180"/>
      <c r="K924" s="180"/>
      <c r="L924" s="180"/>
      <c r="M924" s="180"/>
      <c r="N924" s="181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1.25" customHeight="1">
      <c r="A925" s="179"/>
      <c r="B925" s="180"/>
      <c r="C925" s="181"/>
      <c r="D925" s="180"/>
      <c r="E925" s="180"/>
      <c r="F925" s="179"/>
      <c r="G925" s="182"/>
      <c r="H925" s="183"/>
      <c r="I925" s="180"/>
      <c r="J925" s="180"/>
      <c r="K925" s="180"/>
      <c r="L925" s="180"/>
      <c r="M925" s="180"/>
      <c r="N925" s="181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1.25" customHeight="1">
      <c r="A926" s="179"/>
      <c r="B926" s="180"/>
      <c r="C926" s="181"/>
      <c r="D926" s="180"/>
      <c r="E926" s="180"/>
      <c r="F926" s="179"/>
      <c r="G926" s="182"/>
      <c r="H926" s="183"/>
      <c r="I926" s="180"/>
      <c r="J926" s="180"/>
      <c r="K926" s="180"/>
      <c r="L926" s="180"/>
      <c r="M926" s="180"/>
      <c r="N926" s="181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1.25" customHeight="1">
      <c r="A927" s="179"/>
      <c r="B927" s="180"/>
      <c r="C927" s="181"/>
      <c r="D927" s="180"/>
      <c r="E927" s="180"/>
      <c r="F927" s="179"/>
      <c r="G927" s="182"/>
      <c r="H927" s="183"/>
      <c r="I927" s="180"/>
      <c r="J927" s="180"/>
      <c r="K927" s="180"/>
      <c r="L927" s="180"/>
      <c r="M927" s="180"/>
      <c r="N927" s="181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1.25" customHeight="1">
      <c r="A928" s="179"/>
      <c r="B928" s="180"/>
      <c r="C928" s="181"/>
      <c r="D928" s="180"/>
      <c r="E928" s="180"/>
      <c r="F928" s="179"/>
      <c r="G928" s="182"/>
      <c r="H928" s="183"/>
      <c r="I928" s="180"/>
      <c r="J928" s="180"/>
      <c r="K928" s="180"/>
      <c r="L928" s="180"/>
      <c r="M928" s="180"/>
      <c r="N928" s="181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1.25" customHeight="1">
      <c r="A929" s="179"/>
      <c r="B929" s="180"/>
      <c r="C929" s="181"/>
      <c r="D929" s="180"/>
      <c r="E929" s="180"/>
      <c r="F929" s="179"/>
      <c r="G929" s="182"/>
      <c r="H929" s="183"/>
      <c r="I929" s="180"/>
      <c r="J929" s="180"/>
      <c r="K929" s="180"/>
      <c r="L929" s="180"/>
      <c r="M929" s="180"/>
      <c r="N929" s="181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1.25" customHeight="1">
      <c r="A930" s="179"/>
      <c r="B930" s="180"/>
      <c r="C930" s="181"/>
      <c r="D930" s="180"/>
      <c r="E930" s="180"/>
      <c r="F930" s="179"/>
      <c r="G930" s="182"/>
      <c r="H930" s="183"/>
      <c r="I930" s="180"/>
      <c r="J930" s="180"/>
      <c r="K930" s="180"/>
      <c r="L930" s="180"/>
      <c r="M930" s="180"/>
      <c r="N930" s="181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1.25" customHeight="1">
      <c r="A931" s="179"/>
      <c r="B931" s="180"/>
      <c r="C931" s="181"/>
      <c r="D931" s="180"/>
      <c r="E931" s="180"/>
      <c r="F931" s="179"/>
      <c r="G931" s="182"/>
      <c r="H931" s="183"/>
      <c r="I931" s="180"/>
      <c r="J931" s="180"/>
      <c r="K931" s="180"/>
      <c r="L931" s="180"/>
      <c r="M931" s="180"/>
      <c r="N931" s="181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1.25" customHeight="1">
      <c r="A932" s="179"/>
      <c r="B932" s="180"/>
      <c r="C932" s="181"/>
      <c r="D932" s="180"/>
      <c r="E932" s="180"/>
      <c r="F932" s="179"/>
      <c r="G932" s="182"/>
      <c r="H932" s="183"/>
      <c r="I932" s="180"/>
      <c r="J932" s="180"/>
      <c r="K932" s="180"/>
      <c r="L932" s="180"/>
      <c r="M932" s="180"/>
      <c r="N932" s="181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1.25" customHeight="1">
      <c r="A933" s="179"/>
      <c r="B933" s="180"/>
      <c r="C933" s="181"/>
      <c r="D933" s="180"/>
      <c r="E933" s="180"/>
      <c r="F933" s="179"/>
      <c r="G933" s="182"/>
      <c r="H933" s="183"/>
      <c r="I933" s="180"/>
      <c r="J933" s="180"/>
      <c r="K933" s="180"/>
      <c r="L933" s="180"/>
      <c r="M933" s="180"/>
      <c r="N933" s="181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1.25" customHeight="1">
      <c r="A934" s="179"/>
      <c r="B934" s="180"/>
      <c r="C934" s="181"/>
      <c r="D934" s="180"/>
      <c r="E934" s="180"/>
      <c r="F934" s="179"/>
      <c r="G934" s="182"/>
      <c r="H934" s="183"/>
      <c r="I934" s="180"/>
      <c r="J934" s="180"/>
      <c r="K934" s="180"/>
      <c r="L934" s="180"/>
      <c r="M934" s="180"/>
      <c r="N934" s="181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1.25" customHeight="1">
      <c r="A935" s="179"/>
      <c r="B935" s="180"/>
      <c r="C935" s="181"/>
      <c r="D935" s="180"/>
      <c r="E935" s="180"/>
      <c r="F935" s="179"/>
      <c r="G935" s="182"/>
      <c r="H935" s="183"/>
      <c r="I935" s="180"/>
      <c r="J935" s="180"/>
      <c r="K935" s="180"/>
      <c r="L935" s="180"/>
      <c r="M935" s="180"/>
      <c r="N935" s="181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1.25" customHeight="1">
      <c r="A936" s="179"/>
      <c r="B936" s="180"/>
      <c r="C936" s="181"/>
      <c r="D936" s="180"/>
      <c r="E936" s="180"/>
      <c r="F936" s="179"/>
      <c r="G936" s="182"/>
      <c r="H936" s="183"/>
      <c r="I936" s="180"/>
      <c r="J936" s="180"/>
      <c r="K936" s="180"/>
      <c r="L936" s="180"/>
      <c r="M936" s="180"/>
      <c r="N936" s="181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1.25" customHeight="1">
      <c r="A937" s="179"/>
      <c r="B937" s="180"/>
      <c r="C937" s="181"/>
      <c r="D937" s="180"/>
      <c r="E937" s="180"/>
      <c r="F937" s="179"/>
      <c r="G937" s="182"/>
      <c r="H937" s="183"/>
      <c r="I937" s="180"/>
      <c r="J937" s="180"/>
      <c r="K937" s="180"/>
      <c r="L937" s="180"/>
      <c r="M937" s="180"/>
      <c r="N937" s="181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1.25" customHeight="1">
      <c r="A938" s="179"/>
      <c r="B938" s="180"/>
      <c r="C938" s="181"/>
      <c r="D938" s="180"/>
      <c r="E938" s="180"/>
      <c r="F938" s="179"/>
      <c r="G938" s="182"/>
      <c r="H938" s="183"/>
      <c r="I938" s="180"/>
      <c r="J938" s="180"/>
      <c r="K938" s="180"/>
      <c r="L938" s="180"/>
      <c r="M938" s="180"/>
      <c r="N938" s="181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1.25" customHeight="1">
      <c r="A939" s="179"/>
      <c r="B939" s="180"/>
      <c r="C939" s="181"/>
      <c r="D939" s="180"/>
      <c r="E939" s="180"/>
      <c r="F939" s="179"/>
      <c r="G939" s="182"/>
      <c r="H939" s="183"/>
      <c r="I939" s="180"/>
      <c r="J939" s="180"/>
      <c r="K939" s="180"/>
      <c r="L939" s="180"/>
      <c r="M939" s="180"/>
      <c r="N939" s="181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1.25" customHeight="1">
      <c r="A940" s="179"/>
      <c r="B940" s="180"/>
      <c r="C940" s="181"/>
      <c r="D940" s="180"/>
      <c r="E940" s="180"/>
      <c r="F940" s="179"/>
      <c r="G940" s="182"/>
      <c r="H940" s="183"/>
      <c r="I940" s="180"/>
      <c r="J940" s="180"/>
      <c r="K940" s="180"/>
      <c r="L940" s="180"/>
      <c r="M940" s="180"/>
      <c r="N940" s="181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1.25" customHeight="1">
      <c r="A941" s="179"/>
      <c r="B941" s="180"/>
      <c r="C941" s="181"/>
      <c r="D941" s="180"/>
      <c r="E941" s="180"/>
      <c r="F941" s="179"/>
      <c r="G941" s="182"/>
      <c r="H941" s="183"/>
      <c r="I941" s="180"/>
      <c r="J941" s="180"/>
      <c r="K941" s="180"/>
      <c r="L941" s="180"/>
      <c r="M941" s="180"/>
      <c r="N941" s="181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1.25" customHeight="1">
      <c r="A942" s="179"/>
      <c r="B942" s="180"/>
      <c r="C942" s="181"/>
      <c r="D942" s="180"/>
      <c r="E942" s="180"/>
      <c r="F942" s="179"/>
      <c r="G942" s="182"/>
      <c r="H942" s="183"/>
      <c r="I942" s="180"/>
      <c r="J942" s="180"/>
      <c r="K942" s="180"/>
      <c r="L942" s="180"/>
      <c r="M942" s="180"/>
      <c r="N942" s="181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1.25" customHeight="1">
      <c r="A943" s="179"/>
      <c r="B943" s="180"/>
      <c r="C943" s="181"/>
      <c r="D943" s="180"/>
      <c r="E943" s="180"/>
      <c r="F943" s="179"/>
      <c r="G943" s="182"/>
      <c r="H943" s="183"/>
      <c r="I943" s="180"/>
      <c r="J943" s="180"/>
      <c r="K943" s="180"/>
      <c r="L943" s="180"/>
      <c r="M943" s="180"/>
      <c r="N943" s="181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1.25" customHeight="1">
      <c r="A944" s="179"/>
      <c r="B944" s="180"/>
      <c r="C944" s="181"/>
      <c r="D944" s="180"/>
      <c r="E944" s="180"/>
      <c r="F944" s="179"/>
      <c r="G944" s="182"/>
      <c r="H944" s="183"/>
      <c r="I944" s="180"/>
      <c r="J944" s="180"/>
      <c r="K944" s="180"/>
      <c r="L944" s="180"/>
      <c r="M944" s="180"/>
      <c r="N944" s="181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1.25" customHeight="1">
      <c r="A945" s="179"/>
      <c r="B945" s="180"/>
      <c r="C945" s="181"/>
      <c r="D945" s="180"/>
      <c r="E945" s="180"/>
      <c r="F945" s="179"/>
      <c r="G945" s="182"/>
      <c r="H945" s="183"/>
      <c r="I945" s="180"/>
      <c r="J945" s="180"/>
      <c r="K945" s="180"/>
      <c r="L945" s="180"/>
      <c r="M945" s="180"/>
      <c r="N945" s="181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1.25" customHeight="1">
      <c r="A946" s="179"/>
      <c r="B946" s="180"/>
      <c r="C946" s="181"/>
      <c r="D946" s="180"/>
      <c r="E946" s="180"/>
      <c r="F946" s="179"/>
      <c r="G946" s="182"/>
      <c r="H946" s="183"/>
      <c r="I946" s="180"/>
      <c r="J946" s="180"/>
      <c r="K946" s="180"/>
      <c r="L946" s="180"/>
      <c r="M946" s="180"/>
      <c r="N946" s="181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1.25" customHeight="1">
      <c r="A947" s="179"/>
      <c r="B947" s="180"/>
      <c r="C947" s="181"/>
      <c r="D947" s="180"/>
      <c r="E947" s="180"/>
      <c r="F947" s="179"/>
      <c r="G947" s="182"/>
      <c r="H947" s="183"/>
      <c r="I947" s="180"/>
      <c r="J947" s="180"/>
      <c r="K947" s="180"/>
      <c r="L947" s="180"/>
      <c r="M947" s="180"/>
      <c r="N947" s="181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1.25" customHeight="1">
      <c r="A948" s="179"/>
      <c r="B948" s="180"/>
      <c r="C948" s="181"/>
      <c r="D948" s="180"/>
      <c r="E948" s="180"/>
      <c r="F948" s="179"/>
      <c r="G948" s="182"/>
      <c r="H948" s="183"/>
      <c r="I948" s="180"/>
      <c r="J948" s="180"/>
      <c r="K948" s="180"/>
      <c r="L948" s="180"/>
      <c r="M948" s="180"/>
      <c r="N948" s="181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1.25" customHeight="1">
      <c r="A949" s="179"/>
      <c r="B949" s="180"/>
      <c r="C949" s="181"/>
      <c r="D949" s="180"/>
      <c r="E949" s="180"/>
      <c r="F949" s="179"/>
      <c r="G949" s="182"/>
      <c r="H949" s="183"/>
      <c r="I949" s="180"/>
      <c r="J949" s="180"/>
      <c r="K949" s="180"/>
      <c r="L949" s="180"/>
      <c r="M949" s="180"/>
      <c r="N949" s="181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1.25" customHeight="1">
      <c r="A950" s="179"/>
      <c r="B950" s="180"/>
      <c r="C950" s="181"/>
      <c r="D950" s="180"/>
      <c r="E950" s="180"/>
      <c r="F950" s="179"/>
      <c r="G950" s="182"/>
      <c r="H950" s="183"/>
      <c r="I950" s="180"/>
      <c r="J950" s="180"/>
      <c r="K950" s="180"/>
      <c r="L950" s="180"/>
      <c r="M950" s="180"/>
      <c r="N950" s="181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1.25" customHeight="1">
      <c r="A951" s="179"/>
      <c r="B951" s="180"/>
      <c r="C951" s="181"/>
      <c r="D951" s="180"/>
      <c r="E951" s="180"/>
      <c r="F951" s="179"/>
      <c r="G951" s="182"/>
      <c r="H951" s="183"/>
      <c r="I951" s="180"/>
      <c r="J951" s="180"/>
      <c r="K951" s="180"/>
      <c r="L951" s="180"/>
      <c r="M951" s="180"/>
      <c r="N951" s="181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1.25" customHeight="1">
      <c r="A952" s="179"/>
      <c r="B952" s="180"/>
      <c r="C952" s="181"/>
      <c r="D952" s="180"/>
      <c r="E952" s="180"/>
      <c r="F952" s="179"/>
      <c r="G952" s="182"/>
      <c r="H952" s="183"/>
      <c r="I952" s="180"/>
      <c r="J952" s="180"/>
      <c r="K952" s="180"/>
      <c r="L952" s="180"/>
      <c r="M952" s="180"/>
      <c r="N952" s="181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1.25" customHeight="1">
      <c r="A953" s="179"/>
      <c r="B953" s="180"/>
      <c r="C953" s="181"/>
      <c r="D953" s="180"/>
      <c r="E953" s="180"/>
      <c r="F953" s="179"/>
      <c r="G953" s="182"/>
      <c r="H953" s="183"/>
      <c r="I953" s="180"/>
      <c r="J953" s="180"/>
      <c r="K953" s="180"/>
      <c r="L953" s="180"/>
      <c r="M953" s="180"/>
      <c r="N953" s="181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1.25" customHeight="1">
      <c r="A954" s="179"/>
      <c r="B954" s="180"/>
      <c r="C954" s="181"/>
      <c r="D954" s="180"/>
      <c r="E954" s="180"/>
      <c r="F954" s="179"/>
      <c r="G954" s="182"/>
      <c r="H954" s="183"/>
      <c r="I954" s="180"/>
      <c r="J954" s="180"/>
      <c r="K954" s="180"/>
      <c r="L954" s="180"/>
      <c r="M954" s="180"/>
      <c r="N954" s="181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1.25" customHeight="1">
      <c r="A955" s="179"/>
      <c r="B955" s="180"/>
      <c r="C955" s="181"/>
      <c r="D955" s="180"/>
      <c r="E955" s="180"/>
      <c r="F955" s="179"/>
      <c r="G955" s="182"/>
      <c r="H955" s="183"/>
      <c r="I955" s="180"/>
      <c r="J955" s="180"/>
      <c r="K955" s="180"/>
      <c r="L955" s="180"/>
      <c r="M955" s="180"/>
      <c r="N955" s="181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1.25" customHeight="1">
      <c r="A956" s="179"/>
      <c r="B956" s="180"/>
      <c r="C956" s="181"/>
      <c r="D956" s="180"/>
      <c r="E956" s="180"/>
      <c r="F956" s="179"/>
      <c r="G956" s="182"/>
      <c r="H956" s="183"/>
      <c r="I956" s="180"/>
      <c r="J956" s="180"/>
      <c r="K956" s="180"/>
      <c r="L956" s="180"/>
      <c r="M956" s="180"/>
      <c r="N956" s="181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1.25" customHeight="1">
      <c r="A957" s="179"/>
      <c r="B957" s="180"/>
      <c r="C957" s="181"/>
      <c r="D957" s="180"/>
      <c r="E957" s="180"/>
      <c r="F957" s="179"/>
      <c r="G957" s="182"/>
      <c r="H957" s="183"/>
      <c r="I957" s="180"/>
      <c r="J957" s="180"/>
      <c r="K957" s="180"/>
      <c r="L957" s="180"/>
      <c r="M957" s="180"/>
      <c r="N957" s="181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1.25" customHeight="1">
      <c r="A958" s="179"/>
      <c r="B958" s="180"/>
      <c r="C958" s="181"/>
      <c r="D958" s="180"/>
      <c r="E958" s="180"/>
      <c r="F958" s="179"/>
      <c r="G958" s="182"/>
      <c r="H958" s="183"/>
      <c r="I958" s="180"/>
      <c r="J958" s="180"/>
      <c r="K958" s="180"/>
      <c r="L958" s="180"/>
      <c r="M958" s="180"/>
      <c r="N958" s="181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1.25" customHeight="1">
      <c r="A959" s="179"/>
      <c r="B959" s="180"/>
      <c r="C959" s="181"/>
      <c r="D959" s="180"/>
      <c r="E959" s="180"/>
      <c r="F959" s="179"/>
      <c r="G959" s="182"/>
      <c r="H959" s="183"/>
      <c r="I959" s="180"/>
      <c r="J959" s="180"/>
      <c r="K959" s="180"/>
      <c r="L959" s="180"/>
      <c r="M959" s="180"/>
      <c r="N959" s="181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1.25" customHeight="1">
      <c r="A960" s="179"/>
      <c r="B960" s="180"/>
      <c r="C960" s="181"/>
      <c r="D960" s="180"/>
      <c r="E960" s="180"/>
      <c r="F960" s="179"/>
      <c r="G960" s="182"/>
      <c r="H960" s="183"/>
      <c r="I960" s="180"/>
      <c r="J960" s="180"/>
      <c r="K960" s="180"/>
      <c r="L960" s="180"/>
      <c r="M960" s="180"/>
      <c r="N960" s="181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1.25" customHeight="1">
      <c r="A961" s="179"/>
      <c r="B961" s="180"/>
      <c r="C961" s="181"/>
      <c r="D961" s="180"/>
      <c r="E961" s="180"/>
      <c r="F961" s="179"/>
      <c r="G961" s="182"/>
      <c r="H961" s="183"/>
      <c r="I961" s="180"/>
      <c r="J961" s="180"/>
      <c r="K961" s="180"/>
      <c r="L961" s="180"/>
      <c r="M961" s="180"/>
      <c r="N961" s="181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1.25" customHeight="1">
      <c r="A962" s="179"/>
      <c r="B962" s="180"/>
      <c r="C962" s="181"/>
      <c r="D962" s="180"/>
      <c r="E962" s="180"/>
      <c r="F962" s="179"/>
      <c r="G962" s="182"/>
      <c r="H962" s="183"/>
      <c r="I962" s="180"/>
      <c r="J962" s="180"/>
      <c r="K962" s="180"/>
      <c r="L962" s="180"/>
      <c r="M962" s="180"/>
      <c r="N962" s="181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1.25" customHeight="1">
      <c r="A963" s="179"/>
      <c r="B963" s="180"/>
      <c r="C963" s="181"/>
      <c r="D963" s="180"/>
      <c r="E963" s="180"/>
      <c r="F963" s="179"/>
      <c r="G963" s="182"/>
      <c r="H963" s="183"/>
      <c r="I963" s="180"/>
      <c r="J963" s="180"/>
      <c r="K963" s="180"/>
      <c r="L963" s="180"/>
      <c r="M963" s="180"/>
      <c r="N963" s="181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1.25" customHeight="1">
      <c r="A964" s="179"/>
      <c r="B964" s="180"/>
      <c r="C964" s="181"/>
      <c r="D964" s="180"/>
      <c r="E964" s="180"/>
      <c r="F964" s="179"/>
      <c r="G964" s="182"/>
      <c r="H964" s="183"/>
      <c r="I964" s="180"/>
      <c r="J964" s="180"/>
      <c r="K964" s="180"/>
      <c r="L964" s="180"/>
      <c r="M964" s="180"/>
      <c r="N964" s="181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1.25" customHeight="1">
      <c r="A965" s="179"/>
      <c r="B965" s="180"/>
      <c r="C965" s="181"/>
      <c r="D965" s="180"/>
      <c r="E965" s="180"/>
      <c r="F965" s="179"/>
      <c r="G965" s="182"/>
      <c r="H965" s="183"/>
      <c r="I965" s="180"/>
      <c r="J965" s="180"/>
      <c r="K965" s="180"/>
      <c r="L965" s="180"/>
      <c r="M965" s="180"/>
      <c r="N965" s="181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1.25" customHeight="1">
      <c r="A966" s="179"/>
      <c r="B966" s="180"/>
      <c r="C966" s="181"/>
      <c r="D966" s="180"/>
      <c r="E966" s="180"/>
      <c r="F966" s="179"/>
      <c r="G966" s="182"/>
      <c r="H966" s="183"/>
      <c r="I966" s="180"/>
      <c r="J966" s="180"/>
      <c r="K966" s="180"/>
      <c r="L966" s="180"/>
      <c r="M966" s="180"/>
      <c r="N966" s="181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1.25" customHeight="1">
      <c r="A967" s="179"/>
      <c r="B967" s="180"/>
      <c r="C967" s="181"/>
      <c r="D967" s="180"/>
      <c r="E967" s="180"/>
      <c r="F967" s="179"/>
      <c r="G967" s="182"/>
      <c r="H967" s="183"/>
      <c r="I967" s="180"/>
      <c r="J967" s="180"/>
      <c r="K967" s="180"/>
      <c r="L967" s="180"/>
      <c r="M967" s="180"/>
      <c r="N967" s="181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1.25" customHeight="1">
      <c r="A968" s="179"/>
      <c r="B968" s="180"/>
      <c r="C968" s="181"/>
      <c r="D968" s="180"/>
      <c r="E968" s="180"/>
      <c r="F968" s="179"/>
      <c r="G968" s="182"/>
      <c r="H968" s="183"/>
      <c r="I968" s="180"/>
      <c r="J968" s="180"/>
      <c r="K968" s="180"/>
      <c r="L968" s="180"/>
      <c r="M968" s="180"/>
      <c r="N968" s="181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1.25" customHeight="1">
      <c r="A969" s="179"/>
      <c r="B969" s="180"/>
      <c r="C969" s="181"/>
      <c r="D969" s="180"/>
      <c r="E969" s="180"/>
      <c r="F969" s="179"/>
      <c r="G969" s="182"/>
      <c r="H969" s="183"/>
      <c r="I969" s="180"/>
      <c r="J969" s="180"/>
      <c r="K969" s="180"/>
      <c r="L969" s="180"/>
      <c r="M969" s="180"/>
      <c r="N969" s="181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1.25" customHeight="1">
      <c r="A970" s="179"/>
      <c r="B970" s="180"/>
      <c r="C970" s="181"/>
      <c r="D970" s="180"/>
      <c r="E970" s="180"/>
      <c r="F970" s="179"/>
      <c r="G970" s="182"/>
      <c r="H970" s="183"/>
      <c r="I970" s="180"/>
      <c r="J970" s="180"/>
      <c r="K970" s="180"/>
      <c r="L970" s="180"/>
      <c r="M970" s="180"/>
      <c r="N970" s="181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1.25" customHeight="1">
      <c r="A971" s="179"/>
      <c r="B971" s="180"/>
      <c r="C971" s="181"/>
      <c r="D971" s="180"/>
      <c r="E971" s="180"/>
      <c r="F971" s="179"/>
      <c r="G971" s="182"/>
      <c r="H971" s="183"/>
      <c r="I971" s="180"/>
      <c r="J971" s="180"/>
      <c r="K971" s="180"/>
      <c r="L971" s="180"/>
      <c r="M971" s="180"/>
      <c r="N971" s="181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1.25" customHeight="1">
      <c r="A972" s="179"/>
      <c r="B972" s="180"/>
      <c r="C972" s="181"/>
      <c r="D972" s="180"/>
      <c r="E972" s="180"/>
      <c r="F972" s="179"/>
      <c r="G972" s="182"/>
      <c r="H972" s="183"/>
      <c r="I972" s="180"/>
      <c r="J972" s="180"/>
      <c r="K972" s="180"/>
      <c r="L972" s="180"/>
      <c r="M972" s="180"/>
      <c r="N972" s="181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1.25" customHeight="1">
      <c r="A973" s="179"/>
      <c r="B973" s="180"/>
      <c r="C973" s="181"/>
      <c r="D973" s="180"/>
      <c r="E973" s="180"/>
      <c r="F973" s="179"/>
      <c r="G973" s="182"/>
      <c r="H973" s="183"/>
      <c r="I973" s="180"/>
      <c r="J973" s="180"/>
      <c r="K973" s="180"/>
      <c r="L973" s="180"/>
      <c r="M973" s="180"/>
      <c r="N973" s="181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1.25" customHeight="1">
      <c r="A974" s="179"/>
      <c r="B974" s="180"/>
      <c r="C974" s="181"/>
      <c r="D974" s="180"/>
      <c r="E974" s="180"/>
      <c r="F974" s="179"/>
      <c r="G974" s="182"/>
      <c r="H974" s="183"/>
      <c r="I974" s="180"/>
      <c r="J974" s="180"/>
      <c r="K974" s="180"/>
      <c r="L974" s="180"/>
      <c r="M974" s="180"/>
      <c r="N974" s="181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1.25" customHeight="1">
      <c r="A975" s="179"/>
      <c r="B975" s="180"/>
      <c r="C975" s="181"/>
      <c r="D975" s="180"/>
      <c r="E975" s="180"/>
      <c r="F975" s="179"/>
      <c r="G975" s="182"/>
      <c r="H975" s="183"/>
      <c r="I975" s="180"/>
      <c r="J975" s="180"/>
      <c r="K975" s="180"/>
      <c r="L975" s="180"/>
      <c r="M975" s="180"/>
      <c r="N975" s="181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1.25" customHeight="1">
      <c r="A976" s="179"/>
      <c r="B976" s="180"/>
      <c r="C976" s="181"/>
      <c r="D976" s="180"/>
      <c r="E976" s="180"/>
      <c r="F976" s="179"/>
      <c r="G976" s="182"/>
      <c r="H976" s="183"/>
      <c r="I976" s="180"/>
      <c r="J976" s="180"/>
      <c r="K976" s="180"/>
      <c r="L976" s="180"/>
      <c r="M976" s="180"/>
      <c r="N976" s="181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1.25" customHeight="1">
      <c r="A977" s="179"/>
      <c r="B977" s="180"/>
      <c r="C977" s="181"/>
      <c r="D977" s="180"/>
      <c r="E977" s="180"/>
      <c r="F977" s="179"/>
      <c r="G977" s="182"/>
      <c r="H977" s="183"/>
      <c r="I977" s="180"/>
      <c r="J977" s="180"/>
      <c r="K977" s="180"/>
      <c r="L977" s="180"/>
      <c r="M977" s="180"/>
      <c r="N977" s="181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1.25" customHeight="1">
      <c r="A978" s="179"/>
      <c r="B978" s="180"/>
      <c r="C978" s="181"/>
      <c r="D978" s="180"/>
      <c r="E978" s="180"/>
      <c r="F978" s="179"/>
      <c r="G978" s="182"/>
      <c r="H978" s="183"/>
      <c r="I978" s="180"/>
      <c r="J978" s="180"/>
      <c r="K978" s="180"/>
      <c r="L978" s="180"/>
      <c r="M978" s="180"/>
      <c r="N978" s="181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1.25" customHeight="1">
      <c r="A979" s="179"/>
      <c r="B979" s="180"/>
      <c r="C979" s="181"/>
      <c r="D979" s="180"/>
      <c r="E979" s="180"/>
      <c r="F979" s="179"/>
      <c r="G979" s="182"/>
      <c r="H979" s="183"/>
      <c r="I979" s="180"/>
      <c r="J979" s="180"/>
      <c r="K979" s="180"/>
      <c r="L979" s="180"/>
      <c r="M979" s="180"/>
      <c r="N979" s="181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1.25" customHeight="1">
      <c r="A980" s="179"/>
      <c r="B980" s="180"/>
      <c r="C980" s="181"/>
      <c r="D980" s="180"/>
      <c r="E980" s="180"/>
      <c r="F980" s="179"/>
      <c r="G980" s="182"/>
      <c r="H980" s="183"/>
      <c r="I980" s="180"/>
      <c r="J980" s="180"/>
      <c r="K980" s="180"/>
      <c r="L980" s="180"/>
      <c r="M980" s="180"/>
      <c r="N980" s="181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1.25" customHeight="1">
      <c r="A981" s="179"/>
      <c r="B981" s="180"/>
      <c r="C981" s="181"/>
      <c r="D981" s="180"/>
      <c r="E981" s="180"/>
      <c r="F981" s="179"/>
      <c r="G981" s="182"/>
      <c r="H981" s="183"/>
      <c r="I981" s="180"/>
      <c r="J981" s="180"/>
      <c r="K981" s="180"/>
      <c r="L981" s="180"/>
      <c r="M981" s="180"/>
      <c r="N981" s="181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1.25" customHeight="1">
      <c r="A982" s="179"/>
      <c r="B982" s="180"/>
      <c r="C982" s="181"/>
      <c r="D982" s="180"/>
      <c r="E982" s="180"/>
      <c r="F982" s="179"/>
      <c r="G982" s="182"/>
      <c r="H982" s="183"/>
      <c r="I982" s="180"/>
      <c r="J982" s="180"/>
      <c r="K982" s="180"/>
      <c r="L982" s="180"/>
      <c r="M982" s="180"/>
      <c r="N982" s="181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1.25" customHeight="1">
      <c r="A983" s="179"/>
      <c r="B983" s="180"/>
      <c r="C983" s="181"/>
      <c r="D983" s="180"/>
      <c r="E983" s="180"/>
      <c r="F983" s="179"/>
      <c r="G983" s="182"/>
      <c r="H983" s="183"/>
      <c r="I983" s="180"/>
      <c r="J983" s="180"/>
      <c r="K983" s="180"/>
      <c r="L983" s="180"/>
      <c r="M983" s="180"/>
      <c r="N983" s="181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1.25" customHeight="1">
      <c r="A984" s="179"/>
      <c r="B984" s="180"/>
      <c r="C984" s="181"/>
      <c r="D984" s="180"/>
      <c r="E984" s="180"/>
      <c r="F984" s="179"/>
      <c r="G984" s="182"/>
      <c r="H984" s="183"/>
      <c r="I984" s="180"/>
      <c r="J984" s="180"/>
      <c r="K984" s="180"/>
      <c r="L984" s="180"/>
      <c r="M984" s="180"/>
      <c r="N984" s="181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1.25" customHeight="1">
      <c r="A985" s="179"/>
      <c r="B985" s="180"/>
      <c r="C985" s="181"/>
      <c r="D985" s="180"/>
      <c r="E985" s="180"/>
      <c r="F985" s="179"/>
      <c r="G985" s="182"/>
      <c r="H985" s="183"/>
      <c r="I985" s="180"/>
      <c r="J985" s="180"/>
      <c r="K985" s="180"/>
      <c r="L985" s="180"/>
      <c r="M985" s="180"/>
      <c r="N985" s="181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1.25" customHeight="1">
      <c r="A986" s="179"/>
      <c r="B986" s="180"/>
      <c r="C986" s="181"/>
      <c r="D986" s="180"/>
      <c r="E986" s="180"/>
      <c r="F986" s="179"/>
      <c r="G986" s="182"/>
      <c r="H986" s="183"/>
      <c r="I986" s="180"/>
      <c r="J986" s="180"/>
      <c r="K986" s="180"/>
      <c r="L986" s="180"/>
      <c r="M986" s="180"/>
      <c r="N986" s="181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1.25" customHeight="1">
      <c r="A987" s="179"/>
      <c r="B987" s="180"/>
      <c r="C987" s="181"/>
      <c r="D987" s="180"/>
      <c r="E987" s="180"/>
      <c r="F987" s="179"/>
      <c r="G987" s="182"/>
      <c r="H987" s="183"/>
      <c r="I987" s="180"/>
      <c r="J987" s="180"/>
      <c r="K987" s="180"/>
      <c r="L987" s="180"/>
      <c r="M987" s="180"/>
      <c r="N987" s="181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1.25" customHeight="1">
      <c r="A988" s="179"/>
      <c r="B988" s="180"/>
      <c r="C988" s="181"/>
      <c r="D988" s="180"/>
      <c r="E988" s="180"/>
      <c r="F988" s="179"/>
      <c r="G988" s="182"/>
      <c r="H988" s="183"/>
      <c r="I988" s="180"/>
      <c r="J988" s="180"/>
      <c r="K988" s="180"/>
      <c r="L988" s="180"/>
      <c r="M988" s="180"/>
      <c r="N988" s="181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1.25" customHeight="1">
      <c r="A989" s="179"/>
      <c r="B989" s="180"/>
      <c r="C989" s="181"/>
      <c r="D989" s="180"/>
      <c r="E989" s="180"/>
      <c r="F989" s="179"/>
      <c r="G989" s="182"/>
      <c r="H989" s="183"/>
      <c r="I989" s="180"/>
      <c r="J989" s="180"/>
      <c r="K989" s="180"/>
      <c r="L989" s="180"/>
      <c r="M989" s="180"/>
      <c r="N989" s="181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1.25" customHeight="1">
      <c r="A990" s="179"/>
      <c r="B990" s="180"/>
      <c r="C990" s="181"/>
      <c r="D990" s="180"/>
      <c r="E990" s="180"/>
      <c r="F990" s="179"/>
      <c r="G990" s="182"/>
      <c r="H990" s="183"/>
      <c r="I990" s="180"/>
      <c r="J990" s="180"/>
      <c r="K990" s="180"/>
      <c r="L990" s="180"/>
      <c r="M990" s="180"/>
      <c r="N990" s="181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1.25" customHeight="1">
      <c r="A991" s="179"/>
      <c r="B991" s="180"/>
      <c r="C991" s="181"/>
      <c r="D991" s="180"/>
      <c r="E991" s="180"/>
      <c r="F991" s="179"/>
      <c r="G991" s="182"/>
      <c r="H991" s="183"/>
      <c r="I991" s="180"/>
      <c r="J991" s="180"/>
      <c r="K991" s="180"/>
      <c r="L991" s="180"/>
      <c r="M991" s="180"/>
      <c r="N991" s="181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1.25" customHeight="1">
      <c r="A992" s="179"/>
      <c r="B992" s="180"/>
      <c r="C992" s="181"/>
      <c r="D992" s="180"/>
      <c r="E992" s="180"/>
      <c r="F992" s="179"/>
      <c r="G992" s="182"/>
      <c r="H992" s="183"/>
      <c r="I992" s="180"/>
      <c r="J992" s="180"/>
      <c r="K992" s="180"/>
      <c r="L992" s="180"/>
      <c r="M992" s="180"/>
      <c r="N992" s="181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1.25" customHeight="1">
      <c r="A993" s="179"/>
      <c r="B993" s="180"/>
      <c r="C993" s="181"/>
      <c r="D993" s="180"/>
      <c r="E993" s="180"/>
      <c r="F993" s="179"/>
      <c r="G993" s="182"/>
      <c r="H993" s="183"/>
      <c r="I993" s="180"/>
      <c r="J993" s="180"/>
      <c r="K993" s="180"/>
      <c r="L993" s="180"/>
      <c r="M993" s="180"/>
      <c r="N993" s="181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1.25" customHeight="1">
      <c r="A994" s="179"/>
      <c r="B994" s="180"/>
      <c r="C994" s="181"/>
      <c r="D994" s="180"/>
      <c r="E994" s="180"/>
      <c r="F994" s="179"/>
      <c r="G994" s="182"/>
      <c r="H994" s="183"/>
      <c r="I994" s="180"/>
      <c r="J994" s="180"/>
      <c r="K994" s="180"/>
      <c r="L994" s="180"/>
      <c r="M994" s="180"/>
      <c r="N994" s="181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1.25" customHeight="1">
      <c r="A995" s="179"/>
      <c r="B995" s="180"/>
      <c r="C995" s="181"/>
      <c r="D995" s="180"/>
      <c r="E995" s="180"/>
      <c r="F995" s="179"/>
      <c r="G995" s="182"/>
      <c r="H995" s="183"/>
      <c r="I995" s="180"/>
      <c r="J995" s="180"/>
      <c r="K995" s="180"/>
      <c r="L995" s="180"/>
      <c r="M995" s="180"/>
      <c r="N995" s="181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1.25" customHeight="1">
      <c r="A996" s="179"/>
      <c r="B996" s="180"/>
      <c r="C996" s="181"/>
      <c r="D996" s="180"/>
      <c r="E996" s="180"/>
      <c r="F996" s="179"/>
      <c r="G996" s="182"/>
      <c r="H996" s="183"/>
      <c r="I996" s="180"/>
      <c r="J996" s="180"/>
      <c r="K996" s="180"/>
      <c r="L996" s="180"/>
      <c r="M996" s="180"/>
      <c r="N996" s="181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1.25" customHeight="1">
      <c r="A997" s="179"/>
      <c r="B997" s="180"/>
      <c r="C997" s="181"/>
      <c r="D997" s="180"/>
      <c r="E997" s="180"/>
      <c r="F997" s="179"/>
      <c r="G997" s="182"/>
      <c r="H997" s="183"/>
      <c r="I997" s="180"/>
      <c r="J997" s="180"/>
      <c r="K997" s="180"/>
      <c r="L997" s="180"/>
      <c r="M997" s="180"/>
      <c r="N997" s="181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1.25" customHeight="1">
      <c r="A998" s="179"/>
      <c r="B998" s="180"/>
      <c r="C998" s="181"/>
      <c r="D998" s="180"/>
      <c r="E998" s="180"/>
      <c r="F998" s="179"/>
      <c r="G998" s="182"/>
      <c r="H998" s="183"/>
      <c r="I998" s="180"/>
      <c r="J998" s="180"/>
      <c r="K998" s="180"/>
      <c r="L998" s="180"/>
      <c r="M998" s="180"/>
      <c r="N998" s="181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1.25" customHeight="1">
      <c r="A999" s="179"/>
      <c r="B999" s="180"/>
      <c r="C999" s="181"/>
      <c r="D999" s="180"/>
      <c r="E999" s="180"/>
      <c r="F999" s="179"/>
      <c r="G999" s="182"/>
      <c r="H999" s="183"/>
      <c r="I999" s="180"/>
      <c r="J999" s="180"/>
      <c r="K999" s="180"/>
      <c r="L999" s="180"/>
      <c r="M999" s="180"/>
      <c r="N999" s="181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1.25" customHeight="1">
      <c r="A1000" s="179"/>
      <c r="B1000" s="180"/>
      <c r="C1000" s="181"/>
      <c r="D1000" s="180"/>
      <c r="E1000" s="180"/>
      <c r="F1000" s="179"/>
      <c r="G1000" s="182"/>
      <c r="H1000" s="183"/>
      <c r="I1000" s="180"/>
      <c r="J1000" s="180"/>
      <c r="K1000" s="180"/>
      <c r="L1000" s="180"/>
      <c r="M1000" s="180"/>
      <c r="N1000" s="181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  <row r="1001" ht="11.25" customHeight="1">
      <c r="A1001" s="179"/>
      <c r="B1001" s="180"/>
      <c r="C1001" s="181"/>
      <c r="D1001" s="180"/>
      <c r="E1001" s="180"/>
      <c r="F1001" s="179"/>
      <c r="G1001" s="182"/>
      <c r="H1001" s="183"/>
      <c r="I1001" s="180"/>
      <c r="J1001" s="180"/>
      <c r="K1001" s="180"/>
      <c r="L1001" s="180"/>
      <c r="M1001" s="180"/>
      <c r="N1001" s="181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</row>
    <row r="1002" ht="11.25" customHeight="1">
      <c r="A1002" s="179"/>
      <c r="B1002" s="180"/>
      <c r="C1002" s="181"/>
      <c r="D1002" s="180"/>
      <c r="E1002" s="180"/>
      <c r="F1002" s="179"/>
      <c r="G1002" s="182"/>
      <c r="H1002" s="183"/>
      <c r="I1002" s="180"/>
      <c r="J1002" s="180"/>
      <c r="K1002" s="180"/>
      <c r="L1002" s="180"/>
      <c r="M1002" s="180"/>
      <c r="N1002" s="181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</row>
    <row r="1003" ht="11.25" customHeight="1">
      <c r="A1003" s="179"/>
      <c r="B1003" s="180"/>
      <c r="C1003" s="181"/>
      <c r="D1003" s="180"/>
      <c r="E1003" s="180"/>
      <c r="F1003" s="179"/>
      <c r="G1003" s="182"/>
      <c r="H1003" s="183"/>
      <c r="I1003" s="180"/>
      <c r="J1003" s="180"/>
      <c r="K1003" s="180"/>
      <c r="L1003" s="180"/>
      <c r="M1003" s="180"/>
      <c r="N1003" s="181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</row>
    <row r="1004" ht="11.25" customHeight="1">
      <c r="A1004" s="179"/>
      <c r="B1004" s="180"/>
      <c r="C1004" s="181"/>
      <c r="D1004" s="180"/>
      <c r="E1004" s="180"/>
      <c r="F1004" s="179"/>
      <c r="G1004" s="182"/>
      <c r="H1004" s="183"/>
      <c r="I1004" s="180"/>
      <c r="J1004" s="180"/>
      <c r="K1004" s="180"/>
      <c r="L1004" s="180"/>
      <c r="M1004" s="180"/>
      <c r="N1004" s="181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</row>
    <row r="1005" ht="11.25" customHeight="1">
      <c r="A1005" s="179"/>
      <c r="B1005" s="180"/>
      <c r="C1005" s="181"/>
      <c r="D1005" s="180"/>
      <c r="E1005" s="180"/>
      <c r="F1005" s="179"/>
      <c r="G1005" s="182"/>
      <c r="H1005" s="183"/>
      <c r="I1005" s="180"/>
      <c r="J1005" s="180"/>
      <c r="K1005" s="180"/>
      <c r="L1005" s="180"/>
      <c r="M1005" s="180"/>
      <c r="N1005" s="181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</row>
    <row r="1006" ht="11.25" customHeight="1">
      <c r="A1006" s="179"/>
      <c r="B1006" s="180"/>
      <c r="C1006" s="181"/>
      <c r="D1006" s="180"/>
      <c r="E1006" s="180"/>
      <c r="F1006" s="179"/>
      <c r="G1006" s="182"/>
      <c r="H1006" s="183"/>
      <c r="I1006" s="180"/>
      <c r="J1006" s="180"/>
      <c r="K1006" s="180"/>
      <c r="L1006" s="180"/>
      <c r="M1006" s="180"/>
      <c r="N1006" s="181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</row>
    <row r="1007" ht="11.25" customHeight="1">
      <c r="A1007" s="179"/>
      <c r="B1007" s="180"/>
      <c r="C1007" s="181"/>
      <c r="D1007" s="180"/>
      <c r="E1007" s="180"/>
      <c r="F1007" s="179"/>
      <c r="G1007" s="182"/>
      <c r="H1007" s="183"/>
      <c r="I1007" s="180"/>
      <c r="J1007" s="180"/>
      <c r="K1007" s="180"/>
      <c r="L1007" s="180"/>
      <c r="M1007" s="180"/>
      <c r="N1007" s="181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</row>
    <row r="1008" ht="11.25" customHeight="1">
      <c r="A1008" s="179"/>
      <c r="B1008" s="180"/>
      <c r="C1008" s="181"/>
      <c r="D1008" s="180"/>
      <c r="E1008" s="180"/>
      <c r="F1008" s="179"/>
      <c r="G1008" s="182"/>
      <c r="H1008" s="183"/>
      <c r="I1008" s="180"/>
      <c r="J1008" s="180"/>
      <c r="K1008" s="180"/>
      <c r="L1008" s="180"/>
      <c r="M1008" s="180"/>
      <c r="N1008" s="181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  <c r="Z1008" s="180"/>
    </row>
    <row r="1009" ht="11.25" customHeight="1">
      <c r="A1009" s="179"/>
      <c r="B1009" s="180"/>
      <c r="C1009" s="181"/>
      <c r="D1009" s="180"/>
      <c r="E1009" s="180"/>
      <c r="F1009" s="179"/>
      <c r="G1009" s="182"/>
      <c r="H1009" s="183"/>
      <c r="I1009" s="180"/>
      <c r="J1009" s="180"/>
      <c r="K1009" s="180"/>
      <c r="L1009" s="180"/>
      <c r="M1009" s="180"/>
      <c r="N1009" s="181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  <c r="Z1009" s="180"/>
    </row>
    <row r="1010" ht="11.25" customHeight="1">
      <c r="A1010" s="179"/>
      <c r="B1010" s="180"/>
      <c r="C1010" s="181"/>
      <c r="D1010" s="180"/>
      <c r="E1010" s="180"/>
      <c r="F1010" s="179"/>
      <c r="G1010" s="182"/>
      <c r="H1010" s="183"/>
      <c r="I1010" s="180"/>
      <c r="J1010" s="180"/>
      <c r="K1010" s="180"/>
      <c r="L1010" s="180"/>
      <c r="M1010" s="180"/>
      <c r="N1010" s="181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  <c r="Z1010" s="180"/>
    </row>
    <row r="1011" ht="11.25" customHeight="1">
      <c r="A1011" s="179"/>
      <c r="B1011" s="180"/>
      <c r="C1011" s="181"/>
      <c r="D1011" s="180"/>
      <c r="E1011" s="180"/>
      <c r="F1011" s="179"/>
      <c r="G1011" s="182"/>
      <c r="H1011" s="183"/>
      <c r="I1011" s="180"/>
      <c r="J1011" s="180"/>
      <c r="K1011" s="180"/>
      <c r="L1011" s="180"/>
      <c r="M1011" s="180"/>
      <c r="N1011" s="181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  <c r="Z1011" s="180"/>
    </row>
    <row r="1012" ht="11.25" customHeight="1">
      <c r="A1012" s="179"/>
      <c r="B1012" s="180"/>
      <c r="C1012" s="181"/>
      <c r="D1012" s="180"/>
      <c r="E1012" s="180"/>
      <c r="F1012" s="179"/>
      <c r="G1012" s="182"/>
      <c r="H1012" s="183"/>
      <c r="I1012" s="180"/>
      <c r="J1012" s="180"/>
      <c r="K1012" s="180"/>
      <c r="L1012" s="180"/>
      <c r="M1012" s="180"/>
      <c r="N1012" s="181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  <c r="Z1012" s="180"/>
    </row>
    <row r="1013" ht="11.25" customHeight="1">
      <c r="A1013" s="179"/>
      <c r="B1013" s="180"/>
      <c r="C1013" s="181"/>
      <c r="D1013" s="180"/>
      <c r="E1013" s="180"/>
      <c r="F1013" s="179"/>
      <c r="G1013" s="182"/>
      <c r="H1013" s="183"/>
      <c r="I1013" s="180"/>
      <c r="J1013" s="180"/>
      <c r="K1013" s="180"/>
      <c r="L1013" s="180"/>
      <c r="M1013" s="180"/>
      <c r="N1013" s="181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  <c r="Z1013" s="180"/>
    </row>
    <row r="1014" ht="11.25" customHeight="1">
      <c r="A1014" s="179"/>
      <c r="B1014" s="180"/>
      <c r="C1014" s="181"/>
      <c r="D1014" s="180"/>
      <c r="E1014" s="180"/>
      <c r="F1014" s="179"/>
      <c r="G1014" s="182"/>
      <c r="H1014" s="183"/>
      <c r="I1014" s="180"/>
      <c r="J1014" s="180"/>
      <c r="K1014" s="180"/>
      <c r="L1014" s="180"/>
      <c r="M1014" s="180"/>
      <c r="N1014" s="181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80"/>
      <c r="Z1014" s="180"/>
    </row>
    <row r="1015" ht="11.25" customHeight="1">
      <c r="A1015" s="179"/>
      <c r="B1015" s="180"/>
      <c r="C1015" s="181"/>
      <c r="D1015" s="180"/>
      <c r="E1015" s="180"/>
      <c r="F1015" s="179"/>
      <c r="G1015" s="182"/>
      <c r="H1015" s="183"/>
      <c r="I1015" s="180"/>
      <c r="J1015" s="180"/>
      <c r="K1015" s="180"/>
      <c r="L1015" s="180"/>
      <c r="M1015" s="180"/>
      <c r="N1015" s="181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/>
      <c r="Z1015" s="180"/>
    </row>
  </sheetData>
  <conditionalFormatting sqref="B8:B11 B20:B21 B55:B57 B60:B72 B75:B76 B79:B81 B84:B88 B91:B95 B99:B127 B130:B135 B138:B143 B146 B149:B150 B153 B156:B159 B162:B167 B170:B173">
    <cfRule type="containsText" dxfId="0" priority="1" operator="containsText" text="No Sales">
      <formula>NOT(ISERROR(SEARCH(("No Sales"),(B8))))</formula>
    </cfRule>
  </conditionalFormatting>
  <conditionalFormatting sqref="H1:H1015">
    <cfRule type="cellIs" dxfId="0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/>
  <cols>
    <col customWidth="1" min="1" max="1" width="10.29"/>
    <col customWidth="1" min="2" max="2" width="11.0"/>
    <col customWidth="1" min="3" max="3" width="30.71"/>
    <col customWidth="1" min="4" max="4" width="8.0"/>
    <col customWidth="1" min="5" max="5" width="10.43"/>
    <col customWidth="1" min="6" max="6" width="14.57"/>
    <col customWidth="1" min="7" max="7" width="12.71"/>
    <col customWidth="1" min="8" max="8" width="16.57"/>
    <col customWidth="1" min="9" max="9" width="15.29"/>
    <col customWidth="1" min="10" max="10" width="13.57"/>
    <col customWidth="1" min="11" max="11" width="14.86"/>
    <col customWidth="1" min="12" max="12" width="23.0"/>
    <col customWidth="1" min="13" max="13" width="12.71"/>
    <col customWidth="1" min="14" max="14" width="24.29"/>
    <col customWidth="1" min="15" max="16" width="12.71"/>
    <col customWidth="1" min="17" max="17" width="17.71"/>
    <col customWidth="1" min="18" max="26" width="12.71"/>
  </cols>
  <sheetData>
    <row r="1" ht="24.75" customHeight="1">
      <c r="A1" s="244" t="s">
        <v>1</v>
      </c>
      <c r="B1" s="244" t="s">
        <v>328</v>
      </c>
      <c r="C1" s="244" t="s">
        <v>329</v>
      </c>
      <c r="D1" s="245" t="s">
        <v>330</v>
      </c>
      <c r="E1" s="246" t="s">
        <v>264</v>
      </c>
      <c r="F1" s="247" t="s">
        <v>41</v>
      </c>
      <c r="G1" s="247" t="s">
        <v>1</v>
      </c>
      <c r="H1" s="248" t="s">
        <v>331</v>
      </c>
      <c r="I1" s="247" t="s">
        <v>25</v>
      </c>
      <c r="J1" s="247" t="s">
        <v>332</v>
      </c>
      <c r="K1" s="249" t="s">
        <v>333</v>
      </c>
      <c r="L1" s="18"/>
      <c r="M1" s="250"/>
      <c r="N1" s="251"/>
      <c r="O1" s="252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ht="15.75" customHeight="1">
      <c r="A2" s="253"/>
      <c r="B2" s="254"/>
      <c r="C2" s="254"/>
      <c r="D2" s="255" t="s">
        <v>334</v>
      </c>
      <c r="E2" s="257">
        <f t="shared" ref="E2:F2" si="1">sum(E4:E1035)</f>
        <v>3540492.64</v>
      </c>
      <c r="F2" s="257">
        <f t="shared" si="1"/>
        <v>0</v>
      </c>
      <c r="G2" s="258"/>
      <c r="H2" s="257">
        <f t="shared" ref="H2:I2" si="2">sum(H4:H1035)</f>
        <v>2104151.04</v>
      </c>
      <c r="I2" s="257">
        <f t="shared" si="2"/>
        <v>2051023.4</v>
      </c>
      <c r="J2" s="260">
        <f>K2+H2-I2</f>
        <v>635649.14</v>
      </c>
      <c r="K2" s="261">
        <v>582521.5</v>
      </c>
      <c r="L2" s="262"/>
      <c r="M2" s="255" t="s">
        <v>337</v>
      </c>
      <c r="N2" s="255" t="s">
        <v>338</v>
      </c>
      <c r="O2" s="263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ht="15.75" customHeight="1">
      <c r="A3" s="264">
        <v>45995.0</v>
      </c>
      <c r="B3" s="265" t="s">
        <v>340</v>
      </c>
      <c r="C3" s="265" t="s">
        <v>341</v>
      </c>
      <c r="D3" s="266">
        <v>90.0</v>
      </c>
      <c r="E3" s="267">
        <v>4750.0</v>
      </c>
      <c r="F3" s="268"/>
      <c r="G3" s="268"/>
      <c r="H3" s="269"/>
      <c r="I3" s="269"/>
      <c r="J3" s="270"/>
      <c r="K3" s="271"/>
      <c r="L3" s="272" t="s">
        <v>343</v>
      </c>
      <c r="M3" s="273"/>
      <c r="N3" s="274"/>
      <c r="O3" s="131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 ht="15.75" customHeight="1">
      <c r="A4" s="264">
        <v>45994.0</v>
      </c>
      <c r="B4" s="265" t="s">
        <v>344</v>
      </c>
      <c r="C4" s="265" t="s">
        <v>341</v>
      </c>
      <c r="D4" s="266">
        <v>90.0</v>
      </c>
      <c r="E4" s="267">
        <v>31350.0</v>
      </c>
      <c r="F4" s="275"/>
      <c r="G4" s="268"/>
      <c r="H4" s="276"/>
      <c r="I4" s="269"/>
      <c r="J4" s="270"/>
      <c r="K4" s="271"/>
      <c r="L4" s="272" t="s">
        <v>343</v>
      </c>
      <c r="M4" s="273"/>
      <c r="N4" s="274"/>
      <c r="O4" s="131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15.75" customHeight="1">
      <c r="A5" s="264">
        <v>46009.0</v>
      </c>
      <c r="B5" s="265" t="s">
        <v>345</v>
      </c>
      <c r="C5" s="265" t="s">
        <v>341</v>
      </c>
      <c r="D5" s="266">
        <v>90.0</v>
      </c>
      <c r="E5" s="267">
        <v>5100.0</v>
      </c>
      <c r="F5" s="268"/>
      <c r="G5" s="277"/>
      <c r="H5" s="276"/>
      <c r="I5" s="269"/>
      <c r="J5" s="270"/>
      <c r="K5" s="271"/>
      <c r="L5" s="272" t="s">
        <v>343</v>
      </c>
      <c r="M5" s="273"/>
      <c r="N5" s="274"/>
      <c r="O5" s="131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15.75" customHeight="1">
      <c r="A6" s="264">
        <v>46029.0</v>
      </c>
      <c r="B6" s="278" t="s">
        <v>347</v>
      </c>
      <c r="C6" s="265" t="s">
        <v>97</v>
      </c>
      <c r="D6" s="266">
        <v>30.0</v>
      </c>
      <c r="E6" s="267">
        <v>10290.0</v>
      </c>
      <c r="F6" s="277"/>
      <c r="G6" s="277"/>
      <c r="H6" s="276"/>
      <c r="I6" s="269"/>
      <c r="J6" s="270"/>
      <c r="K6" s="271"/>
      <c r="L6" s="272" t="s">
        <v>343</v>
      </c>
      <c r="M6" s="273"/>
      <c r="N6" s="274"/>
      <c r="O6" s="131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5.75" customHeight="1">
      <c r="A7" s="264">
        <v>46030.0</v>
      </c>
      <c r="B7" s="278" t="s">
        <v>349</v>
      </c>
      <c r="C7" s="265" t="s">
        <v>350</v>
      </c>
      <c r="D7" s="266">
        <v>15.0</v>
      </c>
      <c r="E7" s="267">
        <v>44145.0</v>
      </c>
      <c r="F7" s="277"/>
      <c r="G7" s="277"/>
      <c r="H7" s="276"/>
      <c r="I7" s="269"/>
      <c r="J7" s="270"/>
      <c r="K7" s="271"/>
      <c r="L7" s="272" t="s">
        <v>351</v>
      </c>
      <c r="M7" s="273"/>
      <c r="N7" s="274"/>
      <c r="O7" s="131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5.75" customHeight="1">
      <c r="A8" s="264">
        <v>46035.0</v>
      </c>
      <c r="B8" s="278" t="s">
        <v>352</v>
      </c>
      <c r="C8" s="265" t="s">
        <v>97</v>
      </c>
      <c r="D8" s="266">
        <v>30.0</v>
      </c>
      <c r="E8" s="267">
        <v>9400.0</v>
      </c>
      <c r="F8" s="277"/>
      <c r="G8" s="277"/>
      <c r="H8" s="276"/>
      <c r="I8" s="269"/>
      <c r="J8" s="270"/>
      <c r="K8" s="271"/>
      <c r="L8" s="272" t="s">
        <v>343</v>
      </c>
      <c r="M8" s="273"/>
      <c r="N8" s="274"/>
      <c r="O8" s="131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15.75" customHeight="1">
      <c r="A9" s="264">
        <v>46036.0</v>
      </c>
      <c r="B9" s="278"/>
      <c r="C9" s="265" t="s">
        <v>353</v>
      </c>
      <c r="D9" s="266">
        <v>7.0</v>
      </c>
      <c r="E9" s="267">
        <v>16000.0</v>
      </c>
      <c r="F9" s="277"/>
      <c r="G9" s="277"/>
      <c r="H9" s="276"/>
      <c r="I9" s="269"/>
      <c r="J9" s="270"/>
      <c r="K9" s="271"/>
      <c r="L9" s="272" t="s">
        <v>351</v>
      </c>
      <c r="M9" s="273"/>
      <c r="N9" s="274"/>
      <c r="O9" s="131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5.75" customHeight="1">
      <c r="A10" s="264">
        <v>46036.0</v>
      </c>
      <c r="B10" s="278" t="s">
        <v>354</v>
      </c>
      <c r="C10" s="265" t="s">
        <v>341</v>
      </c>
      <c r="D10" s="266">
        <v>90.0</v>
      </c>
      <c r="E10" s="267">
        <v>14550.0</v>
      </c>
      <c r="F10" s="268"/>
      <c r="G10" s="277"/>
      <c r="H10" s="276"/>
      <c r="I10" s="269"/>
      <c r="J10" s="270"/>
      <c r="K10" s="271"/>
      <c r="L10" s="272" t="s">
        <v>343</v>
      </c>
      <c r="M10" s="273"/>
      <c r="N10" s="274"/>
      <c r="O10" s="131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5.75" customHeight="1">
      <c r="A11" s="264">
        <v>46037.0</v>
      </c>
      <c r="B11" s="278" t="s">
        <v>355</v>
      </c>
      <c r="C11" s="265" t="s">
        <v>350</v>
      </c>
      <c r="D11" s="266">
        <v>15.0</v>
      </c>
      <c r="E11" s="267">
        <v>26928.0</v>
      </c>
      <c r="F11" s="268"/>
      <c r="G11" s="277"/>
      <c r="H11" s="276"/>
      <c r="I11" s="269"/>
      <c r="J11" s="270"/>
      <c r="K11" s="271"/>
      <c r="L11" s="272" t="s">
        <v>351</v>
      </c>
      <c r="M11" s="273"/>
      <c r="N11" s="274"/>
      <c r="O11" s="131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15.75" customHeight="1">
      <c r="A12" s="264">
        <v>46038.0</v>
      </c>
      <c r="B12" s="278" t="s">
        <v>356</v>
      </c>
      <c r="C12" s="265" t="s">
        <v>97</v>
      </c>
      <c r="D12" s="266">
        <v>30.0</v>
      </c>
      <c r="E12" s="267">
        <v>19240.0</v>
      </c>
      <c r="F12" s="268"/>
      <c r="G12" s="277"/>
      <c r="H12" s="276"/>
      <c r="I12" s="269"/>
      <c r="J12" s="270"/>
      <c r="K12" s="271"/>
      <c r="L12" s="272" t="s">
        <v>343</v>
      </c>
      <c r="M12" s="273"/>
      <c r="N12" s="274"/>
      <c r="O12" s="131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15.75" customHeight="1">
      <c r="A13" s="264">
        <v>46041.0</v>
      </c>
      <c r="B13" s="278" t="s">
        <v>357</v>
      </c>
      <c r="C13" s="265" t="s">
        <v>97</v>
      </c>
      <c r="D13" s="266">
        <v>30.0</v>
      </c>
      <c r="E13" s="267">
        <v>9200.0</v>
      </c>
      <c r="F13" s="268"/>
      <c r="G13" s="277"/>
      <c r="H13" s="276"/>
      <c r="I13" s="269"/>
      <c r="J13" s="270"/>
      <c r="K13" s="271"/>
      <c r="L13" s="272" t="s">
        <v>343</v>
      </c>
      <c r="M13" s="273"/>
      <c r="N13" s="274"/>
      <c r="O13" s="131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15.75" customHeight="1">
      <c r="A14" s="264">
        <v>46042.0</v>
      </c>
      <c r="B14" s="278" t="s">
        <v>359</v>
      </c>
      <c r="C14" s="265" t="s">
        <v>97</v>
      </c>
      <c r="D14" s="266">
        <v>30.0</v>
      </c>
      <c r="E14" s="267">
        <v>45000.0</v>
      </c>
      <c r="F14" s="268"/>
      <c r="G14" s="277"/>
      <c r="H14" s="276"/>
      <c r="I14" s="269"/>
      <c r="J14" s="270"/>
      <c r="K14" s="271"/>
      <c r="L14" s="272" t="s">
        <v>343</v>
      </c>
      <c r="M14" s="273"/>
      <c r="N14" s="274"/>
      <c r="O14" s="131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15.75" customHeight="1">
      <c r="A15" s="264">
        <v>46043.0</v>
      </c>
      <c r="B15" s="278" t="s">
        <v>360</v>
      </c>
      <c r="C15" s="265" t="s">
        <v>341</v>
      </c>
      <c r="D15" s="266">
        <v>90.0</v>
      </c>
      <c r="E15" s="267">
        <v>6750.0</v>
      </c>
      <c r="F15" s="268"/>
      <c r="G15" s="277"/>
      <c r="H15" s="276"/>
      <c r="I15" s="269"/>
      <c r="J15" s="270"/>
      <c r="K15" s="271"/>
      <c r="L15" s="272" t="s">
        <v>343</v>
      </c>
      <c r="M15" s="273"/>
      <c r="N15" s="274"/>
      <c r="O15" s="131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15.75" customHeight="1">
      <c r="A16" s="264">
        <v>46044.0</v>
      </c>
      <c r="B16" s="278" t="s">
        <v>362</v>
      </c>
      <c r="C16" s="265" t="s">
        <v>341</v>
      </c>
      <c r="D16" s="266">
        <v>90.0</v>
      </c>
      <c r="E16" s="267">
        <v>5650.0</v>
      </c>
      <c r="F16" s="268"/>
      <c r="G16" s="277"/>
      <c r="H16" s="276"/>
      <c r="I16" s="269"/>
      <c r="J16" s="270"/>
      <c r="K16" s="271"/>
      <c r="L16" s="272" t="s">
        <v>343</v>
      </c>
      <c r="M16" s="273"/>
      <c r="N16" s="274"/>
      <c r="O16" s="131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15.75" customHeight="1">
      <c r="A17" s="264">
        <v>46044.0</v>
      </c>
      <c r="B17" s="278" t="s">
        <v>363</v>
      </c>
      <c r="C17" s="265" t="s">
        <v>97</v>
      </c>
      <c r="D17" s="266">
        <v>30.0</v>
      </c>
      <c r="E17" s="267">
        <v>6385.0</v>
      </c>
      <c r="F17" s="268"/>
      <c r="G17" s="277"/>
      <c r="H17" s="276"/>
      <c r="I17" s="269"/>
      <c r="J17" s="270"/>
      <c r="K17" s="271"/>
      <c r="L17" s="272" t="s">
        <v>343</v>
      </c>
      <c r="M17" s="273"/>
      <c r="N17" s="274"/>
      <c r="O17" s="131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15.75" customHeight="1">
      <c r="A18" s="264">
        <v>46049.0</v>
      </c>
      <c r="B18" s="278" t="s">
        <v>364</v>
      </c>
      <c r="C18" s="265" t="s">
        <v>97</v>
      </c>
      <c r="D18" s="266">
        <v>30.0</v>
      </c>
      <c r="E18" s="267">
        <v>20730.0</v>
      </c>
      <c r="F18" s="268"/>
      <c r="G18" s="277"/>
      <c r="H18" s="276"/>
      <c r="I18" s="269"/>
      <c r="J18" s="270"/>
      <c r="K18" s="271"/>
      <c r="L18" s="272" t="s">
        <v>343</v>
      </c>
      <c r="M18" s="273"/>
      <c r="N18" s="274"/>
      <c r="O18" s="131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75" customHeight="1">
      <c r="A19" s="264">
        <v>46049.0</v>
      </c>
      <c r="B19" s="278" t="s">
        <v>365</v>
      </c>
      <c r="C19" s="265" t="s">
        <v>341</v>
      </c>
      <c r="D19" s="266">
        <v>90.0</v>
      </c>
      <c r="E19" s="267">
        <v>10800.0</v>
      </c>
      <c r="F19" s="268"/>
      <c r="G19" s="277"/>
      <c r="H19" s="269"/>
      <c r="I19" s="269"/>
      <c r="J19" s="270"/>
      <c r="K19" s="271"/>
      <c r="L19" s="272" t="s">
        <v>343</v>
      </c>
      <c r="M19" s="273"/>
      <c r="N19" s="274"/>
      <c r="O19" s="131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75" customHeight="1">
      <c r="A20" s="279">
        <v>46051.0</v>
      </c>
      <c r="B20" s="280"/>
      <c r="C20" s="281" t="s">
        <v>353</v>
      </c>
      <c r="D20" s="282">
        <v>7.0</v>
      </c>
      <c r="E20" s="283">
        <v>16400.0</v>
      </c>
      <c r="F20" s="284"/>
      <c r="G20" s="284"/>
      <c r="H20" s="285">
        <f>sum(E6:E20)</f>
        <v>261468</v>
      </c>
      <c r="I20" s="285">
        <f>'2026 DS'!G3</f>
        <v>280718.4</v>
      </c>
      <c r="J20" s="286">
        <f>K2+H20-I20</f>
        <v>563271.1</v>
      </c>
      <c r="K20" s="287"/>
      <c r="L20" s="272" t="s">
        <v>343</v>
      </c>
      <c r="M20" s="273"/>
      <c r="N20" s="274"/>
      <c r="O20" s="131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15.75" customHeight="1">
      <c r="A21" s="264">
        <v>46051.0</v>
      </c>
      <c r="B21" s="265" t="s">
        <v>367</v>
      </c>
      <c r="C21" s="265" t="s">
        <v>341</v>
      </c>
      <c r="D21" s="266">
        <v>90.0</v>
      </c>
      <c r="E21" s="267">
        <v>8500.0</v>
      </c>
      <c r="F21" s="268"/>
      <c r="G21" s="277"/>
      <c r="H21" s="269"/>
      <c r="I21" s="269"/>
      <c r="J21" s="270"/>
      <c r="K21" s="271"/>
      <c r="L21" s="272" t="s">
        <v>343</v>
      </c>
      <c r="M21" s="288">
        <f t="shared" ref="M21:M22" si="3">A21+D21</f>
        <v>46141</v>
      </c>
      <c r="N21" s="274"/>
      <c r="O21" s="131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15.75" customHeight="1">
      <c r="A22" s="264">
        <v>46056.0</v>
      </c>
      <c r="B22" s="265" t="s">
        <v>368</v>
      </c>
      <c r="C22" s="265" t="s">
        <v>341</v>
      </c>
      <c r="D22" s="266">
        <v>90.0</v>
      </c>
      <c r="E22" s="267">
        <v>10500.0</v>
      </c>
      <c r="F22" s="268"/>
      <c r="G22" s="277"/>
      <c r="H22" s="269"/>
      <c r="I22" s="269"/>
      <c r="J22" s="270"/>
      <c r="K22" s="271"/>
      <c r="L22" s="272" t="s">
        <v>343</v>
      </c>
      <c r="M22" s="288">
        <f t="shared" si="3"/>
        <v>46146</v>
      </c>
      <c r="N22" s="266">
        <v>943019.0</v>
      </c>
      <c r="O22" s="131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15.75" customHeight="1">
      <c r="A23" s="264">
        <v>46056.0</v>
      </c>
      <c r="B23" s="265"/>
      <c r="C23" s="265" t="s">
        <v>369</v>
      </c>
      <c r="D23" s="266">
        <v>0.0</v>
      </c>
      <c r="E23" s="267">
        <f>9854.8</f>
        <v>9854.8</v>
      </c>
      <c r="F23" s="268"/>
      <c r="G23" s="277"/>
      <c r="H23" s="269"/>
      <c r="I23" s="269"/>
      <c r="J23" s="270"/>
      <c r="K23" s="271"/>
      <c r="L23" s="272" t="s">
        <v>351</v>
      </c>
      <c r="M23" s="273"/>
      <c r="N23" s="274"/>
      <c r="O23" s="131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264">
        <v>46057.0</v>
      </c>
      <c r="B24" s="265" t="s">
        <v>370</v>
      </c>
      <c r="C24" s="265" t="s">
        <v>97</v>
      </c>
      <c r="D24" s="266">
        <v>30.0</v>
      </c>
      <c r="E24" s="267">
        <v>2780.0</v>
      </c>
      <c r="F24" s="268"/>
      <c r="G24" s="277"/>
      <c r="H24" s="269"/>
      <c r="I24" s="269"/>
      <c r="J24" s="270"/>
      <c r="K24" s="271"/>
      <c r="L24" s="272" t="s">
        <v>343</v>
      </c>
      <c r="M24" s="288">
        <f t="shared" ref="M24:M25" si="4">A24+D24+15</f>
        <v>46102</v>
      </c>
      <c r="N24" s="274"/>
      <c r="O24" s="131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15.75" customHeight="1">
      <c r="A25" s="264">
        <v>46057.0</v>
      </c>
      <c r="B25" s="265" t="s">
        <v>371</v>
      </c>
      <c r="C25" s="265" t="s">
        <v>97</v>
      </c>
      <c r="D25" s="266">
        <v>30.0</v>
      </c>
      <c r="E25" s="267">
        <v>4750.0</v>
      </c>
      <c r="F25" s="268"/>
      <c r="G25" s="277"/>
      <c r="H25" s="269"/>
      <c r="I25" s="269"/>
      <c r="J25" s="270"/>
      <c r="K25" s="271"/>
      <c r="L25" s="272" t="s">
        <v>343</v>
      </c>
      <c r="M25" s="288">
        <f t="shared" si="4"/>
        <v>46102</v>
      </c>
      <c r="N25" s="274"/>
      <c r="O25" s="131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15.75" customHeight="1">
      <c r="A26" s="264">
        <v>46058.0</v>
      </c>
      <c r="B26" s="265" t="s">
        <v>372</v>
      </c>
      <c r="C26" s="265" t="s">
        <v>341</v>
      </c>
      <c r="D26" s="266">
        <v>90.0</v>
      </c>
      <c r="E26" s="267">
        <v>15550.0</v>
      </c>
      <c r="F26" s="268"/>
      <c r="G26" s="277"/>
      <c r="H26" s="269"/>
      <c r="I26" s="269"/>
      <c r="J26" s="270"/>
      <c r="K26" s="271"/>
      <c r="L26" s="272" t="s">
        <v>343</v>
      </c>
      <c r="M26" s="288">
        <f>A26+D26</f>
        <v>46148</v>
      </c>
      <c r="N26" s="274"/>
      <c r="O26" s="131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15.75" customHeight="1">
      <c r="A27" s="264">
        <v>46065.0</v>
      </c>
      <c r="B27" s="265" t="s">
        <v>373</v>
      </c>
      <c r="C27" s="265" t="s">
        <v>97</v>
      </c>
      <c r="D27" s="266">
        <v>30.0</v>
      </c>
      <c r="E27" s="267">
        <v>17050.0</v>
      </c>
      <c r="F27" s="268"/>
      <c r="G27" s="277"/>
      <c r="H27" s="269"/>
      <c r="I27" s="269"/>
      <c r="J27" s="270"/>
      <c r="K27" s="271"/>
      <c r="L27" s="272" t="s">
        <v>343</v>
      </c>
      <c r="M27" s="288">
        <f t="shared" ref="M27:M28" si="5">A27+D27+15</f>
        <v>46110</v>
      </c>
      <c r="N27" s="274"/>
      <c r="O27" s="131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15.75" customHeight="1">
      <c r="A28" s="264">
        <v>46071.0</v>
      </c>
      <c r="B28" s="265" t="s">
        <v>374</v>
      </c>
      <c r="C28" s="265" t="s">
        <v>97</v>
      </c>
      <c r="D28" s="266">
        <v>30.0</v>
      </c>
      <c r="E28" s="267">
        <v>18090.0</v>
      </c>
      <c r="F28" s="268"/>
      <c r="G28" s="277"/>
      <c r="H28" s="269"/>
      <c r="I28" s="269"/>
      <c r="J28" s="270"/>
      <c r="K28" s="271"/>
      <c r="L28" s="272" t="s">
        <v>343</v>
      </c>
      <c r="M28" s="288">
        <f t="shared" si="5"/>
        <v>46116</v>
      </c>
      <c r="N28" s="274"/>
      <c r="O28" s="131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15.75" customHeight="1">
      <c r="A29" s="289">
        <v>46071.0</v>
      </c>
      <c r="B29" s="290" t="s">
        <v>375</v>
      </c>
      <c r="C29" s="17" t="s">
        <v>341</v>
      </c>
      <c r="D29" s="291">
        <v>90.0</v>
      </c>
      <c r="E29" s="292">
        <v>11750.0</v>
      </c>
      <c r="F29" s="277"/>
      <c r="G29" s="277"/>
      <c r="H29" s="269"/>
      <c r="I29" s="269"/>
      <c r="J29" s="270"/>
      <c r="K29" s="271"/>
      <c r="L29" s="272" t="s">
        <v>343</v>
      </c>
      <c r="M29" s="293">
        <f>A29+D29</f>
        <v>46161</v>
      </c>
      <c r="N29" s="274"/>
      <c r="O29" s="131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15.75" customHeight="1">
      <c r="A30" s="289">
        <v>46073.0</v>
      </c>
      <c r="B30" s="290"/>
      <c r="C30" s="17" t="s">
        <v>353</v>
      </c>
      <c r="D30" s="291">
        <v>0.0</v>
      </c>
      <c r="E30" s="292">
        <v>16600.0</v>
      </c>
      <c r="F30" s="277"/>
      <c r="G30" s="277"/>
      <c r="H30" s="269"/>
      <c r="I30" s="269"/>
      <c r="J30" s="270"/>
      <c r="K30" s="271"/>
      <c r="L30" s="272" t="s">
        <v>351</v>
      </c>
      <c r="M30" s="273"/>
      <c r="N30" s="274"/>
      <c r="O30" s="131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15.75" customHeight="1">
      <c r="A31" s="289">
        <v>46077.0</v>
      </c>
      <c r="B31" s="290" t="s">
        <v>376</v>
      </c>
      <c r="C31" s="17" t="s">
        <v>97</v>
      </c>
      <c r="D31" s="291">
        <v>30.0</v>
      </c>
      <c r="E31" s="292">
        <v>7840.0</v>
      </c>
      <c r="F31" s="277"/>
      <c r="G31" s="277"/>
      <c r="H31" s="269"/>
      <c r="I31" s="269"/>
      <c r="J31" s="270"/>
      <c r="K31" s="271"/>
      <c r="L31" s="272" t="s">
        <v>343</v>
      </c>
      <c r="M31" s="293">
        <f>A31+D31+15</f>
        <v>46122</v>
      </c>
      <c r="N31" s="274"/>
      <c r="O31" s="131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15.75" customHeight="1">
      <c r="A32" s="289">
        <v>46076.0</v>
      </c>
      <c r="B32" s="290" t="s">
        <v>377</v>
      </c>
      <c r="C32" s="17" t="s">
        <v>341</v>
      </c>
      <c r="D32" s="291">
        <v>90.0</v>
      </c>
      <c r="E32" s="292">
        <v>43850.0</v>
      </c>
      <c r="F32" s="277"/>
      <c r="G32" s="277"/>
      <c r="H32" s="269"/>
      <c r="I32" s="269"/>
      <c r="J32" s="270"/>
      <c r="K32" s="271"/>
      <c r="L32" s="272" t="s">
        <v>343</v>
      </c>
      <c r="M32" s="293">
        <f>A32+D32</f>
        <v>46166</v>
      </c>
      <c r="N32" s="201"/>
      <c r="O32" s="294">
        <v>46178.0</v>
      </c>
      <c r="P32" s="272" t="s">
        <v>378</v>
      </c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64">
        <v>46078.0</v>
      </c>
      <c r="B33" s="131"/>
      <c r="C33" s="265" t="s">
        <v>369</v>
      </c>
      <c r="D33" s="266">
        <v>30.0</v>
      </c>
      <c r="E33" s="295">
        <f>9854.8+7072</f>
        <v>16926.8</v>
      </c>
      <c r="F33" s="268"/>
      <c r="G33" s="277"/>
      <c r="H33" s="269"/>
      <c r="I33" s="269"/>
      <c r="J33" s="270"/>
      <c r="K33" s="271"/>
      <c r="L33" s="272" t="s">
        <v>351</v>
      </c>
      <c r="M33" s="273"/>
      <c r="N33" s="201"/>
      <c r="O33" s="131"/>
      <c r="P33" s="273"/>
      <c r="Q33" s="272" t="s">
        <v>379</v>
      </c>
      <c r="R33" s="296">
        <v>5570.0</v>
      </c>
      <c r="S33" s="273"/>
      <c r="T33" s="273"/>
      <c r="U33" s="273"/>
      <c r="V33" s="273"/>
      <c r="W33" s="273"/>
      <c r="X33" s="273"/>
      <c r="Y33" s="273"/>
      <c r="Z33" s="273"/>
    </row>
    <row r="34" ht="15.75" customHeight="1">
      <c r="A34" s="279">
        <v>46078.0</v>
      </c>
      <c r="B34" s="297"/>
      <c r="C34" s="281" t="s">
        <v>350</v>
      </c>
      <c r="D34" s="282">
        <v>10.0</v>
      </c>
      <c r="E34" s="298">
        <f>5*7072</f>
        <v>35360</v>
      </c>
      <c r="F34" s="299"/>
      <c r="G34" s="284"/>
      <c r="H34" s="285">
        <f>sum(E21:E34)</f>
        <v>219401.6</v>
      </c>
      <c r="I34" s="285">
        <f>'2026 DS'!G44</f>
        <v>206326.08</v>
      </c>
      <c r="J34" s="286">
        <f>J20+H34-I34</f>
        <v>576346.62</v>
      </c>
      <c r="K34" s="287"/>
      <c r="L34" s="272" t="s">
        <v>380</v>
      </c>
      <c r="M34" s="288">
        <f>A34</f>
        <v>46078</v>
      </c>
      <c r="N34" s="201"/>
      <c r="O34" s="131"/>
      <c r="P34" s="273"/>
      <c r="Q34" s="272" t="s">
        <v>381</v>
      </c>
      <c r="R34" s="296">
        <v>7072.0</v>
      </c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64">
        <v>46084.0</v>
      </c>
      <c r="B35" s="265" t="s">
        <v>382</v>
      </c>
      <c r="C35" s="265" t="s">
        <v>97</v>
      </c>
      <c r="D35" s="266">
        <v>38.0</v>
      </c>
      <c r="E35" s="267">
        <v>15095.0</v>
      </c>
      <c r="F35" s="268"/>
      <c r="G35" s="268"/>
      <c r="H35" s="269"/>
      <c r="I35" s="269"/>
      <c r="J35" s="270"/>
      <c r="K35" s="271"/>
      <c r="L35" s="272" t="s">
        <v>343</v>
      </c>
      <c r="M35" s="288">
        <f t="shared" ref="M35:M45" si="6">A35+D35</f>
        <v>46122</v>
      </c>
      <c r="N35" s="301">
        <v>943020.0</v>
      </c>
      <c r="O35" s="131"/>
      <c r="P35" s="273"/>
      <c r="Q35" s="272" t="s">
        <v>23</v>
      </c>
      <c r="R35" s="302">
        <f>SUM(P37:P42)</f>
        <v>4284.8</v>
      </c>
      <c r="S35" s="273"/>
      <c r="T35" s="273"/>
      <c r="U35" s="273"/>
      <c r="V35" s="273"/>
      <c r="W35" s="273"/>
      <c r="X35" s="273"/>
      <c r="Y35" s="273"/>
      <c r="Z35" s="273"/>
    </row>
    <row r="36" ht="15.75" customHeight="1">
      <c r="A36" s="264">
        <v>46085.0</v>
      </c>
      <c r="B36" s="265" t="s">
        <v>384</v>
      </c>
      <c r="C36" s="265" t="s">
        <v>97</v>
      </c>
      <c r="D36" s="266">
        <v>37.0</v>
      </c>
      <c r="E36" s="267">
        <v>5600.0</v>
      </c>
      <c r="F36" s="277"/>
      <c r="G36" s="277"/>
      <c r="H36" s="269"/>
      <c r="I36" s="269"/>
      <c r="J36" s="270"/>
      <c r="K36" s="271"/>
      <c r="L36" s="272" t="s">
        <v>343</v>
      </c>
      <c r="M36" s="288">
        <f t="shared" si="6"/>
        <v>46122</v>
      </c>
      <c r="O36" s="265" t="s">
        <v>128</v>
      </c>
      <c r="P36" s="273"/>
      <c r="Q36" s="272" t="s">
        <v>386</v>
      </c>
      <c r="R36" s="304">
        <v>-3964.29</v>
      </c>
      <c r="S36" s="273"/>
      <c r="T36" s="273"/>
      <c r="U36" s="273"/>
      <c r="V36" s="273"/>
      <c r="W36" s="273"/>
      <c r="X36" s="273"/>
      <c r="Y36" s="273"/>
      <c r="Z36" s="273"/>
    </row>
    <row r="37" ht="15.75" customHeight="1">
      <c r="A37" s="264">
        <v>46086.0</v>
      </c>
      <c r="B37" s="265" t="s">
        <v>387</v>
      </c>
      <c r="C37" s="265" t="s">
        <v>341</v>
      </c>
      <c r="D37" s="266">
        <v>90.0</v>
      </c>
      <c r="E37" s="267">
        <v>20000.0</v>
      </c>
      <c r="F37" s="277"/>
      <c r="G37" s="277"/>
      <c r="H37" s="269"/>
      <c r="I37" s="269"/>
      <c r="J37" s="270"/>
      <c r="K37" s="271"/>
      <c r="L37" s="272" t="s">
        <v>343</v>
      </c>
      <c r="M37" s="288">
        <f t="shared" si="6"/>
        <v>46176</v>
      </c>
      <c r="N37" s="291">
        <v>943021.0</v>
      </c>
      <c r="O37" s="265" t="s">
        <v>389</v>
      </c>
      <c r="P37" s="296">
        <v>4284.8</v>
      </c>
      <c r="Q37" s="272" t="s">
        <v>390</v>
      </c>
      <c r="R37" s="304">
        <v>-3172.42</v>
      </c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64">
        <v>46092.0</v>
      </c>
      <c r="B38" s="265" t="s">
        <v>391</v>
      </c>
      <c r="C38" s="265" t="s">
        <v>97</v>
      </c>
      <c r="D38" s="266">
        <v>37.0</v>
      </c>
      <c r="E38" s="267">
        <v>38530.0</v>
      </c>
      <c r="F38" s="277"/>
      <c r="G38" s="277"/>
      <c r="H38" s="269"/>
      <c r="I38" s="269"/>
      <c r="J38" s="270"/>
      <c r="K38" s="271"/>
      <c r="L38" s="272" t="s">
        <v>343</v>
      </c>
      <c r="M38" s="288">
        <f t="shared" si="6"/>
        <v>46129</v>
      </c>
      <c r="N38" s="291">
        <v>943022.0</v>
      </c>
      <c r="O38" s="265"/>
      <c r="P38" s="296"/>
      <c r="Q38" s="272" t="s">
        <v>393</v>
      </c>
      <c r="R38" s="304">
        <v>-5328.0</v>
      </c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64">
        <v>46092.0</v>
      </c>
      <c r="B39" s="265" t="s">
        <v>394</v>
      </c>
      <c r="C39" s="265" t="s">
        <v>341</v>
      </c>
      <c r="D39" s="266">
        <v>90.0</v>
      </c>
      <c r="E39" s="267">
        <v>20680.0</v>
      </c>
      <c r="F39" s="277"/>
      <c r="G39" s="277"/>
      <c r="H39" s="269"/>
      <c r="I39" s="269"/>
      <c r="J39" s="270"/>
      <c r="K39" s="271"/>
      <c r="L39" s="272" t="s">
        <v>343</v>
      </c>
      <c r="M39" s="288">
        <f t="shared" si="6"/>
        <v>46182</v>
      </c>
      <c r="N39" s="291">
        <v>943023.0</v>
      </c>
      <c r="O39" s="265"/>
      <c r="P39" s="296"/>
      <c r="Q39" s="272" t="s">
        <v>395</v>
      </c>
      <c r="R39" s="307">
        <f>-sum(R35:R38)</f>
        <v>8179.91</v>
      </c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64">
        <v>46097.0</v>
      </c>
      <c r="B40" s="265" t="s">
        <v>397</v>
      </c>
      <c r="C40" s="265" t="s">
        <v>398</v>
      </c>
      <c r="D40" s="266">
        <v>10.0</v>
      </c>
      <c r="E40" s="267">
        <v>191644.12</v>
      </c>
      <c r="F40" s="277"/>
      <c r="G40" s="277"/>
      <c r="H40" s="269"/>
      <c r="I40" s="269"/>
      <c r="J40" s="270"/>
      <c r="K40" s="271"/>
      <c r="L40" s="272" t="s">
        <v>343</v>
      </c>
      <c r="M40" s="288">
        <f t="shared" si="6"/>
        <v>46107</v>
      </c>
      <c r="N40" s="275"/>
      <c r="O40" s="265" t="s">
        <v>400</v>
      </c>
      <c r="P40" s="296"/>
      <c r="Q40" s="272" t="s">
        <v>9</v>
      </c>
      <c r="R40" s="302">
        <f>sum(R35:R39)</f>
        <v>0</v>
      </c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64">
        <v>46098.0</v>
      </c>
      <c r="B41" s="265" t="s">
        <v>401</v>
      </c>
      <c r="C41" s="265" t="s">
        <v>97</v>
      </c>
      <c r="D41" s="266">
        <v>38.0</v>
      </c>
      <c r="E41" s="267">
        <v>20380.0</v>
      </c>
      <c r="F41" s="277"/>
      <c r="G41" s="277"/>
      <c r="H41" s="269"/>
      <c r="I41" s="269"/>
      <c r="J41" s="270"/>
      <c r="K41" s="271"/>
      <c r="L41" s="272" t="s">
        <v>343</v>
      </c>
      <c r="M41" s="288">
        <f t="shared" si="6"/>
        <v>46136</v>
      </c>
      <c r="N41" s="291">
        <v>943024.0</v>
      </c>
      <c r="O41" s="1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64">
        <v>46099.0</v>
      </c>
      <c r="B42" s="265" t="s">
        <v>403</v>
      </c>
      <c r="C42" s="265" t="s">
        <v>341</v>
      </c>
      <c r="D42" s="266">
        <v>90.0</v>
      </c>
      <c r="E42" s="267">
        <v>14300.0</v>
      </c>
      <c r="F42" s="277"/>
      <c r="G42" s="277"/>
      <c r="H42" s="269"/>
      <c r="I42" s="269"/>
      <c r="J42" s="270"/>
      <c r="K42" s="271"/>
      <c r="L42" s="272" t="s">
        <v>343</v>
      </c>
      <c r="M42" s="288">
        <f t="shared" si="6"/>
        <v>46189</v>
      </c>
      <c r="N42" s="291">
        <v>943025.0</v>
      </c>
      <c r="O42" s="1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64">
        <v>46102.0</v>
      </c>
      <c r="B43" s="265" t="s">
        <v>404</v>
      </c>
      <c r="C43" s="265" t="s">
        <v>405</v>
      </c>
      <c r="D43" s="266">
        <v>45.0</v>
      </c>
      <c r="E43" s="267">
        <v>86031.0</v>
      </c>
      <c r="F43" s="277"/>
      <c r="G43" s="277"/>
      <c r="H43" s="269"/>
      <c r="I43" s="269"/>
      <c r="J43" s="270"/>
      <c r="K43" s="271"/>
      <c r="L43" s="272" t="s">
        <v>343</v>
      </c>
      <c r="M43" s="288">
        <f t="shared" si="6"/>
        <v>46147</v>
      </c>
      <c r="N43" s="291" t="s">
        <v>406</v>
      </c>
      <c r="O43" s="1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64">
        <v>46106.0</v>
      </c>
      <c r="B44" s="265" t="s">
        <v>407</v>
      </c>
      <c r="C44" s="265" t="s">
        <v>97</v>
      </c>
      <c r="D44" s="266">
        <v>44.0</v>
      </c>
      <c r="E44" s="267">
        <v>42170.0</v>
      </c>
      <c r="F44" s="277"/>
      <c r="G44" s="277"/>
      <c r="H44" s="269"/>
      <c r="I44" s="269"/>
      <c r="J44" s="270"/>
      <c r="K44" s="271"/>
      <c r="L44" s="272" t="s">
        <v>343</v>
      </c>
      <c r="M44" s="288">
        <f t="shared" si="6"/>
        <v>46150</v>
      </c>
      <c r="N44" s="291"/>
      <c r="O44" s="308">
        <v>42129.0</v>
      </c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64">
        <v>46106.0</v>
      </c>
      <c r="B45" s="265" t="s">
        <v>409</v>
      </c>
      <c r="C45" s="265" t="s">
        <v>97</v>
      </c>
      <c r="D45" s="266">
        <v>40.0</v>
      </c>
      <c r="E45" s="267">
        <v>9200.0</v>
      </c>
      <c r="F45" s="277"/>
      <c r="G45" s="277"/>
      <c r="H45" s="269"/>
      <c r="I45" s="269"/>
      <c r="J45" s="270"/>
      <c r="K45" s="271"/>
      <c r="L45" s="272" t="s">
        <v>343</v>
      </c>
      <c r="M45" s="288">
        <f t="shared" si="6"/>
        <v>46146</v>
      </c>
      <c r="N45" s="291"/>
      <c r="O45" s="1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64"/>
      <c r="B46" s="309" t="s">
        <v>411</v>
      </c>
      <c r="C46" s="265" t="s">
        <v>97</v>
      </c>
      <c r="D46" s="266"/>
      <c r="E46" s="267">
        <v>-1550.0</v>
      </c>
      <c r="F46" s="277"/>
      <c r="G46" s="277"/>
      <c r="H46" s="269"/>
      <c r="I46" s="269"/>
      <c r="J46" s="270"/>
      <c r="K46" s="271"/>
      <c r="L46" s="151" t="s">
        <v>412</v>
      </c>
      <c r="M46" s="273"/>
      <c r="N46" s="291" t="s">
        <v>413</v>
      </c>
      <c r="O46" s="1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64">
        <v>46106.0</v>
      </c>
      <c r="B47" s="265" t="s">
        <v>414</v>
      </c>
      <c r="C47" s="265" t="s">
        <v>341</v>
      </c>
      <c r="D47" s="266">
        <v>90.0</v>
      </c>
      <c r="E47" s="267">
        <v>5250.0</v>
      </c>
      <c r="F47" s="277"/>
      <c r="G47" s="277"/>
      <c r="H47" s="269"/>
      <c r="I47" s="269"/>
      <c r="J47" s="270"/>
      <c r="K47" s="271"/>
      <c r="L47" s="272" t="s">
        <v>343</v>
      </c>
      <c r="M47" s="288">
        <f t="shared" ref="M47:M63" si="7">A47+D47</f>
        <v>46196</v>
      </c>
      <c r="N47" s="291"/>
      <c r="O47" s="1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64">
        <v>46107.0</v>
      </c>
      <c r="B48" s="265" t="s">
        <v>416</v>
      </c>
      <c r="C48" s="265" t="s">
        <v>405</v>
      </c>
      <c r="D48" s="266">
        <v>92.0</v>
      </c>
      <c r="E48" s="267">
        <v>16780.0</v>
      </c>
      <c r="F48" s="277"/>
      <c r="G48" s="277"/>
      <c r="H48" s="269"/>
      <c r="I48" s="269"/>
      <c r="J48" s="270"/>
      <c r="K48" s="271"/>
      <c r="L48" s="272" t="s">
        <v>343</v>
      </c>
      <c r="M48" s="288">
        <f t="shared" si="7"/>
        <v>46199</v>
      </c>
      <c r="N48" s="291">
        <v>943045.0</v>
      </c>
      <c r="O48" s="1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64">
        <v>46109.0</v>
      </c>
      <c r="B49" s="265" t="s">
        <v>417</v>
      </c>
      <c r="C49" s="265" t="s">
        <v>405</v>
      </c>
      <c r="D49" s="266">
        <v>97.0</v>
      </c>
      <c r="E49" s="267">
        <v>28330.0</v>
      </c>
      <c r="F49" s="277"/>
      <c r="G49" s="277"/>
      <c r="H49" s="269"/>
      <c r="I49" s="269"/>
      <c r="J49" s="270"/>
      <c r="K49" s="271"/>
      <c r="L49" s="272" t="s">
        <v>343</v>
      </c>
      <c r="M49" s="288">
        <f t="shared" si="7"/>
        <v>46206</v>
      </c>
      <c r="N49" s="291">
        <v>943046.0</v>
      </c>
      <c r="O49" s="1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64">
        <v>46107.0</v>
      </c>
      <c r="B50" s="265"/>
      <c r="C50" s="265" t="s">
        <v>369</v>
      </c>
      <c r="D50" s="266"/>
      <c r="E50" s="267">
        <v>3500.0</v>
      </c>
      <c r="F50" s="277"/>
      <c r="G50" s="277"/>
      <c r="H50" s="269"/>
      <c r="I50" s="269"/>
      <c r="J50" s="270"/>
      <c r="K50" s="271"/>
      <c r="L50" s="151" t="s">
        <v>418</v>
      </c>
      <c r="M50" s="288">
        <f t="shared" si="7"/>
        <v>46107</v>
      </c>
      <c r="N50" s="291" t="s">
        <v>419</v>
      </c>
      <c r="O50" s="1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64">
        <v>46084.0</v>
      </c>
      <c r="B51" s="265"/>
      <c r="C51" s="265" t="s">
        <v>369</v>
      </c>
      <c r="D51" s="266"/>
      <c r="E51" s="267">
        <v>1100.0</v>
      </c>
      <c r="F51" s="277"/>
      <c r="G51" s="277"/>
      <c r="H51" s="269"/>
      <c r="I51" s="269"/>
      <c r="J51" s="270"/>
      <c r="K51" s="271"/>
      <c r="L51" s="151" t="s">
        <v>418</v>
      </c>
      <c r="M51" s="288">
        <f t="shared" si="7"/>
        <v>46084</v>
      </c>
      <c r="N51" s="291" t="s">
        <v>420</v>
      </c>
      <c r="O51" s="1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64">
        <v>46112.0</v>
      </c>
      <c r="B52" s="265" t="s">
        <v>421</v>
      </c>
      <c r="C52" s="265" t="s">
        <v>341</v>
      </c>
      <c r="D52" s="266">
        <v>90.0</v>
      </c>
      <c r="E52" s="267">
        <v>26500.0</v>
      </c>
      <c r="F52" s="277"/>
      <c r="G52" s="277"/>
      <c r="H52" s="269"/>
      <c r="I52" s="269"/>
      <c r="J52" s="270"/>
      <c r="K52" s="271"/>
      <c r="L52" s="272" t="s">
        <v>343</v>
      </c>
      <c r="M52" s="288">
        <f t="shared" si="7"/>
        <v>46202</v>
      </c>
      <c r="N52" s="291"/>
      <c r="O52" s="1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9">
        <v>46112.0</v>
      </c>
      <c r="B53" s="281" t="s">
        <v>422</v>
      </c>
      <c r="C53" s="281" t="s">
        <v>97</v>
      </c>
      <c r="D53" s="282">
        <v>45.0</v>
      </c>
      <c r="E53" s="283">
        <v>4800.0</v>
      </c>
      <c r="F53" s="284"/>
      <c r="G53" s="284"/>
      <c r="H53" s="285">
        <f>sum(E35:E53)</f>
        <v>548340.12</v>
      </c>
      <c r="I53" s="285">
        <f>'2026 DS'!G103</f>
        <v>521692.8</v>
      </c>
      <c r="J53" s="286">
        <f>J34+H53-I53</f>
        <v>602993.94</v>
      </c>
      <c r="K53" s="287"/>
      <c r="L53" s="272" t="s">
        <v>343</v>
      </c>
      <c r="M53" s="288">
        <f t="shared" si="7"/>
        <v>46157</v>
      </c>
      <c r="N53" s="291"/>
      <c r="O53" s="1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64">
        <v>46119.0</v>
      </c>
      <c r="B54" s="265"/>
      <c r="C54" s="265" t="s">
        <v>369</v>
      </c>
      <c r="D54" s="266"/>
      <c r="E54" s="267">
        <v>720.0</v>
      </c>
      <c r="F54" s="268"/>
      <c r="G54" s="268"/>
      <c r="H54" s="269"/>
      <c r="I54" s="269"/>
      <c r="J54" s="270"/>
      <c r="K54" s="271"/>
      <c r="L54" s="151" t="s">
        <v>418</v>
      </c>
      <c r="M54" s="288">
        <f t="shared" si="7"/>
        <v>46119</v>
      </c>
      <c r="N54" s="291" t="s">
        <v>423</v>
      </c>
      <c r="O54" s="1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64">
        <v>46119.0</v>
      </c>
      <c r="B55" s="265"/>
      <c r="C55" s="265" t="s">
        <v>164</v>
      </c>
      <c r="D55" s="266"/>
      <c r="E55" s="267">
        <v>46200.0</v>
      </c>
      <c r="F55" s="268"/>
      <c r="G55" s="268"/>
      <c r="H55" s="269"/>
      <c r="I55" s="269"/>
      <c r="J55" s="270"/>
      <c r="K55" s="271"/>
      <c r="L55" s="151" t="s">
        <v>424</v>
      </c>
      <c r="M55" s="288">
        <f t="shared" si="7"/>
        <v>46119</v>
      </c>
      <c r="N55" s="291" t="s">
        <v>425</v>
      </c>
      <c r="O55" s="1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64">
        <v>46120.0</v>
      </c>
      <c r="B56" s="265" t="s">
        <v>426</v>
      </c>
      <c r="C56" s="265" t="s">
        <v>97</v>
      </c>
      <c r="D56" s="266">
        <v>30.0</v>
      </c>
      <c r="E56" s="267">
        <v>9500.0</v>
      </c>
      <c r="F56" s="268"/>
      <c r="G56" s="268"/>
      <c r="H56" s="269"/>
      <c r="I56" s="269"/>
      <c r="J56" s="270"/>
      <c r="K56" s="271"/>
      <c r="L56" s="272" t="s">
        <v>343</v>
      </c>
      <c r="M56" s="288">
        <f t="shared" si="7"/>
        <v>46150</v>
      </c>
      <c r="N56" s="291"/>
      <c r="O56" s="1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64">
        <v>46126.0</v>
      </c>
      <c r="B57" s="265" t="s">
        <v>427</v>
      </c>
      <c r="C57" s="265" t="s">
        <v>97</v>
      </c>
      <c r="D57" s="266">
        <v>40.0</v>
      </c>
      <c r="E57" s="267">
        <v>28200.0</v>
      </c>
      <c r="F57" s="268"/>
      <c r="G57" s="268"/>
      <c r="H57" s="269"/>
      <c r="I57" s="269"/>
      <c r="J57" s="270"/>
      <c r="K57" s="271"/>
      <c r="L57" s="272" t="s">
        <v>343</v>
      </c>
      <c r="M57" s="288">
        <f t="shared" si="7"/>
        <v>46166</v>
      </c>
      <c r="N57" s="201"/>
      <c r="O57" s="1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64">
        <v>46126.0</v>
      </c>
      <c r="B58" s="265" t="s">
        <v>428</v>
      </c>
      <c r="C58" s="265" t="s">
        <v>164</v>
      </c>
      <c r="D58" s="266">
        <v>7.0</v>
      </c>
      <c r="E58" s="267">
        <v>23100.0</v>
      </c>
      <c r="F58" s="268"/>
      <c r="G58" s="268"/>
      <c r="H58" s="269"/>
      <c r="I58" s="269"/>
      <c r="J58" s="270"/>
      <c r="K58" s="271"/>
      <c r="L58" s="272" t="s">
        <v>343</v>
      </c>
      <c r="M58" s="288">
        <f t="shared" si="7"/>
        <v>46133</v>
      </c>
      <c r="N58" s="201"/>
      <c r="O58" s="1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64">
        <v>46118.0</v>
      </c>
      <c r="B59" s="265" t="s">
        <v>430</v>
      </c>
      <c r="C59" s="265" t="s">
        <v>405</v>
      </c>
      <c r="D59" s="266">
        <v>60.0</v>
      </c>
      <c r="E59" s="267">
        <v>108810.0</v>
      </c>
      <c r="F59" s="268"/>
      <c r="G59" s="268"/>
      <c r="H59" s="269"/>
      <c r="I59" s="269"/>
      <c r="J59" s="270"/>
      <c r="K59" s="271"/>
      <c r="L59" s="272" t="s">
        <v>343</v>
      </c>
      <c r="M59" s="288">
        <f t="shared" si="7"/>
        <v>46178</v>
      </c>
      <c r="N59" s="201"/>
      <c r="O59" s="152" t="s">
        <v>431</v>
      </c>
      <c r="P59" s="273"/>
      <c r="Q59" s="302">
        <f>E59/4</f>
        <v>27202.5</v>
      </c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64">
        <v>46129.0</v>
      </c>
      <c r="B60" s="265" t="s">
        <v>432</v>
      </c>
      <c r="C60" s="265" t="s">
        <v>405</v>
      </c>
      <c r="D60" s="266">
        <v>60.0</v>
      </c>
      <c r="E60" s="267">
        <v>59463.12</v>
      </c>
      <c r="F60" s="268"/>
      <c r="G60" s="268"/>
      <c r="H60" s="269"/>
      <c r="I60" s="269"/>
      <c r="J60" s="270"/>
      <c r="K60" s="271"/>
      <c r="L60" s="272" t="s">
        <v>343</v>
      </c>
      <c r="M60" s="288">
        <f t="shared" si="7"/>
        <v>46189</v>
      </c>
      <c r="N60" s="201"/>
      <c r="O60" s="152" t="s">
        <v>433</v>
      </c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64">
        <v>46127.0</v>
      </c>
      <c r="B61" s="265" t="s">
        <v>434</v>
      </c>
      <c r="C61" s="265" t="s">
        <v>341</v>
      </c>
      <c r="D61" s="266">
        <v>90.0</v>
      </c>
      <c r="E61" s="267">
        <v>14550.0</v>
      </c>
      <c r="F61" s="277"/>
      <c r="G61" s="268"/>
      <c r="H61" s="269"/>
      <c r="I61" s="269"/>
      <c r="J61" s="270"/>
      <c r="K61" s="271"/>
      <c r="L61" s="272" t="s">
        <v>343</v>
      </c>
      <c r="M61" s="288">
        <f t="shared" si="7"/>
        <v>46217</v>
      </c>
      <c r="N61" s="274"/>
      <c r="O61" s="131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64">
        <v>46134.0</v>
      </c>
      <c r="B62" s="265" t="s">
        <v>435</v>
      </c>
      <c r="C62" s="265" t="s">
        <v>97</v>
      </c>
      <c r="D62" s="266">
        <v>49.0</v>
      </c>
      <c r="E62" s="267">
        <v>5325.0</v>
      </c>
      <c r="F62" s="268"/>
      <c r="G62" s="268"/>
      <c r="H62" s="269"/>
      <c r="I62" s="269"/>
      <c r="J62" s="270"/>
      <c r="K62" s="271"/>
      <c r="L62" s="272" t="s">
        <v>343</v>
      </c>
      <c r="M62" s="288">
        <f t="shared" si="7"/>
        <v>46183</v>
      </c>
      <c r="N62" s="266">
        <v>943047.0</v>
      </c>
      <c r="O62" s="131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64">
        <v>46134.0</v>
      </c>
      <c r="B63" s="265" t="s">
        <v>436</v>
      </c>
      <c r="C63" s="265" t="s">
        <v>97</v>
      </c>
      <c r="D63" s="266">
        <v>37.0</v>
      </c>
      <c r="E63" s="267">
        <f>27470-1550</f>
        <v>25920</v>
      </c>
      <c r="F63" s="268"/>
      <c r="G63" s="268"/>
      <c r="H63" s="269"/>
      <c r="I63" s="310"/>
      <c r="J63" s="311"/>
      <c r="K63" s="271"/>
      <c r="L63" s="272" t="s">
        <v>343</v>
      </c>
      <c r="M63" s="288">
        <f t="shared" si="7"/>
        <v>46171</v>
      </c>
      <c r="N63" s="266">
        <v>943048.0</v>
      </c>
      <c r="O63" s="131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64">
        <v>46134.0</v>
      </c>
      <c r="B64" s="265" t="s">
        <v>438</v>
      </c>
      <c r="C64" s="265" t="s">
        <v>439</v>
      </c>
      <c r="D64" s="266" t="s">
        <v>440</v>
      </c>
      <c r="E64" s="267">
        <v>14389.0</v>
      </c>
      <c r="F64" s="268"/>
      <c r="G64" s="268"/>
      <c r="H64" s="269"/>
      <c r="I64" s="269"/>
      <c r="J64" s="270"/>
      <c r="K64" s="271"/>
      <c r="L64" s="272" t="s">
        <v>441</v>
      </c>
      <c r="M64" s="273"/>
      <c r="N64" s="274"/>
      <c r="O64" s="131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64">
        <v>46132.0</v>
      </c>
      <c r="B65" s="265" t="s">
        <v>442</v>
      </c>
      <c r="C65" s="265" t="s">
        <v>164</v>
      </c>
      <c r="D65" s="266">
        <v>7.0</v>
      </c>
      <c r="E65" s="267">
        <v>46200.0</v>
      </c>
      <c r="F65" s="268"/>
      <c r="G65" s="268"/>
      <c r="H65" s="269"/>
      <c r="I65" s="269"/>
      <c r="J65" s="270"/>
      <c r="K65" s="271"/>
      <c r="L65" s="151" t="s">
        <v>443</v>
      </c>
      <c r="M65" s="288">
        <f t="shared" ref="M65:M95" si="8">A65+D65</f>
        <v>46139</v>
      </c>
      <c r="N65" s="266"/>
      <c r="O65" s="131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64">
        <v>46138.0</v>
      </c>
      <c r="B66" s="265" t="s">
        <v>444</v>
      </c>
      <c r="C66" s="265" t="s">
        <v>164</v>
      </c>
      <c r="D66" s="266">
        <v>8.0</v>
      </c>
      <c r="E66" s="267">
        <v>30800.0</v>
      </c>
      <c r="F66" s="268"/>
      <c r="G66" s="268"/>
      <c r="H66" s="269"/>
      <c r="I66" s="269"/>
      <c r="J66" s="270"/>
      <c r="K66" s="271"/>
      <c r="L66" s="272" t="s">
        <v>343</v>
      </c>
      <c r="M66" s="288">
        <f t="shared" si="8"/>
        <v>46146</v>
      </c>
      <c r="O66" s="131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>
      <c r="A67" s="312">
        <v>46140.0</v>
      </c>
      <c r="B67" s="265" t="s">
        <v>445</v>
      </c>
      <c r="C67" s="272" t="s">
        <v>341</v>
      </c>
      <c r="D67" s="266">
        <v>90.0</v>
      </c>
      <c r="E67" s="267">
        <v>34720.0</v>
      </c>
      <c r="F67" s="313"/>
      <c r="G67" s="313"/>
      <c r="H67" s="314"/>
      <c r="I67" s="314"/>
      <c r="J67" s="314"/>
      <c r="K67" s="302"/>
      <c r="L67" s="272" t="s">
        <v>343</v>
      </c>
      <c r="M67" s="293">
        <f t="shared" si="8"/>
        <v>46230</v>
      </c>
      <c r="N67" s="266">
        <v>943049.0</v>
      </c>
      <c r="O67" s="315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</row>
    <row r="68" ht="14.25" customHeight="1">
      <c r="A68" s="312">
        <v>46140.0</v>
      </c>
      <c r="B68" s="316" t="s">
        <v>446</v>
      </c>
      <c r="C68" s="316" t="s">
        <v>97</v>
      </c>
      <c r="D68" s="317">
        <v>38.0</v>
      </c>
      <c r="E68" s="318">
        <v>17225.0</v>
      </c>
      <c r="F68" s="319"/>
      <c r="G68" s="319"/>
      <c r="H68" s="320"/>
      <c r="I68" s="320"/>
      <c r="J68" s="321"/>
      <c r="K68" s="322"/>
      <c r="L68" s="272" t="s">
        <v>343</v>
      </c>
      <c r="M68" s="293">
        <f t="shared" si="8"/>
        <v>46178</v>
      </c>
      <c r="N68" s="266">
        <v>943050.0</v>
      </c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</row>
    <row r="69" ht="15.75" customHeight="1">
      <c r="A69" s="312">
        <v>46140.0</v>
      </c>
      <c r="B69" s="265" t="s">
        <v>449</v>
      </c>
      <c r="C69" s="316" t="s">
        <v>97</v>
      </c>
      <c r="D69" s="266">
        <v>45.0</v>
      </c>
      <c r="E69" s="267">
        <v>24760.0</v>
      </c>
      <c r="F69" s="268"/>
      <c r="G69" s="268"/>
      <c r="H69" s="269"/>
      <c r="I69" s="269"/>
      <c r="J69" s="270"/>
      <c r="K69" s="271"/>
      <c r="L69" s="272" t="s">
        <v>343</v>
      </c>
      <c r="M69" s="293">
        <f t="shared" si="8"/>
        <v>46185</v>
      </c>
      <c r="N69" s="266">
        <v>956451.0</v>
      </c>
      <c r="O69" s="131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9">
        <v>46132.0</v>
      </c>
      <c r="B70" s="281" t="s">
        <v>450</v>
      </c>
      <c r="C70" s="281" t="s">
        <v>405</v>
      </c>
      <c r="D70" s="282">
        <v>90.0</v>
      </c>
      <c r="E70" s="283">
        <v>7360.0</v>
      </c>
      <c r="F70" s="299"/>
      <c r="G70" s="299"/>
      <c r="H70" s="285">
        <f>sum(E54:E70)</f>
        <v>497242.12</v>
      </c>
      <c r="I70" s="285">
        <f>'2026 DS'!G170</f>
        <v>500048.32</v>
      </c>
      <c r="J70" s="286">
        <f>J53+H70-I70</f>
        <v>600187.74</v>
      </c>
      <c r="K70" s="287"/>
      <c r="L70" s="272" t="s">
        <v>343</v>
      </c>
      <c r="M70" s="288">
        <f t="shared" si="8"/>
        <v>46222</v>
      </c>
      <c r="N70" s="266">
        <v>956452.0</v>
      </c>
      <c r="O70" s="131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64">
        <v>46147.0</v>
      </c>
      <c r="B71" s="265" t="s">
        <v>452</v>
      </c>
      <c r="C71" s="265" t="s">
        <v>97</v>
      </c>
      <c r="D71" s="266">
        <v>52.0</v>
      </c>
      <c r="E71" s="267">
        <v>15170.0</v>
      </c>
      <c r="F71" s="277"/>
      <c r="G71" s="268"/>
      <c r="H71" s="269"/>
      <c r="I71" s="269"/>
      <c r="J71" s="270"/>
      <c r="K71" s="271"/>
      <c r="L71" s="272" t="s">
        <v>343</v>
      </c>
      <c r="M71" s="288">
        <f t="shared" si="8"/>
        <v>46199</v>
      </c>
      <c r="N71" s="266">
        <v>956453.0</v>
      </c>
      <c r="O71" s="131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64">
        <v>46149.0</v>
      </c>
      <c r="B72" s="265" t="s">
        <v>453</v>
      </c>
      <c r="C72" s="265" t="s">
        <v>97</v>
      </c>
      <c r="D72" s="266">
        <v>45.0</v>
      </c>
      <c r="E72" s="267">
        <v>5200.0</v>
      </c>
      <c r="F72" s="277"/>
      <c r="G72" s="268"/>
      <c r="H72" s="269"/>
      <c r="I72" s="269"/>
      <c r="J72" s="270"/>
      <c r="K72" s="271"/>
      <c r="L72" s="272" t="s">
        <v>343</v>
      </c>
      <c r="M72" s="288">
        <f t="shared" si="8"/>
        <v>46194</v>
      </c>
      <c r="N72" s="266">
        <v>956454.0</v>
      </c>
      <c r="O72" s="131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64">
        <v>46149.0</v>
      </c>
      <c r="B73" s="265" t="s">
        <v>455</v>
      </c>
      <c r="C73" s="265" t="s">
        <v>341</v>
      </c>
      <c r="D73" s="266">
        <v>90.0</v>
      </c>
      <c r="E73" s="267">
        <v>7500.0</v>
      </c>
      <c r="F73" s="277"/>
      <c r="G73" s="268"/>
      <c r="H73" s="269"/>
      <c r="I73" s="269"/>
      <c r="J73" s="270"/>
      <c r="K73" s="271"/>
      <c r="L73" s="272" t="s">
        <v>343</v>
      </c>
      <c r="M73" s="288">
        <f t="shared" si="8"/>
        <v>46239</v>
      </c>
      <c r="N73" s="266"/>
      <c r="O73" s="265" t="s">
        <v>456</v>
      </c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64">
        <v>46155.0</v>
      </c>
      <c r="B74" s="265" t="s">
        <v>457</v>
      </c>
      <c r="C74" s="265" t="s">
        <v>97</v>
      </c>
      <c r="D74" s="266">
        <v>44.0</v>
      </c>
      <c r="E74" s="267">
        <v>36595.0</v>
      </c>
      <c r="F74" s="277"/>
      <c r="G74" s="268"/>
      <c r="H74" s="269"/>
      <c r="I74" s="269"/>
      <c r="J74" s="270"/>
      <c r="K74" s="271"/>
      <c r="L74" s="272" t="s">
        <v>343</v>
      </c>
      <c r="M74" s="288">
        <f t="shared" si="8"/>
        <v>46199</v>
      </c>
      <c r="N74" s="266" t="s">
        <v>458</v>
      </c>
      <c r="O74" s="324" t="s">
        <v>460</v>
      </c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64">
        <v>46162.0</v>
      </c>
      <c r="B75" s="265" t="s">
        <v>461</v>
      </c>
      <c r="C75" s="265" t="s">
        <v>97</v>
      </c>
      <c r="D75" s="266">
        <v>45.0</v>
      </c>
      <c r="E75" s="267">
        <v>48685.0</v>
      </c>
      <c r="F75" s="277"/>
      <c r="G75" s="268"/>
      <c r="H75" s="269"/>
      <c r="I75" s="269"/>
      <c r="J75" s="270"/>
      <c r="K75" s="271"/>
      <c r="L75" s="272" t="s">
        <v>343</v>
      </c>
      <c r="M75" s="288">
        <f t="shared" si="8"/>
        <v>46207</v>
      </c>
      <c r="N75" s="266" t="s">
        <v>463</v>
      </c>
      <c r="O75" s="265" t="s">
        <v>464</v>
      </c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64">
        <v>46155.0</v>
      </c>
      <c r="B76" s="265" t="s">
        <v>465</v>
      </c>
      <c r="C76" s="265" t="s">
        <v>341</v>
      </c>
      <c r="D76" s="266">
        <v>90.0</v>
      </c>
      <c r="E76" s="267">
        <v>53890.0</v>
      </c>
      <c r="F76" s="277"/>
      <c r="G76" s="268"/>
      <c r="H76" s="269"/>
      <c r="I76" s="269"/>
      <c r="J76" s="270"/>
      <c r="K76" s="271"/>
      <c r="L76" s="272" t="s">
        <v>343</v>
      </c>
      <c r="M76" s="288">
        <f t="shared" si="8"/>
        <v>46245</v>
      </c>
      <c r="N76" s="266" t="s">
        <v>466</v>
      </c>
      <c r="O76" s="324" t="s">
        <v>467</v>
      </c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64">
        <v>46102.0</v>
      </c>
      <c r="B77" s="265" t="s">
        <v>404</v>
      </c>
      <c r="C77" s="265" t="s">
        <v>469</v>
      </c>
      <c r="D77" s="266">
        <v>0.0</v>
      </c>
      <c r="E77" s="267">
        <v>675.0</v>
      </c>
      <c r="F77" s="277"/>
      <c r="G77" s="268"/>
      <c r="H77" s="269"/>
      <c r="I77" s="269"/>
      <c r="J77" s="270"/>
      <c r="K77" s="271"/>
      <c r="L77" s="272" t="s">
        <v>470</v>
      </c>
      <c r="M77" s="288">
        <f t="shared" si="8"/>
        <v>46102</v>
      </c>
      <c r="N77" s="266"/>
      <c r="O77" s="131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64">
        <v>46095.0</v>
      </c>
      <c r="B78" s="265" t="s">
        <v>471</v>
      </c>
      <c r="C78" s="265" t="s">
        <v>472</v>
      </c>
      <c r="D78" s="266">
        <v>0.0</v>
      </c>
      <c r="E78" s="267">
        <v>4750.0</v>
      </c>
      <c r="F78" s="268"/>
      <c r="G78" s="268"/>
      <c r="H78" s="269"/>
      <c r="I78" s="269"/>
      <c r="J78" s="270"/>
      <c r="K78" s="271"/>
      <c r="L78" s="272" t="s">
        <v>343</v>
      </c>
      <c r="M78" s="288">
        <f t="shared" si="8"/>
        <v>46095</v>
      </c>
      <c r="N78" s="266">
        <v>956463.0</v>
      </c>
      <c r="O78" s="324" t="s">
        <v>473</v>
      </c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64">
        <v>46164.0</v>
      </c>
      <c r="B79" s="265" t="s">
        <v>475</v>
      </c>
      <c r="C79" s="265" t="s">
        <v>439</v>
      </c>
      <c r="D79" s="266">
        <v>0.0</v>
      </c>
      <c r="E79" s="267">
        <v>15675.0</v>
      </c>
      <c r="F79" s="268"/>
      <c r="G79" s="268"/>
      <c r="H79" s="269"/>
      <c r="I79" s="269"/>
      <c r="J79" s="270"/>
      <c r="K79" s="271"/>
      <c r="L79" s="272" t="s">
        <v>441</v>
      </c>
      <c r="M79" s="288">
        <f t="shared" si="8"/>
        <v>46164</v>
      </c>
      <c r="N79" s="274"/>
      <c r="O79" s="131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64">
        <v>46170.0</v>
      </c>
      <c r="B80" s="265" t="s">
        <v>476</v>
      </c>
      <c r="C80" s="265" t="s">
        <v>341</v>
      </c>
      <c r="D80" s="266">
        <v>99.0</v>
      </c>
      <c r="E80" s="267">
        <v>12000.0</v>
      </c>
      <c r="F80" s="268"/>
      <c r="G80" s="268"/>
      <c r="H80" s="269"/>
      <c r="I80" s="269"/>
      <c r="J80" s="270"/>
      <c r="K80" s="271"/>
      <c r="L80" s="272" t="s">
        <v>343</v>
      </c>
      <c r="M80" s="288">
        <f t="shared" si="8"/>
        <v>46269</v>
      </c>
      <c r="N80" s="266">
        <v>956476.0</v>
      </c>
      <c r="O80" s="131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9">
        <v>46170.0</v>
      </c>
      <c r="B81" s="281" t="s">
        <v>477</v>
      </c>
      <c r="C81" s="281" t="s">
        <v>97</v>
      </c>
      <c r="D81" s="282">
        <v>50.0</v>
      </c>
      <c r="E81" s="283">
        <v>22580.0</v>
      </c>
      <c r="F81" s="299"/>
      <c r="G81" s="299"/>
      <c r="H81" s="285">
        <f>sum(E71:E81)</f>
        <v>222720</v>
      </c>
      <c r="I81" s="285">
        <f>'2026 DS'!G239</f>
        <v>222972</v>
      </c>
      <c r="J81" s="286">
        <f>J70+H81-I81</f>
        <v>599935.74</v>
      </c>
      <c r="K81" s="287"/>
      <c r="L81" s="272" t="s">
        <v>343</v>
      </c>
      <c r="M81" s="288">
        <f t="shared" si="8"/>
        <v>46220</v>
      </c>
      <c r="N81" s="266">
        <v>956477.0</v>
      </c>
      <c r="O81" s="131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64">
        <v>46174.0</v>
      </c>
      <c r="B82" s="265" t="s">
        <v>478</v>
      </c>
      <c r="C82" s="265" t="s">
        <v>97</v>
      </c>
      <c r="D82" s="266">
        <v>60.0</v>
      </c>
      <c r="E82" s="267">
        <v>34950.0</v>
      </c>
      <c r="F82" s="268"/>
      <c r="G82" s="268"/>
      <c r="H82" s="269"/>
      <c r="I82" s="269"/>
      <c r="J82" s="270"/>
      <c r="K82" s="271"/>
      <c r="L82" s="272" t="s">
        <v>343</v>
      </c>
      <c r="M82" s="288">
        <f t="shared" si="8"/>
        <v>46234</v>
      </c>
      <c r="N82" s="266"/>
      <c r="O82" s="265" t="s">
        <v>456</v>
      </c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64">
        <v>46174.0</v>
      </c>
      <c r="B83" s="265" t="s">
        <v>479</v>
      </c>
      <c r="C83" s="265" t="s">
        <v>97</v>
      </c>
      <c r="D83" s="266">
        <v>53.0</v>
      </c>
      <c r="E83" s="267">
        <v>4150.0</v>
      </c>
      <c r="F83" s="268"/>
      <c r="G83" s="268"/>
      <c r="H83" s="269"/>
      <c r="I83" s="269"/>
      <c r="J83" s="270"/>
      <c r="K83" s="271"/>
      <c r="L83" s="272" t="s">
        <v>343</v>
      </c>
      <c r="M83" s="288">
        <f t="shared" si="8"/>
        <v>46227</v>
      </c>
      <c r="N83" s="266"/>
      <c r="O83" s="265" t="s">
        <v>456</v>
      </c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64">
        <v>46175.0</v>
      </c>
      <c r="B84" s="265" t="s">
        <v>480</v>
      </c>
      <c r="C84" s="265" t="s">
        <v>341</v>
      </c>
      <c r="D84" s="266">
        <v>90.0</v>
      </c>
      <c r="E84" s="267">
        <v>17260.0</v>
      </c>
      <c r="F84" s="268"/>
      <c r="G84" s="268"/>
      <c r="H84" s="269"/>
      <c r="I84" s="269"/>
      <c r="J84" s="270"/>
      <c r="K84" s="271"/>
      <c r="L84" s="272" t="s">
        <v>343</v>
      </c>
      <c r="M84" s="288">
        <f t="shared" si="8"/>
        <v>46265</v>
      </c>
      <c r="N84" s="266"/>
      <c r="O84" s="265" t="s">
        <v>456</v>
      </c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64">
        <v>46179.0</v>
      </c>
      <c r="B85" s="265" t="s">
        <v>481</v>
      </c>
      <c r="C85" s="265" t="s">
        <v>97</v>
      </c>
      <c r="D85" s="266">
        <v>48.0</v>
      </c>
      <c r="E85" s="267">
        <v>17350.0</v>
      </c>
      <c r="F85" s="268"/>
      <c r="G85" s="268"/>
      <c r="H85" s="269"/>
      <c r="I85" s="269"/>
      <c r="J85" s="270"/>
      <c r="K85" s="271"/>
      <c r="L85" s="272" t="s">
        <v>343</v>
      </c>
      <c r="M85" s="288">
        <f t="shared" si="8"/>
        <v>46227</v>
      </c>
      <c r="N85" s="266">
        <v>956478.0</v>
      </c>
      <c r="O85" s="131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64">
        <v>46182.0</v>
      </c>
      <c r="B86" s="265" t="s">
        <v>482</v>
      </c>
      <c r="C86" s="265" t="s">
        <v>341</v>
      </c>
      <c r="D86" s="266">
        <v>90.0</v>
      </c>
      <c r="E86" s="267">
        <v>7950.0</v>
      </c>
      <c r="F86" s="277"/>
      <c r="G86" s="277"/>
      <c r="H86" s="269"/>
      <c r="I86" s="269"/>
      <c r="J86" s="270"/>
      <c r="K86" s="271"/>
      <c r="L86" s="272" t="s">
        <v>343</v>
      </c>
      <c r="M86" s="288">
        <f t="shared" si="8"/>
        <v>46272</v>
      </c>
      <c r="N86" s="317"/>
      <c r="O86" s="265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64">
        <v>46182.0</v>
      </c>
      <c r="B87" s="265" t="s">
        <v>483</v>
      </c>
      <c r="C87" s="265" t="s">
        <v>97</v>
      </c>
      <c r="D87" s="266">
        <v>59.0</v>
      </c>
      <c r="E87" s="267">
        <v>29350.0</v>
      </c>
      <c r="F87" s="277"/>
      <c r="G87" s="277"/>
      <c r="H87" s="269"/>
      <c r="I87" s="269"/>
      <c r="J87" s="270"/>
      <c r="K87" s="271"/>
      <c r="L87" s="272" t="s">
        <v>343</v>
      </c>
      <c r="M87" s="288">
        <f t="shared" si="8"/>
        <v>46241</v>
      </c>
      <c r="N87" s="317"/>
      <c r="O87" s="265" t="s">
        <v>456</v>
      </c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64">
        <v>46190.0</v>
      </c>
      <c r="B88" s="265" t="s">
        <v>485</v>
      </c>
      <c r="C88" s="265" t="s">
        <v>341</v>
      </c>
      <c r="D88" s="266">
        <v>90.0</v>
      </c>
      <c r="E88" s="267">
        <v>12840.0</v>
      </c>
      <c r="F88" s="277"/>
      <c r="G88" s="277"/>
      <c r="H88" s="269"/>
      <c r="I88" s="269"/>
      <c r="J88" s="270"/>
      <c r="K88" s="271"/>
      <c r="L88" s="272" t="s">
        <v>343</v>
      </c>
      <c r="M88" s="288">
        <f t="shared" si="8"/>
        <v>46280</v>
      </c>
      <c r="N88" s="317">
        <v>956479.0</v>
      </c>
      <c r="O88" s="265" t="s">
        <v>456</v>
      </c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64">
        <v>46190.0</v>
      </c>
      <c r="B89" s="265" t="s">
        <v>486</v>
      </c>
      <c r="C89" s="265" t="s">
        <v>341</v>
      </c>
      <c r="D89" s="266">
        <v>90.0</v>
      </c>
      <c r="E89" s="267">
        <v>3600.0</v>
      </c>
      <c r="F89" s="277"/>
      <c r="G89" s="277"/>
      <c r="H89" s="269"/>
      <c r="I89" s="269"/>
      <c r="J89" s="270"/>
      <c r="K89" s="271"/>
      <c r="L89" s="272" t="s">
        <v>343</v>
      </c>
      <c r="M89" s="288">
        <f t="shared" si="8"/>
        <v>46280</v>
      </c>
      <c r="O89" s="265" t="s">
        <v>456</v>
      </c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64">
        <v>46190.0</v>
      </c>
      <c r="B90" s="265" t="s">
        <v>487</v>
      </c>
      <c r="C90" s="265" t="s">
        <v>369</v>
      </c>
      <c r="D90" s="266">
        <v>30.0</v>
      </c>
      <c r="E90" s="267">
        <v>5570.0</v>
      </c>
      <c r="F90" s="277"/>
      <c r="G90" s="277"/>
      <c r="H90" s="269"/>
      <c r="I90" s="269"/>
      <c r="J90" s="270"/>
      <c r="K90" s="271"/>
      <c r="L90" s="272"/>
      <c r="M90" s="288">
        <f t="shared" si="8"/>
        <v>46220</v>
      </c>
      <c r="N90" s="317"/>
      <c r="O90" s="131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64">
        <v>46190.0</v>
      </c>
      <c r="B91" s="265"/>
      <c r="C91" s="265" t="s">
        <v>369</v>
      </c>
      <c r="D91" s="266">
        <v>30.0</v>
      </c>
      <c r="E91" s="267">
        <v>4284.8</v>
      </c>
      <c r="F91" s="277"/>
      <c r="G91" s="277"/>
      <c r="H91" s="269"/>
      <c r="I91" s="269"/>
      <c r="J91" s="270"/>
      <c r="K91" s="271"/>
      <c r="L91" s="272"/>
      <c r="M91" s="288">
        <f t="shared" si="8"/>
        <v>46220</v>
      </c>
      <c r="N91" s="317"/>
      <c r="O91" s="131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64">
        <v>46192.0</v>
      </c>
      <c r="B92" s="265" t="s">
        <v>489</v>
      </c>
      <c r="C92" s="265" t="s">
        <v>164</v>
      </c>
      <c r="D92" s="266">
        <v>0.0</v>
      </c>
      <c r="E92" s="267">
        <v>63200.0</v>
      </c>
      <c r="F92" s="277"/>
      <c r="G92" s="277"/>
      <c r="H92" s="269"/>
      <c r="I92" s="269"/>
      <c r="J92" s="270"/>
      <c r="K92" s="271"/>
      <c r="L92" s="272" t="s">
        <v>490</v>
      </c>
      <c r="M92" s="288">
        <f t="shared" si="8"/>
        <v>46192</v>
      </c>
      <c r="N92" s="274"/>
      <c r="O92" s="131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64">
        <v>45831.0</v>
      </c>
      <c r="B93" s="265" t="s">
        <v>491</v>
      </c>
      <c r="C93" s="265" t="s">
        <v>97</v>
      </c>
      <c r="D93" s="266">
        <v>52.0</v>
      </c>
      <c r="E93" s="267">
        <v>28360.0</v>
      </c>
      <c r="F93" s="277"/>
      <c r="G93" s="277"/>
      <c r="H93" s="269"/>
      <c r="I93" s="269"/>
      <c r="J93" s="270"/>
      <c r="K93" s="271"/>
      <c r="L93" s="272" t="s">
        <v>343</v>
      </c>
      <c r="M93" s="288">
        <f t="shared" si="8"/>
        <v>45883</v>
      </c>
      <c r="N93" s="274"/>
      <c r="O93" s="265" t="s">
        <v>456</v>
      </c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64">
        <v>46197.0</v>
      </c>
      <c r="B94" s="265" t="s">
        <v>493</v>
      </c>
      <c r="C94" s="265" t="s">
        <v>341</v>
      </c>
      <c r="D94" s="266">
        <v>90.0</v>
      </c>
      <c r="E94" s="267">
        <v>8500.0</v>
      </c>
      <c r="F94" s="277"/>
      <c r="G94" s="277"/>
      <c r="H94" s="269"/>
      <c r="I94" s="269"/>
      <c r="J94" s="270"/>
      <c r="K94" s="271"/>
      <c r="L94" s="272" t="s">
        <v>343</v>
      </c>
      <c r="M94" s="288">
        <f t="shared" si="8"/>
        <v>46287</v>
      </c>
      <c r="N94" s="274"/>
      <c r="O94" s="265" t="s">
        <v>456</v>
      </c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64">
        <v>46197.0</v>
      </c>
      <c r="B95" s="265" t="s">
        <v>485</v>
      </c>
      <c r="C95" s="265" t="s">
        <v>341</v>
      </c>
      <c r="D95" s="266">
        <v>90.0</v>
      </c>
      <c r="E95" s="238">
        <v>8500.0</v>
      </c>
      <c r="F95" s="277"/>
      <c r="G95" s="277"/>
      <c r="H95" s="269"/>
      <c r="I95" s="269"/>
      <c r="J95" s="270"/>
      <c r="K95" s="271"/>
      <c r="L95" s="272" t="s">
        <v>343</v>
      </c>
      <c r="M95" s="288">
        <f t="shared" si="8"/>
        <v>46287</v>
      </c>
      <c r="N95" s="274"/>
      <c r="O95" s="265" t="s">
        <v>456</v>
      </c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64">
        <v>46197.0</v>
      </c>
      <c r="B96" s="265"/>
      <c r="C96" s="265" t="s">
        <v>369</v>
      </c>
      <c r="D96" s="266">
        <v>30.0</v>
      </c>
      <c r="E96" s="238">
        <v>65154.8</v>
      </c>
      <c r="F96" s="277"/>
      <c r="G96" s="277"/>
      <c r="H96" s="269"/>
      <c r="I96" s="269"/>
      <c r="J96" s="270"/>
      <c r="K96" s="271"/>
      <c r="L96" s="272" t="s">
        <v>494</v>
      </c>
      <c r="M96" s="273"/>
      <c r="N96" s="274"/>
      <c r="O96" s="131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64">
        <v>46198.0</v>
      </c>
      <c r="B97" s="265" t="s">
        <v>495</v>
      </c>
      <c r="C97" s="265" t="s">
        <v>97</v>
      </c>
      <c r="D97" s="266">
        <v>57.0</v>
      </c>
      <c r="E97" s="267">
        <v>17500.0</v>
      </c>
      <c r="F97" s="277"/>
      <c r="G97" s="277"/>
      <c r="H97" s="269"/>
      <c r="I97" s="269"/>
      <c r="J97" s="270"/>
      <c r="K97" s="271"/>
      <c r="L97" s="272" t="s">
        <v>343</v>
      </c>
      <c r="M97" s="288">
        <f>A97+D97</f>
        <v>46255</v>
      </c>
      <c r="N97" s="274"/>
      <c r="O97" s="265" t="s">
        <v>456</v>
      </c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64">
        <v>46198.0</v>
      </c>
      <c r="B98" s="265" t="s">
        <v>495</v>
      </c>
      <c r="C98" s="265" t="s">
        <v>496</v>
      </c>
      <c r="D98" s="266"/>
      <c r="E98" s="267">
        <v>1500.0</v>
      </c>
      <c r="F98" s="268"/>
      <c r="G98" s="277"/>
      <c r="H98" s="269"/>
      <c r="I98" s="269"/>
      <c r="J98" s="270"/>
      <c r="K98" s="271"/>
      <c r="L98" s="272"/>
      <c r="M98" s="343">
        <v>46251.0</v>
      </c>
      <c r="N98" s="344">
        <v>956505.0</v>
      </c>
      <c r="O98" s="131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64">
        <v>46198.0</v>
      </c>
      <c r="B99" s="265" t="s">
        <v>500</v>
      </c>
      <c r="C99" s="265" t="s">
        <v>439</v>
      </c>
      <c r="D99" s="266">
        <v>0.0</v>
      </c>
      <c r="E99" s="267">
        <v>13354.8</v>
      </c>
      <c r="F99" s="268"/>
      <c r="G99" s="277"/>
      <c r="H99" s="269"/>
      <c r="I99" s="269"/>
      <c r="J99" s="270"/>
      <c r="K99" s="271"/>
      <c r="L99" s="272" t="s">
        <v>502</v>
      </c>
      <c r="M99" s="273"/>
      <c r="N99" s="274"/>
      <c r="O99" s="131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9">
        <v>46203.0</v>
      </c>
      <c r="B100" s="281" t="s">
        <v>503</v>
      </c>
      <c r="C100" s="281" t="s">
        <v>439</v>
      </c>
      <c r="D100" s="282">
        <v>0.0</v>
      </c>
      <c r="E100" s="283">
        <v>11604.8</v>
      </c>
      <c r="F100" s="299"/>
      <c r="G100" s="284"/>
      <c r="H100" s="285">
        <f>sum(E82:E100)</f>
        <v>354979.2</v>
      </c>
      <c r="I100" s="285">
        <f>'2026 DS'!G291</f>
        <v>319265.8</v>
      </c>
      <c r="J100" s="286">
        <f>J81+H100-I100</f>
        <v>635649.14</v>
      </c>
      <c r="K100" s="287"/>
      <c r="L100" s="361" t="s">
        <v>502</v>
      </c>
      <c r="M100" s="362"/>
      <c r="N100" s="364"/>
      <c r="O100" s="297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</row>
    <row r="101" ht="15.75" customHeight="1">
      <c r="A101" s="264">
        <v>46204.0</v>
      </c>
      <c r="B101" s="265" t="s">
        <v>507</v>
      </c>
      <c r="C101" s="265" t="s">
        <v>97</v>
      </c>
      <c r="D101" s="266">
        <v>51.0</v>
      </c>
      <c r="E101" s="267">
        <v>33705.0</v>
      </c>
      <c r="F101" s="277"/>
      <c r="G101" s="277"/>
      <c r="H101" s="269"/>
      <c r="I101" s="269"/>
      <c r="J101" s="270"/>
      <c r="K101" s="271"/>
      <c r="L101" s="272" t="s">
        <v>343</v>
      </c>
      <c r="M101" s="288">
        <f t="shared" ref="M101:M104" si="9">A101+D101</f>
        <v>46255</v>
      </c>
      <c r="N101" s="274"/>
      <c r="O101" s="265" t="s">
        <v>509</v>
      </c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64">
        <v>46205.0</v>
      </c>
      <c r="B102" s="265" t="s">
        <v>510</v>
      </c>
      <c r="C102" s="265" t="s">
        <v>341</v>
      </c>
      <c r="D102" s="266">
        <v>90.0</v>
      </c>
      <c r="E102" s="267">
        <v>23750.0</v>
      </c>
      <c r="F102" s="277"/>
      <c r="G102" s="277" t="s">
        <v>511</v>
      </c>
      <c r="H102" s="269"/>
      <c r="I102" s="269"/>
      <c r="J102" s="270"/>
      <c r="K102" s="271"/>
      <c r="L102" s="272" t="s">
        <v>343</v>
      </c>
      <c r="M102" s="288">
        <f t="shared" si="9"/>
        <v>46295</v>
      </c>
      <c r="N102" s="274"/>
      <c r="O102" s="265" t="s">
        <v>456</v>
      </c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64">
        <v>46210.0</v>
      </c>
      <c r="B103" s="265" t="s">
        <v>513</v>
      </c>
      <c r="C103" s="265" t="s">
        <v>97</v>
      </c>
      <c r="D103" s="266">
        <v>59.0</v>
      </c>
      <c r="E103" s="267">
        <v>27250.0</v>
      </c>
      <c r="F103" s="277"/>
      <c r="G103" s="277"/>
      <c r="H103" s="269"/>
      <c r="I103" s="269"/>
      <c r="J103" s="270"/>
      <c r="K103" s="271"/>
      <c r="L103" s="272" t="s">
        <v>343</v>
      </c>
      <c r="M103" s="288">
        <f t="shared" si="9"/>
        <v>46269</v>
      </c>
      <c r="N103" s="274"/>
      <c r="O103" s="265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64">
        <v>46210.0</v>
      </c>
      <c r="B104" s="379" t="s">
        <v>514</v>
      </c>
      <c r="C104" s="379" t="s">
        <v>164</v>
      </c>
      <c r="D104" s="381">
        <v>20.0</v>
      </c>
      <c r="E104" s="384">
        <v>79000.0</v>
      </c>
      <c r="F104" s="277"/>
      <c r="G104" s="277"/>
      <c r="H104" s="269"/>
      <c r="I104" s="269"/>
      <c r="J104" s="270"/>
      <c r="K104" s="271"/>
      <c r="L104" s="272" t="s">
        <v>515</v>
      </c>
      <c r="M104" s="288">
        <f t="shared" si="9"/>
        <v>46230</v>
      </c>
      <c r="N104" s="274"/>
      <c r="O104" s="265" t="s">
        <v>456</v>
      </c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64">
        <v>46211.0</v>
      </c>
      <c r="B105" s="265" t="s">
        <v>516</v>
      </c>
      <c r="C105" s="265" t="s">
        <v>517</v>
      </c>
      <c r="D105" s="266">
        <v>0.0</v>
      </c>
      <c r="E105" s="238">
        <v>9854.8</v>
      </c>
      <c r="F105" s="277"/>
      <c r="G105" s="277"/>
      <c r="H105" s="269"/>
      <c r="I105" s="269"/>
      <c r="J105" s="270"/>
      <c r="K105" s="271"/>
      <c r="L105" s="272" t="s">
        <v>502</v>
      </c>
      <c r="M105" s="273"/>
      <c r="N105" s="274"/>
      <c r="O105" s="131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64">
        <v>46211.0</v>
      </c>
      <c r="B106" s="265" t="s">
        <v>485</v>
      </c>
      <c r="C106" s="265" t="s">
        <v>341</v>
      </c>
      <c r="D106" s="266">
        <v>90.0</v>
      </c>
      <c r="E106" s="386">
        <v>19400.0</v>
      </c>
      <c r="F106" s="268"/>
      <c r="G106" s="268"/>
      <c r="H106" s="269"/>
      <c r="I106" s="269"/>
      <c r="J106" s="270"/>
      <c r="K106" s="271"/>
      <c r="L106" s="272" t="s">
        <v>343</v>
      </c>
      <c r="M106" s="288">
        <f>A106+D106</f>
        <v>46301</v>
      </c>
      <c r="N106" s="274"/>
      <c r="O106" s="131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64">
        <v>46211.0</v>
      </c>
      <c r="B107" s="265"/>
      <c r="C107" s="265" t="s">
        <v>519</v>
      </c>
      <c r="D107" s="266">
        <v>0.0</v>
      </c>
      <c r="E107" s="267">
        <v>1300.0</v>
      </c>
      <c r="F107" s="268"/>
      <c r="G107" s="268"/>
      <c r="H107" s="269"/>
      <c r="I107" s="269"/>
      <c r="J107" s="270"/>
      <c r="K107" s="271"/>
      <c r="L107" s="272" t="s">
        <v>515</v>
      </c>
      <c r="M107" s="273"/>
      <c r="N107" s="274"/>
      <c r="O107" s="131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64">
        <v>46216.0</v>
      </c>
      <c r="B108" s="265" t="s">
        <v>522</v>
      </c>
      <c r="C108" s="265" t="s">
        <v>517</v>
      </c>
      <c r="D108" s="266">
        <v>0.0</v>
      </c>
      <c r="E108" s="267">
        <v>5570.0</v>
      </c>
      <c r="F108" s="268"/>
      <c r="G108" s="268"/>
      <c r="H108" s="269"/>
      <c r="I108" s="269"/>
      <c r="J108" s="270"/>
      <c r="K108" s="271"/>
      <c r="L108" s="272" t="s">
        <v>502</v>
      </c>
      <c r="M108" s="273"/>
      <c r="N108" s="274"/>
      <c r="O108" s="131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64">
        <v>46217.0</v>
      </c>
      <c r="B109" s="265" t="s">
        <v>524</v>
      </c>
      <c r="C109" s="265" t="s">
        <v>517</v>
      </c>
      <c r="D109" s="266">
        <v>0.0</v>
      </c>
      <c r="E109" s="267">
        <v>9854.8</v>
      </c>
      <c r="F109" s="268"/>
      <c r="G109" s="268"/>
      <c r="H109" s="269"/>
      <c r="I109" s="269"/>
      <c r="J109" s="270"/>
      <c r="K109" s="271"/>
      <c r="L109" s="272" t="s">
        <v>502</v>
      </c>
      <c r="M109" s="273"/>
      <c r="N109" s="274"/>
      <c r="O109" s="131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64">
        <v>46218.0</v>
      </c>
      <c r="B110" s="265" t="s">
        <v>525</v>
      </c>
      <c r="C110" s="265" t="s">
        <v>97</v>
      </c>
      <c r="D110" s="266">
        <v>44.0</v>
      </c>
      <c r="E110" s="267">
        <v>45750.0</v>
      </c>
      <c r="F110" s="268"/>
      <c r="G110" s="268"/>
      <c r="H110" s="269"/>
      <c r="I110" s="269"/>
      <c r="J110" s="270"/>
      <c r="K110" s="271"/>
      <c r="L110" s="272" t="s">
        <v>343</v>
      </c>
      <c r="M110" s="288">
        <f t="shared" ref="M110:M125" si="10">A110+D110</f>
        <v>46262</v>
      </c>
      <c r="N110" s="274"/>
      <c r="O110" s="265" t="s">
        <v>529</v>
      </c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37">
        <v>46218.0</v>
      </c>
      <c r="B111" s="151" t="s">
        <v>531</v>
      </c>
      <c r="C111" s="151" t="s">
        <v>341</v>
      </c>
      <c r="D111" s="205">
        <v>93.0</v>
      </c>
      <c r="E111" s="238">
        <v>37830.0</v>
      </c>
      <c r="F111" s="268"/>
      <c r="G111" s="268"/>
      <c r="H111" s="269"/>
      <c r="I111" s="269"/>
      <c r="J111" s="270"/>
      <c r="K111" s="271"/>
      <c r="L111" s="272" t="s">
        <v>343</v>
      </c>
      <c r="M111" s="293">
        <f t="shared" si="10"/>
        <v>46311</v>
      </c>
      <c r="N111" s="274"/>
      <c r="O111" s="265" t="s">
        <v>533</v>
      </c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64">
        <v>46218.0</v>
      </c>
      <c r="B112" s="379" t="s">
        <v>535</v>
      </c>
      <c r="C112" s="379" t="s">
        <v>164</v>
      </c>
      <c r="D112" s="381">
        <v>20.0</v>
      </c>
      <c r="E112" s="384">
        <v>79000.0</v>
      </c>
      <c r="F112" s="268"/>
      <c r="G112" s="268"/>
      <c r="H112" s="269"/>
      <c r="I112" s="269"/>
      <c r="J112" s="270"/>
      <c r="K112" s="271"/>
      <c r="L112" s="272" t="s">
        <v>515</v>
      </c>
      <c r="M112" s="288">
        <f t="shared" si="10"/>
        <v>46238</v>
      </c>
      <c r="N112" s="274"/>
      <c r="O112" s="131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64">
        <v>46224.0</v>
      </c>
      <c r="B113" s="265" t="s">
        <v>536</v>
      </c>
      <c r="C113" s="265" t="s">
        <v>97</v>
      </c>
      <c r="D113" s="266">
        <v>52.0</v>
      </c>
      <c r="E113" s="267">
        <v>18500.0</v>
      </c>
      <c r="F113" s="268"/>
      <c r="G113" s="268"/>
      <c r="H113" s="269"/>
      <c r="I113" s="269"/>
      <c r="J113" s="270"/>
      <c r="K113" s="271"/>
      <c r="L113" s="272" t="s">
        <v>343</v>
      </c>
      <c r="M113" s="288">
        <f t="shared" si="10"/>
        <v>46276</v>
      </c>
      <c r="N113" s="344">
        <v>956506.0</v>
      </c>
      <c r="O113" s="131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64">
        <v>46225.0</v>
      </c>
      <c r="B114" s="265" t="s">
        <v>539</v>
      </c>
      <c r="C114" s="265" t="s">
        <v>97</v>
      </c>
      <c r="D114" s="266">
        <v>58.0</v>
      </c>
      <c r="E114" s="267">
        <v>16625.0</v>
      </c>
      <c r="F114" s="268"/>
      <c r="G114" s="268"/>
      <c r="H114" s="269"/>
      <c r="I114" s="269"/>
      <c r="J114" s="270"/>
      <c r="K114" s="271"/>
      <c r="L114" s="272" t="s">
        <v>343</v>
      </c>
      <c r="M114" s="288">
        <f t="shared" si="10"/>
        <v>46283</v>
      </c>
      <c r="N114" s="344">
        <v>956507.0</v>
      </c>
      <c r="O114" s="131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64">
        <v>46225.0</v>
      </c>
      <c r="B115" s="265" t="s">
        <v>542</v>
      </c>
      <c r="C115" s="265" t="s">
        <v>164</v>
      </c>
      <c r="D115" s="266">
        <v>30.0</v>
      </c>
      <c r="E115" s="267">
        <v>79000.0</v>
      </c>
      <c r="F115" s="268"/>
      <c r="G115" s="268"/>
      <c r="H115" s="269"/>
      <c r="I115" s="269"/>
      <c r="J115" s="270"/>
      <c r="K115" s="271"/>
      <c r="L115" s="272" t="s">
        <v>515</v>
      </c>
      <c r="M115" s="288">
        <f t="shared" si="10"/>
        <v>46255</v>
      </c>
      <c r="N115" s="274"/>
      <c r="O115" s="131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64">
        <v>46225.0</v>
      </c>
      <c r="B116" s="265" t="s">
        <v>493</v>
      </c>
      <c r="C116" s="265" t="s">
        <v>341</v>
      </c>
      <c r="D116" s="266">
        <v>90.0</v>
      </c>
      <c r="E116" s="267">
        <v>25150.0</v>
      </c>
      <c r="F116" s="268"/>
      <c r="G116" s="268"/>
      <c r="H116" s="269"/>
      <c r="I116" s="269"/>
      <c r="J116" s="270"/>
      <c r="K116" s="271"/>
      <c r="L116" s="272" t="s">
        <v>343</v>
      </c>
      <c r="M116" s="288">
        <f t="shared" si="10"/>
        <v>46315</v>
      </c>
      <c r="N116" s="344">
        <v>956508.0</v>
      </c>
      <c r="O116" s="131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64">
        <v>46226.0</v>
      </c>
      <c r="B117" s="379" t="s">
        <v>544</v>
      </c>
      <c r="C117" s="379" t="s">
        <v>164</v>
      </c>
      <c r="D117" s="381">
        <v>30.0</v>
      </c>
      <c r="E117" s="384">
        <v>47400.0</v>
      </c>
      <c r="F117" s="268"/>
      <c r="G117" s="268"/>
      <c r="H117" s="269"/>
      <c r="I117" s="269"/>
      <c r="J117" s="270"/>
      <c r="K117" s="271"/>
      <c r="L117" s="272" t="s">
        <v>515</v>
      </c>
      <c r="M117" s="288">
        <f t="shared" si="10"/>
        <v>46256</v>
      </c>
      <c r="N117" s="344"/>
      <c r="O117" s="131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64">
        <v>46230.0</v>
      </c>
      <c r="B118" s="265" t="s">
        <v>546</v>
      </c>
      <c r="C118" s="265" t="s">
        <v>405</v>
      </c>
      <c r="D118" s="266">
        <v>90.0</v>
      </c>
      <c r="E118" s="267">
        <v>68976.0</v>
      </c>
      <c r="F118" s="268"/>
      <c r="G118" s="268"/>
      <c r="H118" s="269"/>
      <c r="I118" s="269"/>
      <c r="J118" s="270"/>
      <c r="K118" s="271"/>
      <c r="L118" s="272" t="s">
        <v>343</v>
      </c>
      <c r="M118" s="288">
        <f t="shared" si="10"/>
        <v>46320</v>
      </c>
      <c r="N118" s="344" t="s">
        <v>547</v>
      </c>
      <c r="O118" s="265" t="s">
        <v>548</v>
      </c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312">
        <v>46232.0</v>
      </c>
      <c r="B119" s="416" t="s">
        <v>549</v>
      </c>
      <c r="C119" s="416" t="s">
        <v>97</v>
      </c>
      <c r="D119" s="419">
        <v>58.0</v>
      </c>
      <c r="E119" s="422">
        <v>7100.0</v>
      </c>
      <c r="F119" s="268"/>
      <c r="G119" s="268"/>
      <c r="H119" s="269"/>
      <c r="I119" s="269"/>
      <c r="J119" s="270"/>
      <c r="K119" s="271"/>
      <c r="L119" s="272" t="s">
        <v>343</v>
      </c>
      <c r="M119" s="293">
        <f t="shared" si="10"/>
        <v>46290</v>
      </c>
      <c r="N119" s="423">
        <v>953523.0</v>
      </c>
      <c r="O119" s="265" t="s">
        <v>555</v>
      </c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37">
        <v>46232.0</v>
      </c>
      <c r="B120" s="151" t="s">
        <v>558</v>
      </c>
      <c r="C120" s="151" t="s">
        <v>97</v>
      </c>
      <c r="D120" s="205">
        <v>51.0</v>
      </c>
      <c r="E120" s="427">
        <v>32400.0</v>
      </c>
      <c r="J120" s="270"/>
      <c r="K120" s="271"/>
      <c r="L120" s="272" t="s">
        <v>343</v>
      </c>
      <c r="M120" s="293">
        <f t="shared" si="10"/>
        <v>46283</v>
      </c>
      <c r="N120" s="344" t="s">
        <v>561</v>
      </c>
      <c r="O120" s="265" t="s">
        <v>563</v>
      </c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64">
        <v>46232.0</v>
      </c>
      <c r="B121" s="265" t="s">
        <v>493</v>
      </c>
      <c r="C121" s="265" t="s">
        <v>341</v>
      </c>
      <c r="D121" s="266">
        <v>90.0</v>
      </c>
      <c r="E121" s="267">
        <v>23100.0</v>
      </c>
      <c r="F121" s="268"/>
      <c r="G121" s="268"/>
      <c r="H121" s="269"/>
      <c r="I121" s="269"/>
      <c r="J121" s="270"/>
      <c r="K121" s="271"/>
      <c r="L121" s="272" t="s">
        <v>343</v>
      </c>
      <c r="M121" s="288">
        <f t="shared" si="10"/>
        <v>46322</v>
      </c>
      <c r="N121" s="344">
        <v>956515.0</v>
      </c>
      <c r="O121" s="131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434">
        <v>46238.0</v>
      </c>
      <c r="B122" s="435" t="s">
        <v>569</v>
      </c>
      <c r="C122" s="435" t="s">
        <v>341</v>
      </c>
      <c r="D122" s="436">
        <v>90.0</v>
      </c>
      <c r="E122" s="438">
        <v>14250.0</v>
      </c>
      <c r="F122" s="439"/>
      <c r="G122" s="439"/>
      <c r="H122" s="441"/>
      <c r="I122" s="441"/>
      <c r="J122" s="442"/>
      <c r="K122" s="443"/>
      <c r="L122" s="272" t="s">
        <v>343</v>
      </c>
      <c r="M122" s="444">
        <f t="shared" si="10"/>
        <v>46328</v>
      </c>
      <c r="N122" s="445">
        <v>956516.0</v>
      </c>
      <c r="O122" s="446"/>
      <c r="P122" s="448"/>
      <c r="Q122" s="448"/>
      <c r="R122" s="448"/>
      <c r="S122" s="448"/>
      <c r="T122" s="448"/>
      <c r="U122" s="448"/>
      <c r="V122" s="448"/>
      <c r="W122" s="448"/>
      <c r="X122" s="448"/>
      <c r="Y122" s="448"/>
      <c r="Z122" s="448"/>
    </row>
    <row r="123" ht="15.75" customHeight="1">
      <c r="A123" s="264">
        <v>46239.0</v>
      </c>
      <c r="B123" s="265" t="s">
        <v>573</v>
      </c>
      <c r="C123" s="265" t="s">
        <v>97</v>
      </c>
      <c r="D123" s="266">
        <v>45.0</v>
      </c>
      <c r="E123" s="267">
        <v>2600.0</v>
      </c>
      <c r="F123" s="268"/>
      <c r="G123" s="268"/>
      <c r="H123" s="269"/>
      <c r="I123" s="269"/>
      <c r="J123" s="270"/>
      <c r="K123" s="271"/>
      <c r="L123" s="272" t="s">
        <v>343</v>
      </c>
      <c r="M123" s="288">
        <f t="shared" si="10"/>
        <v>46284</v>
      </c>
      <c r="N123" s="344">
        <v>956517.0</v>
      </c>
      <c r="O123" s="131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64">
        <v>46239.0</v>
      </c>
      <c r="B124" s="265" t="s">
        <v>574</v>
      </c>
      <c r="C124" s="265" t="s">
        <v>97</v>
      </c>
      <c r="D124" s="266">
        <v>45.0</v>
      </c>
      <c r="E124" s="267">
        <v>45800.0</v>
      </c>
      <c r="F124" s="268"/>
      <c r="G124" s="268"/>
      <c r="H124" s="269"/>
      <c r="I124" s="269"/>
      <c r="J124" s="270"/>
      <c r="K124" s="271"/>
      <c r="L124" s="272" t="s">
        <v>343</v>
      </c>
      <c r="M124" s="288">
        <f t="shared" si="10"/>
        <v>46284</v>
      </c>
      <c r="N124" s="344" t="s">
        <v>575</v>
      </c>
      <c r="O124" s="265" t="s">
        <v>576</v>
      </c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64">
        <v>46239.0</v>
      </c>
      <c r="B125" s="379" t="s">
        <v>579</v>
      </c>
      <c r="C125" s="379" t="s">
        <v>164</v>
      </c>
      <c r="D125" s="381">
        <v>30.0</v>
      </c>
      <c r="E125" s="384">
        <v>12000.0</v>
      </c>
      <c r="F125" s="268"/>
      <c r="G125" s="268"/>
      <c r="H125" s="269"/>
      <c r="I125" s="269"/>
      <c r="J125" s="270"/>
      <c r="K125" s="271"/>
      <c r="L125" s="272" t="s">
        <v>515</v>
      </c>
      <c r="M125" s="288">
        <f t="shared" si="10"/>
        <v>46269</v>
      </c>
      <c r="N125" s="274"/>
      <c r="O125" s="131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64">
        <v>46241.0</v>
      </c>
      <c r="B126" s="379" t="s">
        <v>581</v>
      </c>
      <c r="C126" s="379" t="s">
        <v>164</v>
      </c>
      <c r="D126" s="381">
        <v>30.0</v>
      </c>
      <c r="E126" s="384">
        <v>47400.0</v>
      </c>
      <c r="F126" s="268"/>
      <c r="G126" s="268"/>
      <c r="H126" s="269"/>
      <c r="I126" s="269"/>
      <c r="J126" s="270"/>
      <c r="K126" s="271"/>
      <c r="L126" s="272"/>
      <c r="M126" s="273"/>
      <c r="N126" s="344"/>
      <c r="O126" s="131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64">
        <v>46247.0</v>
      </c>
      <c r="B127" s="265" t="s">
        <v>585</v>
      </c>
      <c r="C127" s="265" t="s">
        <v>97</v>
      </c>
      <c r="D127" s="266">
        <v>57.0</v>
      </c>
      <c r="E127" s="267">
        <v>17980.0</v>
      </c>
      <c r="F127" s="268"/>
      <c r="G127" s="268"/>
      <c r="H127" s="269"/>
      <c r="I127" s="269"/>
      <c r="J127" s="270"/>
      <c r="K127" s="271"/>
      <c r="L127" s="272" t="s">
        <v>343</v>
      </c>
      <c r="M127" s="288">
        <f t="shared" ref="M127:M144" si="11">A127+D127</f>
        <v>46304</v>
      </c>
      <c r="N127" s="344">
        <v>956520.0</v>
      </c>
      <c r="O127" s="131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37">
        <v>46253.0</v>
      </c>
      <c r="B128" s="464" t="s">
        <v>588</v>
      </c>
      <c r="C128" s="464" t="s">
        <v>589</v>
      </c>
      <c r="D128" s="464">
        <v>45.0</v>
      </c>
      <c r="E128" s="465">
        <v>24300.0</v>
      </c>
      <c r="L128" s="272" t="s">
        <v>515</v>
      </c>
      <c r="M128" s="293">
        <f t="shared" si="11"/>
        <v>46298</v>
      </c>
    </row>
    <row r="129" ht="15.75" customHeight="1">
      <c r="A129" s="264">
        <v>46253.0</v>
      </c>
      <c r="B129" s="265" t="s">
        <v>591</v>
      </c>
      <c r="C129" s="265" t="s">
        <v>97</v>
      </c>
      <c r="D129" s="266">
        <v>51.0</v>
      </c>
      <c r="E129" s="267">
        <v>35015.0</v>
      </c>
      <c r="F129" s="268"/>
      <c r="G129" s="268"/>
      <c r="H129" s="269"/>
      <c r="I129" s="269"/>
      <c r="J129" s="270"/>
      <c r="K129" s="271"/>
      <c r="L129" s="272" t="s">
        <v>343</v>
      </c>
      <c r="M129" s="466">
        <f t="shared" si="11"/>
        <v>46304</v>
      </c>
      <c r="N129" s="274"/>
      <c r="O129" s="131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64">
        <v>46253.0</v>
      </c>
      <c r="B130" s="265" t="s">
        <v>569</v>
      </c>
      <c r="C130" s="265" t="s">
        <v>341</v>
      </c>
      <c r="D130" s="266">
        <v>90.0</v>
      </c>
      <c r="E130" s="267">
        <v>6000.0</v>
      </c>
      <c r="F130" s="268"/>
      <c r="G130" s="268"/>
      <c r="H130" s="269"/>
      <c r="I130" s="269"/>
      <c r="J130" s="270"/>
      <c r="K130" s="271"/>
      <c r="L130" s="272" t="s">
        <v>343</v>
      </c>
      <c r="M130" s="288">
        <f t="shared" si="11"/>
        <v>46343</v>
      </c>
      <c r="N130" s="274"/>
      <c r="O130" s="131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64">
        <v>46255.0</v>
      </c>
      <c r="B131" s="379" t="s">
        <v>579</v>
      </c>
      <c r="C131" s="379" t="s">
        <v>593</v>
      </c>
      <c r="D131" s="381">
        <v>35.0</v>
      </c>
      <c r="E131" s="384">
        <v>12000.0</v>
      </c>
      <c r="F131" s="268"/>
      <c r="G131" s="268"/>
      <c r="H131" s="269"/>
      <c r="I131" s="269"/>
      <c r="J131" s="270"/>
      <c r="K131" s="271"/>
      <c r="L131" s="272" t="s">
        <v>515</v>
      </c>
      <c r="M131" s="466">
        <f t="shared" si="11"/>
        <v>46290</v>
      </c>
      <c r="N131" s="274"/>
      <c r="O131" s="131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64">
        <v>46260.0</v>
      </c>
      <c r="B132" s="265" t="s">
        <v>595</v>
      </c>
      <c r="C132" s="265" t="s">
        <v>97</v>
      </c>
      <c r="D132" s="266">
        <v>58.0</v>
      </c>
      <c r="E132" s="267">
        <v>11100.0</v>
      </c>
      <c r="F132" s="268"/>
      <c r="G132" s="268"/>
      <c r="H132" s="269"/>
      <c r="I132" s="269"/>
      <c r="J132" s="270"/>
      <c r="K132" s="271"/>
      <c r="L132" s="272" t="s">
        <v>343</v>
      </c>
      <c r="M132" s="466">
        <f t="shared" si="11"/>
        <v>46318</v>
      </c>
      <c r="N132" s="274"/>
      <c r="O132" s="131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64">
        <v>46260.0</v>
      </c>
      <c r="B133" s="379" t="s">
        <v>596</v>
      </c>
      <c r="C133" s="379" t="s">
        <v>164</v>
      </c>
      <c r="D133" s="381">
        <v>37.0</v>
      </c>
      <c r="E133" s="384">
        <v>40500.0</v>
      </c>
      <c r="F133" s="268"/>
      <c r="G133" s="268"/>
      <c r="H133" s="269"/>
      <c r="I133" s="269"/>
      <c r="J133" s="270"/>
      <c r="K133" s="271"/>
      <c r="L133" s="272" t="s">
        <v>515</v>
      </c>
      <c r="M133" s="288">
        <f t="shared" si="11"/>
        <v>46297</v>
      </c>
      <c r="N133" s="274"/>
      <c r="O133" s="131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64">
        <v>46260.0</v>
      </c>
      <c r="B134" s="265" t="s">
        <v>599</v>
      </c>
      <c r="C134" s="265" t="s">
        <v>517</v>
      </c>
      <c r="D134" s="266">
        <v>0.0</v>
      </c>
      <c r="E134" s="267">
        <v>25708.8</v>
      </c>
      <c r="F134" s="268"/>
      <c r="G134" s="268"/>
      <c r="H134" s="269"/>
      <c r="I134" s="269"/>
      <c r="J134" s="270"/>
      <c r="K134" s="271"/>
      <c r="L134" s="272" t="s">
        <v>351</v>
      </c>
      <c r="M134" s="288">
        <f t="shared" si="11"/>
        <v>46260</v>
      </c>
      <c r="N134" s="274"/>
      <c r="O134" s="131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64">
        <v>46260.0</v>
      </c>
      <c r="B135" s="265" t="s">
        <v>602</v>
      </c>
      <c r="C135" s="265" t="s">
        <v>341</v>
      </c>
      <c r="D135" s="266">
        <v>90.0</v>
      </c>
      <c r="E135" s="267">
        <v>17500.0</v>
      </c>
      <c r="F135" s="268"/>
      <c r="G135" s="268"/>
      <c r="H135" s="269"/>
      <c r="I135" s="269"/>
      <c r="J135" s="270"/>
      <c r="K135" s="271"/>
      <c r="L135" s="272" t="s">
        <v>343</v>
      </c>
      <c r="M135" s="466">
        <f t="shared" si="11"/>
        <v>46350</v>
      </c>
      <c r="N135" s="274"/>
      <c r="O135" s="131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64">
        <v>46267.0</v>
      </c>
      <c r="B136" s="265" t="s">
        <v>604</v>
      </c>
      <c r="C136" s="265" t="s">
        <v>97</v>
      </c>
      <c r="D136" s="266">
        <v>58.0</v>
      </c>
      <c r="E136" s="267">
        <v>14400.0</v>
      </c>
      <c r="F136" s="268"/>
      <c r="G136" s="268"/>
      <c r="H136" s="269"/>
      <c r="I136" s="269"/>
      <c r="J136" s="270"/>
      <c r="K136" s="271"/>
      <c r="L136" s="272" t="s">
        <v>343</v>
      </c>
      <c r="M136" s="466">
        <f t="shared" si="11"/>
        <v>46325</v>
      </c>
      <c r="N136" s="274"/>
      <c r="O136" s="131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64">
        <v>46267.0</v>
      </c>
      <c r="B137" s="265" t="s">
        <v>607</v>
      </c>
      <c r="C137" s="265" t="s">
        <v>517</v>
      </c>
      <c r="D137" s="266">
        <v>0.0</v>
      </c>
      <c r="E137" s="267">
        <v>10962.2</v>
      </c>
      <c r="F137" s="268"/>
      <c r="G137" s="268"/>
      <c r="H137" s="269"/>
      <c r="I137" s="269"/>
      <c r="J137" s="270"/>
      <c r="K137" s="271"/>
      <c r="L137" s="272" t="s">
        <v>351</v>
      </c>
      <c r="M137" s="288">
        <f t="shared" si="11"/>
        <v>46267</v>
      </c>
      <c r="N137" s="274"/>
      <c r="O137" s="131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64">
        <v>46267.0</v>
      </c>
      <c r="B138" s="265"/>
      <c r="C138" s="265" t="s">
        <v>186</v>
      </c>
      <c r="D138" s="266">
        <v>93.0</v>
      </c>
      <c r="E138" s="267">
        <v>10660.0</v>
      </c>
      <c r="F138" s="268"/>
      <c r="G138" s="268"/>
      <c r="H138" s="269"/>
      <c r="I138" s="269"/>
      <c r="J138" s="270"/>
      <c r="K138" s="271"/>
      <c r="L138" s="272"/>
      <c r="M138" s="288">
        <f t="shared" si="11"/>
        <v>46360</v>
      </c>
      <c r="N138" s="274"/>
      <c r="O138" s="131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64">
        <v>46274.0</v>
      </c>
      <c r="B139" s="265" t="s">
        <v>608</v>
      </c>
      <c r="C139" s="265" t="s">
        <v>97</v>
      </c>
      <c r="D139" s="266">
        <v>58.0</v>
      </c>
      <c r="E139" s="267">
        <v>5650.0</v>
      </c>
      <c r="F139" s="268"/>
      <c r="G139" s="268"/>
      <c r="H139" s="269"/>
      <c r="I139" s="269"/>
      <c r="J139" s="270"/>
      <c r="K139" s="271"/>
      <c r="L139" s="273"/>
      <c r="M139" s="288">
        <f t="shared" si="11"/>
        <v>46332</v>
      </c>
      <c r="N139" s="274"/>
      <c r="O139" s="131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64">
        <v>46280.0</v>
      </c>
      <c r="B140" s="265" t="s">
        <v>609</v>
      </c>
      <c r="C140" s="265" t="s">
        <v>97</v>
      </c>
      <c r="D140" s="266">
        <v>59.0</v>
      </c>
      <c r="E140" s="267">
        <v>24950.0</v>
      </c>
      <c r="F140" s="268"/>
      <c r="G140" s="268"/>
      <c r="H140" s="269"/>
      <c r="I140" s="269"/>
      <c r="J140" s="270"/>
      <c r="K140" s="271"/>
      <c r="L140" s="273"/>
      <c r="M140" s="288">
        <f t="shared" si="11"/>
        <v>46339</v>
      </c>
      <c r="N140" s="274"/>
      <c r="O140" s="131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64">
        <v>46282.0</v>
      </c>
      <c r="B141" s="379" t="s">
        <v>611</v>
      </c>
      <c r="C141" s="379" t="s">
        <v>164</v>
      </c>
      <c r="D141" s="475"/>
      <c r="E141" s="384">
        <v>40500.0</v>
      </c>
      <c r="F141" s="268"/>
      <c r="G141" s="268"/>
      <c r="H141" s="269"/>
      <c r="I141" s="269"/>
      <c r="J141" s="270"/>
      <c r="K141" s="271"/>
      <c r="L141" s="272" t="s">
        <v>515</v>
      </c>
      <c r="M141" s="288">
        <f t="shared" si="11"/>
        <v>46282</v>
      </c>
      <c r="N141" s="274"/>
      <c r="O141" s="131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64">
        <v>46288.0</v>
      </c>
      <c r="B142" s="265" t="s">
        <v>612</v>
      </c>
      <c r="C142" s="265" t="s">
        <v>97</v>
      </c>
      <c r="D142" s="266">
        <v>51.0</v>
      </c>
      <c r="E142" s="267">
        <v>7700.0</v>
      </c>
      <c r="F142" s="268"/>
      <c r="G142" s="268"/>
      <c r="H142" s="269"/>
      <c r="I142" s="269"/>
      <c r="J142" s="270"/>
      <c r="K142" s="271"/>
      <c r="L142" s="273"/>
      <c r="M142" s="288">
        <f t="shared" si="11"/>
        <v>46339</v>
      </c>
      <c r="N142" s="274"/>
      <c r="O142" s="131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64">
        <v>46288.0</v>
      </c>
      <c r="B143" s="265" t="s">
        <v>615</v>
      </c>
      <c r="C143" s="265" t="s">
        <v>97</v>
      </c>
      <c r="D143" s="266">
        <v>58.0</v>
      </c>
      <c r="E143" s="267">
        <v>27900.0</v>
      </c>
      <c r="F143" s="268"/>
      <c r="G143" s="268"/>
      <c r="H143" s="269"/>
      <c r="I143" s="269"/>
      <c r="J143" s="270"/>
      <c r="K143" s="271"/>
      <c r="L143" s="273"/>
      <c r="M143" s="288">
        <f t="shared" si="11"/>
        <v>46346</v>
      </c>
      <c r="N143" s="274"/>
      <c r="O143" s="131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64">
        <v>46288.0</v>
      </c>
      <c r="B144" s="265" t="s">
        <v>616</v>
      </c>
      <c r="C144" s="265" t="s">
        <v>341</v>
      </c>
      <c r="D144" s="266">
        <v>121.0</v>
      </c>
      <c r="E144" s="267">
        <v>22750.0</v>
      </c>
      <c r="F144" s="268"/>
      <c r="G144" s="268"/>
      <c r="H144" s="269"/>
      <c r="I144" s="269"/>
      <c r="J144" s="270"/>
      <c r="K144" s="271"/>
      <c r="L144" s="273"/>
      <c r="M144" s="288">
        <f t="shared" si="11"/>
        <v>46409</v>
      </c>
      <c r="N144" s="274"/>
      <c r="O144" s="131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64">
        <v>46290.0</v>
      </c>
      <c r="B145" s="379" t="s">
        <v>617</v>
      </c>
      <c r="C145" s="379" t="s">
        <v>589</v>
      </c>
      <c r="D145" s="381"/>
      <c r="E145" s="384">
        <v>65000.0</v>
      </c>
      <c r="F145" s="268"/>
      <c r="G145" s="268"/>
      <c r="H145" s="269"/>
      <c r="I145" s="269"/>
      <c r="J145" s="270"/>
      <c r="K145" s="271"/>
      <c r="L145" s="272" t="s">
        <v>515</v>
      </c>
      <c r="M145" s="273"/>
      <c r="N145" s="274"/>
      <c r="O145" s="131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64">
        <v>46288.0</v>
      </c>
      <c r="B146" s="379" t="s">
        <v>618</v>
      </c>
      <c r="C146" s="379" t="s">
        <v>164</v>
      </c>
      <c r="D146" s="475"/>
      <c r="E146" s="384">
        <v>40500.0</v>
      </c>
      <c r="F146" s="268"/>
      <c r="G146" s="268"/>
      <c r="H146" s="269"/>
      <c r="I146" s="269"/>
      <c r="J146" s="270"/>
      <c r="K146" s="271"/>
      <c r="L146" s="272" t="s">
        <v>515</v>
      </c>
      <c r="M146" s="288">
        <f t="shared" ref="M146:M148" si="12">A146+D146</f>
        <v>46288</v>
      </c>
      <c r="N146" s="274"/>
      <c r="O146" s="131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64">
        <v>46290.0</v>
      </c>
      <c r="B147" s="265" t="s">
        <v>619</v>
      </c>
      <c r="C147" s="265" t="s">
        <v>97</v>
      </c>
      <c r="D147" s="266">
        <v>63.0</v>
      </c>
      <c r="E147" s="267">
        <v>15450.0</v>
      </c>
      <c r="F147" s="268"/>
      <c r="G147" s="268"/>
      <c r="H147" s="269"/>
      <c r="I147" s="269"/>
      <c r="J147" s="270"/>
      <c r="K147" s="271"/>
      <c r="L147" s="273"/>
      <c r="M147" s="288">
        <f t="shared" si="12"/>
        <v>46353</v>
      </c>
      <c r="N147" s="274"/>
      <c r="O147" s="131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64">
        <v>46296.0</v>
      </c>
      <c r="B148" s="265" t="s">
        <v>621</v>
      </c>
      <c r="C148" s="265" t="s">
        <v>341</v>
      </c>
      <c r="D148" s="266">
        <v>120.0</v>
      </c>
      <c r="E148" s="267">
        <v>27550.0</v>
      </c>
      <c r="F148" s="268"/>
      <c r="G148" s="268"/>
      <c r="H148" s="269"/>
      <c r="I148" s="269"/>
      <c r="J148" s="270"/>
      <c r="K148" s="271"/>
      <c r="L148" s="273"/>
      <c r="M148" s="288">
        <f t="shared" si="12"/>
        <v>46416</v>
      </c>
      <c r="N148" s="274"/>
      <c r="O148" s="131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478">
        <v>46309.0</v>
      </c>
      <c r="B149" s="265" t="s">
        <v>625</v>
      </c>
      <c r="C149" s="265" t="s">
        <v>97</v>
      </c>
      <c r="D149" s="274"/>
      <c r="E149" s="267">
        <v>16850.0</v>
      </c>
      <c r="F149" s="268"/>
      <c r="G149" s="268"/>
      <c r="H149" s="269"/>
      <c r="I149" s="269"/>
      <c r="J149" s="270"/>
      <c r="K149" s="271"/>
      <c r="L149" s="273"/>
      <c r="M149" s="273"/>
      <c r="N149" s="274"/>
      <c r="O149" s="131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64">
        <v>46309.0</v>
      </c>
      <c r="B150" s="265" t="s">
        <v>626</v>
      </c>
      <c r="C150" s="265" t="s">
        <v>164</v>
      </c>
      <c r="D150" s="274"/>
      <c r="E150" s="267">
        <v>66400.0</v>
      </c>
      <c r="F150" s="268"/>
      <c r="G150" s="268"/>
      <c r="H150" s="269"/>
      <c r="I150" s="269"/>
      <c r="J150" s="270"/>
      <c r="K150" s="271"/>
      <c r="L150" s="273"/>
      <c r="M150" s="273"/>
      <c r="N150" s="274"/>
      <c r="O150" s="131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479"/>
      <c r="B151" s="131"/>
      <c r="C151" s="131"/>
      <c r="D151" s="274"/>
      <c r="E151" s="295"/>
      <c r="F151" s="268"/>
      <c r="G151" s="268"/>
      <c r="H151" s="269"/>
      <c r="I151" s="269"/>
      <c r="J151" s="270"/>
      <c r="K151" s="271"/>
      <c r="L151" s="273"/>
      <c r="M151" s="273"/>
      <c r="N151" s="274"/>
      <c r="O151" s="131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479"/>
      <c r="B152" s="131"/>
      <c r="C152" s="131"/>
      <c r="D152" s="274"/>
      <c r="E152" s="295"/>
      <c r="F152" s="268"/>
      <c r="G152" s="268"/>
      <c r="H152" s="269"/>
      <c r="I152" s="269"/>
      <c r="J152" s="270"/>
      <c r="K152" s="271"/>
      <c r="L152" s="273"/>
      <c r="M152" s="273"/>
      <c r="N152" s="274"/>
      <c r="O152" s="131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479"/>
      <c r="B153" s="131"/>
      <c r="C153" s="131"/>
      <c r="D153" s="274"/>
      <c r="E153" s="295"/>
      <c r="F153" s="268"/>
      <c r="G153" s="268"/>
      <c r="H153" s="269"/>
      <c r="I153" s="269"/>
      <c r="J153" s="270"/>
      <c r="K153" s="271"/>
      <c r="L153" s="273"/>
      <c r="M153" s="273"/>
      <c r="N153" s="274"/>
      <c r="O153" s="131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479"/>
      <c r="B154" s="131"/>
      <c r="C154" s="131"/>
      <c r="D154" s="274"/>
      <c r="E154" s="295"/>
      <c r="F154" s="268"/>
      <c r="G154" s="268"/>
      <c r="H154" s="269"/>
      <c r="I154" s="269"/>
      <c r="J154" s="270"/>
      <c r="K154" s="271"/>
      <c r="L154" s="273"/>
      <c r="M154" s="273"/>
      <c r="N154" s="274"/>
      <c r="O154" s="131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479"/>
      <c r="B155" s="131"/>
      <c r="C155" s="131"/>
      <c r="D155" s="274"/>
      <c r="E155" s="295"/>
      <c r="F155" s="268"/>
      <c r="G155" s="268"/>
      <c r="H155" s="269"/>
      <c r="I155" s="269"/>
      <c r="J155" s="270"/>
      <c r="K155" s="271"/>
      <c r="L155" s="273"/>
      <c r="M155" s="273"/>
      <c r="N155" s="274"/>
      <c r="O155" s="131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479"/>
      <c r="B156" s="131"/>
      <c r="C156" s="131"/>
      <c r="D156" s="274"/>
      <c r="E156" s="295"/>
      <c r="F156" s="268"/>
      <c r="G156" s="268"/>
      <c r="H156" s="269"/>
      <c r="I156" s="269"/>
      <c r="J156" s="270"/>
      <c r="K156" s="271"/>
      <c r="L156" s="273"/>
      <c r="M156" s="273"/>
      <c r="N156" s="274"/>
      <c r="O156" s="131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479"/>
      <c r="B157" s="131"/>
      <c r="C157" s="131"/>
      <c r="D157" s="274"/>
      <c r="E157" s="295"/>
      <c r="F157" s="268"/>
      <c r="G157" s="268"/>
      <c r="H157" s="269"/>
      <c r="I157" s="269"/>
      <c r="J157" s="270"/>
      <c r="K157" s="271"/>
      <c r="L157" s="273"/>
      <c r="M157" s="273"/>
      <c r="N157" s="274"/>
      <c r="O157" s="131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479"/>
      <c r="B158" s="131"/>
      <c r="C158" s="131"/>
      <c r="D158" s="274"/>
      <c r="E158" s="295"/>
      <c r="F158" s="268"/>
      <c r="G158" s="268"/>
      <c r="H158" s="269"/>
      <c r="I158" s="269"/>
      <c r="J158" s="270"/>
      <c r="K158" s="271"/>
      <c r="L158" s="273"/>
      <c r="M158" s="273"/>
      <c r="N158" s="274"/>
      <c r="O158" s="131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479"/>
      <c r="B159" s="131"/>
      <c r="C159" s="131"/>
      <c r="D159" s="274"/>
      <c r="E159" s="295"/>
      <c r="F159" s="268"/>
      <c r="G159" s="268"/>
      <c r="H159" s="269"/>
      <c r="I159" s="269"/>
      <c r="J159" s="270"/>
      <c r="K159" s="271"/>
      <c r="L159" s="273"/>
      <c r="M159" s="273"/>
      <c r="N159" s="274"/>
      <c r="O159" s="131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479"/>
      <c r="B160" s="131"/>
      <c r="C160" s="131"/>
      <c r="D160" s="274"/>
      <c r="E160" s="295"/>
      <c r="F160" s="268"/>
      <c r="G160" s="268"/>
      <c r="H160" s="269"/>
      <c r="I160" s="269"/>
      <c r="J160" s="270"/>
      <c r="K160" s="271"/>
      <c r="L160" s="273"/>
      <c r="M160" s="273"/>
      <c r="N160" s="274"/>
      <c r="O160" s="131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479"/>
      <c r="B161" s="131"/>
      <c r="C161" s="131"/>
      <c r="D161" s="274"/>
      <c r="E161" s="295"/>
      <c r="F161" s="268"/>
      <c r="G161" s="268"/>
      <c r="H161" s="269"/>
      <c r="I161" s="269"/>
      <c r="J161" s="270"/>
      <c r="K161" s="271"/>
      <c r="L161" s="273"/>
      <c r="M161" s="273"/>
      <c r="N161" s="274"/>
      <c r="O161" s="131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479"/>
      <c r="B162" s="131"/>
      <c r="C162" s="131"/>
      <c r="D162" s="274"/>
      <c r="E162" s="295"/>
      <c r="F162" s="268"/>
      <c r="G162" s="268"/>
      <c r="H162" s="269"/>
      <c r="I162" s="269"/>
      <c r="J162" s="270"/>
      <c r="K162" s="271"/>
      <c r="L162" s="273"/>
      <c r="M162" s="273"/>
      <c r="N162" s="274"/>
      <c r="O162" s="131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479"/>
      <c r="B163" s="131"/>
      <c r="C163" s="131"/>
      <c r="D163" s="274"/>
      <c r="E163" s="295"/>
      <c r="F163" s="268"/>
      <c r="G163" s="268"/>
      <c r="H163" s="269"/>
      <c r="I163" s="269"/>
      <c r="J163" s="270"/>
      <c r="K163" s="271"/>
      <c r="L163" s="273"/>
      <c r="M163" s="273"/>
      <c r="N163" s="274"/>
      <c r="O163" s="131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479"/>
      <c r="B164" s="131"/>
      <c r="C164" s="131"/>
      <c r="D164" s="274"/>
      <c r="E164" s="295"/>
      <c r="F164" s="268"/>
      <c r="G164" s="268"/>
      <c r="H164" s="269"/>
      <c r="I164" s="269"/>
      <c r="J164" s="270"/>
      <c r="K164" s="271"/>
      <c r="L164" s="273"/>
      <c r="M164" s="273"/>
      <c r="N164" s="274"/>
      <c r="O164" s="131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479"/>
      <c r="B165" s="131"/>
      <c r="C165" s="131"/>
      <c r="D165" s="274"/>
      <c r="E165" s="295"/>
      <c r="F165" s="268"/>
      <c r="G165" s="268"/>
      <c r="H165" s="269"/>
      <c r="I165" s="269"/>
      <c r="J165" s="270"/>
      <c r="K165" s="271"/>
      <c r="L165" s="273"/>
      <c r="M165" s="273"/>
      <c r="N165" s="274"/>
      <c r="O165" s="131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479"/>
      <c r="B166" s="131"/>
      <c r="C166" s="131"/>
      <c r="D166" s="274"/>
      <c r="E166" s="295"/>
      <c r="F166" s="268"/>
      <c r="G166" s="268"/>
      <c r="H166" s="269"/>
      <c r="I166" s="269"/>
      <c r="J166" s="270"/>
      <c r="K166" s="271"/>
      <c r="L166" s="273"/>
      <c r="M166" s="273"/>
      <c r="N166" s="274"/>
      <c r="O166" s="131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479"/>
      <c r="B167" s="131"/>
      <c r="C167" s="131"/>
      <c r="D167" s="274"/>
      <c r="E167" s="295"/>
      <c r="F167" s="268"/>
      <c r="G167" s="268"/>
      <c r="H167" s="269"/>
      <c r="I167" s="269"/>
      <c r="J167" s="270"/>
      <c r="K167" s="271"/>
      <c r="L167" s="273"/>
      <c r="M167" s="273"/>
      <c r="N167" s="274"/>
      <c r="O167" s="131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479"/>
      <c r="B168" s="131"/>
      <c r="C168" s="131"/>
      <c r="D168" s="274"/>
      <c r="E168" s="295"/>
      <c r="F168" s="268"/>
      <c r="G168" s="268"/>
      <c r="H168" s="269"/>
      <c r="I168" s="269"/>
      <c r="J168" s="270"/>
      <c r="K168" s="271"/>
      <c r="L168" s="273"/>
      <c r="M168" s="273"/>
      <c r="N168" s="274"/>
      <c r="O168" s="131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479"/>
      <c r="B169" s="131"/>
      <c r="C169" s="131"/>
      <c r="D169" s="274"/>
      <c r="E169" s="295"/>
      <c r="F169" s="268"/>
      <c r="G169" s="268"/>
      <c r="H169" s="269"/>
      <c r="I169" s="269"/>
      <c r="J169" s="270"/>
      <c r="K169" s="271"/>
      <c r="L169" s="273"/>
      <c r="M169" s="273"/>
      <c r="N169" s="274"/>
      <c r="O169" s="131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479"/>
      <c r="B170" s="131"/>
      <c r="C170" s="131"/>
      <c r="D170" s="274"/>
      <c r="E170" s="295"/>
      <c r="F170" s="268"/>
      <c r="G170" s="268"/>
      <c r="H170" s="269"/>
      <c r="I170" s="269"/>
      <c r="J170" s="270"/>
      <c r="K170" s="271"/>
      <c r="L170" s="273"/>
      <c r="M170" s="273"/>
      <c r="N170" s="274"/>
      <c r="O170" s="131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479"/>
      <c r="B171" s="131"/>
      <c r="C171" s="131"/>
      <c r="D171" s="274"/>
      <c r="E171" s="295"/>
      <c r="F171" s="268"/>
      <c r="G171" s="268"/>
      <c r="H171" s="269"/>
      <c r="I171" s="269"/>
      <c r="J171" s="270"/>
      <c r="K171" s="271"/>
      <c r="L171" s="273"/>
      <c r="M171" s="273"/>
      <c r="N171" s="274"/>
      <c r="O171" s="131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479"/>
      <c r="B172" s="131"/>
      <c r="C172" s="131"/>
      <c r="D172" s="274"/>
      <c r="E172" s="295"/>
      <c r="F172" s="268"/>
      <c r="G172" s="268"/>
      <c r="H172" s="269"/>
      <c r="I172" s="269"/>
      <c r="J172" s="270"/>
      <c r="K172" s="271"/>
      <c r="L172" s="273"/>
      <c r="M172" s="273"/>
      <c r="N172" s="274"/>
      <c r="O172" s="131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479"/>
      <c r="B173" s="131"/>
      <c r="C173" s="131"/>
      <c r="D173" s="274"/>
      <c r="E173" s="295"/>
      <c r="F173" s="268"/>
      <c r="G173" s="268"/>
      <c r="H173" s="269"/>
      <c r="I173" s="269"/>
      <c r="J173" s="270"/>
      <c r="K173" s="271"/>
      <c r="L173" s="273"/>
      <c r="M173" s="273"/>
      <c r="N173" s="274"/>
      <c r="O173" s="131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479"/>
      <c r="B174" s="131"/>
      <c r="C174" s="131"/>
      <c r="D174" s="274"/>
      <c r="E174" s="295"/>
      <c r="F174" s="268"/>
      <c r="G174" s="268"/>
      <c r="H174" s="269"/>
      <c r="I174" s="269"/>
      <c r="J174" s="270"/>
      <c r="K174" s="271"/>
      <c r="L174" s="273"/>
      <c r="M174" s="273"/>
      <c r="N174" s="274"/>
      <c r="O174" s="131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479"/>
      <c r="B175" s="131"/>
      <c r="C175" s="131"/>
      <c r="D175" s="274"/>
      <c r="E175" s="295"/>
      <c r="F175" s="268"/>
      <c r="G175" s="268"/>
      <c r="H175" s="269"/>
      <c r="I175" s="269"/>
      <c r="J175" s="270"/>
      <c r="K175" s="271"/>
      <c r="L175" s="273"/>
      <c r="M175" s="273"/>
      <c r="N175" s="274"/>
      <c r="O175" s="131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479"/>
      <c r="B176" s="131"/>
      <c r="C176" s="131"/>
      <c r="D176" s="274"/>
      <c r="E176" s="295"/>
      <c r="F176" s="268"/>
      <c r="G176" s="268"/>
      <c r="H176" s="269"/>
      <c r="I176" s="269"/>
      <c r="J176" s="270"/>
      <c r="K176" s="271"/>
      <c r="L176" s="273"/>
      <c r="M176" s="273"/>
      <c r="N176" s="274"/>
      <c r="O176" s="131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479"/>
      <c r="B177" s="131"/>
      <c r="C177" s="131"/>
      <c r="D177" s="274"/>
      <c r="E177" s="295"/>
      <c r="F177" s="268"/>
      <c r="G177" s="268"/>
      <c r="H177" s="269"/>
      <c r="I177" s="269"/>
      <c r="J177" s="270"/>
      <c r="K177" s="271"/>
      <c r="L177" s="273"/>
      <c r="M177" s="273"/>
      <c r="N177" s="274"/>
      <c r="O177" s="131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479"/>
      <c r="B178" s="131"/>
      <c r="C178" s="131"/>
      <c r="D178" s="274"/>
      <c r="E178" s="295"/>
      <c r="F178" s="268"/>
      <c r="G178" s="268"/>
      <c r="H178" s="269"/>
      <c r="I178" s="269"/>
      <c r="J178" s="270"/>
      <c r="K178" s="271"/>
      <c r="L178" s="273"/>
      <c r="M178" s="273"/>
      <c r="N178" s="274"/>
      <c r="O178" s="131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479"/>
      <c r="B179" s="131"/>
      <c r="C179" s="131"/>
      <c r="D179" s="274"/>
      <c r="E179" s="295"/>
      <c r="F179" s="268"/>
      <c r="G179" s="268"/>
      <c r="H179" s="269"/>
      <c r="I179" s="269"/>
      <c r="J179" s="270"/>
      <c r="K179" s="271"/>
      <c r="L179" s="273"/>
      <c r="M179" s="273"/>
      <c r="N179" s="274"/>
      <c r="O179" s="131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479"/>
      <c r="B180" s="131"/>
      <c r="C180" s="131"/>
      <c r="D180" s="274"/>
      <c r="E180" s="295"/>
      <c r="F180" s="268"/>
      <c r="G180" s="268"/>
      <c r="H180" s="269"/>
      <c r="I180" s="269"/>
      <c r="J180" s="270"/>
      <c r="K180" s="271"/>
      <c r="L180" s="273"/>
      <c r="M180" s="273"/>
      <c r="N180" s="274"/>
      <c r="O180" s="131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479"/>
      <c r="B181" s="131"/>
      <c r="C181" s="131"/>
      <c r="D181" s="274"/>
      <c r="E181" s="295"/>
      <c r="F181" s="268"/>
      <c r="G181" s="268"/>
      <c r="H181" s="269"/>
      <c r="I181" s="269"/>
      <c r="J181" s="270"/>
      <c r="K181" s="271"/>
      <c r="L181" s="273"/>
      <c r="M181" s="273"/>
      <c r="N181" s="274"/>
      <c r="O181" s="131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479"/>
      <c r="B182" s="131"/>
      <c r="C182" s="131"/>
      <c r="D182" s="274"/>
      <c r="E182" s="295"/>
      <c r="F182" s="268"/>
      <c r="G182" s="268"/>
      <c r="H182" s="269"/>
      <c r="I182" s="269"/>
      <c r="J182" s="270"/>
      <c r="K182" s="271"/>
      <c r="L182" s="273"/>
      <c r="M182" s="273"/>
      <c r="N182" s="274"/>
      <c r="O182" s="131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479"/>
      <c r="B183" s="131"/>
      <c r="C183" s="131"/>
      <c r="D183" s="274"/>
      <c r="E183" s="295"/>
      <c r="F183" s="268"/>
      <c r="G183" s="268"/>
      <c r="H183" s="269"/>
      <c r="I183" s="269"/>
      <c r="J183" s="270"/>
      <c r="K183" s="271"/>
      <c r="L183" s="273"/>
      <c r="M183" s="273"/>
      <c r="N183" s="274"/>
      <c r="O183" s="131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479"/>
      <c r="B184" s="131"/>
      <c r="C184" s="131"/>
      <c r="D184" s="274"/>
      <c r="E184" s="295"/>
      <c r="F184" s="268"/>
      <c r="G184" s="268"/>
      <c r="H184" s="269"/>
      <c r="I184" s="269"/>
      <c r="J184" s="270"/>
      <c r="K184" s="271"/>
      <c r="L184" s="273"/>
      <c r="M184" s="273"/>
      <c r="N184" s="274"/>
      <c r="O184" s="131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479"/>
      <c r="B185" s="131"/>
      <c r="C185" s="131"/>
      <c r="D185" s="274"/>
      <c r="E185" s="295"/>
      <c r="F185" s="268"/>
      <c r="G185" s="268"/>
      <c r="H185" s="269"/>
      <c r="I185" s="269"/>
      <c r="J185" s="270"/>
      <c r="K185" s="271"/>
      <c r="L185" s="273"/>
      <c r="M185" s="273"/>
      <c r="N185" s="274"/>
      <c r="O185" s="131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479"/>
      <c r="B186" s="131"/>
      <c r="C186" s="131"/>
      <c r="D186" s="274"/>
      <c r="E186" s="295"/>
      <c r="F186" s="268"/>
      <c r="G186" s="268"/>
      <c r="H186" s="269"/>
      <c r="I186" s="269"/>
      <c r="J186" s="270"/>
      <c r="K186" s="271"/>
      <c r="L186" s="273"/>
      <c r="M186" s="273"/>
      <c r="N186" s="274"/>
      <c r="O186" s="131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479"/>
      <c r="B187" s="131"/>
      <c r="C187" s="131"/>
      <c r="D187" s="274"/>
      <c r="E187" s="295"/>
      <c r="F187" s="268"/>
      <c r="G187" s="268"/>
      <c r="H187" s="269"/>
      <c r="I187" s="269"/>
      <c r="J187" s="270"/>
      <c r="K187" s="271"/>
      <c r="L187" s="273"/>
      <c r="M187" s="273"/>
      <c r="N187" s="274"/>
      <c r="O187" s="131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479"/>
      <c r="B188" s="131"/>
      <c r="C188" s="131"/>
      <c r="D188" s="274"/>
      <c r="E188" s="295"/>
      <c r="F188" s="268"/>
      <c r="G188" s="268"/>
      <c r="H188" s="269"/>
      <c r="I188" s="269"/>
      <c r="J188" s="270"/>
      <c r="K188" s="271"/>
      <c r="L188" s="273"/>
      <c r="M188" s="273"/>
      <c r="N188" s="274"/>
      <c r="O188" s="131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479"/>
      <c r="B189" s="131"/>
      <c r="C189" s="131"/>
      <c r="D189" s="274"/>
      <c r="E189" s="295"/>
      <c r="F189" s="268"/>
      <c r="G189" s="268"/>
      <c r="H189" s="269"/>
      <c r="I189" s="269"/>
      <c r="J189" s="270"/>
      <c r="K189" s="271"/>
      <c r="L189" s="273"/>
      <c r="M189" s="273"/>
      <c r="N189" s="274"/>
      <c r="O189" s="131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479"/>
      <c r="B190" s="131"/>
      <c r="C190" s="131"/>
      <c r="D190" s="274"/>
      <c r="E190" s="295"/>
      <c r="F190" s="268"/>
      <c r="G190" s="268"/>
      <c r="H190" s="269"/>
      <c r="I190" s="269"/>
      <c r="J190" s="270"/>
      <c r="K190" s="271"/>
      <c r="L190" s="273"/>
      <c r="M190" s="273"/>
      <c r="N190" s="274"/>
      <c r="O190" s="131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479"/>
      <c r="B191" s="131"/>
      <c r="C191" s="131"/>
      <c r="D191" s="274"/>
      <c r="E191" s="295"/>
      <c r="F191" s="268"/>
      <c r="G191" s="268"/>
      <c r="H191" s="269"/>
      <c r="I191" s="269"/>
      <c r="J191" s="270"/>
      <c r="K191" s="271"/>
      <c r="L191" s="273"/>
      <c r="M191" s="273"/>
      <c r="N191" s="274"/>
      <c r="O191" s="131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479"/>
      <c r="B192" s="131"/>
      <c r="C192" s="131"/>
      <c r="D192" s="274"/>
      <c r="E192" s="295"/>
      <c r="F192" s="268"/>
      <c r="G192" s="268"/>
      <c r="H192" s="269"/>
      <c r="I192" s="269"/>
      <c r="J192" s="270"/>
      <c r="K192" s="271"/>
      <c r="L192" s="273"/>
      <c r="M192" s="273"/>
      <c r="N192" s="274"/>
      <c r="O192" s="131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479"/>
      <c r="B193" s="131"/>
      <c r="C193" s="131"/>
      <c r="D193" s="274"/>
      <c r="E193" s="295"/>
      <c r="F193" s="268"/>
      <c r="G193" s="268"/>
      <c r="H193" s="269"/>
      <c r="I193" s="269"/>
      <c r="J193" s="270"/>
      <c r="K193" s="271"/>
      <c r="L193" s="273"/>
      <c r="M193" s="273"/>
      <c r="N193" s="274"/>
      <c r="O193" s="131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479"/>
      <c r="B194" s="131"/>
      <c r="C194" s="131"/>
      <c r="D194" s="274"/>
      <c r="E194" s="295"/>
      <c r="F194" s="268"/>
      <c r="G194" s="268"/>
      <c r="H194" s="269"/>
      <c r="I194" s="269"/>
      <c r="J194" s="270"/>
      <c r="K194" s="271"/>
      <c r="L194" s="273"/>
      <c r="M194" s="273"/>
      <c r="N194" s="274"/>
      <c r="O194" s="131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479"/>
      <c r="B195" s="131"/>
      <c r="C195" s="131"/>
      <c r="D195" s="274"/>
      <c r="E195" s="295"/>
      <c r="F195" s="268"/>
      <c r="G195" s="268"/>
      <c r="H195" s="269"/>
      <c r="I195" s="269"/>
      <c r="J195" s="270"/>
      <c r="K195" s="271"/>
      <c r="L195" s="273"/>
      <c r="M195" s="273"/>
      <c r="N195" s="274"/>
      <c r="O195" s="131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479"/>
      <c r="B196" s="131"/>
      <c r="C196" s="131"/>
      <c r="D196" s="274"/>
      <c r="E196" s="295"/>
      <c r="F196" s="268"/>
      <c r="G196" s="268"/>
      <c r="H196" s="269"/>
      <c r="I196" s="269"/>
      <c r="J196" s="270"/>
      <c r="K196" s="271"/>
      <c r="L196" s="273"/>
      <c r="M196" s="273"/>
      <c r="N196" s="274"/>
      <c r="O196" s="131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479"/>
      <c r="B197" s="131"/>
      <c r="C197" s="131"/>
      <c r="D197" s="274"/>
      <c r="E197" s="295"/>
      <c r="F197" s="268"/>
      <c r="G197" s="268"/>
      <c r="H197" s="269"/>
      <c r="I197" s="269"/>
      <c r="J197" s="270"/>
      <c r="K197" s="271"/>
      <c r="L197" s="273"/>
      <c r="M197" s="273"/>
      <c r="N197" s="274"/>
      <c r="O197" s="131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479"/>
      <c r="B198" s="131"/>
      <c r="C198" s="131"/>
      <c r="D198" s="274"/>
      <c r="E198" s="295"/>
      <c r="F198" s="268"/>
      <c r="G198" s="268"/>
      <c r="H198" s="269"/>
      <c r="I198" s="269"/>
      <c r="J198" s="270"/>
      <c r="K198" s="271"/>
      <c r="L198" s="273"/>
      <c r="M198" s="273"/>
      <c r="N198" s="274"/>
      <c r="O198" s="131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479"/>
      <c r="B199" s="131"/>
      <c r="C199" s="131"/>
      <c r="D199" s="274"/>
      <c r="E199" s="295"/>
      <c r="F199" s="268"/>
      <c r="G199" s="268"/>
      <c r="H199" s="269"/>
      <c r="I199" s="269"/>
      <c r="J199" s="270"/>
      <c r="K199" s="271"/>
      <c r="L199" s="273"/>
      <c r="M199" s="273"/>
      <c r="N199" s="274"/>
      <c r="O199" s="131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479"/>
      <c r="B200" s="131"/>
      <c r="C200" s="131"/>
      <c r="D200" s="274"/>
      <c r="E200" s="295"/>
      <c r="F200" s="268"/>
      <c r="G200" s="268"/>
      <c r="H200" s="269"/>
      <c r="I200" s="269"/>
      <c r="J200" s="270"/>
      <c r="K200" s="271"/>
      <c r="L200" s="273"/>
      <c r="M200" s="273"/>
      <c r="N200" s="274"/>
      <c r="O200" s="131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479"/>
      <c r="B201" s="131"/>
      <c r="C201" s="131"/>
      <c r="D201" s="274"/>
      <c r="E201" s="295"/>
      <c r="F201" s="268"/>
      <c r="G201" s="268"/>
      <c r="H201" s="269"/>
      <c r="I201" s="269"/>
      <c r="J201" s="270"/>
      <c r="K201" s="271"/>
      <c r="L201" s="273"/>
      <c r="M201" s="273"/>
      <c r="N201" s="274"/>
      <c r="O201" s="131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479"/>
      <c r="B202" s="131"/>
      <c r="C202" s="131"/>
      <c r="D202" s="274"/>
      <c r="E202" s="295"/>
      <c r="F202" s="268"/>
      <c r="G202" s="268"/>
      <c r="H202" s="269"/>
      <c r="I202" s="269"/>
      <c r="J202" s="270"/>
      <c r="K202" s="271"/>
      <c r="L202" s="273"/>
      <c r="M202" s="273"/>
      <c r="N202" s="274"/>
      <c r="O202" s="131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479"/>
      <c r="B203" s="131"/>
      <c r="C203" s="131"/>
      <c r="D203" s="274"/>
      <c r="E203" s="295"/>
      <c r="F203" s="268"/>
      <c r="G203" s="268"/>
      <c r="H203" s="269"/>
      <c r="I203" s="269"/>
      <c r="J203" s="270"/>
      <c r="K203" s="271"/>
      <c r="L203" s="273"/>
      <c r="M203" s="273"/>
      <c r="N203" s="274"/>
      <c r="O203" s="131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479"/>
      <c r="B204" s="131"/>
      <c r="C204" s="131"/>
      <c r="D204" s="274"/>
      <c r="E204" s="295"/>
      <c r="F204" s="268"/>
      <c r="G204" s="268"/>
      <c r="H204" s="269"/>
      <c r="I204" s="269"/>
      <c r="J204" s="270"/>
      <c r="K204" s="271"/>
      <c r="L204" s="273"/>
      <c r="M204" s="273"/>
      <c r="N204" s="274"/>
      <c r="O204" s="131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479"/>
      <c r="B205" s="131"/>
      <c r="C205" s="131"/>
      <c r="D205" s="274"/>
      <c r="E205" s="295"/>
      <c r="F205" s="268"/>
      <c r="G205" s="268"/>
      <c r="H205" s="276"/>
      <c r="I205" s="269"/>
      <c r="J205" s="270"/>
      <c r="K205" s="271"/>
      <c r="L205" s="273"/>
      <c r="M205" s="273"/>
      <c r="N205" s="274"/>
      <c r="O205" s="131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479"/>
      <c r="B206" s="131"/>
      <c r="C206" s="131"/>
      <c r="D206" s="274"/>
      <c r="E206" s="295"/>
      <c r="F206" s="268"/>
      <c r="G206" s="268"/>
      <c r="H206" s="276"/>
      <c r="I206" s="269"/>
      <c r="J206" s="270"/>
      <c r="K206" s="271"/>
      <c r="L206" s="273"/>
      <c r="M206" s="273"/>
      <c r="N206" s="274"/>
      <c r="O206" s="131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479"/>
      <c r="B207" s="131"/>
      <c r="C207" s="131"/>
      <c r="D207" s="274"/>
      <c r="E207" s="295"/>
      <c r="F207" s="268"/>
      <c r="G207" s="268"/>
      <c r="H207" s="276"/>
      <c r="I207" s="269"/>
      <c r="J207" s="270"/>
      <c r="K207" s="271"/>
      <c r="L207" s="273"/>
      <c r="M207" s="273"/>
      <c r="N207" s="274"/>
      <c r="O207" s="131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479"/>
      <c r="B208" s="131"/>
      <c r="C208" s="131"/>
      <c r="D208" s="274"/>
      <c r="E208" s="295"/>
      <c r="F208" s="268"/>
      <c r="G208" s="268"/>
      <c r="H208" s="276"/>
      <c r="I208" s="269"/>
      <c r="J208" s="270"/>
      <c r="K208" s="271"/>
      <c r="L208" s="273"/>
      <c r="M208" s="273"/>
      <c r="N208" s="274"/>
      <c r="O208" s="131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479"/>
      <c r="B209" s="131"/>
      <c r="C209" s="131"/>
      <c r="D209" s="274"/>
      <c r="E209" s="295"/>
      <c r="F209" s="268"/>
      <c r="G209" s="268"/>
      <c r="H209" s="276"/>
      <c r="I209" s="269"/>
      <c r="J209" s="270"/>
      <c r="K209" s="271"/>
      <c r="L209" s="273"/>
      <c r="M209" s="273"/>
      <c r="N209" s="274"/>
      <c r="O209" s="131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479"/>
      <c r="B210" s="131"/>
      <c r="C210" s="131"/>
      <c r="D210" s="274"/>
      <c r="E210" s="295"/>
      <c r="F210" s="268"/>
      <c r="G210" s="268"/>
      <c r="H210" s="276"/>
      <c r="I210" s="269"/>
      <c r="J210" s="270"/>
      <c r="K210" s="271"/>
      <c r="L210" s="273"/>
      <c r="M210" s="273"/>
      <c r="N210" s="274"/>
      <c r="O210" s="131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479"/>
      <c r="B211" s="131"/>
      <c r="C211" s="131"/>
      <c r="D211" s="274"/>
      <c r="E211" s="295"/>
      <c r="F211" s="268"/>
      <c r="G211" s="268"/>
      <c r="H211" s="276"/>
      <c r="I211" s="269"/>
      <c r="J211" s="270"/>
      <c r="K211" s="271"/>
      <c r="L211" s="273"/>
      <c r="M211" s="273"/>
      <c r="N211" s="274"/>
      <c r="O211" s="131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479"/>
      <c r="B212" s="131"/>
      <c r="C212" s="131"/>
      <c r="D212" s="274"/>
      <c r="E212" s="295"/>
      <c r="F212" s="268"/>
      <c r="G212" s="268"/>
      <c r="H212" s="276"/>
      <c r="I212" s="269"/>
      <c r="J212" s="270"/>
      <c r="K212" s="271"/>
      <c r="L212" s="273"/>
      <c r="M212" s="273"/>
      <c r="N212" s="274"/>
      <c r="O212" s="131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479"/>
      <c r="B213" s="131"/>
      <c r="C213" s="131"/>
      <c r="D213" s="274"/>
      <c r="E213" s="295"/>
      <c r="F213" s="268"/>
      <c r="G213" s="268"/>
      <c r="H213" s="276"/>
      <c r="I213" s="269"/>
      <c r="J213" s="270"/>
      <c r="K213" s="271"/>
      <c r="L213" s="273"/>
      <c r="M213" s="273"/>
      <c r="N213" s="274"/>
      <c r="O213" s="131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479"/>
      <c r="B214" s="131"/>
      <c r="C214" s="131"/>
      <c r="D214" s="274"/>
      <c r="E214" s="295"/>
      <c r="F214" s="268"/>
      <c r="G214" s="268"/>
      <c r="H214" s="276"/>
      <c r="I214" s="269"/>
      <c r="J214" s="270"/>
      <c r="K214" s="271"/>
      <c r="L214" s="273"/>
      <c r="M214" s="273"/>
      <c r="N214" s="274"/>
      <c r="O214" s="131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479"/>
      <c r="B215" s="131"/>
      <c r="C215" s="131"/>
      <c r="D215" s="274"/>
      <c r="E215" s="295"/>
      <c r="F215" s="268"/>
      <c r="G215" s="268"/>
      <c r="H215" s="276"/>
      <c r="I215" s="269"/>
      <c r="J215" s="270"/>
      <c r="K215" s="271"/>
      <c r="L215" s="273"/>
      <c r="M215" s="273"/>
      <c r="N215" s="274"/>
      <c r="O215" s="131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479"/>
      <c r="B216" s="131"/>
      <c r="C216" s="131"/>
      <c r="D216" s="274"/>
      <c r="E216" s="295"/>
      <c r="F216" s="268"/>
      <c r="G216" s="268"/>
      <c r="H216" s="276"/>
      <c r="I216" s="269"/>
      <c r="J216" s="270"/>
      <c r="K216" s="271"/>
      <c r="L216" s="273"/>
      <c r="M216" s="273"/>
      <c r="N216" s="274"/>
      <c r="O216" s="131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479"/>
      <c r="B217" s="131"/>
      <c r="C217" s="131"/>
      <c r="D217" s="274"/>
      <c r="E217" s="295"/>
      <c r="F217" s="268"/>
      <c r="G217" s="268"/>
      <c r="H217" s="276"/>
      <c r="I217" s="269"/>
      <c r="J217" s="270"/>
      <c r="K217" s="271"/>
      <c r="L217" s="273"/>
      <c r="M217" s="273"/>
      <c r="N217" s="274"/>
      <c r="O217" s="131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479"/>
      <c r="B218" s="131"/>
      <c r="C218" s="131"/>
      <c r="D218" s="274"/>
      <c r="E218" s="295"/>
      <c r="F218" s="268"/>
      <c r="G218" s="268"/>
      <c r="H218" s="276"/>
      <c r="I218" s="269"/>
      <c r="J218" s="270"/>
      <c r="K218" s="271"/>
      <c r="L218" s="273"/>
      <c r="M218" s="273"/>
      <c r="N218" s="274"/>
      <c r="O218" s="131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479"/>
      <c r="B219" s="131"/>
      <c r="C219" s="131"/>
      <c r="D219" s="274"/>
      <c r="E219" s="295"/>
      <c r="F219" s="268"/>
      <c r="G219" s="268"/>
      <c r="H219" s="276"/>
      <c r="I219" s="269"/>
      <c r="J219" s="270"/>
      <c r="K219" s="271"/>
      <c r="L219" s="273"/>
      <c r="M219" s="273"/>
      <c r="N219" s="274"/>
      <c r="O219" s="131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479"/>
      <c r="B220" s="131"/>
      <c r="C220" s="131"/>
      <c r="D220" s="274"/>
      <c r="E220" s="295"/>
      <c r="F220" s="268"/>
      <c r="G220" s="268"/>
      <c r="H220" s="276"/>
      <c r="I220" s="269"/>
      <c r="J220" s="270"/>
      <c r="K220" s="271"/>
      <c r="L220" s="273"/>
      <c r="M220" s="273"/>
      <c r="N220" s="274"/>
      <c r="O220" s="131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479"/>
      <c r="B221" s="131"/>
      <c r="C221" s="131"/>
      <c r="D221" s="274"/>
      <c r="E221" s="295"/>
      <c r="F221" s="268"/>
      <c r="G221" s="268"/>
      <c r="H221" s="276"/>
      <c r="I221" s="269"/>
      <c r="J221" s="270"/>
      <c r="K221" s="271"/>
      <c r="L221" s="273"/>
      <c r="M221" s="273"/>
      <c r="N221" s="274"/>
      <c r="O221" s="131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479"/>
      <c r="B222" s="131"/>
      <c r="C222" s="131"/>
      <c r="D222" s="274"/>
      <c r="E222" s="295"/>
      <c r="F222" s="268"/>
      <c r="G222" s="268"/>
      <c r="H222" s="276"/>
      <c r="I222" s="269"/>
      <c r="J222" s="270"/>
      <c r="K222" s="271"/>
      <c r="L222" s="273"/>
      <c r="M222" s="273"/>
      <c r="N222" s="274"/>
      <c r="O222" s="131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479"/>
      <c r="B223" s="131"/>
      <c r="C223" s="131"/>
      <c r="D223" s="274"/>
      <c r="E223" s="295"/>
      <c r="F223" s="268"/>
      <c r="G223" s="268"/>
      <c r="H223" s="276"/>
      <c r="I223" s="269"/>
      <c r="J223" s="270"/>
      <c r="K223" s="271"/>
      <c r="L223" s="273"/>
      <c r="M223" s="273"/>
      <c r="N223" s="274"/>
      <c r="O223" s="131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479"/>
      <c r="B224" s="131"/>
      <c r="C224" s="131"/>
      <c r="D224" s="274"/>
      <c r="E224" s="295"/>
      <c r="F224" s="268"/>
      <c r="G224" s="268"/>
      <c r="H224" s="276"/>
      <c r="I224" s="269"/>
      <c r="J224" s="270"/>
      <c r="K224" s="271"/>
      <c r="L224" s="273"/>
      <c r="M224" s="273"/>
      <c r="N224" s="274"/>
      <c r="O224" s="131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479"/>
      <c r="B225" s="131"/>
      <c r="C225" s="131"/>
      <c r="D225" s="274"/>
      <c r="E225" s="295"/>
      <c r="F225" s="268"/>
      <c r="G225" s="268"/>
      <c r="H225" s="276"/>
      <c r="I225" s="269"/>
      <c r="J225" s="270"/>
      <c r="K225" s="271"/>
      <c r="L225" s="273"/>
      <c r="M225" s="273"/>
      <c r="N225" s="274"/>
      <c r="O225" s="131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479"/>
      <c r="B226" s="131"/>
      <c r="C226" s="131"/>
      <c r="D226" s="274"/>
      <c r="E226" s="295"/>
      <c r="F226" s="268"/>
      <c r="G226" s="268"/>
      <c r="H226" s="276"/>
      <c r="I226" s="269"/>
      <c r="J226" s="270"/>
      <c r="K226" s="271"/>
      <c r="L226" s="273"/>
      <c r="M226" s="273"/>
      <c r="N226" s="274"/>
      <c r="O226" s="131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479"/>
      <c r="B227" s="131"/>
      <c r="C227" s="131"/>
      <c r="D227" s="274"/>
      <c r="E227" s="295"/>
      <c r="F227" s="268"/>
      <c r="G227" s="268"/>
      <c r="H227" s="276"/>
      <c r="I227" s="269"/>
      <c r="J227" s="270"/>
      <c r="K227" s="271"/>
      <c r="L227" s="273"/>
      <c r="M227" s="273"/>
      <c r="N227" s="274"/>
      <c r="O227" s="131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479"/>
      <c r="B228" s="131"/>
      <c r="C228" s="131"/>
      <c r="D228" s="274"/>
      <c r="E228" s="295"/>
      <c r="F228" s="268"/>
      <c r="G228" s="268"/>
      <c r="H228" s="276"/>
      <c r="I228" s="269"/>
      <c r="J228" s="270"/>
      <c r="K228" s="271"/>
      <c r="L228" s="273"/>
      <c r="M228" s="273"/>
      <c r="N228" s="274"/>
      <c r="O228" s="131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479"/>
      <c r="B229" s="131"/>
      <c r="C229" s="131"/>
      <c r="D229" s="274"/>
      <c r="E229" s="295"/>
      <c r="F229" s="268"/>
      <c r="G229" s="268"/>
      <c r="H229" s="276"/>
      <c r="I229" s="269"/>
      <c r="J229" s="270"/>
      <c r="K229" s="271"/>
      <c r="L229" s="273"/>
      <c r="M229" s="273"/>
      <c r="N229" s="274"/>
      <c r="O229" s="131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479"/>
      <c r="B230" s="131"/>
      <c r="C230" s="131"/>
      <c r="D230" s="274"/>
      <c r="E230" s="295"/>
      <c r="F230" s="268"/>
      <c r="G230" s="268"/>
      <c r="H230" s="276"/>
      <c r="I230" s="269"/>
      <c r="J230" s="270"/>
      <c r="K230" s="271"/>
      <c r="L230" s="273"/>
      <c r="M230" s="273"/>
      <c r="N230" s="274"/>
      <c r="O230" s="131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479"/>
      <c r="B231" s="131"/>
      <c r="C231" s="131"/>
      <c r="D231" s="274"/>
      <c r="E231" s="295"/>
      <c r="F231" s="268"/>
      <c r="G231" s="268"/>
      <c r="H231" s="276"/>
      <c r="I231" s="269"/>
      <c r="J231" s="270"/>
      <c r="K231" s="271"/>
      <c r="L231" s="273"/>
      <c r="M231" s="273"/>
      <c r="N231" s="274"/>
      <c r="O231" s="131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479"/>
      <c r="B232" s="131"/>
      <c r="C232" s="131"/>
      <c r="D232" s="274"/>
      <c r="E232" s="295"/>
      <c r="F232" s="268"/>
      <c r="G232" s="268"/>
      <c r="H232" s="276"/>
      <c r="I232" s="269"/>
      <c r="J232" s="270"/>
      <c r="K232" s="271"/>
      <c r="L232" s="273"/>
      <c r="M232" s="273"/>
      <c r="N232" s="274"/>
      <c r="O232" s="131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479"/>
      <c r="B233" s="131"/>
      <c r="C233" s="131"/>
      <c r="D233" s="274"/>
      <c r="E233" s="295"/>
      <c r="F233" s="268"/>
      <c r="G233" s="268"/>
      <c r="H233" s="276"/>
      <c r="I233" s="269"/>
      <c r="J233" s="270"/>
      <c r="K233" s="271"/>
      <c r="L233" s="273"/>
      <c r="M233" s="273"/>
      <c r="N233" s="274"/>
      <c r="O233" s="131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479"/>
      <c r="B234" s="131"/>
      <c r="C234" s="131"/>
      <c r="D234" s="274"/>
      <c r="E234" s="295"/>
      <c r="F234" s="268"/>
      <c r="G234" s="268"/>
      <c r="H234" s="276"/>
      <c r="I234" s="269"/>
      <c r="J234" s="270"/>
      <c r="K234" s="271"/>
      <c r="L234" s="273"/>
      <c r="M234" s="273"/>
      <c r="N234" s="274"/>
      <c r="O234" s="131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479"/>
      <c r="B235" s="131"/>
      <c r="C235" s="131"/>
      <c r="D235" s="274"/>
      <c r="E235" s="295"/>
      <c r="F235" s="268"/>
      <c r="G235" s="268"/>
      <c r="H235" s="276"/>
      <c r="I235" s="269"/>
      <c r="J235" s="270"/>
      <c r="K235" s="271"/>
      <c r="L235" s="273"/>
      <c r="M235" s="273"/>
      <c r="N235" s="274"/>
      <c r="O235" s="131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479"/>
      <c r="B236" s="131"/>
      <c r="C236" s="131"/>
      <c r="D236" s="274"/>
      <c r="E236" s="295"/>
      <c r="F236" s="268"/>
      <c r="G236" s="268"/>
      <c r="H236" s="276"/>
      <c r="I236" s="269"/>
      <c r="J236" s="270"/>
      <c r="K236" s="271"/>
      <c r="L236" s="273"/>
      <c r="M236" s="273"/>
      <c r="N236" s="274"/>
      <c r="O236" s="131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479"/>
      <c r="B237" s="131"/>
      <c r="C237" s="131"/>
      <c r="D237" s="274"/>
      <c r="E237" s="295"/>
      <c r="F237" s="268"/>
      <c r="G237" s="268"/>
      <c r="H237" s="276"/>
      <c r="I237" s="269"/>
      <c r="J237" s="270"/>
      <c r="K237" s="271"/>
      <c r="L237" s="273"/>
      <c r="M237" s="273"/>
      <c r="N237" s="274"/>
      <c r="O237" s="131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479"/>
      <c r="B238" s="131"/>
      <c r="C238" s="131"/>
      <c r="D238" s="274"/>
      <c r="E238" s="295"/>
      <c r="F238" s="268"/>
      <c r="G238" s="268"/>
      <c r="H238" s="276"/>
      <c r="I238" s="269"/>
      <c r="J238" s="270"/>
      <c r="K238" s="271"/>
      <c r="L238" s="273"/>
      <c r="M238" s="273"/>
      <c r="N238" s="274"/>
      <c r="O238" s="131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479"/>
      <c r="B239" s="131"/>
      <c r="C239" s="131"/>
      <c r="D239" s="274"/>
      <c r="E239" s="295"/>
      <c r="F239" s="268"/>
      <c r="G239" s="268"/>
      <c r="H239" s="276"/>
      <c r="I239" s="269"/>
      <c r="J239" s="270"/>
      <c r="K239" s="271"/>
      <c r="L239" s="273"/>
      <c r="M239" s="273"/>
      <c r="N239" s="274"/>
      <c r="O239" s="131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>
      <c r="A240" s="479"/>
      <c r="B240" s="131"/>
      <c r="C240" s="131"/>
      <c r="D240" s="274"/>
      <c r="E240" s="295"/>
      <c r="F240" s="268"/>
      <c r="G240" s="268"/>
      <c r="H240" s="276"/>
      <c r="I240" s="269"/>
      <c r="J240" s="270"/>
      <c r="K240" s="271"/>
      <c r="L240" s="273"/>
      <c r="M240" s="273"/>
      <c r="N240" s="274"/>
      <c r="O240" s="131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5.75" customHeight="1">
      <c r="A241" s="479"/>
      <c r="B241" s="131"/>
      <c r="C241" s="131"/>
      <c r="D241" s="274"/>
      <c r="E241" s="295"/>
      <c r="F241" s="268"/>
      <c r="G241" s="268"/>
      <c r="H241" s="276"/>
      <c r="I241" s="269"/>
      <c r="J241" s="270"/>
      <c r="K241" s="271"/>
      <c r="L241" s="273"/>
      <c r="M241" s="273"/>
      <c r="N241" s="274"/>
      <c r="O241" s="131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5.75" customHeight="1">
      <c r="A242" s="479"/>
      <c r="B242" s="131"/>
      <c r="C242" s="131"/>
      <c r="D242" s="274"/>
      <c r="E242" s="295"/>
      <c r="F242" s="268"/>
      <c r="G242" s="268"/>
      <c r="H242" s="276"/>
      <c r="I242" s="269"/>
      <c r="J242" s="270"/>
      <c r="K242" s="271"/>
      <c r="L242" s="273"/>
      <c r="M242" s="273"/>
      <c r="N242" s="274"/>
      <c r="O242" s="131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5.75" customHeight="1">
      <c r="A243" s="479"/>
      <c r="B243" s="131"/>
      <c r="C243" s="131"/>
      <c r="D243" s="274"/>
      <c r="E243" s="295"/>
      <c r="F243" s="268"/>
      <c r="G243" s="268"/>
      <c r="H243" s="276"/>
      <c r="I243" s="269"/>
      <c r="J243" s="270"/>
      <c r="K243" s="271"/>
      <c r="L243" s="273"/>
      <c r="M243" s="273"/>
      <c r="N243" s="274"/>
      <c r="O243" s="131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5.75" customHeight="1">
      <c r="A244" s="479"/>
      <c r="B244" s="131"/>
      <c r="C244" s="131"/>
      <c r="D244" s="274"/>
      <c r="E244" s="295"/>
      <c r="F244" s="268"/>
      <c r="G244" s="268"/>
      <c r="H244" s="276"/>
      <c r="I244" s="269"/>
      <c r="J244" s="270"/>
      <c r="K244" s="271"/>
      <c r="L244" s="273"/>
      <c r="M244" s="273"/>
      <c r="N244" s="274"/>
      <c r="O244" s="131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5.75" customHeight="1">
      <c r="A245" s="479"/>
      <c r="B245" s="131"/>
      <c r="C245" s="131"/>
      <c r="D245" s="274"/>
      <c r="E245" s="295"/>
      <c r="F245" s="268"/>
      <c r="G245" s="268"/>
      <c r="H245" s="276"/>
      <c r="I245" s="269"/>
      <c r="J245" s="270"/>
      <c r="K245" s="271"/>
      <c r="L245" s="273"/>
      <c r="M245" s="273"/>
      <c r="N245" s="274"/>
      <c r="O245" s="131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>
      <c r="A246" s="479"/>
      <c r="B246" s="131"/>
      <c r="C246" s="131"/>
      <c r="D246" s="274"/>
      <c r="E246" s="295"/>
      <c r="F246" s="268"/>
      <c r="G246" s="268"/>
      <c r="H246" s="276"/>
      <c r="I246" s="269"/>
      <c r="J246" s="270"/>
      <c r="K246" s="271"/>
      <c r="L246" s="273"/>
      <c r="M246" s="273"/>
      <c r="N246" s="274"/>
      <c r="O246" s="131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 ht="15.75" customHeight="1">
      <c r="A247" s="479"/>
      <c r="B247" s="131"/>
      <c r="C247" s="131"/>
      <c r="D247" s="274"/>
      <c r="E247" s="295"/>
      <c r="F247" s="268"/>
      <c r="G247" s="268"/>
      <c r="H247" s="276"/>
      <c r="I247" s="269"/>
      <c r="J247" s="270"/>
      <c r="K247" s="271"/>
      <c r="L247" s="273"/>
      <c r="M247" s="273"/>
      <c r="N247" s="274"/>
      <c r="O247" s="131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 ht="15.75" customHeight="1">
      <c r="A248" s="479"/>
      <c r="B248" s="131"/>
      <c r="C248" s="131"/>
      <c r="D248" s="274"/>
      <c r="E248" s="295"/>
      <c r="F248" s="268"/>
      <c r="G248" s="268"/>
      <c r="H248" s="276"/>
      <c r="I248" s="269"/>
      <c r="J248" s="270"/>
      <c r="K248" s="271"/>
      <c r="L248" s="273"/>
      <c r="M248" s="273"/>
      <c r="N248" s="274"/>
      <c r="O248" s="131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 ht="15.75" customHeight="1">
      <c r="A249" s="479"/>
      <c r="B249" s="131"/>
      <c r="C249" s="131"/>
      <c r="D249" s="274"/>
      <c r="E249" s="295"/>
      <c r="F249" s="268"/>
      <c r="G249" s="268"/>
      <c r="H249" s="276"/>
      <c r="I249" s="269"/>
      <c r="J249" s="270"/>
      <c r="K249" s="271"/>
      <c r="L249" s="273"/>
      <c r="M249" s="273"/>
      <c r="N249" s="274"/>
      <c r="O249" s="131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 ht="15.75" customHeight="1">
      <c r="A250" s="479"/>
      <c r="B250" s="131"/>
      <c r="C250" s="131"/>
      <c r="D250" s="274"/>
      <c r="E250" s="295"/>
      <c r="F250" s="268"/>
      <c r="G250" s="268"/>
      <c r="H250" s="276"/>
      <c r="I250" s="269"/>
      <c r="J250" s="270"/>
      <c r="K250" s="271"/>
      <c r="L250" s="273"/>
      <c r="M250" s="273"/>
      <c r="N250" s="274"/>
      <c r="O250" s="131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 ht="15.75" customHeight="1">
      <c r="A251" s="479"/>
      <c r="B251" s="131"/>
      <c r="C251" s="131"/>
      <c r="D251" s="274"/>
      <c r="E251" s="295"/>
      <c r="F251" s="268"/>
      <c r="G251" s="268"/>
      <c r="H251" s="276"/>
      <c r="I251" s="269"/>
      <c r="J251" s="270"/>
      <c r="K251" s="271"/>
      <c r="L251" s="273"/>
      <c r="M251" s="273"/>
      <c r="N251" s="274"/>
      <c r="O251" s="131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 ht="15.75" customHeight="1">
      <c r="A252" s="479"/>
      <c r="B252" s="131"/>
      <c r="C252" s="131"/>
      <c r="D252" s="274"/>
      <c r="E252" s="295"/>
      <c r="F252" s="268"/>
      <c r="G252" s="268"/>
      <c r="H252" s="276"/>
      <c r="I252" s="269"/>
      <c r="J252" s="270"/>
      <c r="K252" s="271"/>
      <c r="L252" s="273"/>
      <c r="M252" s="273"/>
      <c r="N252" s="274"/>
      <c r="O252" s="131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 ht="15.75" customHeight="1">
      <c r="A253" s="479"/>
      <c r="B253" s="131"/>
      <c r="C253" s="131"/>
      <c r="D253" s="274"/>
      <c r="E253" s="295"/>
      <c r="F253" s="268"/>
      <c r="G253" s="268"/>
      <c r="H253" s="276"/>
      <c r="I253" s="269"/>
      <c r="J253" s="270"/>
      <c r="K253" s="271"/>
      <c r="L253" s="273"/>
      <c r="M253" s="273"/>
      <c r="N253" s="274"/>
      <c r="O253" s="131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 ht="15.75" customHeight="1">
      <c r="A254" s="479"/>
      <c r="B254" s="131"/>
      <c r="C254" s="131"/>
      <c r="D254" s="274"/>
      <c r="E254" s="295"/>
      <c r="F254" s="268"/>
      <c r="G254" s="268"/>
      <c r="H254" s="276"/>
      <c r="I254" s="269"/>
      <c r="J254" s="270"/>
      <c r="K254" s="271"/>
      <c r="L254" s="273"/>
      <c r="M254" s="273"/>
      <c r="N254" s="274"/>
      <c r="O254" s="131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 ht="15.75" customHeight="1">
      <c r="A255" s="479"/>
      <c r="B255" s="131"/>
      <c r="C255" s="131"/>
      <c r="D255" s="274"/>
      <c r="E255" s="295"/>
      <c r="F255" s="268"/>
      <c r="G255" s="268"/>
      <c r="H255" s="276"/>
      <c r="I255" s="269"/>
      <c r="J255" s="270"/>
      <c r="K255" s="271"/>
      <c r="L255" s="273"/>
      <c r="M255" s="273"/>
      <c r="N255" s="274"/>
      <c r="O255" s="131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 ht="15.75" customHeight="1">
      <c r="A256" s="479"/>
      <c r="B256" s="131"/>
      <c r="C256" s="131"/>
      <c r="D256" s="274"/>
      <c r="E256" s="295"/>
      <c r="F256" s="268"/>
      <c r="G256" s="268"/>
      <c r="H256" s="276"/>
      <c r="I256" s="269"/>
      <c r="J256" s="270"/>
      <c r="K256" s="271"/>
      <c r="L256" s="273"/>
      <c r="M256" s="273"/>
      <c r="N256" s="274"/>
      <c r="O256" s="131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 ht="15.75" customHeight="1">
      <c r="A257" s="479"/>
      <c r="B257" s="131"/>
      <c r="C257" s="131"/>
      <c r="D257" s="274"/>
      <c r="E257" s="295"/>
      <c r="F257" s="268"/>
      <c r="G257" s="268"/>
      <c r="H257" s="276"/>
      <c r="I257" s="269"/>
      <c r="J257" s="270"/>
      <c r="K257" s="271"/>
      <c r="L257" s="273"/>
      <c r="M257" s="273"/>
      <c r="N257" s="274"/>
      <c r="O257" s="131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 ht="15.75" customHeight="1">
      <c r="A258" s="479"/>
      <c r="B258" s="131"/>
      <c r="C258" s="131"/>
      <c r="D258" s="274"/>
      <c r="E258" s="295"/>
      <c r="F258" s="268"/>
      <c r="G258" s="268"/>
      <c r="H258" s="276"/>
      <c r="I258" s="269"/>
      <c r="J258" s="270"/>
      <c r="K258" s="271"/>
      <c r="L258" s="273"/>
      <c r="M258" s="273"/>
      <c r="N258" s="274"/>
      <c r="O258" s="131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 ht="15.75" customHeight="1">
      <c r="A259" s="479"/>
      <c r="B259" s="131"/>
      <c r="C259" s="131"/>
      <c r="D259" s="274"/>
      <c r="E259" s="295"/>
      <c r="F259" s="268"/>
      <c r="G259" s="268"/>
      <c r="H259" s="276"/>
      <c r="I259" s="269"/>
      <c r="J259" s="270"/>
      <c r="K259" s="271"/>
      <c r="L259" s="273"/>
      <c r="M259" s="273"/>
      <c r="N259" s="274"/>
      <c r="O259" s="131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 ht="15.75" customHeight="1">
      <c r="A260" s="479"/>
      <c r="B260" s="131"/>
      <c r="C260" s="131"/>
      <c r="D260" s="274"/>
      <c r="E260" s="295"/>
      <c r="F260" s="268"/>
      <c r="G260" s="268"/>
      <c r="H260" s="276"/>
      <c r="I260" s="269"/>
      <c r="J260" s="270"/>
      <c r="K260" s="271"/>
      <c r="L260" s="273"/>
      <c r="M260" s="273"/>
      <c r="N260" s="274"/>
      <c r="O260" s="131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 ht="15.75" customHeight="1">
      <c r="A261" s="479"/>
      <c r="B261" s="131"/>
      <c r="C261" s="131"/>
      <c r="D261" s="274"/>
      <c r="E261" s="295"/>
      <c r="F261" s="268"/>
      <c r="G261" s="268"/>
      <c r="H261" s="276"/>
      <c r="I261" s="269"/>
      <c r="J261" s="270"/>
      <c r="K261" s="271"/>
      <c r="L261" s="273"/>
      <c r="M261" s="273"/>
      <c r="N261" s="274"/>
      <c r="O261" s="131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 ht="15.75" customHeight="1">
      <c r="A262" s="479"/>
      <c r="B262" s="131"/>
      <c r="C262" s="131"/>
      <c r="D262" s="274"/>
      <c r="E262" s="295"/>
      <c r="F262" s="268"/>
      <c r="G262" s="268"/>
      <c r="H262" s="276"/>
      <c r="I262" s="269"/>
      <c r="J262" s="270"/>
      <c r="K262" s="271"/>
      <c r="L262" s="273"/>
      <c r="M262" s="273"/>
      <c r="N262" s="274"/>
      <c r="O262" s="131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 ht="15.75" customHeight="1">
      <c r="A263" s="479"/>
      <c r="B263" s="131"/>
      <c r="C263" s="131"/>
      <c r="D263" s="274"/>
      <c r="E263" s="295"/>
      <c r="F263" s="268"/>
      <c r="G263" s="268"/>
      <c r="H263" s="276"/>
      <c r="I263" s="269"/>
      <c r="J263" s="270"/>
      <c r="K263" s="271"/>
      <c r="L263" s="273"/>
      <c r="M263" s="273"/>
      <c r="N263" s="274"/>
      <c r="O263" s="131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 ht="15.75" customHeight="1">
      <c r="A264" s="479"/>
      <c r="B264" s="131"/>
      <c r="C264" s="131"/>
      <c r="D264" s="274"/>
      <c r="E264" s="295"/>
      <c r="F264" s="268"/>
      <c r="G264" s="268"/>
      <c r="H264" s="276"/>
      <c r="I264" s="269"/>
      <c r="J264" s="270"/>
      <c r="K264" s="271"/>
      <c r="L264" s="273"/>
      <c r="M264" s="273"/>
      <c r="N264" s="274"/>
      <c r="O264" s="131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 ht="15.75" customHeight="1">
      <c r="A265" s="479"/>
      <c r="B265" s="131"/>
      <c r="C265" s="131"/>
      <c r="D265" s="274"/>
      <c r="E265" s="295"/>
      <c r="F265" s="268"/>
      <c r="G265" s="268"/>
      <c r="H265" s="276"/>
      <c r="I265" s="269"/>
      <c r="J265" s="270"/>
      <c r="K265" s="271"/>
      <c r="L265" s="273"/>
      <c r="M265" s="273"/>
      <c r="N265" s="274"/>
      <c r="O265" s="131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 ht="15.75" customHeight="1">
      <c r="A266" s="479"/>
      <c r="B266" s="131"/>
      <c r="C266" s="131"/>
      <c r="D266" s="274"/>
      <c r="E266" s="295"/>
      <c r="F266" s="268"/>
      <c r="G266" s="268"/>
      <c r="H266" s="276"/>
      <c r="I266" s="269"/>
      <c r="J266" s="270"/>
      <c r="K266" s="271"/>
      <c r="L266" s="273"/>
      <c r="M266" s="273"/>
      <c r="N266" s="274"/>
      <c r="O266" s="131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 ht="15.75" customHeight="1">
      <c r="A267" s="479"/>
      <c r="B267" s="131"/>
      <c r="C267" s="131"/>
      <c r="D267" s="274"/>
      <c r="E267" s="295"/>
      <c r="F267" s="268"/>
      <c r="G267" s="268"/>
      <c r="H267" s="276"/>
      <c r="I267" s="269"/>
      <c r="J267" s="270"/>
      <c r="K267" s="271"/>
      <c r="L267" s="273"/>
      <c r="M267" s="273"/>
      <c r="N267" s="274"/>
      <c r="O267" s="131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</row>
    <row r="268" ht="15.75" customHeight="1">
      <c r="A268" s="479"/>
      <c r="B268" s="131"/>
      <c r="C268" s="131"/>
      <c r="D268" s="274"/>
      <c r="E268" s="295"/>
      <c r="F268" s="268"/>
      <c r="G268" s="268"/>
      <c r="H268" s="276"/>
      <c r="I268" s="269"/>
      <c r="J268" s="270"/>
      <c r="K268" s="271"/>
      <c r="L268" s="273"/>
      <c r="M268" s="273"/>
      <c r="N268" s="274"/>
      <c r="O268" s="131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</row>
    <row r="269" ht="15.75" customHeight="1">
      <c r="A269" s="479"/>
      <c r="B269" s="131"/>
      <c r="C269" s="131"/>
      <c r="D269" s="274"/>
      <c r="E269" s="295"/>
      <c r="F269" s="268"/>
      <c r="G269" s="268"/>
      <c r="H269" s="276"/>
      <c r="I269" s="269"/>
      <c r="J269" s="270"/>
      <c r="K269" s="271"/>
      <c r="L269" s="273"/>
      <c r="M269" s="273"/>
      <c r="N269" s="274"/>
      <c r="O269" s="131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</row>
    <row r="270" ht="15.75" customHeight="1">
      <c r="A270" s="479"/>
      <c r="B270" s="131"/>
      <c r="C270" s="131"/>
      <c r="D270" s="274"/>
      <c r="E270" s="295"/>
      <c r="F270" s="268"/>
      <c r="G270" s="268"/>
      <c r="H270" s="276"/>
      <c r="I270" s="269"/>
      <c r="J270" s="270"/>
      <c r="K270" s="271"/>
      <c r="L270" s="273"/>
      <c r="M270" s="273"/>
      <c r="N270" s="274"/>
      <c r="O270" s="131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</row>
    <row r="271" ht="15.75" customHeight="1">
      <c r="A271" s="479"/>
      <c r="B271" s="131"/>
      <c r="C271" s="131"/>
      <c r="D271" s="274"/>
      <c r="E271" s="295"/>
      <c r="F271" s="268"/>
      <c r="G271" s="268"/>
      <c r="H271" s="276"/>
      <c r="I271" s="269"/>
      <c r="J271" s="270"/>
      <c r="K271" s="271"/>
      <c r="L271" s="273"/>
      <c r="M271" s="273"/>
      <c r="N271" s="274"/>
      <c r="O271" s="131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</row>
    <row r="272" ht="15.75" customHeight="1">
      <c r="A272" s="479"/>
      <c r="B272" s="131"/>
      <c r="C272" s="131"/>
      <c r="D272" s="274"/>
      <c r="E272" s="295"/>
      <c r="F272" s="268"/>
      <c r="G272" s="268"/>
      <c r="H272" s="276"/>
      <c r="I272" s="269"/>
      <c r="J272" s="270"/>
      <c r="K272" s="271"/>
      <c r="L272" s="273"/>
      <c r="M272" s="273"/>
      <c r="N272" s="274"/>
      <c r="O272" s="131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</row>
    <row r="273" ht="15.75" customHeight="1">
      <c r="A273" s="479"/>
      <c r="B273" s="131"/>
      <c r="C273" s="131"/>
      <c r="D273" s="274"/>
      <c r="E273" s="295"/>
      <c r="F273" s="268"/>
      <c r="G273" s="268"/>
      <c r="H273" s="276"/>
      <c r="I273" s="269"/>
      <c r="J273" s="270"/>
      <c r="K273" s="271"/>
      <c r="L273" s="273"/>
      <c r="M273" s="273"/>
      <c r="N273" s="274"/>
      <c r="O273" s="131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</row>
    <row r="274" ht="15.75" customHeight="1">
      <c r="A274" s="479"/>
      <c r="B274" s="131"/>
      <c r="C274" s="131"/>
      <c r="D274" s="274"/>
      <c r="E274" s="295"/>
      <c r="F274" s="268"/>
      <c r="G274" s="268"/>
      <c r="H274" s="276"/>
      <c r="I274" s="269"/>
      <c r="J274" s="270"/>
      <c r="K274" s="271"/>
      <c r="L274" s="273"/>
      <c r="M274" s="273"/>
      <c r="N274" s="274"/>
      <c r="O274" s="131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</row>
    <row r="275" ht="15.75" customHeight="1">
      <c r="A275" s="479"/>
      <c r="B275" s="131"/>
      <c r="C275" s="131"/>
      <c r="D275" s="274"/>
      <c r="E275" s="295"/>
      <c r="F275" s="268"/>
      <c r="G275" s="268"/>
      <c r="H275" s="276"/>
      <c r="I275" s="269"/>
      <c r="J275" s="270"/>
      <c r="K275" s="271"/>
      <c r="L275" s="273"/>
      <c r="M275" s="273"/>
      <c r="N275" s="274"/>
      <c r="O275" s="131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</row>
    <row r="276" ht="15.75" customHeight="1">
      <c r="A276" s="479"/>
      <c r="B276" s="131"/>
      <c r="C276" s="131"/>
      <c r="D276" s="274"/>
      <c r="E276" s="295"/>
      <c r="F276" s="268"/>
      <c r="G276" s="268"/>
      <c r="H276" s="276"/>
      <c r="I276" s="269"/>
      <c r="J276" s="270"/>
      <c r="K276" s="271"/>
      <c r="L276" s="273"/>
      <c r="M276" s="273"/>
      <c r="N276" s="274"/>
      <c r="O276" s="131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</row>
    <row r="277" ht="15.75" customHeight="1">
      <c r="A277" s="479"/>
      <c r="B277" s="131"/>
      <c r="C277" s="131"/>
      <c r="D277" s="274"/>
      <c r="E277" s="295"/>
      <c r="F277" s="268"/>
      <c r="G277" s="268"/>
      <c r="H277" s="276"/>
      <c r="I277" s="269"/>
      <c r="J277" s="270"/>
      <c r="K277" s="271"/>
      <c r="L277" s="273"/>
      <c r="M277" s="273"/>
      <c r="N277" s="274"/>
      <c r="O277" s="131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</row>
    <row r="278" ht="15.75" customHeight="1">
      <c r="A278" s="479"/>
      <c r="B278" s="131"/>
      <c r="C278" s="131"/>
      <c r="D278" s="274"/>
      <c r="E278" s="295"/>
      <c r="F278" s="268"/>
      <c r="G278" s="268"/>
      <c r="H278" s="276"/>
      <c r="I278" s="269"/>
      <c r="J278" s="270"/>
      <c r="K278" s="271"/>
      <c r="L278" s="273"/>
      <c r="M278" s="273"/>
      <c r="N278" s="274"/>
      <c r="O278" s="131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</row>
    <row r="279" ht="15.75" customHeight="1">
      <c r="A279" s="479"/>
      <c r="B279" s="131"/>
      <c r="C279" s="131"/>
      <c r="D279" s="274"/>
      <c r="E279" s="295"/>
      <c r="F279" s="268"/>
      <c r="G279" s="268"/>
      <c r="H279" s="276"/>
      <c r="I279" s="269"/>
      <c r="J279" s="270"/>
      <c r="K279" s="271"/>
      <c r="L279" s="273"/>
      <c r="M279" s="273"/>
      <c r="N279" s="274"/>
      <c r="O279" s="131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</row>
    <row r="280" ht="15.75" customHeight="1">
      <c r="A280" s="479"/>
      <c r="B280" s="131"/>
      <c r="C280" s="131"/>
      <c r="D280" s="274"/>
      <c r="E280" s="295"/>
      <c r="F280" s="268"/>
      <c r="G280" s="268"/>
      <c r="H280" s="276"/>
      <c r="I280" s="269"/>
      <c r="J280" s="270"/>
      <c r="K280" s="271"/>
      <c r="L280" s="273"/>
      <c r="M280" s="273"/>
      <c r="N280" s="274"/>
      <c r="O280" s="131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</row>
    <row r="281" ht="15.75" customHeight="1">
      <c r="A281" s="479"/>
      <c r="B281" s="131"/>
      <c r="C281" s="131"/>
      <c r="D281" s="274"/>
      <c r="E281" s="295"/>
      <c r="F281" s="268"/>
      <c r="G281" s="268"/>
      <c r="H281" s="276"/>
      <c r="I281" s="269"/>
      <c r="J281" s="270"/>
      <c r="K281" s="271"/>
      <c r="L281" s="273"/>
      <c r="M281" s="273"/>
      <c r="N281" s="274"/>
      <c r="O281" s="131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</row>
    <row r="282" ht="15.75" customHeight="1">
      <c r="A282" s="479"/>
      <c r="B282" s="131"/>
      <c r="C282" s="131"/>
      <c r="D282" s="274"/>
      <c r="E282" s="295"/>
      <c r="F282" s="268"/>
      <c r="G282" s="268"/>
      <c r="H282" s="276"/>
      <c r="I282" s="269"/>
      <c r="J282" s="270"/>
      <c r="K282" s="271"/>
      <c r="L282" s="273"/>
      <c r="M282" s="273"/>
      <c r="N282" s="274"/>
      <c r="O282" s="131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</row>
    <row r="283" ht="15.75" customHeight="1">
      <c r="A283" s="479"/>
      <c r="B283" s="131"/>
      <c r="C283" s="131"/>
      <c r="D283" s="274"/>
      <c r="E283" s="295"/>
      <c r="F283" s="268"/>
      <c r="G283" s="268"/>
      <c r="H283" s="276"/>
      <c r="I283" s="269"/>
      <c r="J283" s="270"/>
      <c r="K283" s="271"/>
      <c r="L283" s="273"/>
      <c r="M283" s="273"/>
      <c r="N283" s="274"/>
      <c r="O283" s="131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</row>
    <row r="284" ht="15.75" customHeight="1">
      <c r="A284" s="479"/>
      <c r="B284" s="131"/>
      <c r="C284" s="131"/>
      <c r="D284" s="274"/>
      <c r="E284" s="295"/>
      <c r="F284" s="268"/>
      <c r="G284" s="268"/>
      <c r="H284" s="276"/>
      <c r="I284" s="269"/>
      <c r="J284" s="270"/>
      <c r="K284" s="271"/>
      <c r="L284" s="273"/>
      <c r="M284" s="273"/>
      <c r="N284" s="274"/>
      <c r="O284" s="131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</row>
    <row r="285" ht="15.75" customHeight="1">
      <c r="A285" s="479"/>
      <c r="B285" s="131"/>
      <c r="C285" s="131"/>
      <c r="D285" s="274"/>
      <c r="E285" s="295"/>
      <c r="F285" s="268"/>
      <c r="G285" s="268"/>
      <c r="H285" s="276"/>
      <c r="I285" s="269"/>
      <c r="J285" s="270"/>
      <c r="K285" s="271"/>
      <c r="L285" s="273"/>
      <c r="M285" s="273"/>
      <c r="N285" s="274"/>
      <c r="O285" s="131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</row>
    <row r="286" ht="15.75" customHeight="1">
      <c r="A286" s="479"/>
      <c r="B286" s="131"/>
      <c r="C286" s="131"/>
      <c r="D286" s="274"/>
      <c r="E286" s="295"/>
      <c r="F286" s="268"/>
      <c r="G286" s="268"/>
      <c r="H286" s="276"/>
      <c r="I286" s="269"/>
      <c r="J286" s="270"/>
      <c r="K286" s="271"/>
      <c r="L286" s="273"/>
      <c r="M286" s="273"/>
      <c r="N286" s="274"/>
      <c r="O286" s="131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</row>
    <row r="287" ht="15.75" customHeight="1">
      <c r="A287" s="479"/>
      <c r="B287" s="131"/>
      <c r="C287" s="131"/>
      <c r="D287" s="274"/>
      <c r="E287" s="295"/>
      <c r="F287" s="268"/>
      <c r="G287" s="268"/>
      <c r="H287" s="276"/>
      <c r="I287" s="269"/>
      <c r="J287" s="270"/>
      <c r="K287" s="271"/>
      <c r="L287" s="273"/>
      <c r="M287" s="273"/>
      <c r="N287" s="274"/>
      <c r="O287" s="131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</row>
    <row r="288" ht="15.75" customHeight="1">
      <c r="A288" s="479"/>
      <c r="B288" s="131"/>
      <c r="C288" s="131"/>
      <c r="D288" s="274"/>
      <c r="E288" s="295"/>
      <c r="F288" s="268"/>
      <c r="G288" s="268"/>
      <c r="H288" s="276"/>
      <c r="I288" s="269"/>
      <c r="J288" s="270"/>
      <c r="K288" s="271"/>
      <c r="L288" s="273"/>
      <c r="M288" s="273"/>
      <c r="N288" s="274"/>
      <c r="O288" s="131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</row>
    <row r="289" ht="15.75" customHeight="1">
      <c r="A289" s="479"/>
      <c r="B289" s="131"/>
      <c r="C289" s="131"/>
      <c r="D289" s="274"/>
      <c r="E289" s="295"/>
      <c r="F289" s="268"/>
      <c r="G289" s="268"/>
      <c r="H289" s="276"/>
      <c r="I289" s="269"/>
      <c r="J289" s="270"/>
      <c r="K289" s="271"/>
      <c r="L289" s="273"/>
      <c r="M289" s="273"/>
      <c r="N289" s="274"/>
      <c r="O289" s="131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</row>
    <row r="290" ht="15.75" customHeight="1">
      <c r="A290" s="479"/>
      <c r="B290" s="131"/>
      <c r="C290" s="131"/>
      <c r="D290" s="274"/>
      <c r="E290" s="295"/>
      <c r="F290" s="268"/>
      <c r="G290" s="268"/>
      <c r="H290" s="276"/>
      <c r="I290" s="269"/>
      <c r="J290" s="270"/>
      <c r="K290" s="271"/>
      <c r="L290" s="273"/>
      <c r="M290" s="273"/>
      <c r="N290" s="274"/>
      <c r="O290" s="131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</row>
    <row r="291" ht="15.75" customHeight="1">
      <c r="A291" s="479"/>
      <c r="B291" s="131"/>
      <c r="C291" s="131"/>
      <c r="D291" s="274"/>
      <c r="E291" s="295"/>
      <c r="F291" s="268"/>
      <c r="G291" s="268"/>
      <c r="H291" s="276"/>
      <c r="I291" s="269"/>
      <c r="J291" s="270"/>
      <c r="K291" s="271"/>
      <c r="L291" s="273"/>
      <c r="M291" s="273"/>
      <c r="N291" s="274"/>
      <c r="O291" s="131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</row>
    <row r="292" ht="15.75" customHeight="1">
      <c r="A292" s="479"/>
      <c r="B292" s="131"/>
      <c r="C292" s="131"/>
      <c r="D292" s="274"/>
      <c r="E292" s="295"/>
      <c r="F292" s="268"/>
      <c r="G292" s="268"/>
      <c r="H292" s="276"/>
      <c r="I292" s="269"/>
      <c r="J292" s="270"/>
      <c r="K292" s="271"/>
      <c r="L292" s="273"/>
      <c r="M292" s="273"/>
      <c r="N292" s="274"/>
      <c r="O292" s="131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</row>
    <row r="293" ht="15.75" customHeight="1">
      <c r="A293" s="479"/>
      <c r="B293" s="131"/>
      <c r="C293" s="131"/>
      <c r="D293" s="274"/>
      <c r="E293" s="295"/>
      <c r="F293" s="268"/>
      <c r="G293" s="268"/>
      <c r="H293" s="276"/>
      <c r="I293" s="269"/>
      <c r="J293" s="270"/>
      <c r="K293" s="271"/>
      <c r="L293" s="273"/>
      <c r="M293" s="273"/>
      <c r="N293" s="274"/>
      <c r="O293" s="131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</row>
    <row r="294" ht="15.75" customHeight="1">
      <c r="A294" s="479"/>
      <c r="B294" s="131"/>
      <c r="C294" s="131"/>
      <c r="D294" s="274"/>
      <c r="E294" s="295"/>
      <c r="F294" s="268"/>
      <c r="G294" s="268"/>
      <c r="H294" s="276"/>
      <c r="I294" s="269"/>
      <c r="J294" s="270"/>
      <c r="K294" s="271"/>
      <c r="L294" s="273"/>
      <c r="M294" s="273"/>
      <c r="N294" s="274"/>
      <c r="O294" s="131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</row>
    <row r="295" ht="15.75" customHeight="1">
      <c r="A295" s="479"/>
      <c r="B295" s="131"/>
      <c r="C295" s="131"/>
      <c r="D295" s="274"/>
      <c r="E295" s="295"/>
      <c r="F295" s="268"/>
      <c r="G295" s="268"/>
      <c r="H295" s="276"/>
      <c r="I295" s="269"/>
      <c r="J295" s="270"/>
      <c r="K295" s="271"/>
      <c r="L295" s="273"/>
      <c r="M295" s="273"/>
      <c r="N295" s="274"/>
      <c r="O295" s="131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</row>
    <row r="296" ht="15.75" customHeight="1">
      <c r="A296" s="479"/>
      <c r="B296" s="131"/>
      <c r="C296" s="131"/>
      <c r="D296" s="274"/>
      <c r="E296" s="295"/>
      <c r="F296" s="268"/>
      <c r="G296" s="268"/>
      <c r="H296" s="276"/>
      <c r="I296" s="269"/>
      <c r="J296" s="270"/>
      <c r="K296" s="271"/>
      <c r="L296" s="273"/>
      <c r="M296" s="273"/>
      <c r="N296" s="274"/>
      <c r="O296" s="131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</row>
    <row r="297" ht="15.75" customHeight="1">
      <c r="A297" s="479"/>
      <c r="B297" s="131"/>
      <c r="C297" s="131"/>
      <c r="D297" s="274"/>
      <c r="E297" s="295"/>
      <c r="F297" s="268"/>
      <c r="G297" s="268"/>
      <c r="H297" s="276"/>
      <c r="I297" s="269"/>
      <c r="J297" s="270"/>
      <c r="K297" s="271"/>
      <c r="L297" s="273"/>
      <c r="M297" s="273"/>
      <c r="N297" s="274"/>
      <c r="O297" s="131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</row>
    <row r="298" ht="15.75" customHeight="1">
      <c r="A298" s="479"/>
      <c r="B298" s="131"/>
      <c r="C298" s="131"/>
      <c r="D298" s="274"/>
      <c r="E298" s="295"/>
      <c r="F298" s="268"/>
      <c r="G298" s="268"/>
      <c r="H298" s="276"/>
      <c r="I298" s="269"/>
      <c r="J298" s="270"/>
      <c r="K298" s="271"/>
      <c r="L298" s="273"/>
      <c r="M298" s="273"/>
      <c r="N298" s="274"/>
      <c r="O298" s="131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</row>
    <row r="299" ht="15.75" customHeight="1">
      <c r="A299" s="479"/>
      <c r="B299" s="131"/>
      <c r="C299" s="131"/>
      <c r="D299" s="274"/>
      <c r="E299" s="295"/>
      <c r="F299" s="268"/>
      <c r="G299" s="268"/>
      <c r="H299" s="276"/>
      <c r="I299" s="269"/>
      <c r="J299" s="270"/>
      <c r="K299" s="271"/>
      <c r="L299" s="273"/>
      <c r="M299" s="273"/>
      <c r="N299" s="274"/>
      <c r="O299" s="131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</row>
    <row r="300" ht="15.75" customHeight="1">
      <c r="A300" s="479"/>
      <c r="B300" s="131"/>
      <c r="C300" s="131"/>
      <c r="D300" s="274"/>
      <c r="E300" s="295"/>
      <c r="F300" s="268"/>
      <c r="G300" s="268"/>
      <c r="H300" s="276"/>
      <c r="I300" s="269"/>
      <c r="J300" s="270"/>
      <c r="K300" s="271"/>
      <c r="L300" s="273"/>
      <c r="M300" s="273"/>
      <c r="N300" s="274"/>
      <c r="O300" s="131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</row>
    <row r="301" ht="15.75" customHeight="1">
      <c r="A301" s="479"/>
      <c r="B301" s="131"/>
      <c r="C301" s="131"/>
      <c r="D301" s="274"/>
      <c r="E301" s="295"/>
      <c r="F301" s="268"/>
      <c r="G301" s="268"/>
      <c r="H301" s="276"/>
      <c r="I301" s="269"/>
      <c r="J301" s="270"/>
      <c r="K301" s="271"/>
      <c r="L301" s="273"/>
      <c r="M301" s="273"/>
      <c r="N301" s="274"/>
      <c r="O301" s="131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</row>
    <row r="302" ht="15.75" customHeight="1">
      <c r="A302" s="479"/>
      <c r="B302" s="131"/>
      <c r="C302" s="131"/>
      <c r="D302" s="274"/>
      <c r="E302" s="295"/>
      <c r="F302" s="268"/>
      <c r="G302" s="268"/>
      <c r="H302" s="276"/>
      <c r="I302" s="269"/>
      <c r="J302" s="270"/>
      <c r="K302" s="271"/>
      <c r="L302" s="273"/>
      <c r="M302" s="273"/>
      <c r="N302" s="274"/>
      <c r="O302" s="131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</row>
    <row r="303" ht="15.75" customHeight="1">
      <c r="A303" s="479"/>
      <c r="B303" s="131"/>
      <c r="C303" s="131"/>
      <c r="D303" s="274"/>
      <c r="E303" s="295"/>
      <c r="F303" s="268"/>
      <c r="G303" s="268"/>
      <c r="H303" s="276"/>
      <c r="I303" s="269"/>
      <c r="J303" s="270"/>
      <c r="K303" s="271"/>
      <c r="L303" s="273"/>
      <c r="M303" s="273"/>
      <c r="N303" s="274"/>
      <c r="O303" s="131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</row>
    <row r="304" ht="15.75" customHeight="1">
      <c r="A304" s="479"/>
      <c r="B304" s="131"/>
      <c r="C304" s="131"/>
      <c r="D304" s="274"/>
      <c r="E304" s="295"/>
      <c r="F304" s="268"/>
      <c r="G304" s="268"/>
      <c r="H304" s="276"/>
      <c r="I304" s="269"/>
      <c r="J304" s="270"/>
      <c r="K304" s="271"/>
      <c r="L304" s="273"/>
      <c r="M304" s="273"/>
      <c r="N304" s="274"/>
      <c r="O304" s="131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</row>
    <row r="305" ht="15.75" customHeight="1">
      <c r="A305" s="479"/>
      <c r="B305" s="131"/>
      <c r="C305" s="131"/>
      <c r="D305" s="274"/>
      <c r="E305" s="295"/>
      <c r="F305" s="268"/>
      <c r="G305" s="268"/>
      <c r="H305" s="276"/>
      <c r="I305" s="269"/>
      <c r="J305" s="270"/>
      <c r="K305" s="271"/>
      <c r="L305" s="273"/>
      <c r="M305" s="273"/>
      <c r="N305" s="274"/>
      <c r="O305" s="131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</row>
    <row r="306" ht="15.75" customHeight="1">
      <c r="A306" s="479"/>
      <c r="B306" s="131"/>
      <c r="C306" s="131"/>
      <c r="D306" s="274"/>
      <c r="E306" s="295"/>
      <c r="F306" s="268"/>
      <c r="G306" s="268"/>
      <c r="H306" s="276"/>
      <c r="I306" s="269"/>
      <c r="J306" s="270"/>
      <c r="K306" s="271"/>
      <c r="L306" s="273"/>
      <c r="M306" s="273"/>
      <c r="N306" s="274"/>
      <c r="O306" s="131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</row>
    <row r="307" ht="15.75" customHeight="1">
      <c r="A307" s="479"/>
      <c r="B307" s="131"/>
      <c r="C307" s="131"/>
      <c r="D307" s="274"/>
      <c r="E307" s="295"/>
      <c r="F307" s="268"/>
      <c r="G307" s="268"/>
      <c r="H307" s="276"/>
      <c r="I307" s="269"/>
      <c r="J307" s="270"/>
      <c r="K307" s="271"/>
      <c r="L307" s="273"/>
      <c r="M307" s="273"/>
      <c r="N307" s="274"/>
      <c r="O307" s="131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</row>
    <row r="308" ht="15.75" customHeight="1">
      <c r="A308" s="479"/>
      <c r="B308" s="131"/>
      <c r="C308" s="131"/>
      <c r="D308" s="274"/>
      <c r="E308" s="295"/>
      <c r="F308" s="268"/>
      <c r="G308" s="268"/>
      <c r="H308" s="276"/>
      <c r="I308" s="269"/>
      <c r="J308" s="270"/>
      <c r="K308" s="271"/>
      <c r="L308" s="273"/>
      <c r="M308" s="273"/>
      <c r="N308" s="274"/>
      <c r="O308" s="131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</row>
    <row r="309" ht="15.75" customHeight="1">
      <c r="A309" s="479"/>
      <c r="B309" s="131"/>
      <c r="C309" s="131"/>
      <c r="D309" s="274"/>
      <c r="E309" s="295"/>
      <c r="F309" s="268"/>
      <c r="G309" s="268"/>
      <c r="H309" s="276"/>
      <c r="I309" s="269"/>
      <c r="J309" s="270"/>
      <c r="K309" s="271"/>
      <c r="L309" s="273"/>
      <c r="M309" s="273"/>
      <c r="N309" s="274"/>
      <c r="O309" s="131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</row>
    <row r="310" ht="15.75" customHeight="1">
      <c r="A310" s="479"/>
      <c r="B310" s="131"/>
      <c r="C310" s="131"/>
      <c r="D310" s="274"/>
      <c r="E310" s="295"/>
      <c r="F310" s="268"/>
      <c r="G310" s="268"/>
      <c r="H310" s="276"/>
      <c r="I310" s="269"/>
      <c r="J310" s="270"/>
      <c r="K310" s="271"/>
      <c r="L310" s="273"/>
      <c r="M310" s="273"/>
      <c r="N310" s="274"/>
      <c r="O310" s="131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</row>
    <row r="311" ht="15.75" customHeight="1">
      <c r="A311" s="479"/>
      <c r="B311" s="131"/>
      <c r="C311" s="131"/>
      <c r="D311" s="274"/>
      <c r="E311" s="295"/>
      <c r="F311" s="268"/>
      <c r="G311" s="268"/>
      <c r="H311" s="276"/>
      <c r="I311" s="269"/>
      <c r="J311" s="270"/>
      <c r="K311" s="271"/>
      <c r="L311" s="273"/>
      <c r="M311" s="273"/>
      <c r="N311" s="274"/>
      <c r="O311" s="131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</row>
    <row r="312" ht="15.75" customHeight="1">
      <c r="A312" s="479"/>
      <c r="B312" s="131"/>
      <c r="C312" s="131"/>
      <c r="D312" s="274"/>
      <c r="E312" s="295"/>
      <c r="F312" s="268"/>
      <c r="G312" s="268"/>
      <c r="H312" s="276"/>
      <c r="I312" s="269"/>
      <c r="J312" s="270"/>
      <c r="K312" s="271"/>
      <c r="L312" s="273"/>
      <c r="M312" s="273"/>
      <c r="N312" s="274"/>
      <c r="O312" s="131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</row>
    <row r="313" ht="15.75" customHeight="1">
      <c r="A313" s="479"/>
      <c r="B313" s="131"/>
      <c r="C313" s="131"/>
      <c r="D313" s="274"/>
      <c r="E313" s="295"/>
      <c r="F313" s="268"/>
      <c r="G313" s="268"/>
      <c r="H313" s="276"/>
      <c r="I313" s="269"/>
      <c r="J313" s="270"/>
      <c r="K313" s="271"/>
      <c r="L313" s="273"/>
      <c r="M313" s="273"/>
      <c r="N313" s="274"/>
      <c r="O313" s="131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</row>
    <row r="314" ht="15.75" customHeight="1">
      <c r="A314" s="479"/>
      <c r="B314" s="131"/>
      <c r="C314" s="131"/>
      <c r="D314" s="274"/>
      <c r="E314" s="295"/>
      <c r="F314" s="268"/>
      <c r="G314" s="268"/>
      <c r="H314" s="276"/>
      <c r="I314" s="269"/>
      <c r="J314" s="270"/>
      <c r="K314" s="271"/>
      <c r="L314" s="273"/>
      <c r="M314" s="273"/>
      <c r="N314" s="274"/>
      <c r="O314" s="131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</row>
    <row r="315" ht="15.75" customHeight="1">
      <c r="A315" s="479"/>
      <c r="B315" s="131"/>
      <c r="C315" s="131"/>
      <c r="D315" s="274"/>
      <c r="E315" s="295"/>
      <c r="F315" s="268"/>
      <c r="G315" s="268"/>
      <c r="H315" s="276"/>
      <c r="I315" s="269"/>
      <c r="J315" s="270"/>
      <c r="K315" s="271"/>
      <c r="L315" s="273"/>
      <c r="M315" s="273"/>
      <c r="N315" s="274"/>
      <c r="O315" s="131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</row>
    <row r="316" ht="15.75" customHeight="1">
      <c r="A316" s="479"/>
      <c r="B316" s="131"/>
      <c r="C316" s="131"/>
      <c r="D316" s="274"/>
      <c r="E316" s="295"/>
      <c r="F316" s="268"/>
      <c r="G316" s="268"/>
      <c r="H316" s="276"/>
      <c r="I316" s="269"/>
      <c r="J316" s="270"/>
      <c r="K316" s="271"/>
      <c r="L316" s="273"/>
      <c r="M316" s="273"/>
      <c r="N316" s="274"/>
      <c r="O316" s="131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</row>
    <row r="317" ht="15.75" customHeight="1">
      <c r="A317" s="479"/>
      <c r="B317" s="131"/>
      <c r="C317" s="131"/>
      <c r="D317" s="274"/>
      <c r="E317" s="295"/>
      <c r="F317" s="268"/>
      <c r="G317" s="268"/>
      <c r="H317" s="276"/>
      <c r="I317" s="269"/>
      <c r="J317" s="270"/>
      <c r="K317" s="271"/>
      <c r="L317" s="273"/>
      <c r="M317" s="273"/>
      <c r="N317" s="274"/>
      <c r="O317" s="131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</row>
    <row r="318" ht="15.75" customHeight="1">
      <c r="A318" s="479"/>
      <c r="B318" s="131"/>
      <c r="C318" s="131"/>
      <c r="D318" s="274"/>
      <c r="E318" s="295"/>
      <c r="F318" s="268"/>
      <c r="G318" s="268"/>
      <c r="H318" s="276"/>
      <c r="I318" s="269"/>
      <c r="J318" s="270"/>
      <c r="K318" s="271"/>
      <c r="L318" s="273"/>
      <c r="M318" s="273"/>
      <c r="N318" s="274"/>
      <c r="O318" s="131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</row>
    <row r="319" ht="15.75" customHeight="1">
      <c r="A319" s="479"/>
      <c r="B319" s="131"/>
      <c r="C319" s="131"/>
      <c r="D319" s="274"/>
      <c r="E319" s="295"/>
      <c r="F319" s="268"/>
      <c r="G319" s="268"/>
      <c r="H319" s="276"/>
      <c r="I319" s="269"/>
      <c r="J319" s="270"/>
      <c r="K319" s="271"/>
      <c r="L319" s="273"/>
      <c r="M319" s="273"/>
      <c r="N319" s="274"/>
      <c r="O319" s="131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</row>
    <row r="320" ht="15.75" customHeight="1">
      <c r="A320" s="479"/>
      <c r="B320" s="131"/>
      <c r="C320" s="131"/>
      <c r="D320" s="274"/>
      <c r="E320" s="295"/>
      <c r="F320" s="268"/>
      <c r="G320" s="268"/>
      <c r="H320" s="276"/>
      <c r="I320" s="269"/>
      <c r="J320" s="270"/>
      <c r="K320" s="271"/>
      <c r="L320" s="273"/>
      <c r="M320" s="273"/>
      <c r="N320" s="274"/>
      <c r="O320" s="131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</row>
    <row r="321" ht="15.75" customHeight="1">
      <c r="A321" s="479"/>
      <c r="B321" s="131"/>
      <c r="C321" s="131"/>
      <c r="D321" s="274"/>
      <c r="E321" s="295"/>
      <c r="F321" s="268"/>
      <c r="G321" s="268"/>
      <c r="H321" s="276"/>
      <c r="I321" s="269"/>
      <c r="J321" s="270"/>
      <c r="K321" s="271"/>
      <c r="L321" s="273"/>
      <c r="M321" s="273"/>
      <c r="N321" s="274"/>
      <c r="O321" s="131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</row>
    <row r="322" ht="15.75" customHeight="1">
      <c r="A322" s="479"/>
      <c r="B322" s="131"/>
      <c r="C322" s="131"/>
      <c r="D322" s="274"/>
      <c r="E322" s="295"/>
      <c r="F322" s="268"/>
      <c r="G322" s="268"/>
      <c r="H322" s="276"/>
      <c r="I322" s="269"/>
      <c r="J322" s="270"/>
      <c r="K322" s="271"/>
      <c r="L322" s="273"/>
      <c r="M322" s="273"/>
      <c r="N322" s="274"/>
      <c r="O322" s="131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</row>
    <row r="323" ht="15.75" customHeight="1">
      <c r="A323" s="479"/>
      <c r="B323" s="131"/>
      <c r="C323" s="131"/>
      <c r="D323" s="274"/>
      <c r="E323" s="295"/>
      <c r="F323" s="268"/>
      <c r="G323" s="268"/>
      <c r="H323" s="276"/>
      <c r="I323" s="269"/>
      <c r="J323" s="270"/>
      <c r="K323" s="271"/>
      <c r="L323" s="273"/>
      <c r="M323" s="273"/>
      <c r="N323" s="274"/>
      <c r="O323" s="131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</row>
    <row r="324" ht="15.75" customHeight="1">
      <c r="A324" s="479"/>
      <c r="B324" s="131"/>
      <c r="C324" s="131"/>
      <c r="D324" s="274"/>
      <c r="E324" s="295"/>
      <c r="F324" s="268"/>
      <c r="G324" s="268"/>
      <c r="H324" s="276"/>
      <c r="I324" s="269"/>
      <c r="J324" s="270"/>
      <c r="K324" s="271"/>
      <c r="L324" s="273"/>
      <c r="M324" s="273"/>
      <c r="N324" s="274"/>
      <c r="O324" s="131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</row>
    <row r="325" ht="15.75" customHeight="1">
      <c r="A325" s="479"/>
      <c r="B325" s="131"/>
      <c r="C325" s="131"/>
      <c r="D325" s="274"/>
      <c r="E325" s="295"/>
      <c r="F325" s="268"/>
      <c r="G325" s="268"/>
      <c r="H325" s="276"/>
      <c r="I325" s="269"/>
      <c r="J325" s="270"/>
      <c r="K325" s="271"/>
      <c r="L325" s="273"/>
      <c r="M325" s="273"/>
      <c r="N325" s="274"/>
      <c r="O325" s="131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</row>
    <row r="326" ht="15.75" customHeight="1">
      <c r="A326" s="479"/>
      <c r="B326" s="131"/>
      <c r="C326" s="131"/>
      <c r="D326" s="274"/>
      <c r="E326" s="295"/>
      <c r="F326" s="268"/>
      <c r="G326" s="268"/>
      <c r="H326" s="276"/>
      <c r="I326" s="269"/>
      <c r="J326" s="270"/>
      <c r="K326" s="271"/>
      <c r="L326" s="273"/>
      <c r="M326" s="273"/>
      <c r="N326" s="274"/>
      <c r="O326" s="131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</row>
    <row r="327" ht="15.75" customHeight="1">
      <c r="A327" s="479"/>
      <c r="B327" s="131"/>
      <c r="C327" s="131"/>
      <c r="D327" s="274"/>
      <c r="E327" s="295"/>
      <c r="F327" s="268"/>
      <c r="G327" s="268"/>
      <c r="H327" s="276"/>
      <c r="I327" s="269"/>
      <c r="J327" s="270"/>
      <c r="K327" s="271"/>
      <c r="L327" s="273"/>
      <c r="M327" s="273"/>
      <c r="N327" s="274"/>
      <c r="O327" s="131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</row>
    <row r="328" ht="15.75" customHeight="1">
      <c r="A328" s="479"/>
      <c r="B328" s="131"/>
      <c r="C328" s="131"/>
      <c r="D328" s="274"/>
      <c r="E328" s="295"/>
      <c r="F328" s="268"/>
      <c r="G328" s="268"/>
      <c r="H328" s="276"/>
      <c r="I328" s="269"/>
      <c r="J328" s="270"/>
      <c r="K328" s="271"/>
      <c r="L328" s="273"/>
      <c r="M328" s="273"/>
      <c r="N328" s="274"/>
      <c r="O328" s="131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</row>
    <row r="329" ht="15.75" customHeight="1">
      <c r="A329" s="479"/>
      <c r="B329" s="131"/>
      <c r="C329" s="131"/>
      <c r="D329" s="274"/>
      <c r="E329" s="295"/>
      <c r="F329" s="268"/>
      <c r="G329" s="268"/>
      <c r="H329" s="276"/>
      <c r="I329" s="269"/>
      <c r="J329" s="270"/>
      <c r="K329" s="271"/>
      <c r="L329" s="273"/>
      <c r="M329" s="273"/>
      <c r="N329" s="274"/>
      <c r="O329" s="131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</row>
    <row r="330" ht="15.75" customHeight="1">
      <c r="A330" s="479"/>
      <c r="B330" s="131"/>
      <c r="C330" s="131"/>
      <c r="D330" s="274"/>
      <c r="E330" s="295"/>
      <c r="F330" s="268"/>
      <c r="G330" s="268"/>
      <c r="H330" s="276"/>
      <c r="I330" s="269"/>
      <c r="J330" s="270"/>
      <c r="K330" s="271"/>
      <c r="L330" s="273"/>
      <c r="M330" s="273"/>
      <c r="N330" s="274"/>
      <c r="O330" s="131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</row>
    <row r="331" ht="15.75" customHeight="1">
      <c r="A331" s="479"/>
      <c r="B331" s="131"/>
      <c r="C331" s="131"/>
      <c r="D331" s="274"/>
      <c r="E331" s="295"/>
      <c r="F331" s="268"/>
      <c r="G331" s="268"/>
      <c r="H331" s="276"/>
      <c r="I331" s="269"/>
      <c r="J331" s="270"/>
      <c r="K331" s="271"/>
      <c r="L331" s="273"/>
      <c r="M331" s="273"/>
      <c r="N331" s="274"/>
      <c r="O331" s="131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</row>
    <row r="332" ht="15.75" customHeight="1">
      <c r="A332" s="479"/>
      <c r="B332" s="131"/>
      <c r="C332" s="131"/>
      <c r="D332" s="274"/>
      <c r="E332" s="295"/>
      <c r="F332" s="268"/>
      <c r="G332" s="268"/>
      <c r="H332" s="276"/>
      <c r="I332" s="269"/>
      <c r="J332" s="270"/>
      <c r="K332" s="271"/>
      <c r="L332" s="273"/>
      <c r="M332" s="273"/>
      <c r="N332" s="274"/>
      <c r="O332" s="131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</row>
    <row r="333" ht="15.75" customHeight="1">
      <c r="A333" s="479"/>
      <c r="B333" s="131"/>
      <c r="C333" s="131"/>
      <c r="D333" s="274"/>
      <c r="E333" s="295"/>
      <c r="F333" s="268"/>
      <c r="G333" s="268"/>
      <c r="H333" s="276"/>
      <c r="I333" s="269"/>
      <c r="J333" s="270"/>
      <c r="K333" s="271"/>
      <c r="L333" s="273"/>
      <c r="M333" s="273"/>
      <c r="N333" s="274"/>
      <c r="O333" s="131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</row>
    <row r="334" ht="15.75" customHeight="1">
      <c r="A334" s="479"/>
      <c r="B334" s="131"/>
      <c r="C334" s="131"/>
      <c r="D334" s="274"/>
      <c r="E334" s="295"/>
      <c r="F334" s="268"/>
      <c r="G334" s="268"/>
      <c r="H334" s="276"/>
      <c r="I334" s="269"/>
      <c r="J334" s="270"/>
      <c r="K334" s="271"/>
      <c r="L334" s="273"/>
      <c r="M334" s="273"/>
      <c r="N334" s="274"/>
      <c r="O334" s="131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</row>
    <row r="335" ht="15.75" customHeight="1">
      <c r="A335" s="479"/>
      <c r="B335" s="131"/>
      <c r="C335" s="131"/>
      <c r="D335" s="274"/>
      <c r="E335" s="295"/>
      <c r="F335" s="268"/>
      <c r="G335" s="268"/>
      <c r="H335" s="276"/>
      <c r="I335" s="269"/>
      <c r="J335" s="270"/>
      <c r="K335" s="271"/>
      <c r="L335" s="273"/>
      <c r="M335" s="273"/>
      <c r="N335" s="274"/>
      <c r="O335" s="131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</row>
    <row r="336" ht="15.75" customHeight="1">
      <c r="A336" s="479"/>
      <c r="B336" s="131"/>
      <c r="C336" s="131"/>
      <c r="D336" s="274"/>
      <c r="E336" s="295"/>
      <c r="F336" s="268"/>
      <c r="G336" s="268"/>
      <c r="H336" s="276"/>
      <c r="I336" s="269"/>
      <c r="J336" s="270"/>
      <c r="K336" s="271"/>
      <c r="L336" s="273"/>
      <c r="M336" s="273"/>
      <c r="N336" s="274"/>
      <c r="O336" s="131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</row>
    <row r="337" ht="15.75" customHeight="1">
      <c r="A337" s="479"/>
      <c r="B337" s="131"/>
      <c r="C337" s="131"/>
      <c r="D337" s="274"/>
      <c r="E337" s="295"/>
      <c r="F337" s="268"/>
      <c r="G337" s="268"/>
      <c r="H337" s="276"/>
      <c r="I337" s="269"/>
      <c r="J337" s="270"/>
      <c r="K337" s="271"/>
      <c r="L337" s="273"/>
      <c r="M337" s="273"/>
      <c r="N337" s="274"/>
      <c r="O337" s="131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</row>
    <row r="338" ht="15.75" customHeight="1">
      <c r="A338" s="479"/>
      <c r="B338" s="131"/>
      <c r="C338" s="131"/>
      <c r="D338" s="274"/>
      <c r="E338" s="295"/>
      <c r="F338" s="268"/>
      <c r="G338" s="268"/>
      <c r="H338" s="276"/>
      <c r="I338" s="269"/>
      <c r="J338" s="270"/>
      <c r="K338" s="271"/>
      <c r="L338" s="273"/>
      <c r="M338" s="273"/>
      <c r="N338" s="274"/>
      <c r="O338" s="131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</row>
    <row r="339" ht="15.75" customHeight="1">
      <c r="A339" s="479"/>
      <c r="B339" s="131"/>
      <c r="C339" s="131"/>
      <c r="D339" s="274"/>
      <c r="E339" s="295"/>
      <c r="F339" s="268"/>
      <c r="G339" s="268"/>
      <c r="H339" s="276"/>
      <c r="I339" s="269"/>
      <c r="J339" s="270"/>
      <c r="K339" s="271"/>
      <c r="L339" s="273"/>
      <c r="M339" s="273"/>
      <c r="N339" s="274"/>
      <c r="O339" s="131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</row>
    <row r="340" ht="15.75" customHeight="1">
      <c r="A340" s="479"/>
      <c r="B340" s="131"/>
      <c r="C340" s="131"/>
      <c r="D340" s="274"/>
      <c r="E340" s="295"/>
      <c r="F340" s="268"/>
      <c r="G340" s="268"/>
      <c r="H340" s="276"/>
      <c r="I340" s="269"/>
      <c r="J340" s="270"/>
      <c r="K340" s="271"/>
      <c r="L340" s="273"/>
      <c r="M340" s="273"/>
      <c r="N340" s="274"/>
      <c r="O340" s="131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</row>
    <row r="341" ht="15.75" customHeight="1">
      <c r="A341" s="479"/>
      <c r="B341" s="131"/>
      <c r="C341" s="131"/>
      <c r="D341" s="274"/>
      <c r="E341" s="295"/>
      <c r="F341" s="268"/>
      <c r="G341" s="268"/>
      <c r="H341" s="276"/>
      <c r="I341" s="269"/>
      <c r="J341" s="270"/>
      <c r="K341" s="271"/>
      <c r="L341" s="273"/>
      <c r="M341" s="273"/>
      <c r="N341" s="274"/>
      <c r="O341" s="131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</row>
    <row r="342" ht="15.75" customHeight="1">
      <c r="A342" s="479"/>
      <c r="B342" s="131"/>
      <c r="C342" s="131"/>
      <c r="D342" s="274"/>
      <c r="E342" s="295"/>
      <c r="F342" s="268"/>
      <c r="G342" s="268"/>
      <c r="H342" s="276"/>
      <c r="I342" s="269"/>
      <c r="J342" s="270"/>
      <c r="K342" s="271"/>
      <c r="L342" s="273"/>
      <c r="M342" s="273"/>
      <c r="N342" s="274"/>
      <c r="O342" s="131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</row>
    <row r="343" ht="15.75" customHeight="1">
      <c r="A343" s="479"/>
      <c r="B343" s="131"/>
      <c r="C343" s="131"/>
      <c r="D343" s="274"/>
      <c r="E343" s="295"/>
      <c r="F343" s="268"/>
      <c r="G343" s="268"/>
      <c r="H343" s="276"/>
      <c r="I343" s="269"/>
      <c r="J343" s="270"/>
      <c r="K343" s="271"/>
      <c r="L343" s="273"/>
      <c r="M343" s="273"/>
      <c r="N343" s="274"/>
      <c r="O343" s="131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</row>
    <row r="344" ht="15.75" customHeight="1">
      <c r="A344" s="479"/>
      <c r="B344" s="131"/>
      <c r="C344" s="131"/>
      <c r="D344" s="274"/>
      <c r="E344" s="295"/>
      <c r="F344" s="268"/>
      <c r="G344" s="268"/>
      <c r="H344" s="276"/>
      <c r="I344" s="269"/>
      <c r="J344" s="270"/>
      <c r="K344" s="271"/>
      <c r="L344" s="273"/>
      <c r="M344" s="273"/>
      <c r="N344" s="274"/>
      <c r="O344" s="131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</row>
    <row r="345" ht="15.75" customHeight="1">
      <c r="A345" s="479"/>
      <c r="B345" s="131"/>
      <c r="C345" s="131"/>
      <c r="D345" s="274"/>
      <c r="E345" s="295"/>
      <c r="F345" s="268"/>
      <c r="G345" s="268"/>
      <c r="H345" s="276"/>
      <c r="I345" s="269"/>
      <c r="J345" s="270"/>
      <c r="K345" s="271"/>
      <c r="L345" s="273"/>
      <c r="M345" s="273"/>
      <c r="N345" s="274"/>
      <c r="O345" s="131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</row>
    <row r="346" ht="15.75" customHeight="1">
      <c r="A346" s="479"/>
      <c r="B346" s="131"/>
      <c r="C346" s="131"/>
      <c r="D346" s="274"/>
      <c r="E346" s="295"/>
      <c r="F346" s="268"/>
      <c r="G346" s="268"/>
      <c r="H346" s="276"/>
      <c r="I346" s="269"/>
      <c r="J346" s="270"/>
      <c r="K346" s="271"/>
      <c r="L346" s="273"/>
      <c r="M346" s="273"/>
      <c r="N346" s="274"/>
      <c r="O346" s="131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</row>
    <row r="347" ht="15.75" customHeight="1">
      <c r="A347" s="479"/>
      <c r="B347" s="131"/>
      <c r="C347" s="131"/>
      <c r="D347" s="274"/>
      <c r="E347" s="295"/>
      <c r="F347" s="268"/>
      <c r="G347" s="268"/>
      <c r="H347" s="276"/>
      <c r="I347" s="269"/>
      <c r="J347" s="270"/>
      <c r="K347" s="271"/>
      <c r="L347" s="273"/>
      <c r="M347" s="273"/>
      <c r="N347" s="274"/>
      <c r="O347" s="131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</row>
    <row r="348" ht="15.75" customHeight="1">
      <c r="A348" s="479"/>
      <c r="B348" s="131"/>
      <c r="C348" s="131"/>
      <c r="D348" s="274"/>
      <c r="E348" s="295"/>
      <c r="F348" s="268"/>
      <c r="G348" s="268"/>
      <c r="H348" s="276"/>
      <c r="I348" s="269"/>
      <c r="J348" s="270"/>
      <c r="K348" s="271"/>
      <c r="L348" s="273"/>
      <c r="M348" s="273"/>
      <c r="N348" s="274"/>
      <c r="O348" s="131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</row>
    <row r="349" ht="15.75" customHeight="1">
      <c r="A349" s="479"/>
      <c r="B349" s="131"/>
      <c r="C349" s="131"/>
      <c r="D349" s="274"/>
      <c r="E349" s="295"/>
      <c r="F349" s="268"/>
      <c r="G349" s="268"/>
      <c r="H349" s="276"/>
      <c r="I349" s="269"/>
      <c r="J349" s="270"/>
      <c r="K349" s="271"/>
      <c r="L349" s="273"/>
      <c r="M349" s="273"/>
      <c r="N349" s="274"/>
      <c r="O349" s="131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</row>
    <row r="350" ht="15.75" customHeight="1">
      <c r="A350" s="479"/>
      <c r="B350" s="131"/>
      <c r="C350" s="131"/>
      <c r="D350" s="274"/>
      <c r="E350" s="295"/>
      <c r="F350" s="268"/>
      <c r="G350" s="268"/>
      <c r="H350" s="276"/>
      <c r="I350" s="269"/>
      <c r="J350" s="270"/>
      <c r="K350" s="271"/>
      <c r="L350" s="273"/>
      <c r="M350" s="273"/>
      <c r="N350" s="274"/>
      <c r="O350" s="131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</row>
    <row r="351" ht="15.75" customHeight="1">
      <c r="A351" s="479"/>
      <c r="B351" s="131"/>
      <c r="C351" s="131"/>
      <c r="D351" s="274"/>
      <c r="E351" s="295"/>
      <c r="F351" s="268"/>
      <c r="G351" s="268"/>
      <c r="H351" s="276"/>
      <c r="I351" s="269"/>
      <c r="J351" s="270"/>
      <c r="K351" s="271"/>
      <c r="L351" s="273"/>
      <c r="M351" s="273"/>
      <c r="N351" s="274"/>
      <c r="O351" s="131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</row>
    <row r="352" ht="15.75" customHeight="1">
      <c r="A352" s="479"/>
      <c r="B352" s="131"/>
      <c r="C352" s="131"/>
      <c r="D352" s="274"/>
      <c r="E352" s="295"/>
      <c r="F352" s="268"/>
      <c r="G352" s="268"/>
      <c r="H352" s="276"/>
      <c r="I352" s="269"/>
      <c r="J352" s="270"/>
      <c r="K352" s="271"/>
      <c r="L352" s="273"/>
      <c r="M352" s="273"/>
      <c r="N352" s="274"/>
      <c r="O352" s="131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</row>
    <row r="353" ht="15.75" customHeight="1">
      <c r="A353" s="479"/>
      <c r="B353" s="131"/>
      <c r="C353" s="131"/>
      <c r="D353" s="274"/>
      <c r="E353" s="295"/>
      <c r="F353" s="268"/>
      <c r="G353" s="268"/>
      <c r="H353" s="276"/>
      <c r="I353" s="269"/>
      <c r="J353" s="270"/>
      <c r="K353" s="271"/>
      <c r="L353" s="273"/>
      <c r="M353" s="273"/>
      <c r="N353" s="274"/>
      <c r="O353" s="131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</row>
    <row r="354" ht="15.75" customHeight="1">
      <c r="A354" s="479"/>
      <c r="B354" s="131"/>
      <c r="C354" s="131"/>
      <c r="D354" s="274"/>
      <c r="E354" s="295"/>
      <c r="F354" s="268"/>
      <c r="G354" s="268"/>
      <c r="H354" s="276"/>
      <c r="I354" s="269"/>
      <c r="J354" s="270"/>
      <c r="K354" s="271"/>
      <c r="L354" s="273"/>
      <c r="M354" s="273"/>
      <c r="N354" s="274"/>
      <c r="O354" s="131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</row>
    <row r="355" ht="15.75" customHeight="1">
      <c r="A355" s="479"/>
      <c r="B355" s="131"/>
      <c r="C355" s="131"/>
      <c r="D355" s="274"/>
      <c r="E355" s="295"/>
      <c r="F355" s="268"/>
      <c r="G355" s="268"/>
      <c r="H355" s="276"/>
      <c r="I355" s="269"/>
      <c r="J355" s="270"/>
      <c r="K355" s="271"/>
      <c r="L355" s="273"/>
      <c r="M355" s="273"/>
      <c r="N355" s="274"/>
      <c r="O355" s="131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</row>
    <row r="356" ht="15.75" customHeight="1">
      <c r="A356" s="479"/>
      <c r="B356" s="131"/>
      <c r="C356" s="131"/>
      <c r="D356" s="274"/>
      <c r="E356" s="295"/>
      <c r="F356" s="268"/>
      <c r="G356" s="268"/>
      <c r="H356" s="276"/>
      <c r="I356" s="269"/>
      <c r="J356" s="270"/>
      <c r="K356" s="271"/>
      <c r="L356" s="273"/>
      <c r="M356" s="273"/>
      <c r="N356" s="274"/>
      <c r="O356" s="131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</row>
    <row r="357" ht="15.75" customHeight="1">
      <c r="A357" s="479"/>
      <c r="B357" s="131"/>
      <c r="C357" s="131"/>
      <c r="D357" s="274"/>
      <c r="E357" s="295"/>
      <c r="F357" s="268"/>
      <c r="G357" s="268"/>
      <c r="H357" s="276"/>
      <c r="I357" s="269"/>
      <c r="J357" s="270"/>
      <c r="K357" s="271"/>
      <c r="L357" s="273"/>
      <c r="M357" s="273"/>
      <c r="N357" s="274"/>
      <c r="O357" s="131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</row>
    <row r="358" ht="15.75" customHeight="1">
      <c r="A358" s="479"/>
      <c r="B358" s="131"/>
      <c r="C358" s="131"/>
      <c r="D358" s="274"/>
      <c r="E358" s="295"/>
      <c r="F358" s="268"/>
      <c r="G358" s="268"/>
      <c r="H358" s="276"/>
      <c r="I358" s="269"/>
      <c r="J358" s="270"/>
      <c r="K358" s="271"/>
      <c r="L358" s="273"/>
      <c r="M358" s="273"/>
      <c r="N358" s="274"/>
      <c r="O358" s="131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</row>
    <row r="359" ht="15.75" customHeight="1">
      <c r="A359" s="479"/>
      <c r="B359" s="131"/>
      <c r="C359" s="131"/>
      <c r="D359" s="274"/>
      <c r="E359" s="295"/>
      <c r="F359" s="268"/>
      <c r="G359" s="268"/>
      <c r="H359" s="276"/>
      <c r="I359" s="269"/>
      <c r="J359" s="270"/>
      <c r="K359" s="271"/>
      <c r="L359" s="273"/>
      <c r="M359" s="273"/>
      <c r="N359" s="274"/>
      <c r="O359" s="131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</row>
    <row r="360" ht="15.75" customHeight="1">
      <c r="A360" s="479"/>
      <c r="B360" s="131"/>
      <c r="C360" s="131"/>
      <c r="D360" s="274"/>
      <c r="E360" s="295"/>
      <c r="F360" s="268"/>
      <c r="G360" s="268"/>
      <c r="H360" s="276"/>
      <c r="I360" s="269"/>
      <c r="J360" s="270"/>
      <c r="K360" s="271"/>
      <c r="L360" s="273"/>
      <c r="M360" s="273"/>
      <c r="N360" s="274"/>
      <c r="O360" s="131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</row>
    <row r="361" ht="15.75" customHeight="1">
      <c r="A361" s="479"/>
      <c r="B361" s="131"/>
      <c r="C361" s="131"/>
      <c r="D361" s="274"/>
      <c r="E361" s="295"/>
      <c r="F361" s="268"/>
      <c r="G361" s="268"/>
      <c r="H361" s="276"/>
      <c r="I361" s="269"/>
      <c r="J361" s="270"/>
      <c r="K361" s="271"/>
      <c r="L361" s="273"/>
      <c r="M361" s="273"/>
      <c r="N361" s="274"/>
      <c r="O361" s="131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</row>
    <row r="362" ht="15.75" customHeight="1">
      <c r="A362" s="479"/>
      <c r="B362" s="131"/>
      <c r="C362" s="131"/>
      <c r="D362" s="274"/>
      <c r="E362" s="295"/>
      <c r="F362" s="268"/>
      <c r="G362" s="268"/>
      <c r="H362" s="276"/>
      <c r="I362" s="269"/>
      <c r="J362" s="270"/>
      <c r="K362" s="271"/>
      <c r="L362" s="273"/>
      <c r="M362" s="273"/>
      <c r="N362" s="274"/>
      <c r="O362" s="131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</row>
    <row r="363" ht="15.75" customHeight="1">
      <c r="A363" s="479"/>
      <c r="B363" s="131"/>
      <c r="C363" s="131"/>
      <c r="D363" s="274"/>
      <c r="E363" s="295"/>
      <c r="F363" s="268"/>
      <c r="G363" s="268"/>
      <c r="H363" s="276"/>
      <c r="I363" s="269"/>
      <c r="J363" s="270"/>
      <c r="K363" s="271"/>
      <c r="L363" s="273"/>
      <c r="M363" s="273"/>
      <c r="N363" s="274"/>
      <c r="O363" s="131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</row>
    <row r="364" ht="15.75" customHeight="1">
      <c r="A364" s="479"/>
      <c r="B364" s="131"/>
      <c r="C364" s="131"/>
      <c r="D364" s="274"/>
      <c r="E364" s="295"/>
      <c r="F364" s="268"/>
      <c r="G364" s="268"/>
      <c r="H364" s="276"/>
      <c r="I364" s="269"/>
      <c r="J364" s="270"/>
      <c r="K364" s="271"/>
      <c r="L364" s="273"/>
      <c r="M364" s="273"/>
      <c r="N364" s="274"/>
      <c r="O364" s="131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</row>
    <row r="365" ht="15.75" customHeight="1">
      <c r="A365" s="479"/>
      <c r="B365" s="131"/>
      <c r="C365" s="131"/>
      <c r="D365" s="274"/>
      <c r="E365" s="295"/>
      <c r="F365" s="268"/>
      <c r="G365" s="268"/>
      <c r="H365" s="276"/>
      <c r="I365" s="269"/>
      <c r="J365" s="270"/>
      <c r="K365" s="271"/>
      <c r="L365" s="273"/>
      <c r="M365" s="273"/>
      <c r="N365" s="274"/>
      <c r="O365" s="131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</row>
    <row r="366" ht="15.75" customHeight="1">
      <c r="A366" s="479"/>
      <c r="B366" s="131"/>
      <c r="C366" s="131"/>
      <c r="D366" s="274"/>
      <c r="E366" s="295"/>
      <c r="F366" s="268"/>
      <c r="G366" s="268"/>
      <c r="H366" s="276"/>
      <c r="I366" s="269"/>
      <c r="J366" s="270"/>
      <c r="K366" s="271"/>
      <c r="L366" s="273"/>
      <c r="M366" s="273"/>
      <c r="N366" s="274"/>
      <c r="O366" s="131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</row>
    <row r="367" ht="15.75" customHeight="1">
      <c r="A367" s="479"/>
      <c r="B367" s="131"/>
      <c r="C367" s="131"/>
      <c r="D367" s="274"/>
      <c r="E367" s="295"/>
      <c r="F367" s="268"/>
      <c r="G367" s="268"/>
      <c r="H367" s="276"/>
      <c r="I367" s="269"/>
      <c r="J367" s="270"/>
      <c r="K367" s="271"/>
      <c r="L367" s="273"/>
      <c r="M367" s="273"/>
      <c r="N367" s="274"/>
      <c r="O367" s="131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</row>
    <row r="368" ht="15.75" customHeight="1">
      <c r="A368" s="479"/>
      <c r="B368" s="131"/>
      <c r="C368" s="131"/>
      <c r="D368" s="274"/>
      <c r="E368" s="295"/>
      <c r="F368" s="268"/>
      <c r="G368" s="268"/>
      <c r="H368" s="276"/>
      <c r="I368" s="269"/>
      <c r="J368" s="270"/>
      <c r="K368" s="271"/>
      <c r="L368" s="273"/>
      <c r="M368" s="273"/>
      <c r="N368" s="274"/>
      <c r="O368" s="131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</row>
    <row r="369" ht="15.75" customHeight="1">
      <c r="A369" s="479"/>
      <c r="B369" s="131"/>
      <c r="C369" s="131"/>
      <c r="D369" s="274"/>
      <c r="E369" s="295"/>
      <c r="F369" s="268"/>
      <c r="G369" s="268"/>
      <c r="H369" s="276"/>
      <c r="I369" s="269"/>
      <c r="J369" s="270"/>
      <c r="K369" s="271"/>
      <c r="L369" s="273"/>
      <c r="M369" s="273"/>
      <c r="N369" s="274"/>
      <c r="O369" s="131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</row>
    <row r="370" ht="15.75" customHeight="1">
      <c r="A370" s="479"/>
      <c r="B370" s="131"/>
      <c r="C370" s="131"/>
      <c r="D370" s="274"/>
      <c r="E370" s="295"/>
      <c r="F370" s="268"/>
      <c r="G370" s="268"/>
      <c r="H370" s="276"/>
      <c r="I370" s="269"/>
      <c r="J370" s="270"/>
      <c r="K370" s="271"/>
      <c r="L370" s="273"/>
      <c r="M370" s="273"/>
      <c r="N370" s="274"/>
      <c r="O370" s="131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</row>
    <row r="371" ht="15.75" customHeight="1">
      <c r="A371" s="479"/>
      <c r="B371" s="131"/>
      <c r="C371" s="131"/>
      <c r="D371" s="274"/>
      <c r="E371" s="295"/>
      <c r="F371" s="268"/>
      <c r="G371" s="268"/>
      <c r="H371" s="276"/>
      <c r="I371" s="269"/>
      <c r="J371" s="270"/>
      <c r="K371" s="271"/>
      <c r="L371" s="273"/>
      <c r="M371" s="273"/>
      <c r="N371" s="274"/>
      <c r="O371" s="131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</row>
    <row r="372" ht="15.75" customHeight="1">
      <c r="A372" s="479"/>
      <c r="B372" s="131"/>
      <c r="C372" s="131"/>
      <c r="D372" s="274"/>
      <c r="E372" s="295"/>
      <c r="F372" s="268"/>
      <c r="G372" s="268"/>
      <c r="H372" s="276"/>
      <c r="I372" s="269"/>
      <c r="J372" s="270"/>
      <c r="K372" s="271"/>
      <c r="L372" s="273"/>
      <c r="M372" s="273"/>
      <c r="N372" s="274"/>
      <c r="O372" s="131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</row>
    <row r="373" ht="15.75" customHeight="1">
      <c r="A373" s="479"/>
      <c r="B373" s="131"/>
      <c r="C373" s="131"/>
      <c r="D373" s="274"/>
      <c r="E373" s="295"/>
      <c r="F373" s="268"/>
      <c r="G373" s="268"/>
      <c r="H373" s="276"/>
      <c r="I373" s="269"/>
      <c r="J373" s="270"/>
      <c r="K373" s="271"/>
      <c r="L373" s="273"/>
      <c r="M373" s="273"/>
      <c r="N373" s="274"/>
      <c r="O373" s="131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</row>
    <row r="374" ht="15.75" customHeight="1">
      <c r="A374" s="479"/>
      <c r="B374" s="131"/>
      <c r="C374" s="131"/>
      <c r="D374" s="274"/>
      <c r="E374" s="295"/>
      <c r="F374" s="268"/>
      <c r="G374" s="268"/>
      <c r="H374" s="276"/>
      <c r="I374" s="269"/>
      <c r="J374" s="270"/>
      <c r="K374" s="271"/>
      <c r="L374" s="273"/>
      <c r="M374" s="273"/>
      <c r="N374" s="274"/>
      <c r="O374" s="131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</row>
    <row r="375" ht="15.75" customHeight="1">
      <c r="A375" s="479"/>
      <c r="B375" s="131"/>
      <c r="C375" s="131"/>
      <c r="D375" s="274"/>
      <c r="E375" s="295"/>
      <c r="F375" s="268"/>
      <c r="G375" s="268"/>
      <c r="H375" s="276"/>
      <c r="I375" s="269"/>
      <c r="J375" s="270"/>
      <c r="K375" s="271"/>
      <c r="L375" s="273"/>
      <c r="M375" s="273"/>
      <c r="N375" s="274"/>
      <c r="O375" s="131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</row>
    <row r="376" ht="15.75" customHeight="1">
      <c r="A376" s="479"/>
      <c r="B376" s="131"/>
      <c r="C376" s="131"/>
      <c r="D376" s="274"/>
      <c r="E376" s="295"/>
      <c r="F376" s="268"/>
      <c r="G376" s="268"/>
      <c r="H376" s="276"/>
      <c r="I376" s="269"/>
      <c r="J376" s="270"/>
      <c r="K376" s="271"/>
      <c r="L376" s="273"/>
      <c r="M376" s="273"/>
      <c r="N376" s="274"/>
      <c r="O376" s="131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</row>
    <row r="377" ht="15.75" customHeight="1">
      <c r="A377" s="479"/>
      <c r="B377" s="131"/>
      <c r="C377" s="131"/>
      <c r="D377" s="274"/>
      <c r="E377" s="295"/>
      <c r="F377" s="268"/>
      <c r="G377" s="268"/>
      <c r="H377" s="276"/>
      <c r="I377" s="269"/>
      <c r="J377" s="270"/>
      <c r="K377" s="271"/>
      <c r="L377" s="273"/>
      <c r="M377" s="273"/>
      <c r="N377" s="274"/>
      <c r="O377" s="131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</row>
    <row r="378" ht="15.75" customHeight="1">
      <c r="A378" s="479"/>
      <c r="B378" s="131"/>
      <c r="C378" s="131"/>
      <c r="D378" s="274"/>
      <c r="E378" s="295"/>
      <c r="F378" s="268"/>
      <c r="G378" s="268"/>
      <c r="H378" s="276"/>
      <c r="I378" s="269"/>
      <c r="J378" s="270"/>
      <c r="K378" s="271"/>
      <c r="L378" s="273"/>
      <c r="M378" s="273"/>
      <c r="N378" s="274"/>
      <c r="O378" s="131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</row>
    <row r="379" ht="15.75" customHeight="1">
      <c r="A379" s="479"/>
      <c r="B379" s="131"/>
      <c r="C379" s="131"/>
      <c r="D379" s="274"/>
      <c r="E379" s="295"/>
      <c r="F379" s="268"/>
      <c r="G379" s="268"/>
      <c r="H379" s="276"/>
      <c r="I379" s="269"/>
      <c r="J379" s="270"/>
      <c r="K379" s="271"/>
      <c r="L379" s="273"/>
      <c r="M379" s="273"/>
      <c r="N379" s="274"/>
      <c r="O379" s="131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</row>
    <row r="380" ht="15.75" customHeight="1">
      <c r="A380" s="479"/>
      <c r="B380" s="131"/>
      <c r="C380" s="131"/>
      <c r="D380" s="274"/>
      <c r="E380" s="295"/>
      <c r="F380" s="268"/>
      <c r="G380" s="268"/>
      <c r="H380" s="276"/>
      <c r="I380" s="269"/>
      <c r="J380" s="270"/>
      <c r="K380" s="271"/>
      <c r="L380" s="273"/>
      <c r="M380" s="273"/>
      <c r="N380" s="274"/>
      <c r="O380" s="131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</row>
    <row r="381" ht="15.75" customHeight="1">
      <c r="A381" s="479"/>
      <c r="B381" s="131"/>
      <c r="C381" s="131"/>
      <c r="D381" s="274"/>
      <c r="E381" s="295"/>
      <c r="F381" s="268"/>
      <c r="G381" s="268"/>
      <c r="H381" s="276"/>
      <c r="I381" s="269"/>
      <c r="J381" s="270"/>
      <c r="K381" s="271"/>
      <c r="L381" s="273"/>
      <c r="M381" s="273"/>
      <c r="N381" s="274"/>
      <c r="O381" s="131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</row>
    <row r="382" ht="15.75" customHeight="1">
      <c r="A382" s="479"/>
      <c r="B382" s="131"/>
      <c r="C382" s="131"/>
      <c r="D382" s="274"/>
      <c r="E382" s="295"/>
      <c r="F382" s="268"/>
      <c r="G382" s="268"/>
      <c r="H382" s="276"/>
      <c r="I382" s="269"/>
      <c r="J382" s="270"/>
      <c r="K382" s="271"/>
      <c r="L382" s="273"/>
      <c r="M382" s="273"/>
      <c r="N382" s="274"/>
      <c r="O382" s="131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</row>
    <row r="383" ht="15.75" customHeight="1">
      <c r="A383" s="479"/>
      <c r="B383" s="131"/>
      <c r="C383" s="131"/>
      <c r="D383" s="274"/>
      <c r="E383" s="295"/>
      <c r="F383" s="268"/>
      <c r="G383" s="268"/>
      <c r="H383" s="276"/>
      <c r="I383" s="269"/>
      <c r="J383" s="270"/>
      <c r="K383" s="271"/>
      <c r="L383" s="273"/>
      <c r="M383" s="273"/>
      <c r="N383" s="274"/>
      <c r="O383" s="131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</row>
    <row r="384" ht="15.75" customHeight="1">
      <c r="A384" s="479"/>
      <c r="B384" s="131"/>
      <c r="C384" s="131"/>
      <c r="D384" s="274"/>
      <c r="E384" s="295"/>
      <c r="F384" s="268"/>
      <c r="G384" s="268"/>
      <c r="H384" s="276"/>
      <c r="I384" s="269"/>
      <c r="J384" s="270"/>
      <c r="K384" s="271"/>
      <c r="L384" s="273"/>
      <c r="M384" s="273"/>
      <c r="N384" s="274"/>
      <c r="O384" s="131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</row>
    <row r="385" ht="15.75" customHeight="1">
      <c r="A385" s="479"/>
      <c r="B385" s="131"/>
      <c r="C385" s="131"/>
      <c r="D385" s="274"/>
      <c r="E385" s="295"/>
      <c r="F385" s="268"/>
      <c r="G385" s="268"/>
      <c r="H385" s="276"/>
      <c r="I385" s="269"/>
      <c r="J385" s="270"/>
      <c r="K385" s="271"/>
      <c r="L385" s="273"/>
      <c r="M385" s="273"/>
      <c r="N385" s="274"/>
      <c r="O385" s="131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</row>
    <row r="386" ht="15.75" customHeight="1">
      <c r="A386" s="479"/>
      <c r="B386" s="131"/>
      <c r="C386" s="131"/>
      <c r="D386" s="274"/>
      <c r="E386" s="295"/>
      <c r="F386" s="268"/>
      <c r="G386" s="268"/>
      <c r="H386" s="276"/>
      <c r="I386" s="269"/>
      <c r="J386" s="270"/>
      <c r="K386" s="271"/>
      <c r="L386" s="273"/>
      <c r="M386" s="273"/>
      <c r="N386" s="274"/>
      <c r="O386" s="131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</row>
    <row r="387" ht="15.75" customHeight="1">
      <c r="A387" s="479"/>
      <c r="B387" s="131"/>
      <c r="C387" s="131"/>
      <c r="D387" s="274"/>
      <c r="E387" s="295"/>
      <c r="F387" s="268"/>
      <c r="G387" s="268"/>
      <c r="H387" s="276"/>
      <c r="I387" s="269"/>
      <c r="J387" s="270"/>
      <c r="K387" s="271"/>
      <c r="L387" s="273"/>
      <c r="M387" s="273"/>
      <c r="N387" s="274"/>
      <c r="O387" s="131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</row>
    <row r="388" ht="15.75" customHeight="1">
      <c r="A388" s="479"/>
      <c r="B388" s="131"/>
      <c r="C388" s="131"/>
      <c r="D388" s="274"/>
      <c r="E388" s="295"/>
      <c r="F388" s="268"/>
      <c r="G388" s="268"/>
      <c r="H388" s="276"/>
      <c r="I388" s="269"/>
      <c r="J388" s="270"/>
      <c r="K388" s="271"/>
      <c r="L388" s="273"/>
      <c r="M388" s="273"/>
      <c r="N388" s="274"/>
      <c r="O388" s="131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</row>
    <row r="389" ht="15.75" customHeight="1">
      <c r="A389" s="479"/>
      <c r="B389" s="131"/>
      <c r="C389" s="131"/>
      <c r="D389" s="274"/>
      <c r="E389" s="295"/>
      <c r="F389" s="268"/>
      <c r="G389" s="268"/>
      <c r="H389" s="276"/>
      <c r="I389" s="269"/>
      <c r="J389" s="270"/>
      <c r="K389" s="271"/>
      <c r="L389" s="273"/>
      <c r="M389" s="273"/>
      <c r="N389" s="274"/>
      <c r="O389" s="131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</row>
    <row r="390" ht="15.75" customHeight="1">
      <c r="A390" s="479"/>
      <c r="B390" s="131"/>
      <c r="C390" s="131"/>
      <c r="D390" s="274"/>
      <c r="E390" s="295"/>
      <c r="F390" s="268"/>
      <c r="G390" s="268"/>
      <c r="H390" s="276"/>
      <c r="I390" s="269"/>
      <c r="J390" s="270"/>
      <c r="K390" s="271"/>
      <c r="L390" s="273"/>
      <c r="M390" s="273"/>
      <c r="N390" s="274"/>
      <c r="O390" s="131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</row>
    <row r="391" ht="15.75" customHeight="1">
      <c r="A391" s="479"/>
      <c r="B391" s="131"/>
      <c r="C391" s="131"/>
      <c r="D391" s="274"/>
      <c r="E391" s="295"/>
      <c r="F391" s="268"/>
      <c r="G391" s="268"/>
      <c r="H391" s="276"/>
      <c r="I391" s="269"/>
      <c r="J391" s="270"/>
      <c r="K391" s="271"/>
      <c r="L391" s="273"/>
      <c r="M391" s="273"/>
      <c r="N391" s="274"/>
      <c r="O391" s="131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</row>
    <row r="392" ht="15.75" customHeight="1">
      <c r="A392" s="479"/>
      <c r="B392" s="131"/>
      <c r="C392" s="131"/>
      <c r="D392" s="274"/>
      <c r="E392" s="295"/>
      <c r="F392" s="268"/>
      <c r="G392" s="268"/>
      <c r="H392" s="276"/>
      <c r="I392" s="269"/>
      <c r="J392" s="270"/>
      <c r="K392" s="271"/>
      <c r="L392" s="273"/>
      <c r="M392" s="273"/>
      <c r="N392" s="274"/>
      <c r="O392" s="131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</row>
    <row r="393" ht="15.75" customHeight="1">
      <c r="A393" s="479"/>
      <c r="B393" s="131"/>
      <c r="C393" s="131"/>
      <c r="D393" s="274"/>
      <c r="E393" s="295"/>
      <c r="F393" s="268"/>
      <c r="G393" s="268"/>
      <c r="H393" s="276"/>
      <c r="I393" s="269"/>
      <c r="J393" s="270"/>
      <c r="K393" s="271"/>
      <c r="L393" s="273"/>
      <c r="M393" s="273"/>
      <c r="N393" s="274"/>
      <c r="O393" s="131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</row>
    <row r="394" ht="15.75" customHeight="1">
      <c r="A394" s="479"/>
      <c r="B394" s="131"/>
      <c r="C394" s="131"/>
      <c r="D394" s="274"/>
      <c r="E394" s="295"/>
      <c r="F394" s="268"/>
      <c r="G394" s="268"/>
      <c r="H394" s="276"/>
      <c r="I394" s="269"/>
      <c r="J394" s="270"/>
      <c r="K394" s="271"/>
      <c r="L394" s="273"/>
      <c r="M394" s="273"/>
      <c r="N394" s="274"/>
      <c r="O394" s="131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</row>
    <row r="395" ht="15.75" customHeight="1">
      <c r="A395" s="479"/>
      <c r="B395" s="131"/>
      <c r="C395" s="131"/>
      <c r="D395" s="274"/>
      <c r="E395" s="295"/>
      <c r="F395" s="268"/>
      <c r="G395" s="268"/>
      <c r="H395" s="276"/>
      <c r="I395" s="269"/>
      <c r="J395" s="270"/>
      <c r="K395" s="271"/>
      <c r="L395" s="273"/>
      <c r="M395" s="273"/>
      <c r="N395" s="274"/>
      <c r="O395" s="131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</row>
    <row r="396" ht="15.75" customHeight="1">
      <c r="A396" s="479"/>
      <c r="B396" s="131"/>
      <c r="C396" s="131"/>
      <c r="D396" s="274"/>
      <c r="E396" s="295"/>
      <c r="F396" s="268"/>
      <c r="G396" s="268"/>
      <c r="H396" s="276"/>
      <c r="I396" s="269"/>
      <c r="J396" s="270"/>
      <c r="K396" s="271"/>
      <c r="L396" s="273"/>
      <c r="M396" s="273"/>
      <c r="N396" s="274"/>
      <c r="O396" s="131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</row>
    <row r="397" ht="15.75" customHeight="1">
      <c r="A397" s="479"/>
      <c r="B397" s="131"/>
      <c r="C397" s="131"/>
      <c r="D397" s="274"/>
      <c r="E397" s="295"/>
      <c r="F397" s="268"/>
      <c r="G397" s="268"/>
      <c r="H397" s="276"/>
      <c r="I397" s="269"/>
      <c r="J397" s="270"/>
      <c r="K397" s="271"/>
      <c r="L397" s="273"/>
      <c r="M397" s="273"/>
      <c r="N397" s="274"/>
      <c r="O397" s="131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</row>
    <row r="398" ht="15.75" customHeight="1">
      <c r="A398" s="479"/>
      <c r="B398" s="131"/>
      <c r="C398" s="131"/>
      <c r="D398" s="274"/>
      <c r="E398" s="295"/>
      <c r="F398" s="268"/>
      <c r="G398" s="268"/>
      <c r="H398" s="276"/>
      <c r="I398" s="269"/>
      <c r="J398" s="270"/>
      <c r="K398" s="271"/>
      <c r="L398" s="273"/>
      <c r="M398" s="273"/>
      <c r="N398" s="274"/>
      <c r="O398" s="131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</row>
    <row r="399" ht="15.75" customHeight="1">
      <c r="A399" s="479"/>
      <c r="B399" s="131"/>
      <c r="C399" s="131"/>
      <c r="D399" s="274"/>
      <c r="E399" s="295"/>
      <c r="F399" s="268"/>
      <c r="G399" s="268"/>
      <c r="H399" s="276"/>
      <c r="I399" s="269"/>
      <c r="J399" s="270"/>
      <c r="K399" s="271"/>
      <c r="L399" s="273"/>
      <c r="M399" s="273"/>
      <c r="N399" s="274"/>
      <c r="O399" s="131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</row>
    <row r="400" ht="15.75" customHeight="1">
      <c r="A400" s="479"/>
      <c r="B400" s="131"/>
      <c r="C400" s="131"/>
      <c r="D400" s="274"/>
      <c r="E400" s="295"/>
      <c r="F400" s="268"/>
      <c r="G400" s="268"/>
      <c r="H400" s="276"/>
      <c r="I400" s="269"/>
      <c r="J400" s="270"/>
      <c r="K400" s="271"/>
      <c r="L400" s="273"/>
      <c r="M400" s="273"/>
      <c r="N400" s="274"/>
      <c r="O400" s="131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</row>
    <row r="401" ht="15.75" customHeight="1">
      <c r="A401" s="479"/>
      <c r="B401" s="131"/>
      <c r="C401" s="131"/>
      <c r="D401" s="274"/>
      <c r="E401" s="295"/>
      <c r="F401" s="268"/>
      <c r="G401" s="268"/>
      <c r="H401" s="276"/>
      <c r="I401" s="269"/>
      <c r="J401" s="270"/>
      <c r="K401" s="271"/>
      <c r="L401" s="273"/>
      <c r="M401" s="273"/>
      <c r="N401" s="274"/>
      <c r="O401" s="131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</row>
    <row r="402" ht="15.75" customHeight="1">
      <c r="A402" s="479"/>
      <c r="B402" s="131"/>
      <c r="C402" s="131"/>
      <c r="D402" s="274"/>
      <c r="E402" s="295"/>
      <c r="F402" s="268"/>
      <c r="G402" s="268"/>
      <c r="H402" s="276"/>
      <c r="I402" s="269"/>
      <c r="J402" s="270"/>
      <c r="K402" s="271"/>
      <c r="L402" s="273"/>
      <c r="M402" s="273"/>
      <c r="N402" s="274"/>
      <c r="O402" s="131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</row>
    <row r="403" ht="15.75" customHeight="1">
      <c r="A403" s="479"/>
      <c r="B403" s="131"/>
      <c r="C403" s="131"/>
      <c r="D403" s="274"/>
      <c r="E403" s="295"/>
      <c r="F403" s="268"/>
      <c r="G403" s="268"/>
      <c r="H403" s="276"/>
      <c r="I403" s="269"/>
      <c r="J403" s="270"/>
      <c r="K403" s="271"/>
      <c r="L403" s="273"/>
      <c r="M403" s="273"/>
      <c r="N403" s="274"/>
      <c r="O403" s="131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</row>
    <row r="404" ht="15.75" customHeight="1">
      <c r="A404" s="479"/>
      <c r="B404" s="131"/>
      <c r="C404" s="131"/>
      <c r="D404" s="274"/>
      <c r="E404" s="295"/>
      <c r="F404" s="268"/>
      <c r="G404" s="268"/>
      <c r="H404" s="276"/>
      <c r="I404" s="269"/>
      <c r="J404" s="270"/>
      <c r="K404" s="271"/>
      <c r="L404" s="273"/>
      <c r="M404" s="273"/>
      <c r="N404" s="274"/>
      <c r="O404" s="131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</row>
    <row r="405" ht="15.75" customHeight="1">
      <c r="A405" s="479"/>
      <c r="B405" s="131"/>
      <c r="C405" s="131"/>
      <c r="D405" s="274"/>
      <c r="E405" s="295"/>
      <c r="F405" s="268"/>
      <c r="G405" s="268"/>
      <c r="H405" s="276"/>
      <c r="I405" s="269"/>
      <c r="J405" s="270"/>
      <c r="K405" s="271"/>
      <c r="L405" s="273"/>
      <c r="M405" s="273"/>
      <c r="N405" s="274"/>
      <c r="O405" s="131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</row>
    <row r="406" ht="15.75" customHeight="1">
      <c r="A406" s="479"/>
      <c r="B406" s="131"/>
      <c r="C406" s="131"/>
      <c r="D406" s="274"/>
      <c r="E406" s="295"/>
      <c r="F406" s="268"/>
      <c r="G406" s="268"/>
      <c r="H406" s="276"/>
      <c r="I406" s="269"/>
      <c r="J406" s="270"/>
      <c r="K406" s="271"/>
      <c r="L406" s="273"/>
      <c r="M406" s="273"/>
      <c r="N406" s="274"/>
      <c r="O406" s="131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</row>
    <row r="407" ht="15.75" customHeight="1">
      <c r="A407" s="479"/>
      <c r="B407" s="131"/>
      <c r="C407" s="131"/>
      <c r="D407" s="274"/>
      <c r="E407" s="295"/>
      <c r="F407" s="268"/>
      <c r="G407" s="268"/>
      <c r="H407" s="276"/>
      <c r="I407" s="269"/>
      <c r="J407" s="270"/>
      <c r="K407" s="271"/>
      <c r="L407" s="273"/>
      <c r="M407" s="273"/>
      <c r="N407" s="274"/>
      <c r="O407" s="131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</row>
    <row r="408" ht="15.75" customHeight="1">
      <c r="A408" s="479"/>
      <c r="B408" s="131"/>
      <c r="C408" s="131"/>
      <c r="D408" s="274"/>
      <c r="E408" s="295"/>
      <c r="F408" s="268"/>
      <c r="G408" s="268"/>
      <c r="H408" s="276"/>
      <c r="I408" s="269"/>
      <c r="J408" s="270"/>
      <c r="K408" s="271"/>
      <c r="L408" s="273"/>
      <c r="M408" s="273"/>
      <c r="N408" s="274"/>
      <c r="O408" s="131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</row>
    <row r="409" ht="15.75" customHeight="1">
      <c r="A409" s="479"/>
      <c r="B409" s="131"/>
      <c r="C409" s="131"/>
      <c r="D409" s="274"/>
      <c r="E409" s="295"/>
      <c r="F409" s="268"/>
      <c r="G409" s="268"/>
      <c r="H409" s="276"/>
      <c r="I409" s="269"/>
      <c r="J409" s="270"/>
      <c r="K409" s="271"/>
      <c r="L409" s="273"/>
      <c r="M409" s="273"/>
      <c r="N409" s="274"/>
      <c r="O409" s="131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</row>
    <row r="410" ht="15.75" customHeight="1">
      <c r="A410" s="479"/>
      <c r="B410" s="131"/>
      <c r="C410" s="131"/>
      <c r="D410" s="274"/>
      <c r="E410" s="295"/>
      <c r="F410" s="268"/>
      <c r="G410" s="268"/>
      <c r="H410" s="276"/>
      <c r="I410" s="269"/>
      <c r="J410" s="270"/>
      <c r="K410" s="271"/>
      <c r="L410" s="273"/>
      <c r="M410" s="273"/>
      <c r="N410" s="274"/>
      <c r="O410" s="131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</row>
    <row r="411" ht="15.75" customHeight="1">
      <c r="A411" s="479"/>
      <c r="B411" s="131"/>
      <c r="C411" s="131"/>
      <c r="D411" s="274"/>
      <c r="E411" s="295"/>
      <c r="F411" s="268"/>
      <c r="G411" s="268"/>
      <c r="H411" s="276"/>
      <c r="I411" s="269"/>
      <c r="J411" s="270"/>
      <c r="K411" s="271"/>
      <c r="L411" s="273"/>
      <c r="M411" s="273"/>
      <c r="N411" s="274"/>
      <c r="O411" s="131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</row>
    <row r="412" ht="15.75" customHeight="1">
      <c r="A412" s="479"/>
      <c r="B412" s="131"/>
      <c r="C412" s="131"/>
      <c r="D412" s="274"/>
      <c r="E412" s="295"/>
      <c r="F412" s="268"/>
      <c r="G412" s="268"/>
      <c r="H412" s="276"/>
      <c r="I412" s="269"/>
      <c r="J412" s="270"/>
      <c r="K412" s="271"/>
      <c r="L412" s="273"/>
      <c r="M412" s="273"/>
      <c r="N412" s="274"/>
      <c r="O412" s="131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</row>
    <row r="413" ht="15.75" customHeight="1">
      <c r="A413" s="479"/>
      <c r="B413" s="131"/>
      <c r="C413" s="131"/>
      <c r="D413" s="274"/>
      <c r="E413" s="295"/>
      <c r="F413" s="268"/>
      <c r="G413" s="268"/>
      <c r="H413" s="276"/>
      <c r="I413" s="269"/>
      <c r="J413" s="270"/>
      <c r="K413" s="271"/>
      <c r="L413" s="273"/>
      <c r="M413" s="273"/>
      <c r="N413" s="274"/>
      <c r="O413" s="131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</row>
    <row r="414" ht="15.75" customHeight="1">
      <c r="A414" s="479"/>
      <c r="B414" s="131"/>
      <c r="C414" s="131"/>
      <c r="D414" s="274"/>
      <c r="E414" s="295"/>
      <c r="F414" s="268"/>
      <c r="G414" s="268"/>
      <c r="H414" s="276"/>
      <c r="I414" s="269"/>
      <c r="J414" s="270"/>
      <c r="K414" s="271"/>
      <c r="L414" s="273"/>
      <c r="M414" s="273"/>
      <c r="N414" s="274"/>
      <c r="O414" s="131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</row>
    <row r="415" ht="15.75" customHeight="1">
      <c r="A415" s="479"/>
      <c r="B415" s="131"/>
      <c r="C415" s="131"/>
      <c r="D415" s="274"/>
      <c r="E415" s="295"/>
      <c r="F415" s="268"/>
      <c r="G415" s="268"/>
      <c r="H415" s="276"/>
      <c r="I415" s="269"/>
      <c r="J415" s="270"/>
      <c r="K415" s="271"/>
      <c r="L415" s="273"/>
      <c r="M415" s="273"/>
      <c r="N415" s="274"/>
      <c r="O415" s="131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</row>
    <row r="416" ht="15.75" customHeight="1">
      <c r="A416" s="479"/>
      <c r="B416" s="131"/>
      <c r="C416" s="131"/>
      <c r="D416" s="274"/>
      <c r="E416" s="295"/>
      <c r="F416" s="268"/>
      <c r="G416" s="268"/>
      <c r="H416" s="276"/>
      <c r="I416" s="269"/>
      <c r="J416" s="270"/>
      <c r="K416" s="271"/>
      <c r="L416" s="273"/>
      <c r="M416" s="273"/>
      <c r="N416" s="274"/>
      <c r="O416" s="131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</row>
    <row r="417" ht="15.75" customHeight="1">
      <c r="A417" s="479"/>
      <c r="B417" s="131"/>
      <c r="C417" s="131"/>
      <c r="D417" s="274"/>
      <c r="E417" s="295"/>
      <c r="F417" s="268"/>
      <c r="G417" s="268"/>
      <c r="H417" s="276"/>
      <c r="I417" s="269"/>
      <c r="J417" s="270"/>
      <c r="K417" s="271"/>
      <c r="L417" s="273"/>
      <c r="M417" s="273"/>
      <c r="N417" s="274"/>
      <c r="O417" s="131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</row>
    <row r="418" ht="15.75" customHeight="1">
      <c r="A418" s="479"/>
      <c r="B418" s="131"/>
      <c r="C418" s="131"/>
      <c r="D418" s="274"/>
      <c r="E418" s="295"/>
      <c r="F418" s="268"/>
      <c r="G418" s="268"/>
      <c r="H418" s="276"/>
      <c r="I418" s="269"/>
      <c r="J418" s="270"/>
      <c r="K418" s="271"/>
      <c r="L418" s="273"/>
      <c r="M418" s="273"/>
      <c r="N418" s="274"/>
      <c r="O418" s="131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</row>
    <row r="419" ht="15.75" customHeight="1">
      <c r="A419" s="479"/>
      <c r="B419" s="131"/>
      <c r="C419" s="131"/>
      <c r="D419" s="274"/>
      <c r="E419" s="295"/>
      <c r="F419" s="268"/>
      <c r="G419" s="268"/>
      <c r="H419" s="276"/>
      <c r="I419" s="269"/>
      <c r="J419" s="270"/>
      <c r="K419" s="271"/>
      <c r="L419" s="273"/>
      <c r="M419" s="273"/>
      <c r="N419" s="274"/>
      <c r="O419" s="131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</row>
    <row r="420" ht="15.75" customHeight="1">
      <c r="A420" s="479"/>
      <c r="B420" s="131"/>
      <c r="C420" s="131"/>
      <c r="D420" s="274"/>
      <c r="E420" s="295"/>
      <c r="F420" s="268"/>
      <c r="G420" s="268"/>
      <c r="H420" s="276"/>
      <c r="I420" s="269"/>
      <c r="J420" s="270"/>
      <c r="K420" s="271"/>
      <c r="L420" s="273"/>
      <c r="M420" s="273"/>
      <c r="N420" s="274"/>
      <c r="O420" s="131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</row>
    <row r="421" ht="15.75" customHeight="1">
      <c r="A421" s="479"/>
      <c r="B421" s="131"/>
      <c r="C421" s="131"/>
      <c r="D421" s="274"/>
      <c r="E421" s="295"/>
      <c r="F421" s="268"/>
      <c r="G421" s="268"/>
      <c r="H421" s="276"/>
      <c r="I421" s="269"/>
      <c r="J421" s="270"/>
      <c r="K421" s="271"/>
      <c r="L421" s="273"/>
      <c r="M421" s="273"/>
      <c r="N421" s="274"/>
      <c r="O421" s="131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</row>
    <row r="422" ht="15.75" customHeight="1">
      <c r="A422" s="479"/>
      <c r="B422" s="131"/>
      <c r="C422" s="131"/>
      <c r="D422" s="274"/>
      <c r="E422" s="295"/>
      <c r="F422" s="268"/>
      <c r="G422" s="268"/>
      <c r="H422" s="276"/>
      <c r="I422" s="269"/>
      <c r="J422" s="270"/>
      <c r="K422" s="271"/>
      <c r="L422" s="273"/>
      <c r="M422" s="273"/>
      <c r="N422" s="274"/>
      <c r="O422" s="131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</row>
    <row r="423" ht="15.75" customHeight="1">
      <c r="A423" s="479"/>
      <c r="B423" s="131"/>
      <c r="C423" s="131"/>
      <c r="D423" s="274"/>
      <c r="E423" s="295"/>
      <c r="F423" s="268"/>
      <c r="G423" s="268"/>
      <c r="H423" s="276"/>
      <c r="I423" s="269"/>
      <c r="J423" s="270"/>
      <c r="K423" s="271"/>
      <c r="L423" s="273"/>
      <c r="M423" s="273"/>
      <c r="N423" s="274"/>
      <c r="O423" s="131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</row>
    <row r="424" ht="15.75" customHeight="1">
      <c r="A424" s="479"/>
      <c r="B424" s="131"/>
      <c r="C424" s="131"/>
      <c r="D424" s="274"/>
      <c r="E424" s="295"/>
      <c r="F424" s="268"/>
      <c r="G424" s="268"/>
      <c r="H424" s="276"/>
      <c r="I424" s="269"/>
      <c r="J424" s="270"/>
      <c r="K424" s="271"/>
      <c r="L424" s="273"/>
      <c r="M424" s="273"/>
      <c r="N424" s="274"/>
      <c r="O424" s="131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</row>
    <row r="425" ht="15.75" customHeight="1">
      <c r="A425" s="479"/>
      <c r="B425" s="131"/>
      <c r="C425" s="131"/>
      <c r="D425" s="274"/>
      <c r="E425" s="295"/>
      <c r="F425" s="268"/>
      <c r="G425" s="268"/>
      <c r="H425" s="276"/>
      <c r="I425" s="269"/>
      <c r="J425" s="270"/>
      <c r="K425" s="271"/>
      <c r="L425" s="273"/>
      <c r="M425" s="273"/>
      <c r="N425" s="274"/>
      <c r="O425" s="131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</row>
    <row r="426" ht="15.75" customHeight="1">
      <c r="A426" s="479"/>
      <c r="B426" s="131"/>
      <c r="C426" s="131"/>
      <c r="D426" s="274"/>
      <c r="E426" s="295"/>
      <c r="F426" s="268"/>
      <c r="G426" s="268"/>
      <c r="H426" s="276"/>
      <c r="I426" s="269"/>
      <c r="J426" s="270"/>
      <c r="K426" s="271"/>
      <c r="L426" s="273"/>
      <c r="M426" s="273"/>
      <c r="N426" s="274"/>
      <c r="O426" s="131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</row>
    <row r="427" ht="15.75" customHeight="1">
      <c r="A427" s="479"/>
      <c r="B427" s="131"/>
      <c r="C427" s="131"/>
      <c r="D427" s="274"/>
      <c r="E427" s="295"/>
      <c r="F427" s="268"/>
      <c r="G427" s="268"/>
      <c r="H427" s="276"/>
      <c r="I427" s="269"/>
      <c r="J427" s="270"/>
      <c r="K427" s="271"/>
      <c r="L427" s="273"/>
      <c r="M427" s="273"/>
      <c r="N427" s="274"/>
      <c r="O427" s="131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</row>
    <row r="428" ht="15.75" customHeight="1">
      <c r="A428" s="479"/>
      <c r="B428" s="131"/>
      <c r="C428" s="131"/>
      <c r="D428" s="274"/>
      <c r="E428" s="295"/>
      <c r="F428" s="268"/>
      <c r="G428" s="268"/>
      <c r="H428" s="276"/>
      <c r="I428" s="269"/>
      <c r="J428" s="270"/>
      <c r="K428" s="271"/>
      <c r="L428" s="273"/>
      <c r="M428" s="273"/>
      <c r="N428" s="274"/>
      <c r="O428" s="131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</row>
    <row r="429" ht="15.75" customHeight="1">
      <c r="A429" s="479"/>
      <c r="B429" s="131"/>
      <c r="C429" s="131"/>
      <c r="D429" s="274"/>
      <c r="E429" s="295"/>
      <c r="F429" s="268"/>
      <c r="G429" s="268"/>
      <c r="H429" s="276"/>
      <c r="I429" s="269"/>
      <c r="J429" s="270"/>
      <c r="K429" s="271"/>
      <c r="L429" s="273"/>
      <c r="M429" s="273"/>
      <c r="N429" s="274"/>
      <c r="O429" s="131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</row>
    <row r="430" ht="15.75" customHeight="1">
      <c r="A430" s="479"/>
      <c r="B430" s="131"/>
      <c r="C430" s="131"/>
      <c r="D430" s="274"/>
      <c r="E430" s="295"/>
      <c r="F430" s="268"/>
      <c r="G430" s="268"/>
      <c r="H430" s="276"/>
      <c r="I430" s="269"/>
      <c r="J430" s="270"/>
      <c r="K430" s="271"/>
      <c r="L430" s="273"/>
      <c r="M430" s="273"/>
      <c r="N430" s="274"/>
      <c r="O430" s="131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</row>
    <row r="431" ht="15.75" customHeight="1">
      <c r="A431" s="479"/>
      <c r="B431" s="131"/>
      <c r="C431" s="131"/>
      <c r="D431" s="274"/>
      <c r="E431" s="295"/>
      <c r="F431" s="268"/>
      <c r="G431" s="268"/>
      <c r="H431" s="276"/>
      <c r="I431" s="269"/>
      <c r="J431" s="270"/>
      <c r="K431" s="271"/>
      <c r="L431" s="273"/>
      <c r="M431" s="273"/>
      <c r="N431" s="274"/>
      <c r="O431" s="131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</row>
    <row r="432" ht="15.75" customHeight="1">
      <c r="A432" s="479"/>
      <c r="B432" s="131"/>
      <c r="C432" s="131"/>
      <c r="D432" s="274"/>
      <c r="E432" s="295"/>
      <c r="F432" s="268"/>
      <c r="G432" s="268"/>
      <c r="H432" s="276"/>
      <c r="I432" s="269"/>
      <c r="J432" s="270"/>
      <c r="K432" s="271"/>
      <c r="L432" s="273"/>
      <c r="M432" s="273"/>
      <c r="N432" s="274"/>
      <c r="O432" s="131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</row>
    <row r="433" ht="15.75" customHeight="1">
      <c r="A433" s="479"/>
      <c r="B433" s="131"/>
      <c r="C433" s="131"/>
      <c r="D433" s="274"/>
      <c r="E433" s="295"/>
      <c r="F433" s="268"/>
      <c r="G433" s="268"/>
      <c r="H433" s="276"/>
      <c r="I433" s="269"/>
      <c r="J433" s="270"/>
      <c r="K433" s="271"/>
      <c r="L433" s="273"/>
      <c r="M433" s="273"/>
      <c r="N433" s="274"/>
      <c r="O433" s="131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</row>
    <row r="434" ht="15.75" customHeight="1">
      <c r="A434" s="479"/>
      <c r="B434" s="131"/>
      <c r="C434" s="131"/>
      <c r="D434" s="274"/>
      <c r="E434" s="295"/>
      <c r="F434" s="268"/>
      <c r="G434" s="268"/>
      <c r="H434" s="276"/>
      <c r="I434" s="269"/>
      <c r="J434" s="270"/>
      <c r="K434" s="271"/>
      <c r="L434" s="273"/>
      <c r="M434" s="273"/>
      <c r="N434" s="274"/>
      <c r="O434" s="131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</row>
    <row r="435" ht="15.75" customHeight="1">
      <c r="A435" s="479"/>
      <c r="B435" s="131"/>
      <c r="C435" s="131"/>
      <c r="D435" s="274"/>
      <c r="E435" s="295"/>
      <c r="F435" s="268"/>
      <c r="G435" s="268"/>
      <c r="H435" s="276"/>
      <c r="I435" s="269"/>
      <c r="J435" s="270"/>
      <c r="K435" s="271"/>
      <c r="L435" s="273"/>
      <c r="M435" s="273"/>
      <c r="N435" s="274"/>
      <c r="O435" s="131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</row>
    <row r="436" ht="15.75" customHeight="1">
      <c r="A436" s="479"/>
      <c r="B436" s="131"/>
      <c r="C436" s="131"/>
      <c r="D436" s="274"/>
      <c r="E436" s="295"/>
      <c r="F436" s="268"/>
      <c r="G436" s="268"/>
      <c r="H436" s="276"/>
      <c r="I436" s="269"/>
      <c r="J436" s="270"/>
      <c r="K436" s="271"/>
      <c r="L436" s="273"/>
      <c r="M436" s="273"/>
      <c r="N436" s="274"/>
      <c r="O436" s="131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</row>
    <row r="437" ht="15.75" customHeight="1">
      <c r="A437" s="479"/>
      <c r="B437" s="131"/>
      <c r="C437" s="131"/>
      <c r="D437" s="274"/>
      <c r="E437" s="295"/>
      <c r="F437" s="268"/>
      <c r="G437" s="268"/>
      <c r="H437" s="276"/>
      <c r="I437" s="269"/>
      <c r="J437" s="270"/>
      <c r="K437" s="271"/>
      <c r="L437" s="273"/>
      <c r="M437" s="273"/>
      <c r="N437" s="274"/>
      <c r="O437" s="131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</row>
    <row r="438" ht="15.75" customHeight="1">
      <c r="A438" s="479"/>
      <c r="B438" s="131"/>
      <c r="C438" s="131"/>
      <c r="D438" s="274"/>
      <c r="E438" s="295"/>
      <c r="F438" s="268"/>
      <c r="G438" s="268"/>
      <c r="H438" s="276"/>
      <c r="I438" s="269"/>
      <c r="J438" s="270"/>
      <c r="K438" s="271"/>
      <c r="L438" s="273"/>
      <c r="M438" s="273"/>
      <c r="N438" s="274"/>
      <c r="O438" s="131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</row>
    <row r="439" ht="15.75" customHeight="1">
      <c r="A439" s="479"/>
      <c r="B439" s="131"/>
      <c r="C439" s="131"/>
      <c r="D439" s="274"/>
      <c r="E439" s="295"/>
      <c r="F439" s="268"/>
      <c r="G439" s="268"/>
      <c r="H439" s="276"/>
      <c r="I439" s="269"/>
      <c r="J439" s="270"/>
      <c r="K439" s="271"/>
      <c r="L439" s="273"/>
      <c r="M439" s="273"/>
      <c r="N439" s="274"/>
      <c r="O439" s="131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</row>
    <row r="440" ht="15.75" customHeight="1">
      <c r="A440" s="479"/>
      <c r="B440" s="131"/>
      <c r="C440" s="131"/>
      <c r="D440" s="274"/>
      <c r="E440" s="295"/>
      <c r="F440" s="268"/>
      <c r="G440" s="268"/>
      <c r="H440" s="276"/>
      <c r="I440" s="269"/>
      <c r="J440" s="270"/>
      <c r="K440" s="271"/>
      <c r="L440" s="273"/>
      <c r="M440" s="273"/>
      <c r="N440" s="274"/>
      <c r="O440" s="131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</row>
    <row r="441" ht="15.75" customHeight="1">
      <c r="A441" s="479"/>
      <c r="B441" s="131"/>
      <c r="C441" s="131"/>
      <c r="D441" s="274"/>
      <c r="E441" s="295"/>
      <c r="F441" s="268"/>
      <c r="G441" s="268"/>
      <c r="H441" s="276"/>
      <c r="I441" s="269"/>
      <c r="J441" s="270"/>
      <c r="K441" s="271"/>
      <c r="L441" s="273"/>
      <c r="M441" s="273"/>
      <c r="N441" s="274"/>
      <c r="O441" s="131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</row>
    <row r="442" ht="15.75" customHeight="1">
      <c r="A442" s="479"/>
      <c r="B442" s="131"/>
      <c r="C442" s="131"/>
      <c r="D442" s="274"/>
      <c r="E442" s="295"/>
      <c r="F442" s="268"/>
      <c r="G442" s="268"/>
      <c r="H442" s="276"/>
      <c r="I442" s="269"/>
      <c r="J442" s="270"/>
      <c r="K442" s="271"/>
      <c r="L442" s="273"/>
      <c r="M442" s="273"/>
      <c r="N442" s="274"/>
      <c r="O442" s="131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</row>
    <row r="443" ht="15.75" customHeight="1">
      <c r="A443" s="479"/>
      <c r="B443" s="131"/>
      <c r="C443" s="131"/>
      <c r="D443" s="274"/>
      <c r="E443" s="295"/>
      <c r="F443" s="268"/>
      <c r="G443" s="268"/>
      <c r="H443" s="276"/>
      <c r="I443" s="269"/>
      <c r="J443" s="270"/>
      <c r="K443" s="271"/>
      <c r="L443" s="273"/>
      <c r="M443" s="273"/>
      <c r="N443" s="274"/>
      <c r="O443" s="131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</row>
    <row r="444" ht="15.75" customHeight="1">
      <c r="A444" s="479"/>
      <c r="B444" s="131"/>
      <c r="C444" s="131"/>
      <c r="D444" s="274"/>
      <c r="E444" s="295"/>
      <c r="F444" s="268"/>
      <c r="G444" s="268"/>
      <c r="H444" s="276"/>
      <c r="I444" s="269"/>
      <c r="J444" s="270"/>
      <c r="K444" s="271"/>
      <c r="L444" s="273"/>
      <c r="M444" s="273"/>
      <c r="N444" s="274"/>
      <c r="O444" s="131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</row>
    <row r="445" ht="15.75" customHeight="1">
      <c r="A445" s="479"/>
      <c r="B445" s="131"/>
      <c r="C445" s="131"/>
      <c r="D445" s="274"/>
      <c r="E445" s="295"/>
      <c r="F445" s="268"/>
      <c r="G445" s="268"/>
      <c r="H445" s="276"/>
      <c r="I445" s="269"/>
      <c r="J445" s="270"/>
      <c r="K445" s="271"/>
      <c r="L445" s="273"/>
      <c r="M445" s="273"/>
      <c r="N445" s="274"/>
      <c r="O445" s="131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</row>
    <row r="446" ht="15.75" customHeight="1">
      <c r="A446" s="479"/>
      <c r="B446" s="131"/>
      <c r="C446" s="131"/>
      <c r="D446" s="274"/>
      <c r="E446" s="295"/>
      <c r="F446" s="268"/>
      <c r="G446" s="268"/>
      <c r="H446" s="276"/>
      <c r="I446" s="269"/>
      <c r="J446" s="270"/>
      <c r="K446" s="271"/>
      <c r="L446" s="273"/>
      <c r="M446" s="273"/>
      <c r="N446" s="274"/>
      <c r="O446" s="131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</row>
    <row r="447" ht="15.75" customHeight="1">
      <c r="A447" s="479"/>
      <c r="B447" s="131"/>
      <c r="C447" s="131"/>
      <c r="D447" s="274"/>
      <c r="E447" s="295"/>
      <c r="F447" s="268"/>
      <c r="G447" s="268"/>
      <c r="H447" s="276"/>
      <c r="I447" s="269"/>
      <c r="J447" s="270"/>
      <c r="K447" s="271"/>
      <c r="L447" s="273"/>
      <c r="M447" s="273"/>
      <c r="N447" s="274"/>
      <c r="O447" s="131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</row>
    <row r="448" ht="15.75" customHeight="1">
      <c r="A448" s="479"/>
      <c r="B448" s="131"/>
      <c r="C448" s="131"/>
      <c r="D448" s="274"/>
      <c r="E448" s="295"/>
      <c r="F448" s="268"/>
      <c r="G448" s="268"/>
      <c r="H448" s="276"/>
      <c r="I448" s="269"/>
      <c r="J448" s="270"/>
      <c r="K448" s="271"/>
      <c r="L448" s="273"/>
      <c r="M448" s="273"/>
      <c r="N448" s="274"/>
      <c r="O448" s="131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</row>
    <row r="449" ht="15.75" customHeight="1">
      <c r="A449" s="479"/>
      <c r="B449" s="131"/>
      <c r="C449" s="131"/>
      <c r="D449" s="274"/>
      <c r="E449" s="295"/>
      <c r="F449" s="268"/>
      <c r="G449" s="268"/>
      <c r="H449" s="276"/>
      <c r="I449" s="269"/>
      <c r="J449" s="270"/>
      <c r="K449" s="271"/>
      <c r="L449" s="273"/>
      <c r="M449" s="273"/>
      <c r="N449" s="274"/>
      <c r="O449" s="131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</row>
    <row r="450" ht="15.75" customHeight="1">
      <c r="A450" s="479"/>
      <c r="B450" s="131"/>
      <c r="C450" s="131"/>
      <c r="D450" s="274"/>
      <c r="E450" s="295"/>
      <c r="F450" s="268"/>
      <c r="G450" s="268"/>
      <c r="H450" s="276"/>
      <c r="I450" s="269"/>
      <c r="J450" s="270"/>
      <c r="K450" s="271"/>
      <c r="L450" s="273"/>
      <c r="M450" s="273"/>
      <c r="N450" s="274"/>
      <c r="O450" s="131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</row>
    <row r="451" ht="15.75" customHeight="1">
      <c r="A451" s="479"/>
      <c r="B451" s="131"/>
      <c r="C451" s="131"/>
      <c r="D451" s="274"/>
      <c r="E451" s="295"/>
      <c r="F451" s="268"/>
      <c r="G451" s="268"/>
      <c r="H451" s="276"/>
      <c r="I451" s="269"/>
      <c r="J451" s="270"/>
      <c r="K451" s="271"/>
      <c r="L451" s="273"/>
      <c r="M451" s="273"/>
      <c r="N451" s="274"/>
      <c r="O451" s="131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</row>
    <row r="452" ht="15.75" customHeight="1">
      <c r="A452" s="479"/>
      <c r="B452" s="131"/>
      <c r="C452" s="131"/>
      <c r="D452" s="274"/>
      <c r="E452" s="295"/>
      <c r="F452" s="268"/>
      <c r="G452" s="268"/>
      <c r="H452" s="276"/>
      <c r="I452" s="269"/>
      <c r="J452" s="270"/>
      <c r="K452" s="271"/>
      <c r="L452" s="273"/>
      <c r="M452" s="273"/>
      <c r="N452" s="274"/>
      <c r="O452" s="131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</row>
    <row r="453" ht="15.75" customHeight="1">
      <c r="A453" s="479"/>
      <c r="B453" s="131"/>
      <c r="C453" s="131"/>
      <c r="D453" s="274"/>
      <c r="E453" s="295"/>
      <c r="F453" s="268"/>
      <c r="G453" s="268"/>
      <c r="H453" s="276"/>
      <c r="I453" s="269"/>
      <c r="J453" s="270"/>
      <c r="K453" s="271"/>
      <c r="L453" s="273"/>
      <c r="M453" s="273"/>
      <c r="N453" s="274"/>
      <c r="O453" s="131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</row>
    <row r="454" ht="15.75" customHeight="1">
      <c r="A454" s="479"/>
      <c r="B454" s="131"/>
      <c r="C454" s="131"/>
      <c r="D454" s="274"/>
      <c r="E454" s="295"/>
      <c r="F454" s="268"/>
      <c r="G454" s="268"/>
      <c r="H454" s="276"/>
      <c r="I454" s="269"/>
      <c r="J454" s="270"/>
      <c r="K454" s="271"/>
      <c r="L454" s="273"/>
      <c r="M454" s="273"/>
      <c r="N454" s="274"/>
      <c r="O454" s="131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</row>
    <row r="455" ht="15.75" customHeight="1">
      <c r="A455" s="479"/>
      <c r="B455" s="131"/>
      <c r="C455" s="131"/>
      <c r="D455" s="274"/>
      <c r="E455" s="295"/>
      <c r="F455" s="268"/>
      <c r="G455" s="268"/>
      <c r="H455" s="276"/>
      <c r="I455" s="269"/>
      <c r="J455" s="270"/>
      <c r="K455" s="271"/>
      <c r="L455" s="273"/>
      <c r="M455" s="273"/>
      <c r="N455" s="274"/>
      <c r="O455" s="131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</row>
    <row r="456" ht="15.75" customHeight="1">
      <c r="A456" s="479"/>
      <c r="B456" s="131"/>
      <c r="C456" s="131"/>
      <c r="D456" s="274"/>
      <c r="E456" s="295"/>
      <c r="F456" s="268"/>
      <c r="G456" s="268"/>
      <c r="H456" s="276"/>
      <c r="I456" s="269"/>
      <c r="J456" s="270"/>
      <c r="K456" s="271"/>
      <c r="L456" s="273"/>
      <c r="M456" s="273"/>
      <c r="N456" s="274"/>
      <c r="O456" s="131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</row>
    <row r="457" ht="15.75" customHeight="1">
      <c r="A457" s="479"/>
      <c r="B457" s="131"/>
      <c r="C457" s="131"/>
      <c r="D457" s="274"/>
      <c r="E457" s="295"/>
      <c r="F457" s="268"/>
      <c r="G457" s="268"/>
      <c r="H457" s="276"/>
      <c r="I457" s="269"/>
      <c r="J457" s="270"/>
      <c r="K457" s="271"/>
      <c r="L457" s="273"/>
      <c r="M457" s="273"/>
      <c r="N457" s="274"/>
      <c r="O457" s="131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</row>
    <row r="458" ht="15.75" customHeight="1">
      <c r="A458" s="479"/>
      <c r="B458" s="131"/>
      <c r="C458" s="131"/>
      <c r="D458" s="274"/>
      <c r="E458" s="295"/>
      <c r="F458" s="268"/>
      <c r="G458" s="268"/>
      <c r="H458" s="276"/>
      <c r="I458" s="269"/>
      <c r="J458" s="270"/>
      <c r="K458" s="271"/>
      <c r="L458" s="273"/>
      <c r="M458" s="273"/>
      <c r="N458" s="274"/>
      <c r="O458" s="131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</row>
    <row r="459" ht="15.75" customHeight="1">
      <c r="A459" s="479"/>
      <c r="B459" s="131"/>
      <c r="C459" s="131"/>
      <c r="D459" s="274"/>
      <c r="E459" s="295"/>
      <c r="F459" s="268"/>
      <c r="G459" s="268"/>
      <c r="H459" s="276"/>
      <c r="I459" s="269"/>
      <c r="J459" s="270"/>
      <c r="K459" s="271"/>
      <c r="L459" s="273"/>
      <c r="M459" s="273"/>
      <c r="N459" s="274"/>
      <c r="O459" s="131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</row>
    <row r="460" ht="15.75" customHeight="1">
      <c r="A460" s="479"/>
      <c r="B460" s="131"/>
      <c r="C460" s="131"/>
      <c r="D460" s="274"/>
      <c r="E460" s="295"/>
      <c r="F460" s="268"/>
      <c r="G460" s="268"/>
      <c r="H460" s="276"/>
      <c r="I460" s="269"/>
      <c r="J460" s="270"/>
      <c r="K460" s="271"/>
      <c r="L460" s="273"/>
      <c r="M460" s="273"/>
      <c r="N460" s="274"/>
      <c r="O460" s="131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</row>
    <row r="461" ht="15.75" customHeight="1">
      <c r="A461" s="479"/>
      <c r="B461" s="131"/>
      <c r="C461" s="131"/>
      <c r="D461" s="274"/>
      <c r="E461" s="295"/>
      <c r="F461" s="268"/>
      <c r="G461" s="268"/>
      <c r="H461" s="276"/>
      <c r="I461" s="269"/>
      <c r="J461" s="270"/>
      <c r="K461" s="271"/>
      <c r="L461" s="273"/>
      <c r="M461" s="273"/>
      <c r="N461" s="274"/>
      <c r="O461" s="131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</row>
    <row r="462" ht="15.75" customHeight="1">
      <c r="A462" s="479"/>
      <c r="B462" s="131"/>
      <c r="C462" s="131"/>
      <c r="D462" s="274"/>
      <c r="E462" s="295"/>
      <c r="F462" s="268"/>
      <c r="G462" s="268"/>
      <c r="H462" s="276"/>
      <c r="I462" s="269"/>
      <c r="J462" s="270"/>
      <c r="K462" s="271"/>
      <c r="L462" s="273"/>
      <c r="M462" s="273"/>
      <c r="N462" s="274"/>
      <c r="O462" s="131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</row>
    <row r="463" ht="15.75" customHeight="1">
      <c r="A463" s="479"/>
      <c r="B463" s="131"/>
      <c r="C463" s="131"/>
      <c r="D463" s="274"/>
      <c r="E463" s="295"/>
      <c r="F463" s="268"/>
      <c r="G463" s="268"/>
      <c r="H463" s="276"/>
      <c r="I463" s="269"/>
      <c r="J463" s="270"/>
      <c r="K463" s="271"/>
      <c r="L463" s="273"/>
      <c r="M463" s="273"/>
      <c r="N463" s="274"/>
      <c r="O463" s="131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</row>
    <row r="464" ht="15.75" customHeight="1">
      <c r="A464" s="479"/>
      <c r="B464" s="131"/>
      <c r="C464" s="131"/>
      <c r="D464" s="274"/>
      <c r="E464" s="295"/>
      <c r="F464" s="268"/>
      <c r="G464" s="268"/>
      <c r="H464" s="276"/>
      <c r="I464" s="269"/>
      <c r="J464" s="270"/>
      <c r="K464" s="271"/>
      <c r="L464" s="273"/>
      <c r="M464" s="273"/>
      <c r="N464" s="274"/>
      <c r="O464" s="131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</row>
    <row r="465" ht="15.75" customHeight="1">
      <c r="A465" s="479"/>
      <c r="B465" s="131"/>
      <c r="C465" s="131"/>
      <c r="D465" s="274"/>
      <c r="E465" s="295"/>
      <c r="F465" s="268"/>
      <c r="G465" s="268"/>
      <c r="H465" s="276"/>
      <c r="I465" s="269"/>
      <c r="J465" s="270"/>
      <c r="K465" s="271"/>
      <c r="L465" s="273"/>
      <c r="M465" s="273"/>
      <c r="N465" s="274"/>
      <c r="O465" s="131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</row>
    <row r="466" ht="15.75" customHeight="1">
      <c r="A466" s="479"/>
      <c r="B466" s="131"/>
      <c r="C466" s="131"/>
      <c r="D466" s="274"/>
      <c r="E466" s="295"/>
      <c r="F466" s="268"/>
      <c r="G466" s="268"/>
      <c r="H466" s="276"/>
      <c r="I466" s="269"/>
      <c r="J466" s="270"/>
      <c r="K466" s="271"/>
      <c r="L466" s="273"/>
      <c r="M466" s="273"/>
      <c r="N466" s="274"/>
      <c r="O466" s="131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</row>
    <row r="467" ht="15.75" customHeight="1">
      <c r="A467" s="479"/>
      <c r="B467" s="131"/>
      <c r="C467" s="131"/>
      <c r="D467" s="274"/>
      <c r="E467" s="295"/>
      <c r="F467" s="268"/>
      <c r="G467" s="268"/>
      <c r="H467" s="276"/>
      <c r="I467" s="269"/>
      <c r="J467" s="270"/>
      <c r="K467" s="271"/>
      <c r="L467" s="273"/>
      <c r="M467" s="273"/>
      <c r="N467" s="274"/>
      <c r="O467" s="131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</row>
    <row r="468" ht="15.75" customHeight="1">
      <c r="A468" s="479"/>
      <c r="B468" s="131"/>
      <c r="C468" s="131"/>
      <c r="D468" s="274"/>
      <c r="E468" s="295"/>
      <c r="F468" s="268"/>
      <c r="G468" s="268"/>
      <c r="H468" s="276"/>
      <c r="I468" s="269"/>
      <c r="J468" s="270"/>
      <c r="K468" s="271"/>
      <c r="L468" s="273"/>
      <c r="M468" s="273"/>
      <c r="N468" s="274"/>
      <c r="O468" s="131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</row>
    <row r="469" ht="15.75" customHeight="1">
      <c r="A469" s="479"/>
      <c r="B469" s="131"/>
      <c r="C469" s="131"/>
      <c r="D469" s="274"/>
      <c r="E469" s="295"/>
      <c r="F469" s="268"/>
      <c r="G469" s="268"/>
      <c r="H469" s="276"/>
      <c r="I469" s="269"/>
      <c r="J469" s="270"/>
      <c r="K469" s="271"/>
      <c r="L469" s="273"/>
      <c r="M469" s="273"/>
      <c r="N469" s="274"/>
      <c r="O469" s="131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</row>
    <row r="470" ht="15.75" customHeight="1">
      <c r="A470" s="479"/>
      <c r="B470" s="131"/>
      <c r="C470" s="131"/>
      <c r="D470" s="274"/>
      <c r="E470" s="295"/>
      <c r="F470" s="268"/>
      <c r="G470" s="268"/>
      <c r="H470" s="276"/>
      <c r="I470" s="269"/>
      <c r="J470" s="270"/>
      <c r="K470" s="271"/>
      <c r="L470" s="273"/>
      <c r="M470" s="273"/>
      <c r="N470" s="274"/>
      <c r="O470" s="131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</row>
    <row r="471" ht="15.75" customHeight="1">
      <c r="A471" s="479"/>
      <c r="B471" s="131"/>
      <c r="C471" s="131"/>
      <c r="D471" s="274"/>
      <c r="E471" s="295"/>
      <c r="F471" s="268"/>
      <c r="G471" s="268"/>
      <c r="H471" s="276"/>
      <c r="I471" s="269"/>
      <c r="J471" s="270"/>
      <c r="K471" s="271"/>
      <c r="L471" s="273"/>
      <c r="M471" s="273"/>
      <c r="N471" s="274"/>
      <c r="O471" s="131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</row>
    <row r="472" ht="15.75" customHeight="1">
      <c r="A472" s="479"/>
      <c r="B472" s="131"/>
      <c r="C472" s="131"/>
      <c r="D472" s="274"/>
      <c r="E472" s="295"/>
      <c r="F472" s="268"/>
      <c r="G472" s="268"/>
      <c r="H472" s="276"/>
      <c r="I472" s="269"/>
      <c r="J472" s="270"/>
      <c r="K472" s="271"/>
      <c r="L472" s="273"/>
      <c r="M472" s="273"/>
      <c r="N472" s="274"/>
      <c r="O472" s="131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</row>
    <row r="473" ht="15.75" customHeight="1">
      <c r="A473" s="479"/>
      <c r="B473" s="131"/>
      <c r="C473" s="131"/>
      <c r="D473" s="274"/>
      <c r="E473" s="295"/>
      <c r="F473" s="268"/>
      <c r="G473" s="268"/>
      <c r="H473" s="276"/>
      <c r="I473" s="269"/>
      <c r="J473" s="270"/>
      <c r="K473" s="271"/>
      <c r="L473" s="273"/>
      <c r="M473" s="273"/>
      <c r="N473" s="274"/>
      <c r="O473" s="131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</row>
    <row r="474" ht="15.75" customHeight="1">
      <c r="A474" s="479"/>
      <c r="B474" s="131"/>
      <c r="C474" s="131"/>
      <c r="D474" s="274"/>
      <c r="E474" s="295"/>
      <c r="F474" s="268"/>
      <c r="G474" s="268"/>
      <c r="H474" s="276"/>
      <c r="I474" s="269"/>
      <c r="J474" s="270"/>
      <c r="K474" s="271"/>
      <c r="L474" s="273"/>
      <c r="M474" s="273"/>
      <c r="N474" s="274"/>
      <c r="O474" s="131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</row>
    <row r="475" ht="15.75" customHeight="1">
      <c r="A475" s="479"/>
      <c r="B475" s="131"/>
      <c r="C475" s="131"/>
      <c r="D475" s="274"/>
      <c r="E475" s="295"/>
      <c r="F475" s="268"/>
      <c r="G475" s="268"/>
      <c r="H475" s="276"/>
      <c r="I475" s="269"/>
      <c r="J475" s="270"/>
      <c r="K475" s="271"/>
      <c r="L475" s="273"/>
      <c r="M475" s="273"/>
      <c r="N475" s="274"/>
      <c r="O475" s="131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</row>
    <row r="476" ht="15.75" customHeight="1">
      <c r="A476" s="479"/>
      <c r="B476" s="131"/>
      <c r="C476" s="131"/>
      <c r="D476" s="274"/>
      <c r="E476" s="295"/>
      <c r="F476" s="268"/>
      <c r="G476" s="268"/>
      <c r="H476" s="276"/>
      <c r="I476" s="269"/>
      <c r="J476" s="270"/>
      <c r="K476" s="271"/>
      <c r="L476" s="273"/>
      <c r="M476" s="273"/>
      <c r="N476" s="274"/>
      <c r="O476" s="131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</row>
    <row r="477" ht="15.75" customHeight="1">
      <c r="A477" s="479"/>
      <c r="B477" s="131"/>
      <c r="C477" s="131"/>
      <c r="D477" s="274"/>
      <c r="E477" s="295"/>
      <c r="F477" s="268"/>
      <c r="G477" s="268"/>
      <c r="H477" s="276"/>
      <c r="I477" s="269"/>
      <c r="J477" s="270"/>
      <c r="K477" s="271"/>
      <c r="L477" s="273"/>
      <c r="M477" s="273"/>
      <c r="N477" s="274"/>
      <c r="O477" s="131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</row>
    <row r="478" ht="15.75" customHeight="1">
      <c r="A478" s="479"/>
      <c r="B478" s="131"/>
      <c r="C478" s="131"/>
      <c r="D478" s="274"/>
      <c r="E478" s="295"/>
      <c r="F478" s="268"/>
      <c r="G478" s="268"/>
      <c r="H478" s="276"/>
      <c r="I478" s="269"/>
      <c r="J478" s="270"/>
      <c r="K478" s="271"/>
      <c r="L478" s="273"/>
      <c r="M478" s="273"/>
      <c r="N478" s="274"/>
      <c r="O478" s="131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</row>
    <row r="479" ht="15.75" customHeight="1">
      <c r="A479" s="479"/>
      <c r="B479" s="131"/>
      <c r="C479" s="131"/>
      <c r="D479" s="274"/>
      <c r="E479" s="295"/>
      <c r="F479" s="268"/>
      <c r="G479" s="268"/>
      <c r="H479" s="276"/>
      <c r="I479" s="269"/>
      <c r="J479" s="270"/>
      <c r="K479" s="271"/>
      <c r="L479" s="273"/>
      <c r="M479" s="273"/>
      <c r="N479" s="274"/>
      <c r="O479" s="131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</row>
    <row r="480" ht="15.75" customHeight="1">
      <c r="A480" s="479"/>
      <c r="B480" s="131"/>
      <c r="C480" s="131"/>
      <c r="D480" s="274"/>
      <c r="E480" s="295"/>
      <c r="F480" s="268"/>
      <c r="G480" s="268"/>
      <c r="H480" s="276"/>
      <c r="I480" s="269"/>
      <c r="J480" s="270"/>
      <c r="K480" s="271"/>
      <c r="L480" s="273"/>
      <c r="M480" s="273"/>
      <c r="N480" s="274"/>
      <c r="O480" s="131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</row>
    <row r="481" ht="15.75" customHeight="1">
      <c r="A481" s="479"/>
      <c r="B481" s="131"/>
      <c r="C481" s="131"/>
      <c r="D481" s="274"/>
      <c r="E481" s="295"/>
      <c r="F481" s="268"/>
      <c r="G481" s="268"/>
      <c r="H481" s="276"/>
      <c r="I481" s="269"/>
      <c r="J481" s="270"/>
      <c r="K481" s="271"/>
      <c r="L481" s="273"/>
      <c r="M481" s="273"/>
      <c r="N481" s="274"/>
      <c r="O481" s="131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</row>
    <row r="482" ht="15.75" customHeight="1">
      <c r="A482" s="479"/>
      <c r="B482" s="131"/>
      <c r="C482" s="131"/>
      <c r="D482" s="274"/>
      <c r="E482" s="295"/>
      <c r="F482" s="268"/>
      <c r="G482" s="268"/>
      <c r="H482" s="276"/>
      <c r="I482" s="269"/>
      <c r="J482" s="270"/>
      <c r="K482" s="271"/>
      <c r="L482" s="273"/>
      <c r="M482" s="273"/>
      <c r="N482" s="274"/>
      <c r="O482" s="131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</row>
    <row r="483" ht="15.75" customHeight="1">
      <c r="A483" s="479"/>
      <c r="B483" s="131"/>
      <c r="C483" s="131"/>
      <c r="D483" s="274"/>
      <c r="E483" s="295"/>
      <c r="F483" s="268"/>
      <c r="G483" s="268"/>
      <c r="H483" s="276"/>
      <c r="I483" s="269"/>
      <c r="J483" s="270"/>
      <c r="K483" s="271"/>
      <c r="L483" s="273"/>
      <c r="M483" s="273"/>
      <c r="N483" s="274"/>
      <c r="O483" s="131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</row>
    <row r="484" ht="15.75" customHeight="1">
      <c r="A484" s="479"/>
      <c r="B484" s="131"/>
      <c r="C484" s="131"/>
      <c r="D484" s="274"/>
      <c r="E484" s="295"/>
      <c r="F484" s="268"/>
      <c r="G484" s="268"/>
      <c r="H484" s="276"/>
      <c r="I484" s="269"/>
      <c r="J484" s="270"/>
      <c r="K484" s="271"/>
      <c r="L484" s="273"/>
      <c r="M484" s="273"/>
      <c r="N484" s="274"/>
      <c r="O484" s="131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</row>
    <row r="485" ht="15.75" customHeight="1">
      <c r="A485" s="479"/>
      <c r="B485" s="131"/>
      <c r="C485" s="131"/>
      <c r="D485" s="274"/>
      <c r="E485" s="295"/>
      <c r="F485" s="268"/>
      <c r="G485" s="268"/>
      <c r="H485" s="276"/>
      <c r="I485" s="269"/>
      <c r="J485" s="270"/>
      <c r="K485" s="271"/>
      <c r="L485" s="273"/>
      <c r="M485" s="273"/>
      <c r="N485" s="274"/>
      <c r="O485" s="131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</row>
    <row r="486" ht="15.75" customHeight="1">
      <c r="A486" s="479"/>
      <c r="B486" s="131"/>
      <c r="C486" s="131"/>
      <c r="D486" s="274"/>
      <c r="E486" s="295"/>
      <c r="F486" s="268"/>
      <c r="G486" s="268"/>
      <c r="H486" s="276"/>
      <c r="I486" s="269"/>
      <c r="J486" s="270"/>
      <c r="K486" s="271"/>
      <c r="L486" s="273"/>
      <c r="M486" s="273"/>
      <c r="N486" s="274"/>
      <c r="O486" s="131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</row>
    <row r="487" ht="15.75" customHeight="1">
      <c r="A487" s="479"/>
      <c r="B487" s="131"/>
      <c r="C487" s="131"/>
      <c r="D487" s="274"/>
      <c r="E487" s="295"/>
      <c r="F487" s="268"/>
      <c r="G487" s="268"/>
      <c r="H487" s="276"/>
      <c r="I487" s="269"/>
      <c r="J487" s="270"/>
      <c r="K487" s="271"/>
      <c r="L487" s="273"/>
      <c r="M487" s="273"/>
      <c r="N487" s="274"/>
      <c r="O487" s="131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</row>
    <row r="488" ht="15.75" customHeight="1">
      <c r="A488" s="479"/>
      <c r="B488" s="131"/>
      <c r="C488" s="131"/>
      <c r="D488" s="274"/>
      <c r="E488" s="295"/>
      <c r="F488" s="268"/>
      <c r="G488" s="268"/>
      <c r="H488" s="276"/>
      <c r="I488" s="269"/>
      <c r="J488" s="270"/>
      <c r="K488" s="271"/>
      <c r="L488" s="273"/>
      <c r="M488" s="273"/>
      <c r="N488" s="274"/>
      <c r="O488" s="131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</row>
    <row r="489" ht="15.75" customHeight="1">
      <c r="A489" s="479"/>
      <c r="B489" s="131"/>
      <c r="C489" s="131"/>
      <c r="D489" s="274"/>
      <c r="E489" s="295"/>
      <c r="F489" s="268"/>
      <c r="G489" s="268"/>
      <c r="H489" s="276"/>
      <c r="I489" s="269"/>
      <c r="J489" s="270"/>
      <c r="K489" s="271"/>
      <c r="L489" s="273"/>
      <c r="M489" s="273"/>
      <c r="N489" s="274"/>
      <c r="O489" s="131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</row>
    <row r="490" ht="15.75" customHeight="1">
      <c r="A490" s="479"/>
      <c r="B490" s="131"/>
      <c r="C490" s="131"/>
      <c r="D490" s="274"/>
      <c r="E490" s="295"/>
      <c r="F490" s="268"/>
      <c r="G490" s="268"/>
      <c r="H490" s="276"/>
      <c r="I490" s="269"/>
      <c r="J490" s="270"/>
      <c r="K490" s="271"/>
      <c r="L490" s="273"/>
      <c r="M490" s="273"/>
      <c r="N490" s="274"/>
      <c r="O490" s="131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</row>
    <row r="491" ht="15.75" customHeight="1">
      <c r="A491" s="479"/>
      <c r="B491" s="131"/>
      <c r="C491" s="131"/>
      <c r="D491" s="274"/>
      <c r="E491" s="295"/>
      <c r="F491" s="268"/>
      <c r="G491" s="268"/>
      <c r="H491" s="276"/>
      <c r="I491" s="269"/>
      <c r="J491" s="270"/>
      <c r="K491" s="271"/>
      <c r="L491" s="273"/>
      <c r="M491" s="273"/>
      <c r="N491" s="274"/>
      <c r="O491" s="131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</row>
    <row r="492" ht="15.75" customHeight="1">
      <c r="A492" s="479"/>
      <c r="B492" s="131"/>
      <c r="C492" s="131"/>
      <c r="D492" s="274"/>
      <c r="E492" s="295"/>
      <c r="F492" s="268"/>
      <c r="G492" s="268"/>
      <c r="H492" s="276"/>
      <c r="I492" s="269"/>
      <c r="J492" s="270"/>
      <c r="K492" s="271"/>
      <c r="L492" s="273"/>
      <c r="M492" s="273"/>
      <c r="N492" s="274"/>
      <c r="O492" s="131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</row>
    <row r="493" ht="15.75" customHeight="1">
      <c r="A493" s="479"/>
      <c r="B493" s="131"/>
      <c r="C493" s="131"/>
      <c r="D493" s="274"/>
      <c r="E493" s="295"/>
      <c r="F493" s="268"/>
      <c r="G493" s="268"/>
      <c r="H493" s="276"/>
      <c r="I493" s="269"/>
      <c r="J493" s="270"/>
      <c r="K493" s="271"/>
      <c r="L493" s="273"/>
      <c r="M493" s="273"/>
      <c r="N493" s="274"/>
      <c r="O493" s="131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</row>
    <row r="494" ht="15.75" customHeight="1">
      <c r="A494" s="479"/>
      <c r="B494" s="131"/>
      <c r="C494" s="131"/>
      <c r="D494" s="274"/>
      <c r="E494" s="295"/>
      <c r="F494" s="268"/>
      <c r="G494" s="268"/>
      <c r="H494" s="276"/>
      <c r="I494" s="269"/>
      <c r="J494" s="270"/>
      <c r="K494" s="271"/>
      <c r="L494" s="273"/>
      <c r="M494" s="273"/>
      <c r="N494" s="274"/>
      <c r="O494" s="131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</row>
    <row r="495" ht="15.75" customHeight="1">
      <c r="A495" s="479"/>
      <c r="B495" s="131"/>
      <c r="C495" s="131"/>
      <c r="D495" s="274"/>
      <c r="E495" s="295"/>
      <c r="F495" s="268"/>
      <c r="G495" s="268"/>
      <c r="H495" s="276"/>
      <c r="I495" s="269"/>
      <c r="J495" s="270"/>
      <c r="K495" s="271"/>
      <c r="L495" s="273"/>
      <c r="M495" s="273"/>
      <c r="N495" s="274"/>
      <c r="O495" s="131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</row>
    <row r="496" ht="15.75" customHeight="1">
      <c r="A496" s="479"/>
      <c r="B496" s="131"/>
      <c r="C496" s="131"/>
      <c r="D496" s="274"/>
      <c r="E496" s="295"/>
      <c r="F496" s="268"/>
      <c r="G496" s="268"/>
      <c r="H496" s="276"/>
      <c r="I496" s="269"/>
      <c r="J496" s="270"/>
      <c r="K496" s="271"/>
      <c r="L496" s="273"/>
      <c r="M496" s="273"/>
      <c r="N496" s="274"/>
      <c r="O496" s="131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</row>
    <row r="497" ht="15.75" customHeight="1">
      <c r="A497" s="479"/>
      <c r="B497" s="131"/>
      <c r="C497" s="131"/>
      <c r="D497" s="274"/>
      <c r="E497" s="295"/>
      <c r="F497" s="268"/>
      <c r="G497" s="268"/>
      <c r="H497" s="276"/>
      <c r="I497" s="269"/>
      <c r="J497" s="270"/>
      <c r="K497" s="271"/>
      <c r="L497" s="273"/>
      <c r="M497" s="273"/>
      <c r="N497" s="274"/>
      <c r="O497" s="131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</row>
    <row r="498" ht="15.75" customHeight="1">
      <c r="A498" s="479"/>
      <c r="B498" s="131"/>
      <c r="C498" s="131"/>
      <c r="D498" s="274"/>
      <c r="E498" s="295"/>
      <c r="F498" s="268"/>
      <c r="G498" s="268"/>
      <c r="H498" s="276"/>
      <c r="I498" s="269"/>
      <c r="J498" s="270"/>
      <c r="K498" s="271"/>
      <c r="L498" s="273"/>
      <c r="M498" s="273"/>
      <c r="N498" s="274"/>
      <c r="O498" s="131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</row>
    <row r="499" ht="15.75" customHeight="1">
      <c r="A499" s="479"/>
      <c r="B499" s="131"/>
      <c r="C499" s="131"/>
      <c r="D499" s="274"/>
      <c r="E499" s="295"/>
      <c r="F499" s="268"/>
      <c r="G499" s="268"/>
      <c r="H499" s="276"/>
      <c r="I499" s="269"/>
      <c r="J499" s="270"/>
      <c r="K499" s="271"/>
      <c r="L499" s="273"/>
      <c r="M499" s="273"/>
      <c r="N499" s="274"/>
      <c r="O499" s="131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</row>
    <row r="500" ht="15.75" customHeight="1">
      <c r="A500" s="479"/>
      <c r="B500" s="131"/>
      <c r="C500" s="131"/>
      <c r="D500" s="274"/>
      <c r="E500" s="295"/>
      <c r="F500" s="268"/>
      <c r="G500" s="268"/>
      <c r="H500" s="276"/>
      <c r="I500" s="269"/>
      <c r="J500" s="270"/>
      <c r="K500" s="271"/>
      <c r="L500" s="273"/>
      <c r="M500" s="273"/>
      <c r="N500" s="274"/>
      <c r="O500" s="131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</row>
    <row r="501" ht="15.75" customHeight="1">
      <c r="A501" s="479"/>
      <c r="B501" s="131"/>
      <c r="C501" s="131"/>
      <c r="D501" s="274"/>
      <c r="E501" s="295"/>
      <c r="F501" s="268"/>
      <c r="G501" s="268"/>
      <c r="H501" s="276"/>
      <c r="I501" s="269"/>
      <c r="J501" s="270"/>
      <c r="K501" s="271"/>
      <c r="L501" s="273"/>
      <c r="M501" s="273"/>
      <c r="N501" s="274"/>
      <c r="O501" s="131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</row>
    <row r="502" ht="15.75" customHeight="1">
      <c r="A502" s="479"/>
      <c r="B502" s="131"/>
      <c r="C502" s="131"/>
      <c r="D502" s="274"/>
      <c r="E502" s="295"/>
      <c r="F502" s="268"/>
      <c r="G502" s="268"/>
      <c r="H502" s="276"/>
      <c r="I502" s="269"/>
      <c r="J502" s="270"/>
      <c r="K502" s="271"/>
      <c r="L502" s="273"/>
      <c r="M502" s="273"/>
      <c r="N502" s="274"/>
      <c r="O502" s="131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</row>
    <row r="503" ht="15.75" customHeight="1">
      <c r="A503" s="479"/>
      <c r="B503" s="131"/>
      <c r="C503" s="131"/>
      <c r="D503" s="274"/>
      <c r="E503" s="295"/>
      <c r="F503" s="268"/>
      <c r="G503" s="268"/>
      <c r="H503" s="276"/>
      <c r="I503" s="269"/>
      <c r="J503" s="270"/>
      <c r="K503" s="271"/>
      <c r="L503" s="273"/>
      <c r="M503" s="273"/>
      <c r="N503" s="274"/>
      <c r="O503" s="131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</row>
    <row r="504" ht="15.75" customHeight="1">
      <c r="A504" s="479"/>
      <c r="B504" s="131"/>
      <c r="C504" s="131"/>
      <c r="D504" s="274"/>
      <c r="E504" s="295"/>
      <c r="F504" s="268"/>
      <c r="G504" s="268"/>
      <c r="H504" s="276"/>
      <c r="I504" s="269"/>
      <c r="J504" s="270"/>
      <c r="K504" s="271"/>
      <c r="L504" s="273"/>
      <c r="M504" s="273"/>
      <c r="N504" s="274"/>
      <c r="O504" s="131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</row>
    <row r="505" ht="15.75" customHeight="1">
      <c r="A505" s="479"/>
      <c r="B505" s="131"/>
      <c r="C505" s="131"/>
      <c r="D505" s="274"/>
      <c r="E505" s="295"/>
      <c r="F505" s="268"/>
      <c r="G505" s="268"/>
      <c r="H505" s="276"/>
      <c r="I505" s="269"/>
      <c r="J505" s="270"/>
      <c r="K505" s="271"/>
      <c r="L505" s="273"/>
      <c r="M505" s="273"/>
      <c r="N505" s="274"/>
      <c r="O505" s="131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</row>
    <row r="506" ht="15.75" customHeight="1">
      <c r="A506" s="479"/>
      <c r="B506" s="131"/>
      <c r="C506" s="131"/>
      <c r="D506" s="274"/>
      <c r="E506" s="295"/>
      <c r="F506" s="268"/>
      <c r="G506" s="268"/>
      <c r="H506" s="276"/>
      <c r="I506" s="269"/>
      <c r="J506" s="270"/>
      <c r="K506" s="271"/>
      <c r="L506" s="273"/>
      <c r="M506" s="273"/>
      <c r="N506" s="274"/>
      <c r="O506" s="131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</row>
    <row r="507" ht="15.75" customHeight="1">
      <c r="A507" s="479"/>
      <c r="B507" s="131"/>
      <c r="C507" s="131"/>
      <c r="D507" s="274"/>
      <c r="E507" s="295"/>
      <c r="F507" s="268"/>
      <c r="G507" s="268"/>
      <c r="H507" s="276"/>
      <c r="I507" s="269"/>
      <c r="J507" s="270"/>
      <c r="K507" s="271"/>
      <c r="L507" s="273"/>
      <c r="M507" s="273"/>
      <c r="N507" s="274"/>
      <c r="O507" s="131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</row>
    <row r="508" ht="15.75" customHeight="1">
      <c r="A508" s="479"/>
      <c r="B508" s="131"/>
      <c r="C508" s="131"/>
      <c r="D508" s="274"/>
      <c r="E508" s="295"/>
      <c r="F508" s="268"/>
      <c r="G508" s="268"/>
      <c r="H508" s="276"/>
      <c r="I508" s="269"/>
      <c r="J508" s="270"/>
      <c r="K508" s="271"/>
      <c r="L508" s="273"/>
      <c r="M508" s="273"/>
      <c r="N508" s="274"/>
      <c r="O508" s="131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</row>
    <row r="509" ht="15.75" customHeight="1">
      <c r="A509" s="479"/>
      <c r="B509" s="131"/>
      <c r="C509" s="131"/>
      <c r="D509" s="274"/>
      <c r="E509" s="295"/>
      <c r="F509" s="268"/>
      <c r="G509" s="268"/>
      <c r="H509" s="276"/>
      <c r="I509" s="269"/>
      <c r="J509" s="270"/>
      <c r="K509" s="271"/>
      <c r="L509" s="273"/>
      <c r="M509" s="273"/>
      <c r="N509" s="274"/>
      <c r="O509" s="131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</row>
    <row r="510" ht="15.75" customHeight="1">
      <c r="A510" s="479"/>
      <c r="B510" s="131"/>
      <c r="C510" s="131"/>
      <c r="D510" s="274"/>
      <c r="E510" s="295"/>
      <c r="F510" s="268"/>
      <c r="G510" s="268"/>
      <c r="H510" s="276"/>
      <c r="I510" s="269"/>
      <c r="J510" s="270"/>
      <c r="K510" s="271"/>
      <c r="L510" s="273"/>
      <c r="M510" s="273"/>
      <c r="N510" s="274"/>
      <c r="O510" s="131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</row>
    <row r="511" ht="15.75" customHeight="1">
      <c r="A511" s="479"/>
      <c r="B511" s="131"/>
      <c r="C511" s="131"/>
      <c r="D511" s="274"/>
      <c r="E511" s="295"/>
      <c r="F511" s="268"/>
      <c r="G511" s="268"/>
      <c r="H511" s="276"/>
      <c r="I511" s="269"/>
      <c r="J511" s="270"/>
      <c r="K511" s="271"/>
      <c r="L511" s="273"/>
      <c r="M511" s="273"/>
      <c r="N511" s="274"/>
      <c r="O511" s="131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</row>
    <row r="512" ht="15.75" customHeight="1">
      <c r="A512" s="479"/>
      <c r="B512" s="131"/>
      <c r="C512" s="131"/>
      <c r="D512" s="274"/>
      <c r="E512" s="295"/>
      <c r="F512" s="268"/>
      <c r="G512" s="268"/>
      <c r="H512" s="276"/>
      <c r="I512" s="269"/>
      <c r="J512" s="270"/>
      <c r="K512" s="271"/>
      <c r="L512" s="273"/>
      <c r="M512" s="273"/>
      <c r="N512" s="274"/>
      <c r="O512" s="131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</row>
    <row r="513" ht="15.75" customHeight="1">
      <c r="A513" s="479"/>
      <c r="B513" s="131"/>
      <c r="C513" s="131"/>
      <c r="D513" s="274"/>
      <c r="E513" s="295"/>
      <c r="F513" s="268"/>
      <c r="G513" s="268"/>
      <c r="H513" s="276"/>
      <c r="I513" s="269"/>
      <c r="J513" s="270"/>
      <c r="K513" s="271"/>
      <c r="L513" s="273"/>
      <c r="M513" s="273"/>
      <c r="N513" s="274"/>
      <c r="O513" s="131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</row>
    <row r="514" ht="15.75" customHeight="1">
      <c r="A514" s="479"/>
      <c r="B514" s="131"/>
      <c r="C514" s="131"/>
      <c r="D514" s="274"/>
      <c r="E514" s="295"/>
      <c r="F514" s="268"/>
      <c r="G514" s="268"/>
      <c r="H514" s="276"/>
      <c r="I514" s="269"/>
      <c r="J514" s="270"/>
      <c r="K514" s="271"/>
      <c r="L514" s="273"/>
      <c r="M514" s="273"/>
      <c r="N514" s="274"/>
      <c r="O514" s="131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</row>
    <row r="515" ht="15.75" customHeight="1">
      <c r="A515" s="479"/>
      <c r="B515" s="131"/>
      <c r="C515" s="131"/>
      <c r="D515" s="274"/>
      <c r="E515" s="295"/>
      <c r="F515" s="268"/>
      <c r="G515" s="268"/>
      <c r="H515" s="276"/>
      <c r="I515" s="269"/>
      <c r="J515" s="270"/>
      <c r="K515" s="271"/>
      <c r="L515" s="273"/>
      <c r="M515" s="273"/>
      <c r="N515" s="274"/>
      <c r="O515" s="131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</row>
    <row r="516" ht="15.75" customHeight="1">
      <c r="A516" s="479"/>
      <c r="B516" s="131"/>
      <c r="C516" s="131"/>
      <c r="D516" s="274"/>
      <c r="E516" s="295"/>
      <c r="F516" s="268"/>
      <c r="G516" s="268"/>
      <c r="H516" s="276"/>
      <c r="I516" s="269"/>
      <c r="J516" s="270"/>
      <c r="K516" s="271"/>
      <c r="L516" s="273"/>
      <c r="M516" s="273"/>
      <c r="N516" s="274"/>
      <c r="O516" s="131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</row>
    <row r="517" ht="15.75" customHeight="1">
      <c r="A517" s="479"/>
      <c r="B517" s="131"/>
      <c r="C517" s="131"/>
      <c r="D517" s="274"/>
      <c r="E517" s="295"/>
      <c r="F517" s="268"/>
      <c r="G517" s="268"/>
      <c r="H517" s="276"/>
      <c r="I517" s="269"/>
      <c r="J517" s="270"/>
      <c r="K517" s="271"/>
      <c r="L517" s="273"/>
      <c r="M517" s="273"/>
      <c r="N517" s="274"/>
      <c r="O517" s="131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</row>
    <row r="518" ht="15.75" customHeight="1">
      <c r="A518" s="479"/>
      <c r="B518" s="131"/>
      <c r="C518" s="131"/>
      <c r="D518" s="274"/>
      <c r="E518" s="295"/>
      <c r="F518" s="268"/>
      <c r="G518" s="268"/>
      <c r="H518" s="276"/>
      <c r="I518" s="269"/>
      <c r="J518" s="270"/>
      <c r="K518" s="271"/>
      <c r="L518" s="273"/>
      <c r="M518" s="273"/>
      <c r="N518" s="274"/>
      <c r="O518" s="131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</row>
    <row r="519" ht="15.75" customHeight="1">
      <c r="A519" s="479"/>
      <c r="B519" s="131"/>
      <c r="C519" s="131"/>
      <c r="D519" s="274"/>
      <c r="E519" s="295"/>
      <c r="F519" s="268"/>
      <c r="G519" s="268"/>
      <c r="H519" s="276"/>
      <c r="I519" s="269"/>
      <c r="J519" s="270"/>
      <c r="K519" s="271"/>
      <c r="L519" s="273"/>
      <c r="M519" s="273"/>
      <c r="N519" s="274"/>
      <c r="O519" s="131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</row>
    <row r="520" ht="15.75" customHeight="1">
      <c r="A520" s="479"/>
      <c r="B520" s="131"/>
      <c r="C520" s="131"/>
      <c r="D520" s="274"/>
      <c r="E520" s="295"/>
      <c r="F520" s="268"/>
      <c r="G520" s="268"/>
      <c r="H520" s="276"/>
      <c r="I520" s="269"/>
      <c r="J520" s="270"/>
      <c r="K520" s="271"/>
      <c r="L520" s="273"/>
      <c r="M520" s="273"/>
      <c r="N520" s="274"/>
      <c r="O520" s="131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</row>
    <row r="521" ht="15.75" customHeight="1">
      <c r="A521" s="479"/>
      <c r="B521" s="131"/>
      <c r="C521" s="131"/>
      <c r="D521" s="274"/>
      <c r="E521" s="295"/>
      <c r="F521" s="268"/>
      <c r="G521" s="268"/>
      <c r="H521" s="276"/>
      <c r="I521" s="269"/>
      <c r="J521" s="270"/>
      <c r="K521" s="271"/>
      <c r="L521" s="273"/>
      <c r="M521" s="273"/>
      <c r="N521" s="274"/>
      <c r="O521" s="131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</row>
    <row r="522" ht="15.75" customHeight="1">
      <c r="A522" s="479"/>
      <c r="B522" s="131"/>
      <c r="C522" s="131"/>
      <c r="D522" s="274"/>
      <c r="E522" s="295"/>
      <c r="F522" s="268"/>
      <c r="G522" s="268"/>
      <c r="H522" s="276"/>
      <c r="I522" s="269"/>
      <c r="J522" s="270"/>
      <c r="K522" s="271"/>
      <c r="L522" s="273"/>
      <c r="M522" s="273"/>
      <c r="N522" s="274"/>
      <c r="O522" s="131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</row>
    <row r="523" ht="15.75" customHeight="1">
      <c r="A523" s="479"/>
      <c r="B523" s="131"/>
      <c r="C523" s="131"/>
      <c r="D523" s="274"/>
      <c r="E523" s="295"/>
      <c r="F523" s="268"/>
      <c r="G523" s="268"/>
      <c r="H523" s="276"/>
      <c r="I523" s="269"/>
      <c r="J523" s="270"/>
      <c r="K523" s="271"/>
      <c r="L523" s="273"/>
      <c r="M523" s="273"/>
      <c r="N523" s="274"/>
      <c r="O523" s="131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</row>
    <row r="524" ht="15.75" customHeight="1">
      <c r="A524" s="479"/>
      <c r="B524" s="131"/>
      <c r="C524" s="131"/>
      <c r="D524" s="274"/>
      <c r="E524" s="295"/>
      <c r="F524" s="268"/>
      <c r="G524" s="268"/>
      <c r="H524" s="276"/>
      <c r="I524" s="269"/>
      <c r="J524" s="270"/>
      <c r="K524" s="271"/>
      <c r="L524" s="273"/>
      <c r="M524" s="273"/>
      <c r="N524" s="274"/>
      <c r="O524" s="131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</row>
    <row r="525" ht="15.75" customHeight="1">
      <c r="A525" s="479"/>
      <c r="B525" s="131"/>
      <c r="C525" s="131"/>
      <c r="D525" s="274"/>
      <c r="E525" s="295"/>
      <c r="F525" s="268"/>
      <c r="G525" s="268"/>
      <c r="H525" s="276"/>
      <c r="I525" s="269"/>
      <c r="J525" s="270"/>
      <c r="K525" s="271"/>
      <c r="L525" s="273"/>
      <c r="M525" s="273"/>
      <c r="N525" s="274"/>
      <c r="O525" s="131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</row>
    <row r="526" ht="15.75" customHeight="1">
      <c r="A526" s="479"/>
      <c r="B526" s="131"/>
      <c r="C526" s="131"/>
      <c r="D526" s="274"/>
      <c r="E526" s="295"/>
      <c r="F526" s="268"/>
      <c r="G526" s="268"/>
      <c r="H526" s="276"/>
      <c r="I526" s="269"/>
      <c r="J526" s="270"/>
      <c r="K526" s="271"/>
      <c r="L526" s="273"/>
      <c r="M526" s="273"/>
      <c r="N526" s="274"/>
      <c r="O526" s="131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</row>
    <row r="527" ht="15.75" customHeight="1">
      <c r="A527" s="479"/>
      <c r="B527" s="131"/>
      <c r="C527" s="131"/>
      <c r="D527" s="274"/>
      <c r="E527" s="295"/>
      <c r="F527" s="268"/>
      <c r="G527" s="268"/>
      <c r="H527" s="276"/>
      <c r="I527" s="269"/>
      <c r="J527" s="270"/>
      <c r="K527" s="271"/>
      <c r="L527" s="273"/>
      <c r="M527" s="273"/>
      <c r="N527" s="274"/>
      <c r="O527" s="131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</row>
    <row r="528" ht="15.75" customHeight="1">
      <c r="A528" s="479"/>
      <c r="B528" s="131"/>
      <c r="C528" s="131"/>
      <c r="D528" s="274"/>
      <c r="E528" s="295"/>
      <c r="F528" s="268"/>
      <c r="G528" s="268"/>
      <c r="H528" s="276"/>
      <c r="I528" s="269"/>
      <c r="J528" s="270"/>
      <c r="K528" s="271"/>
      <c r="L528" s="273"/>
      <c r="M528" s="273"/>
      <c r="N528" s="274"/>
      <c r="O528" s="131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</row>
    <row r="529" ht="15.75" customHeight="1">
      <c r="A529" s="479"/>
      <c r="B529" s="131"/>
      <c r="C529" s="131"/>
      <c r="D529" s="274"/>
      <c r="E529" s="295"/>
      <c r="F529" s="268"/>
      <c r="G529" s="268"/>
      <c r="H529" s="276"/>
      <c r="I529" s="269"/>
      <c r="J529" s="270"/>
      <c r="K529" s="271"/>
      <c r="L529" s="273"/>
      <c r="M529" s="273"/>
      <c r="N529" s="274"/>
      <c r="O529" s="131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</row>
    <row r="530" ht="15.75" customHeight="1">
      <c r="A530" s="479"/>
      <c r="B530" s="131"/>
      <c r="C530" s="131"/>
      <c r="D530" s="274"/>
      <c r="E530" s="295"/>
      <c r="F530" s="268"/>
      <c r="G530" s="268"/>
      <c r="H530" s="276"/>
      <c r="I530" s="269"/>
      <c r="J530" s="270"/>
      <c r="K530" s="271"/>
      <c r="L530" s="273"/>
      <c r="M530" s="273"/>
      <c r="N530" s="274"/>
      <c r="O530" s="131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</row>
    <row r="531" ht="15.75" customHeight="1">
      <c r="A531" s="479"/>
      <c r="B531" s="131"/>
      <c r="C531" s="131"/>
      <c r="D531" s="274"/>
      <c r="E531" s="295"/>
      <c r="F531" s="268"/>
      <c r="G531" s="268"/>
      <c r="H531" s="276"/>
      <c r="I531" s="269"/>
      <c r="J531" s="270"/>
      <c r="K531" s="271"/>
      <c r="L531" s="273"/>
      <c r="M531" s="273"/>
      <c r="N531" s="274"/>
      <c r="O531" s="131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</row>
    <row r="532" ht="15.75" customHeight="1">
      <c r="A532" s="479"/>
      <c r="B532" s="131"/>
      <c r="C532" s="131"/>
      <c r="D532" s="274"/>
      <c r="E532" s="295"/>
      <c r="F532" s="268"/>
      <c r="G532" s="268"/>
      <c r="H532" s="276"/>
      <c r="I532" s="269"/>
      <c r="J532" s="270"/>
      <c r="K532" s="271"/>
      <c r="L532" s="273"/>
      <c r="M532" s="273"/>
      <c r="N532" s="274"/>
      <c r="O532" s="131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</row>
    <row r="533" ht="15.75" customHeight="1">
      <c r="A533" s="479"/>
      <c r="B533" s="131"/>
      <c r="C533" s="131"/>
      <c r="D533" s="274"/>
      <c r="E533" s="295"/>
      <c r="F533" s="268"/>
      <c r="G533" s="268"/>
      <c r="H533" s="276"/>
      <c r="I533" s="269"/>
      <c r="J533" s="270"/>
      <c r="K533" s="271"/>
      <c r="L533" s="273"/>
      <c r="M533" s="273"/>
      <c r="N533" s="274"/>
      <c r="O533" s="131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</row>
    <row r="534" ht="15.75" customHeight="1">
      <c r="A534" s="479"/>
      <c r="B534" s="131"/>
      <c r="C534" s="131"/>
      <c r="D534" s="274"/>
      <c r="E534" s="295"/>
      <c r="F534" s="268"/>
      <c r="G534" s="268"/>
      <c r="H534" s="276"/>
      <c r="I534" s="269"/>
      <c r="J534" s="270"/>
      <c r="K534" s="271"/>
      <c r="L534" s="273"/>
      <c r="M534" s="273"/>
      <c r="N534" s="274"/>
      <c r="O534" s="131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</row>
    <row r="535" ht="15.75" customHeight="1">
      <c r="A535" s="479"/>
      <c r="B535" s="131"/>
      <c r="C535" s="131"/>
      <c r="D535" s="274"/>
      <c r="E535" s="295"/>
      <c r="F535" s="268"/>
      <c r="G535" s="268"/>
      <c r="H535" s="276"/>
      <c r="I535" s="269"/>
      <c r="J535" s="270"/>
      <c r="K535" s="271"/>
      <c r="L535" s="273"/>
      <c r="M535" s="273"/>
      <c r="N535" s="274"/>
      <c r="O535" s="131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</row>
    <row r="536" ht="15.75" customHeight="1">
      <c r="A536" s="479"/>
      <c r="B536" s="131"/>
      <c r="C536" s="131"/>
      <c r="D536" s="274"/>
      <c r="E536" s="295"/>
      <c r="F536" s="268"/>
      <c r="G536" s="268"/>
      <c r="H536" s="276"/>
      <c r="I536" s="269"/>
      <c r="J536" s="270"/>
      <c r="K536" s="271"/>
      <c r="L536" s="273"/>
      <c r="M536" s="273"/>
      <c r="N536" s="274"/>
      <c r="O536" s="131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</row>
    <row r="537" ht="15.75" customHeight="1">
      <c r="A537" s="479"/>
      <c r="B537" s="131"/>
      <c r="C537" s="131"/>
      <c r="D537" s="274"/>
      <c r="E537" s="295"/>
      <c r="F537" s="268"/>
      <c r="G537" s="268"/>
      <c r="H537" s="276"/>
      <c r="I537" s="269"/>
      <c r="J537" s="270"/>
      <c r="K537" s="271"/>
      <c r="L537" s="273"/>
      <c r="M537" s="273"/>
      <c r="N537" s="274"/>
      <c r="O537" s="131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</row>
    <row r="538" ht="15.75" customHeight="1">
      <c r="A538" s="479"/>
      <c r="B538" s="131"/>
      <c r="C538" s="131"/>
      <c r="D538" s="274"/>
      <c r="E538" s="295"/>
      <c r="F538" s="268"/>
      <c r="G538" s="268"/>
      <c r="H538" s="276"/>
      <c r="I538" s="269"/>
      <c r="J538" s="270"/>
      <c r="K538" s="271"/>
      <c r="L538" s="273"/>
      <c r="M538" s="273"/>
      <c r="N538" s="274"/>
      <c r="O538" s="131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</row>
    <row r="539" ht="15.75" customHeight="1">
      <c r="A539" s="479"/>
      <c r="B539" s="131"/>
      <c r="C539" s="131"/>
      <c r="D539" s="274"/>
      <c r="E539" s="295"/>
      <c r="F539" s="268"/>
      <c r="G539" s="268"/>
      <c r="H539" s="276"/>
      <c r="I539" s="269"/>
      <c r="J539" s="270"/>
      <c r="K539" s="271"/>
      <c r="L539" s="273"/>
      <c r="M539" s="273"/>
      <c r="N539" s="274"/>
      <c r="O539" s="131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</row>
    <row r="540" ht="15.75" customHeight="1">
      <c r="A540" s="479"/>
      <c r="B540" s="131"/>
      <c r="C540" s="131"/>
      <c r="D540" s="274"/>
      <c r="E540" s="295"/>
      <c r="F540" s="268"/>
      <c r="G540" s="268"/>
      <c r="H540" s="276"/>
      <c r="I540" s="269"/>
      <c r="J540" s="270"/>
      <c r="K540" s="271"/>
      <c r="L540" s="273"/>
      <c r="M540" s="273"/>
      <c r="N540" s="274"/>
      <c r="O540" s="131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</row>
    <row r="541" ht="15.75" customHeight="1">
      <c r="A541" s="479"/>
      <c r="B541" s="131"/>
      <c r="C541" s="131"/>
      <c r="D541" s="274"/>
      <c r="E541" s="295"/>
      <c r="F541" s="268"/>
      <c r="G541" s="268"/>
      <c r="H541" s="276"/>
      <c r="I541" s="269"/>
      <c r="J541" s="270"/>
      <c r="K541" s="271"/>
      <c r="L541" s="273"/>
      <c r="M541" s="273"/>
      <c r="N541" s="274"/>
      <c r="O541" s="131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</row>
    <row r="542" ht="15.75" customHeight="1">
      <c r="A542" s="479"/>
      <c r="B542" s="131"/>
      <c r="C542" s="131"/>
      <c r="D542" s="274"/>
      <c r="E542" s="295"/>
      <c r="F542" s="268"/>
      <c r="G542" s="268"/>
      <c r="H542" s="276"/>
      <c r="I542" s="269"/>
      <c r="J542" s="270"/>
      <c r="K542" s="271"/>
      <c r="L542" s="273"/>
      <c r="M542" s="273"/>
      <c r="N542" s="274"/>
      <c r="O542" s="131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</row>
    <row r="543" ht="15.75" customHeight="1">
      <c r="A543" s="479"/>
      <c r="B543" s="131"/>
      <c r="C543" s="131"/>
      <c r="D543" s="274"/>
      <c r="E543" s="295"/>
      <c r="F543" s="268"/>
      <c r="G543" s="268"/>
      <c r="H543" s="276"/>
      <c r="I543" s="269"/>
      <c r="J543" s="270"/>
      <c r="K543" s="271"/>
      <c r="L543" s="273"/>
      <c r="M543" s="273"/>
      <c r="N543" s="274"/>
      <c r="O543" s="131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</row>
    <row r="544" ht="15.75" customHeight="1">
      <c r="A544" s="479"/>
      <c r="B544" s="131"/>
      <c r="C544" s="131"/>
      <c r="D544" s="274"/>
      <c r="E544" s="295"/>
      <c r="F544" s="268"/>
      <c r="G544" s="268"/>
      <c r="H544" s="276"/>
      <c r="I544" s="269"/>
      <c r="J544" s="270"/>
      <c r="K544" s="271"/>
      <c r="L544" s="273"/>
      <c r="M544" s="273"/>
      <c r="N544" s="274"/>
      <c r="O544" s="131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</row>
    <row r="545" ht="15.75" customHeight="1">
      <c r="A545" s="479"/>
      <c r="B545" s="131"/>
      <c r="C545" s="131"/>
      <c r="D545" s="274"/>
      <c r="E545" s="295"/>
      <c r="F545" s="268"/>
      <c r="G545" s="268"/>
      <c r="H545" s="276"/>
      <c r="I545" s="269"/>
      <c r="J545" s="270"/>
      <c r="K545" s="271"/>
      <c r="L545" s="273"/>
      <c r="M545" s="273"/>
      <c r="N545" s="274"/>
      <c r="O545" s="131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</row>
    <row r="546" ht="15.75" customHeight="1">
      <c r="A546" s="479"/>
      <c r="B546" s="131"/>
      <c r="C546" s="131"/>
      <c r="D546" s="274"/>
      <c r="E546" s="295"/>
      <c r="F546" s="268"/>
      <c r="G546" s="268"/>
      <c r="H546" s="276"/>
      <c r="I546" s="269"/>
      <c r="J546" s="270"/>
      <c r="K546" s="271"/>
      <c r="L546" s="273"/>
      <c r="M546" s="273"/>
      <c r="N546" s="274"/>
      <c r="O546" s="131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</row>
    <row r="547" ht="15.75" customHeight="1">
      <c r="A547" s="479"/>
      <c r="B547" s="131"/>
      <c r="C547" s="131"/>
      <c r="D547" s="274"/>
      <c r="E547" s="295"/>
      <c r="F547" s="268"/>
      <c r="G547" s="268"/>
      <c r="H547" s="276"/>
      <c r="I547" s="269"/>
      <c r="J547" s="270"/>
      <c r="K547" s="271"/>
      <c r="L547" s="273"/>
      <c r="M547" s="273"/>
      <c r="N547" s="274"/>
      <c r="O547" s="131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</row>
    <row r="548" ht="15.75" customHeight="1">
      <c r="A548" s="479"/>
      <c r="B548" s="131"/>
      <c r="C548" s="131"/>
      <c r="D548" s="274"/>
      <c r="E548" s="295"/>
      <c r="F548" s="268"/>
      <c r="G548" s="268"/>
      <c r="H548" s="276"/>
      <c r="I548" s="269"/>
      <c r="J548" s="270"/>
      <c r="K548" s="271"/>
      <c r="L548" s="273"/>
      <c r="M548" s="273"/>
      <c r="N548" s="274"/>
      <c r="O548" s="131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</row>
    <row r="549" ht="15.75" customHeight="1">
      <c r="A549" s="479"/>
      <c r="B549" s="131"/>
      <c r="C549" s="131"/>
      <c r="D549" s="274"/>
      <c r="E549" s="295"/>
      <c r="F549" s="268"/>
      <c r="G549" s="268"/>
      <c r="H549" s="276"/>
      <c r="I549" s="269"/>
      <c r="J549" s="270"/>
      <c r="K549" s="271"/>
      <c r="L549" s="273"/>
      <c r="M549" s="273"/>
      <c r="N549" s="274"/>
      <c r="O549" s="131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</row>
    <row r="550" ht="15.75" customHeight="1">
      <c r="A550" s="479"/>
      <c r="B550" s="131"/>
      <c r="C550" s="131"/>
      <c r="D550" s="274"/>
      <c r="E550" s="295"/>
      <c r="F550" s="268"/>
      <c r="G550" s="268"/>
      <c r="H550" s="276"/>
      <c r="I550" s="269"/>
      <c r="J550" s="270"/>
      <c r="K550" s="271"/>
      <c r="L550" s="273"/>
      <c r="M550" s="273"/>
      <c r="N550" s="274"/>
      <c r="O550" s="131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</row>
    <row r="551" ht="15.75" customHeight="1">
      <c r="A551" s="479"/>
      <c r="B551" s="131"/>
      <c r="C551" s="131"/>
      <c r="D551" s="274"/>
      <c r="E551" s="295"/>
      <c r="F551" s="268"/>
      <c r="G551" s="268"/>
      <c r="H551" s="276"/>
      <c r="I551" s="269"/>
      <c r="J551" s="270"/>
      <c r="K551" s="271"/>
      <c r="L551" s="273"/>
      <c r="M551" s="273"/>
      <c r="N551" s="274"/>
      <c r="O551" s="131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</row>
    <row r="552" ht="15.75" customHeight="1">
      <c r="A552" s="479"/>
      <c r="B552" s="131"/>
      <c r="C552" s="131"/>
      <c r="D552" s="274"/>
      <c r="E552" s="295"/>
      <c r="F552" s="268"/>
      <c r="G552" s="268"/>
      <c r="H552" s="276"/>
      <c r="I552" s="269"/>
      <c r="J552" s="270"/>
      <c r="K552" s="271"/>
      <c r="L552" s="273"/>
      <c r="M552" s="273"/>
      <c r="N552" s="274"/>
      <c r="O552" s="131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</row>
    <row r="553" ht="15.75" customHeight="1">
      <c r="A553" s="479"/>
      <c r="B553" s="131"/>
      <c r="C553" s="131"/>
      <c r="D553" s="274"/>
      <c r="E553" s="295"/>
      <c r="F553" s="268"/>
      <c r="G553" s="268"/>
      <c r="H553" s="276"/>
      <c r="I553" s="269"/>
      <c r="J553" s="270"/>
      <c r="K553" s="271"/>
      <c r="L553" s="273"/>
      <c r="M553" s="273"/>
      <c r="N553" s="274"/>
      <c r="O553" s="131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</row>
    <row r="554" ht="15.75" customHeight="1">
      <c r="A554" s="479"/>
      <c r="B554" s="131"/>
      <c r="C554" s="131"/>
      <c r="D554" s="274"/>
      <c r="E554" s="295"/>
      <c r="F554" s="268"/>
      <c r="G554" s="268"/>
      <c r="H554" s="276"/>
      <c r="I554" s="269"/>
      <c r="J554" s="270"/>
      <c r="K554" s="271"/>
      <c r="L554" s="273"/>
      <c r="M554" s="273"/>
      <c r="N554" s="274"/>
      <c r="O554" s="131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</row>
    <row r="555" ht="15.75" customHeight="1">
      <c r="A555" s="479"/>
      <c r="B555" s="131"/>
      <c r="C555" s="131"/>
      <c r="D555" s="274"/>
      <c r="E555" s="295"/>
      <c r="F555" s="268"/>
      <c r="G555" s="268"/>
      <c r="H555" s="276"/>
      <c r="I555" s="269"/>
      <c r="J555" s="270"/>
      <c r="K555" s="271"/>
      <c r="L555" s="273"/>
      <c r="M555" s="273"/>
      <c r="N555" s="274"/>
      <c r="O555" s="131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</row>
    <row r="556" ht="15.75" customHeight="1">
      <c r="A556" s="479"/>
      <c r="B556" s="131"/>
      <c r="C556" s="131"/>
      <c r="D556" s="274"/>
      <c r="E556" s="295"/>
      <c r="F556" s="268"/>
      <c r="G556" s="268"/>
      <c r="H556" s="276"/>
      <c r="I556" s="269"/>
      <c r="J556" s="270"/>
      <c r="K556" s="271"/>
      <c r="L556" s="273"/>
      <c r="M556" s="273"/>
      <c r="N556" s="274"/>
      <c r="O556" s="131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</row>
    <row r="557" ht="15.75" customHeight="1">
      <c r="A557" s="479"/>
      <c r="B557" s="131"/>
      <c r="C557" s="131"/>
      <c r="D557" s="274"/>
      <c r="E557" s="295"/>
      <c r="F557" s="268"/>
      <c r="G557" s="268"/>
      <c r="H557" s="276"/>
      <c r="I557" s="269"/>
      <c r="J557" s="270"/>
      <c r="K557" s="271"/>
      <c r="L557" s="273"/>
      <c r="M557" s="273"/>
      <c r="N557" s="274"/>
      <c r="O557" s="131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</row>
    <row r="558" ht="15.75" customHeight="1">
      <c r="A558" s="479"/>
      <c r="B558" s="131"/>
      <c r="C558" s="131"/>
      <c r="D558" s="274"/>
      <c r="E558" s="295"/>
      <c r="F558" s="268"/>
      <c r="G558" s="268"/>
      <c r="H558" s="276"/>
      <c r="I558" s="269"/>
      <c r="J558" s="270"/>
      <c r="K558" s="271"/>
      <c r="L558" s="273"/>
      <c r="M558" s="273"/>
      <c r="N558" s="274"/>
      <c r="O558" s="131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</row>
    <row r="559" ht="15.75" customHeight="1">
      <c r="A559" s="479"/>
      <c r="B559" s="131"/>
      <c r="C559" s="131"/>
      <c r="D559" s="274"/>
      <c r="E559" s="295"/>
      <c r="F559" s="268"/>
      <c r="G559" s="268"/>
      <c r="H559" s="276"/>
      <c r="I559" s="269"/>
      <c r="J559" s="270"/>
      <c r="K559" s="271"/>
      <c r="L559" s="273"/>
      <c r="M559" s="273"/>
      <c r="N559" s="274"/>
      <c r="O559" s="131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</row>
    <row r="560" ht="15.75" customHeight="1">
      <c r="A560" s="479"/>
      <c r="B560" s="131"/>
      <c r="C560" s="131"/>
      <c r="D560" s="274"/>
      <c r="E560" s="295"/>
      <c r="F560" s="268"/>
      <c r="G560" s="268"/>
      <c r="H560" s="276"/>
      <c r="I560" s="269"/>
      <c r="J560" s="270"/>
      <c r="K560" s="271"/>
      <c r="L560" s="273"/>
      <c r="M560" s="273"/>
      <c r="N560" s="274"/>
      <c r="O560" s="131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</row>
    <row r="561" ht="15.75" customHeight="1">
      <c r="A561" s="479"/>
      <c r="B561" s="131"/>
      <c r="C561" s="131"/>
      <c r="D561" s="274"/>
      <c r="E561" s="295"/>
      <c r="F561" s="268"/>
      <c r="G561" s="268"/>
      <c r="H561" s="276"/>
      <c r="I561" s="269"/>
      <c r="J561" s="270"/>
      <c r="K561" s="271"/>
      <c r="L561" s="273"/>
      <c r="M561" s="273"/>
      <c r="N561" s="274"/>
      <c r="O561" s="131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</row>
    <row r="562" ht="15.75" customHeight="1">
      <c r="A562" s="479"/>
      <c r="B562" s="131"/>
      <c r="C562" s="131"/>
      <c r="D562" s="274"/>
      <c r="E562" s="295"/>
      <c r="F562" s="268"/>
      <c r="G562" s="268"/>
      <c r="H562" s="276"/>
      <c r="I562" s="269"/>
      <c r="J562" s="270"/>
      <c r="K562" s="271"/>
      <c r="L562" s="273"/>
      <c r="M562" s="273"/>
      <c r="N562" s="274"/>
      <c r="O562" s="131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</row>
    <row r="563" ht="15.75" customHeight="1">
      <c r="A563" s="479"/>
      <c r="B563" s="131"/>
      <c r="C563" s="131"/>
      <c r="D563" s="274"/>
      <c r="E563" s="295"/>
      <c r="F563" s="268"/>
      <c r="G563" s="268"/>
      <c r="H563" s="276"/>
      <c r="I563" s="269"/>
      <c r="J563" s="270"/>
      <c r="K563" s="271"/>
      <c r="L563" s="273"/>
      <c r="M563" s="273"/>
      <c r="N563" s="274"/>
      <c r="O563" s="131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</row>
    <row r="564" ht="15.75" customHeight="1">
      <c r="A564" s="479"/>
      <c r="B564" s="131"/>
      <c r="C564" s="131"/>
      <c r="D564" s="274"/>
      <c r="E564" s="295"/>
      <c r="F564" s="268"/>
      <c r="G564" s="268"/>
      <c r="H564" s="276"/>
      <c r="I564" s="269"/>
      <c r="J564" s="270"/>
      <c r="K564" s="271"/>
      <c r="L564" s="273"/>
      <c r="M564" s="273"/>
      <c r="N564" s="274"/>
      <c r="O564" s="131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</row>
    <row r="565" ht="15.75" customHeight="1">
      <c r="A565" s="479"/>
      <c r="B565" s="131"/>
      <c r="C565" s="131"/>
      <c r="D565" s="274"/>
      <c r="E565" s="295"/>
      <c r="F565" s="268"/>
      <c r="G565" s="268"/>
      <c r="H565" s="276"/>
      <c r="I565" s="269"/>
      <c r="J565" s="270"/>
      <c r="K565" s="271"/>
      <c r="L565" s="273"/>
      <c r="M565" s="273"/>
      <c r="N565" s="274"/>
      <c r="O565" s="131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</row>
    <row r="566" ht="15.75" customHeight="1">
      <c r="A566" s="479"/>
      <c r="B566" s="131"/>
      <c r="C566" s="131"/>
      <c r="D566" s="274"/>
      <c r="E566" s="295"/>
      <c r="F566" s="268"/>
      <c r="G566" s="268"/>
      <c r="H566" s="276"/>
      <c r="I566" s="269"/>
      <c r="J566" s="270"/>
      <c r="K566" s="271"/>
      <c r="L566" s="273"/>
      <c r="M566" s="273"/>
      <c r="N566" s="274"/>
      <c r="O566" s="131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</row>
    <row r="567" ht="15.75" customHeight="1">
      <c r="A567" s="479"/>
      <c r="B567" s="131"/>
      <c r="C567" s="131"/>
      <c r="D567" s="274"/>
      <c r="E567" s="295"/>
      <c r="F567" s="268"/>
      <c r="G567" s="268"/>
      <c r="H567" s="276"/>
      <c r="I567" s="269"/>
      <c r="J567" s="270"/>
      <c r="K567" s="271"/>
      <c r="L567" s="273"/>
      <c r="M567" s="273"/>
      <c r="N567" s="274"/>
      <c r="O567" s="131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</row>
    <row r="568" ht="15.75" customHeight="1">
      <c r="A568" s="479"/>
      <c r="B568" s="131"/>
      <c r="C568" s="131"/>
      <c r="D568" s="274"/>
      <c r="E568" s="295"/>
      <c r="F568" s="268"/>
      <c r="G568" s="268"/>
      <c r="H568" s="276"/>
      <c r="I568" s="269"/>
      <c r="J568" s="270"/>
      <c r="K568" s="271"/>
      <c r="L568" s="273"/>
      <c r="M568" s="273"/>
      <c r="N568" s="274"/>
      <c r="O568" s="131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</row>
    <row r="569" ht="15.75" customHeight="1">
      <c r="A569" s="479"/>
      <c r="B569" s="131"/>
      <c r="C569" s="131"/>
      <c r="D569" s="274"/>
      <c r="E569" s="295"/>
      <c r="F569" s="268"/>
      <c r="G569" s="268"/>
      <c r="H569" s="276"/>
      <c r="I569" s="269"/>
      <c r="J569" s="270"/>
      <c r="K569" s="271"/>
      <c r="L569" s="273"/>
      <c r="M569" s="273"/>
      <c r="N569" s="274"/>
      <c r="O569" s="131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</row>
    <row r="570" ht="15.75" customHeight="1">
      <c r="A570" s="479"/>
      <c r="B570" s="131"/>
      <c r="C570" s="131"/>
      <c r="D570" s="274"/>
      <c r="E570" s="295"/>
      <c r="F570" s="268"/>
      <c r="G570" s="268"/>
      <c r="H570" s="276"/>
      <c r="I570" s="269"/>
      <c r="J570" s="270"/>
      <c r="K570" s="271"/>
      <c r="L570" s="273"/>
      <c r="M570" s="273"/>
      <c r="N570" s="274"/>
      <c r="O570" s="131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</row>
    <row r="571" ht="15.75" customHeight="1">
      <c r="A571" s="479"/>
      <c r="B571" s="131"/>
      <c r="C571" s="131"/>
      <c r="D571" s="274"/>
      <c r="E571" s="295"/>
      <c r="F571" s="268"/>
      <c r="G571" s="268"/>
      <c r="H571" s="276"/>
      <c r="I571" s="269"/>
      <c r="J571" s="270"/>
      <c r="K571" s="271"/>
      <c r="L571" s="273"/>
      <c r="M571" s="273"/>
      <c r="N571" s="274"/>
      <c r="O571" s="131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</row>
    <row r="572" ht="15.75" customHeight="1">
      <c r="A572" s="479"/>
      <c r="B572" s="131"/>
      <c r="C572" s="131"/>
      <c r="D572" s="274"/>
      <c r="E572" s="295"/>
      <c r="F572" s="268"/>
      <c r="G572" s="268"/>
      <c r="H572" s="276"/>
      <c r="I572" s="269"/>
      <c r="J572" s="270"/>
      <c r="K572" s="271"/>
      <c r="L572" s="273"/>
      <c r="M572" s="273"/>
      <c r="N572" s="274"/>
      <c r="O572" s="131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</row>
    <row r="573" ht="15.75" customHeight="1">
      <c r="A573" s="479"/>
      <c r="B573" s="131"/>
      <c r="C573" s="131"/>
      <c r="D573" s="274"/>
      <c r="E573" s="295"/>
      <c r="F573" s="268"/>
      <c r="G573" s="268"/>
      <c r="H573" s="276"/>
      <c r="I573" s="269"/>
      <c r="J573" s="270"/>
      <c r="K573" s="271"/>
      <c r="L573" s="273"/>
      <c r="M573" s="273"/>
      <c r="N573" s="274"/>
      <c r="O573" s="131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</row>
    <row r="574" ht="15.75" customHeight="1">
      <c r="A574" s="479"/>
      <c r="B574" s="131"/>
      <c r="C574" s="131"/>
      <c r="D574" s="274"/>
      <c r="E574" s="295"/>
      <c r="F574" s="268"/>
      <c r="G574" s="268"/>
      <c r="H574" s="276"/>
      <c r="I574" s="269"/>
      <c r="J574" s="270"/>
      <c r="K574" s="271"/>
      <c r="L574" s="273"/>
      <c r="M574" s="273"/>
      <c r="N574" s="274"/>
      <c r="O574" s="131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</row>
    <row r="575" ht="15.75" customHeight="1">
      <c r="A575" s="479"/>
      <c r="B575" s="131"/>
      <c r="C575" s="131"/>
      <c r="D575" s="274"/>
      <c r="E575" s="295"/>
      <c r="F575" s="268"/>
      <c r="G575" s="268"/>
      <c r="H575" s="276"/>
      <c r="I575" s="269"/>
      <c r="J575" s="270"/>
      <c r="K575" s="271"/>
      <c r="L575" s="273"/>
      <c r="M575" s="273"/>
      <c r="N575" s="274"/>
      <c r="O575" s="131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</row>
    <row r="576" ht="15.75" customHeight="1">
      <c r="A576" s="479"/>
      <c r="B576" s="131"/>
      <c r="C576" s="131"/>
      <c r="D576" s="274"/>
      <c r="E576" s="295"/>
      <c r="F576" s="268"/>
      <c r="G576" s="268"/>
      <c r="H576" s="276"/>
      <c r="I576" s="269"/>
      <c r="J576" s="270"/>
      <c r="K576" s="271"/>
      <c r="L576" s="273"/>
      <c r="M576" s="273"/>
      <c r="N576" s="274"/>
      <c r="O576" s="131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</row>
    <row r="577" ht="15.75" customHeight="1">
      <c r="A577" s="479"/>
      <c r="B577" s="131"/>
      <c r="C577" s="131"/>
      <c r="D577" s="274"/>
      <c r="E577" s="295"/>
      <c r="F577" s="268"/>
      <c r="G577" s="268"/>
      <c r="H577" s="276"/>
      <c r="I577" s="269"/>
      <c r="J577" s="270"/>
      <c r="K577" s="271"/>
      <c r="L577" s="273"/>
      <c r="M577" s="273"/>
      <c r="N577" s="274"/>
      <c r="O577" s="131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</row>
    <row r="578" ht="15.75" customHeight="1">
      <c r="A578" s="479"/>
      <c r="B578" s="131"/>
      <c r="C578" s="131"/>
      <c r="D578" s="274"/>
      <c r="E578" s="295"/>
      <c r="F578" s="268"/>
      <c r="G578" s="268"/>
      <c r="H578" s="276"/>
      <c r="I578" s="269"/>
      <c r="J578" s="270"/>
      <c r="K578" s="271"/>
      <c r="L578" s="273"/>
      <c r="M578" s="273"/>
      <c r="N578" s="274"/>
      <c r="O578" s="131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</row>
    <row r="579" ht="15.75" customHeight="1">
      <c r="A579" s="479"/>
      <c r="B579" s="131"/>
      <c r="C579" s="131"/>
      <c r="D579" s="274"/>
      <c r="E579" s="295"/>
      <c r="F579" s="268"/>
      <c r="G579" s="268"/>
      <c r="H579" s="276"/>
      <c r="I579" s="269"/>
      <c r="J579" s="270"/>
      <c r="K579" s="271"/>
      <c r="L579" s="273"/>
      <c r="M579" s="273"/>
      <c r="N579" s="274"/>
      <c r="O579" s="131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</row>
    <row r="580" ht="15.75" customHeight="1">
      <c r="A580" s="479"/>
      <c r="B580" s="131"/>
      <c r="C580" s="131"/>
      <c r="D580" s="274"/>
      <c r="E580" s="295"/>
      <c r="F580" s="268"/>
      <c r="G580" s="268"/>
      <c r="H580" s="276"/>
      <c r="I580" s="269"/>
      <c r="J580" s="270"/>
      <c r="K580" s="271"/>
      <c r="L580" s="273"/>
      <c r="M580" s="273"/>
      <c r="N580" s="274"/>
      <c r="O580" s="131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</row>
    <row r="581" ht="15.75" customHeight="1">
      <c r="A581" s="479"/>
      <c r="B581" s="131"/>
      <c r="C581" s="131"/>
      <c r="D581" s="274"/>
      <c r="E581" s="295"/>
      <c r="F581" s="268"/>
      <c r="G581" s="268"/>
      <c r="H581" s="276"/>
      <c r="I581" s="269"/>
      <c r="J581" s="270"/>
      <c r="K581" s="271"/>
      <c r="L581" s="273"/>
      <c r="M581" s="273"/>
      <c r="N581" s="274"/>
      <c r="O581" s="131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</row>
    <row r="582" ht="15.75" customHeight="1">
      <c r="A582" s="479"/>
      <c r="B582" s="131"/>
      <c r="C582" s="131"/>
      <c r="D582" s="274"/>
      <c r="E582" s="295"/>
      <c r="F582" s="268"/>
      <c r="G582" s="268"/>
      <c r="H582" s="276"/>
      <c r="I582" s="269"/>
      <c r="J582" s="270"/>
      <c r="K582" s="271"/>
      <c r="L582" s="273"/>
      <c r="M582" s="273"/>
      <c r="N582" s="274"/>
      <c r="O582" s="131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</row>
    <row r="583" ht="15.75" customHeight="1">
      <c r="A583" s="479"/>
      <c r="B583" s="131"/>
      <c r="C583" s="131"/>
      <c r="D583" s="274"/>
      <c r="E583" s="295"/>
      <c r="F583" s="268"/>
      <c r="G583" s="268"/>
      <c r="H583" s="276"/>
      <c r="I583" s="269"/>
      <c r="J583" s="270"/>
      <c r="K583" s="271"/>
      <c r="L583" s="273"/>
      <c r="M583" s="273"/>
      <c r="N583" s="274"/>
      <c r="O583" s="131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</row>
    <row r="584" ht="15.75" customHeight="1">
      <c r="A584" s="479"/>
      <c r="B584" s="131"/>
      <c r="C584" s="131"/>
      <c r="D584" s="274"/>
      <c r="E584" s="295"/>
      <c r="F584" s="268"/>
      <c r="G584" s="268"/>
      <c r="H584" s="276"/>
      <c r="I584" s="269"/>
      <c r="J584" s="270"/>
      <c r="K584" s="271"/>
      <c r="L584" s="273"/>
      <c r="M584" s="273"/>
      <c r="N584" s="274"/>
      <c r="O584" s="131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</row>
    <row r="585" ht="15.75" customHeight="1">
      <c r="A585" s="479"/>
      <c r="B585" s="131"/>
      <c r="C585" s="131"/>
      <c r="D585" s="274"/>
      <c r="E585" s="295"/>
      <c r="F585" s="268"/>
      <c r="G585" s="268"/>
      <c r="H585" s="276"/>
      <c r="I585" s="269"/>
      <c r="J585" s="270"/>
      <c r="K585" s="271"/>
      <c r="L585" s="273"/>
      <c r="M585" s="273"/>
      <c r="N585" s="274"/>
      <c r="O585" s="131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</row>
    <row r="586" ht="15.75" customHeight="1">
      <c r="A586" s="479"/>
      <c r="B586" s="131"/>
      <c r="C586" s="131"/>
      <c r="D586" s="274"/>
      <c r="E586" s="295"/>
      <c r="F586" s="268"/>
      <c r="G586" s="268"/>
      <c r="H586" s="276"/>
      <c r="I586" s="269"/>
      <c r="J586" s="270"/>
      <c r="K586" s="271"/>
      <c r="L586" s="273"/>
      <c r="M586" s="273"/>
      <c r="N586" s="274"/>
      <c r="O586" s="131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</row>
    <row r="587" ht="15.75" customHeight="1">
      <c r="A587" s="479"/>
      <c r="B587" s="131"/>
      <c r="C587" s="131"/>
      <c r="D587" s="274"/>
      <c r="E587" s="295"/>
      <c r="F587" s="268"/>
      <c r="G587" s="268"/>
      <c r="H587" s="276"/>
      <c r="I587" s="269"/>
      <c r="J587" s="270"/>
      <c r="K587" s="271"/>
      <c r="L587" s="273"/>
      <c r="M587" s="273"/>
      <c r="N587" s="274"/>
      <c r="O587" s="131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</row>
    <row r="588" ht="15.75" customHeight="1">
      <c r="A588" s="479"/>
      <c r="B588" s="131"/>
      <c r="C588" s="131"/>
      <c r="D588" s="274"/>
      <c r="E588" s="295"/>
      <c r="F588" s="268"/>
      <c r="G588" s="268"/>
      <c r="H588" s="276"/>
      <c r="I588" s="269"/>
      <c r="J588" s="270"/>
      <c r="K588" s="271"/>
      <c r="L588" s="273"/>
      <c r="M588" s="273"/>
      <c r="N588" s="274"/>
      <c r="O588" s="131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</row>
    <row r="589" ht="15.75" customHeight="1">
      <c r="A589" s="479"/>
      <c r="B589" s="131"/>
      <c r="C589" s="131"/>
      <c r="D589" s="274"/>
      <c r="E589" s="295"/>
      <c r="F589" s="268"/>
      <c r="G589" s="268"/>
      <c r="H589" s="276"/>
      <c r="I589" s="269"/>
      <c r="J589" s="270"/>
      <c r="K589" s="271"/>
      <c r="L589" s="273"/>
      <c r="M589" s="273"/>
      <c r="N589" s="274"/>
      <c r="O589" s="131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</row>
    <row r="590" ht="15.75" customHeight="1">
      <c r="A590" s="479"/>
      <c r="B590" s="131"/>
      <c r="C590" s="131"/>
      <c r="D590" s="274"/>
      <c r="E590" s="295"/>
      <c r="F590" s="268"/>
      <c r="G590" s="268"/>
      <c r="H590" s="276"/>
      <c r="I590" s="269"/>
      <c r="J590" s="270"/>
      <c r="K590" s="271"/>
      <c r="L590" s="273"/>
      <c r="M590" s="273"/>
      <c r="N590" s="274"/>
      <c r="O590" s="131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</row>
    <row r="591" ht="15.75" customHeight="1">
      <c r="A591" s="479"/>
      <c r="B591" s="131"/>
      <c r="C591" s="131"/>
      <c r="D591" s="274"/>
      <c r="E591" s="295"/>
      <c r="F591" s="268"/>
      <c r="G591" s="268"/>
      <c r="H591" s="276"/>
      <c r="I591" s="269"/>
      <c r="J591" s="270"/>
      <c r="K591" s="271"/>
      <c r="L591" s="273"/>
      <c r="M591" s="273"/>
      <c r="N591" s="274"/>
      <c r="O591" s="131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</row>
    <row r="592" ht="15.75" customHeight="1">
      <c r="A592" s="479"/>
      <c r="B592" s="131"/>
      <c r="C592" s="131"/>
      <c r="D592" s="274"/>
      <c r="E592" s="295"/>
      <c r="F592" s="268"/>
      <c r="G592" s="268"/>
      <c r="H592" s="276"/>
      <c r="I592" s="269"/>
      <c r="J592" s="270"/>
      <c r="K592" s="271"/>
      <c r="L592" s="273"/>
      <c r="M592" s="273"/>
      <c r="N592" s="274"/>
      <c r="O592" s="131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</row>
    <row r="593" ht="15.75" customHeight="1">
      <c r="A593" s="479"/>
      <c r="B593" s="131"/>
      <c r="C593" s="131"/>
      <c r="D593" s="274"/>
      <c r="E593" s="295"/>
      <c r="F593" s="268"/>
      <c r="G593" s="268"/>
      <c r="H593" s="276"/>
      <c r="I593" s="269"/>
      <c r="J593" s="270"/>
      <c r="K593" s="271"/>
      <c r="L593" s="273"/>
      <c r="M593" s="273"/>
      <c r="N593" s="274"/>
      <c r="O593" s="131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</row>
    <row r="594" ht="15.75" customHeight="1">
      <c r="A594" s="479"/>
      <c r="B594" s="131"/>
      <c r="C594" s="131"/>
      <c r="D594" s="274"/>
      <c r="E594" s="295"/>
      <c r="F594" s="268"/>
      <c r="G594" s="268"/>
      <c r="H594" s="276"/>
      <c r="I594" s="269"/>
      <c r="J594" s="270"/>
      <c r="K594" s="271"/>
      <c r="L594" s="273"/>
      <c r="M594" s="273"/>
      <c r="N594" s="274"/>
      <c r="O594" s="131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</row>
    <row r="595" ht="15.75" customHeight="1">
      <c r="A595" s="479"/>
      <c r="B595" s="131"/>
      <c r="C595" s="131"/>
      <c r="D595" s="274"/>
      <c r="E595" s="295"/>
      <c r="F595" s="268"/>
      <c r="G595" s="268"/>
      <c r="H595" s="276"/>
      <c r="I595" s="269"/>
      <c r="J595" s="270"/>
      <c r="K595" s="271"/>
      <c r="L595" s="273"/>
      <c r="M595" s="273"/>
      <c r="N595" s="274"/>
      <c r="O595" s="131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</row>
    <row r="596" ht="15.75" customHeight="1">
      <c r="A596" s="479"/>
      <c r="B596" s="131"/>
      <c r="C596" s="131"/>
      <c r="D596" s="274"/>
      <c r="E596" s="295"/>
      <c r="F596" s="268"/>
      <c r="G596" s="268"/>
      <c r="H596" s="276"/>
      <c r="I596" s="269"/>
      <c r="J596" s="270"/>
      <c r="K596" s="271"/>
      <c r="L596" s="273"/>
      <c r="M596" s="273"/>
      <c r="N596" s="274"/>
      <c r="O596" s="131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</row>
    <row r="597" ht="15.75" customHeight="1">
      <c r="A597" s="479"/>
      <c r="B597" s="131"/>
      <c r="C597" s="131"/>
      <c r="D597" s="274"/>
      <c r="E597" s="295"/>
      <c r="F597" s="268"/>
      <c r="G597" s="268"/>
      <c r="H597" s="276"/>
      <c r="I597" s="269"/>
      <c r="J597" s="270"/>
      <c r="K597" s="271"/>
      <c r="L597" s="273"/>
      <c r="M597" s="273"/>
      <c r="N597" s="274"/>
      <c r="O597" s="131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</row>
    <row r="598" ht="15.75" customHeight="1">
      <c r="A598" s="479"/>
      <c r="B598" s="131"/>
      <c r="C598" s="131"/>
      <c r="D598" s="274"/>
      <c r="E598" s="295"/>
      <c r="F598" s="268"/>
      <c r="G598" s="268"/>
      <c r="H598" s="276"/>
      <c r="I598" s="269"/>
      <c r="J598" s="270"/>
      <c r="K598" s="271"/>
      <c r="L598" s="273"/>
      <c r="M598" s="273"/>
      <c r="N598" s="274"/>
      <c r="O598" s="131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</row>
    <row r="599" ht="15.75" customHeight="1">
      <c r="A599" s="479"/>
      <c r="B599" s="131"/>
      <c r="C599" s="131"/>
      <c r="D599" s="274"/>
      <c r="E599" s="295"/>
      <c r="F599" s="268"/>
      <c r="G599" s="268"/>
      <c r="H599" s="276"/>
      <c r="I599" s="269"/>
      <c r="J599" s="270"/>
      <c r="K599" s="271"/>
      <c r="L599" s="273"/>
      <c r="M599" s="273"/>
      <c r="N599" s="274"/>
      <c r="O599" s="131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</row>
    <row r="600" ht="15.75" customHeight="1">
      <c r="A600" s="479"/>
      <c r="B600" s="131"/>
      <c r="C600" s="131"/>
      <c r="D600" s="274"/>
      <c r="E600" s="295"/>
      <c r="F600" s="268"/>
      <c r="G600" s="268"/>
      <c r="H600" s="276"/>
      <c r="I600" s="269"/>
      <c r="J600" s="270"/>
      <c r="K600" s="271"/>
      <c r="L600" s="273"/>
      <c r="M600" s="273"/>
      <c r="N600" s="274"/>
      <c r="O600" s="131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</row>
    <row r="601" ht="15.75" customHeight="1">
      <c r="A601" s="479"/>
      <c r="B601" s="131"/>
      <c r="C601" s="131"/>
      <c r="D601" s="274"/>
      <c r="E601" s="295"/>
      <c r="F601" s="268"/>
      <c r="G601" s="268"/>
      <c r="H601" s="276"/>
      <c r="I601" s="269"/>
      <c r="J601" s="270"/>
      <c r="K601" s="271"/>
      <c r="L601" s="273"/>
      <c r="M601" s="273"/>
      <c r="N601" s="274"/>
      <c r="O601" s="131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</row>
    <row r="602" ht="15.75" customHeight="1">
      <c r="A602" s="479"/>
      <c r="B602" s="131"/>
      <c r="C602" s="131"/>
      <c r="D602" s="274"/>
      <c r="E602" s="295"/>
      <c r="F602" s="268"/>
      <c r="G602" s="268"/>
      <c r="H602" s="276"/>
      <c r="I602" s="269"/>
      <c r="J602" s="270"/>
      <c r="K602" s="271"/>
      <c r="L602" s="273"/>
      <c r="M602" s="273"/>
      <c r="N602" s="274"/>
      <c r="O602" s="131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</row>
    <row r="603" ht="15.75" customHeight="1">
      <c r="A603" s="479"/>
      <c r="B603" s="131"/>
      <c r="C603" s="131"/>
      <c r="D603" s="274"/>
      <c r="E603" s="295"/>
      <c r="F603" s="268"/>
      <c r="G603" s="268"/>
      <c r="H603" s="276"/>
      <c r="I603" s="269"/>
      <c r="J603" s="270"/>
      <c r="K603" s="271"/>
      <c r="L603" s="273"/>
      <c r="M603" s="273"/>
      <c r="N603" s="274"/>
      <c r="O603" s="131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</row>
    <row r="604" ht="15.75" customHeight="1">
      <c r="A604" s="479"/>
      <c r="B604" s="131"/>
      <c r="C604" s="131"/>
      <c r="D604" s="274"/>
      <c r="E604" s="295"/>
      <c r="F604" s="268"/>
      <c r="G604" s="268"/>
      <c r="H604" s="276"/>
      <c r="I604" s="269"/>
      <c r="J604" s="270"/>
      <c r="K604" s="271"/>
      <c r="L604" s="273"/>
      <c r="M604" s="273"/>
      <c r="N604" s="274"/>
      <c r="O604" s="131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</row>
    <row r="605" ht="15.75" customHeight="1">
      <c r="A605" s="479"/>
      <c r="B605" s="131"/>
      <c r="C605" s="131"/>
      <c r="D605" s="274"/>
      <c r="E605" s="295"/>
      <c r="F605" s="268"/>
      <c r="G605" s="268"/>
      <c r="H605" s="276"/>
      <c r="I605" s="269"/>
      <c r="J605" s="270"/>
      <c r="K605" s="271"/>
      <c r="L605" s="273"/>
      <c r="M605" s="273"/>
      <c r="N605" s="274"/>
      <c r="O605" s="131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</row>
    <row r="606" ht="15.75" customHeight="1">
      <c r="A606" s="479"/>
      <c r="B606" s="131"/>
      <c r="C606" s="131"/>
      <c r="D606" s="274"/>
      <c r="E606" s="295"/>
      <c r="F606" s="268"/>
      <c r="G606" s="268"/>
      <c r="H606" s="276"/>
      <c r="I606" s="269"/>
      <c r="J606" s="270"/>
      <c r="K606" s="271"/>
      <c r="L606" s="273"/>
      <c r="M606" s="273"/>
      <c r="N606" s="274"/>
      <c r="O606" s="131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</row>
    <row r="607" ht="15.75" customHeight="1">
      <c r="A607" s="479"/>
      <c r="B607" s="131"/>
      <c r="C607" s="131"/>
      <c r="D607" s="274"/>
      <c r="E607" s="295"/>
      <c r="F607" s="268"/>
      <c r="G607" s="268"/>
      <c r="H607" s="276"/>
      <c r="I607" s="269"/>
      <c r="J607" s="270"/>
      <c r="K607" s="271"/>
      <c r="L607" s="273"/>
      <c r="M607" s="273"/>
      <c r="N607" s="274"/>
      <c r="O607" s="131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</row>
    <row r="608" ht="15.75" customHeight="1">
      <c r="A608" s="479"/>
      <c r="B608" s="131"/>
      <c r="C608" s="131"/>
      <c r="D608" s="274"/>
      <c r="E608" s="295"/>
      <c r="F608" s="268"/>
      <c r="G608" s="268"/>
      <c r="H608" s="276"/>
      <c r="I608" s="269"/>
      <c r="J608" s="270"/>
      <c r="K608" s="271"/>
      <c r="L608" s="273"/>
      <c r="M608" s="273"/>
      <c r="N608" s="274"/>
      <c r="O608" s="131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</row>
    <row r="609" ht="15.75" customHeight="1">
      <c r="A609" s="479"/>
      <c r="B609" s="131"/>
      <c r="C609" s="131"/>
      <c r="D609" s="274"/>
      <c r="E609" s="295"/>
      <c r="F609" s="268"/>
      <c r="G609" s="268"/>
      <c r="H609" s="276"/>
      <c r="I609" s="269"/>
      <c r="J609" s="270"/>
      <c r="K609" s="271"/>
      <c r="L609" s="273"/>
      <c r="M609" s="273"/>
      <c r="N609" s="274"/>
      <c r="O609" s="131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</row>
    <row r="610" ht="15.75" customHeight="1">
      <c r="A610" s="479"/>
      <c r="B610" s="131"/>
      <c r="C610" s="131"/>
      <c r="D610" s="274"/>
      <c r="E610" s="295"/>
      <c r="F610" s="268"/>
      <c r="G610" s="268"/>
      <c r="H610" s="276"/>
      <c r="I610" s="269"/>
      <c r="J610" s="270"/>
      <c r="K610" s="271"/>
      <c r="L610" s="273"/>
      <c r="M610" s="273"/>
      <c r="N610" s="274"/>
      <c r="O610" s="131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</row>
    <row r="611" ht="15.75" customHeight="1">
      <c r="A611" s="479"/>
      <c r="B611" s="131"/>
      <c r="C611" s="131"/>
      <c r="D611" s="274"/>
      <c r="E611" s="295"/>
      <c r="F611" s="268"/>
      <c r="G611" s="268"/>
      <c r="H611" s="276"/>
      <c r="I611" s="269"/>
      <c r="J611" s="270"/>
      <c r="K611" s="271"/>
      <c r="L611" s="273"/>
      <c r="M611" s="273"/>
      <c r="N611" s="274"/>
      <c r="O611" s="131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</row>
    <row r="612" ht="15.75" customHeight="1">
      <c r="A612" s="479"/>
      <c r="B612" s="131"/>
      <c r="C612" s="131"/>
      <c r="D612" s="274"/>
      <c r="E612" s="295"/>
      <c r="F612" s="268"/>
      <c r="G612" s="268"/>
      <c r="H612" s="276"/>
      <c r="I612" s="269"/>
      <c r="J612" s="270"/>
      <c r="K612" s="271"/>
      <c r="L612" s="273"/>
      <c r="M612" s="273"/>
      <c r="N612" s="274"/>
      <c r="O612" s="131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</row>
    <row r="613" ht="15.75" customHeight="1">
      <c r="A613" s="479"/>
      <c r="B613" s="131"/>
      <c r="C613" s="131"/>
      <c r="D613" s="274"/>
      <c r="E613" s="295"/>
      <c r="F613" s="268"/>
      <c r="G613" s="268"/>
      <c r="H613" s="276"/>
      <c r="I613" s="269"/>
      <c r="J613" s="270"/>
      <c r="K613" s="271"/>
      <c r="L613" s="273"/>
      <c r="M613" s="273"/>
      <c r="N613" s="274"/>
      <c r="O613" s="131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</row>
    <row r="614" ht="15.75" customHeight="1">
      <c r="A614" s="479"/>
      <c r="B614" s="131"/>
      <c r="C614" s="131"/>
      <c r="D614" s="274"/>
      <c r="E614" s="295"/>
      <c r="F614" s="268"/>
      <c r="G614" s="268"/>
      <c r="H614" s="276"/>
      <c r="I614" s="269"/>
      <c r="J614" s="270"/>
      <c r="K614" s="271"/>
      <c r="L614" s="273"/>
      <c r="M614" s="273"/>
      <c r="N614" s="274"/>
      <c r="O614" s="131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</row>
    <row r="615" ht="15.75" customHeight="1">
      <c r="A615" s="479"/>
      <c r="B615" s="131"/>
      <c r="C615" s="131"/>
      <c r="D615" s="274"/>
      <c r="E615" s="295"/>
      <c r="F615" s="268"/>
      <c r="G615" s="268"/>
      <c r="H615" s="276"/>
      <c r="I615" s="269"/>
      <c r="J615" s="270"/>
      <c r="K615" s="271"/>
      <c r="L615" s="273"/>
      <c r="M615" s="273"/>
      <c r="N615" s="274"/>
      <c r="O615" s="131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</row>
    <row r="616" ht="15.75" customHeight="1">
      <c r="A616" s="479"/>
      <c r="B616" s="131"/>
      <c r="C616" s="131"/>
      <c r="D616" s="274"/>
      <c r="E616" s="295"/>
      <c r="F616" s="268"/>
      <c r="G616" s="268"/>
      <c r="H616" s="276"/>
      <c r="I616" s="269"/>
      <c r="J616" s="270"/>
      <c r="K616" s="271"/>
      <c r="L616" s="273"/>
      <c r="M616" s="273"/>
      <c r="N616" s="274"/>
      <c r="O616" s="131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</row>
    <row r="617" ht="15.75" customHeight="1">
      <c r="A617" s="479"/>
      <c r="B617" s="131"/>
      <c r="C617" s="131"/>
      <c r="D617" s="274"/>
      <c r="E617" s="295"/>
      <c r="F617" s="268"/>
      <c r="G617" s="268"/>
      <c r="H617" s="276"/>
      <c r="I617" s="269"/>
      <c r="J617" s="270"/>
      <c r="K617" s="271"/>
      <c r="L617" s="273"/>
      <c r="M617" s="273"/>
      <c r="N617" s="274"/>
      <c r="O617" s="131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</row>
    <row r="618" ht="15.75" customHeight="1">
      <c r="A618" s="479"/>
      <c r="B618" s="131"/>
      <c r="C618" s="131"/>
      <c r="D618" s="274"/>
      <c r="E618" s="295"/>
      <c r="F618" s="268"/>
      <c r="G618" s="268"/>
      <c r="H618" s="276"/>
      <c r="I618" s="269"/>
      <c r="J618" s="270"/>
      <c r="K618" s="271"/>
      <c r="L618" s="273"/>
      <c r="M618" s="273"/>
      <c r="N618" s="274"/>
      <c r="O618" s="131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</row>
    <row r="619" ht="15.75" customHeight="1">
      <c r="A619" s="479"/>
      <c r="B619" s="131"/>
      <c r="C619" s="131"/>
      <c r="D619" s="274"/>
      <c r="E619" s="295"/>
      <c r="F619" s="268"/>
      <c r="G619" s="268"/>
      <c r="H619" s="276"/>
      <c r="I619" s="269"/>
      <c r="J619" s="270"/>
      <c r="K619" s="271"/>
      <c r="L619" s="273"/>
      <c r="M619" s="273"/>
      <c r="N619" s="274"/>
      <c r="O619" s="131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</row>
    <row r="620" ht="15.75" customHeight="1">
      <c r="A620" s="479"/>
      <c r="B620" s="131"/>
      <c r="C620" s="131"/>
      <c r="D620" s="274"/>
      <c r="E620" s="295"/>
      <c r="F620" s="268"/>
      <c r="G620" s="268"/>
      <c r="H620" s="276"/>
      <c r="I620" s="269"/>
      <c r="J620" s="270"/>
      <c r="K620" s="271"/>
      <c r="L620" s="273"/>
      <c r="M620" s="273"/>
      <c r="N620" s="274"/>
      <c r="O620" s="131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</row>
    <row r="621" ht="15.75" customHeight="1">
      <c r="A621" s="479"/>
      <c r="B621" s="131"/>
      <c r="C621" s="131"/>
      <c r="D621" s="274"/>
      <c r="E621" s="295"/>
      <c r="F621" s="268"/>
      <c r="G621" s="268"/>
      <c r="H621" s="276"/>
      <c r="I621" s="269"/>
      <c r="J621" s="270"/>
      <c r="K621" s="271"/>
      <c r="L621" s="273"/>
      <c r="M621" s="273"/>
      <c r="N621" s="274"/>
      <c r="O621" s="131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</row>
    <row r="622" ht="15.75" customHeight="1">
      <c r="A622" s="479"/>
      <c r="B622" s="131"/>
      <c r="C622" s="131"/>
      <c r="D622" s="274"/>
      <c r="E622" s="295"/>
      <c r="F622" s="268"/>
      <c r="G622" s="268"/>
      <c r="H622" s="276"/>
      <c r="I622" s="269"/>
      <c r="J622" s="270"/>
      <c r="K622" s="271"/>
      <c r="L622" s="273"/>
      <c r="M622" s="273"/>
      <c r="N622" s="274"/>
      <c r="O622" s="131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</row>
    <row r="623" ht="15.75" customHeight="1">
      <c r="A623" s="479"/>
      <c r="B623" s="131"/>
      <c r="C623" s="131"/>
      <c r="D623" s="274"/>
      <c r="E623" s="295"/>
      <c r="F623" s="268"/>
      <c r="G623" s="268"/>
      <c r="H623" s="276"/>
      <c r="I623" s="269"/>
      <c r="J623" s="270"/>
      <c r="K623" s="271"/>
      <c r="L623" s="273"/>
      <c r="M623" s="273"/>
      <c r="N623" s="274"/>
      <c r="O623" s="131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</row>
    <row r="624" ht="15.75" customHeight="1">
      <c r="A624" s="479"/>
      <c r="B624" s="131"/>
      <c r="C624" s="131"/>
      <c r="D624" s="274"/>
      <c r="E624" s="295"/>
      <c r="F624" s="268"/>
      <c r="G624" s="268"/>
      <c r="H624" s="276"/>
      <c r="I624" s="269"/>
      <c r="J624" s="270"/>
      <c r="K624" s="271"/>
      <c r="L624" s="273"/>
      <c r="M624" s="273"/>
      <c r="N624" s="274"/>
      <c r="O624" s="131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</row>
    <row r="625" ht="15.75" customHeight="1">
      <c r="A625" s="479"/>
      <c r="B625" s="131"/>
      <c r="C625" s="131"/>
      <c r="D625" s="274"/>
      <c r="E625" s="295"/>
      <c r="F625" s="268"/>
      <c r="G625" s="268"/>
      <c r="H625" s="276"/>
      <c r="I625" s="276"/>
      <c r="J625" s="273"/>
      <c r="K625" s="271"/>
      <c r="L625" s="273"/>
      <c r="M625" s="273"/>
      <c r="N625" s="274"/>
      <c r="O625" s="131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</row>
    <row r="626" ht="15.75" customHeight="1">
      <c r="A626" s="479"/>
      <c r="B626" s="131"/>
      <c r="C626" s="131"/>
      <c r="D626" s="274"/>
      <c r="E626" s="295"/>
      <c r="F626" s="268"/>
      <c r="G626" s="268"/>
      <c r="H626" s="276"/>
      <c r="I626" s="276"/>
      <c r="J626" s="273"/>
      <c r="K626" s="271"/>
      <c r="L626" s="273"/>
      <c r="M626" s="273"/>
      <c r="N626" s="274"/>
      <c r="O626" s="131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</row>
    <row r="627" ht="15.75" customHeight="1">
      <c r="A627" s="479"/>
      <c r="B627" s="131"/>
      <c r="C627" s="131"/>
      <c r="D627" s="274"/>
      <c r="E627" s="295"/>
      <c r="F627" s="268"/>
      <c r="G627" s="268"/>
      <c r="H627" s="276"/>
      <c r="I627" s="276"/>
      <c r="J627" s="273"/>
      <c r="K627" s="271"/>
      <c r="L627" s="273"/>
      <c r="M627" s="273"/>
      <c r="N627" s="274"/>
      <c r="O627" s="131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</row>
    <row r="628" ht="15.75" customHeight="1">
      <c r="A628" s="479"/>
      <c r="B628" s="131"/>
      <c r="C628" s="131"/>
      <c r="D628" s="274"/>
      <c r="E628" s="295"/>
      <c r="F628" s="268"/>
      <c r="G628" s="268"/>
      <c r="H628" s="276"/>
      <c r="I628" s="276"/>
      <c r="J628" s="273"/>
      <c r="K628" s="271"/>
      <c r="L628" s="273"/>
      <c r="M628" s="273"/>
      <c r="N628" s="274"/>
      <c r="O628" s="131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</row>
    <row r="629" ht="15.75" customHeight="1">
      <c r="A629" s="479"/>
      <c r="B629" s="131"/>
      <c r="C629" s="131"/>
      <c r="D629" s="274"/>
      <c r="E629" s="295"/>
      <c r="F629" s="268"/>
      <c r="G629" s="268"/>
      <c r="H629" s="276"/>
      <c r="I629" s="276"/>
      <c r="J629" s="273"/>
      <c r="K629" s="271"/>
      <c r="L629" s="273"/>
      <c r="M629" s="273"/>
      <c r="N629" s="274"/>
      <c r="O629" s="131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</row>
    <row r="630" ht="15.75" customHeight="1">
      <c r="A630" s="479"/>
      <c r="B630" s="131"/>
      <c r="C630" s="131"/>
      <c r="D630" s="274"/>
      <c r="E630" s="295"/>
      <c r="F630" s="268"/>
      <c r="G630" s="268"/>
      <c r="H630" s="276"/>
      <c r="I630" s="276"/>
      <c r="J630" s="273"/>
      <c r="K630" s="271"/>
      <c r="L630" s="273"/>
      <c r="M630" s="273"/>
      <c r="N630" s="274"/>
      <c r="O630" s="131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</row>
    <row r="631" ht="15.75" customHeight="1">
      <c r="A631" s="479"/>
      <c r="B631" s="131"/>
      <c r="C631" s="131"/>
      <c r="D631" s="274"/>
      <c r="E631" s="295"/>
      <c r="F631" s="268"/>
      <c r="G631" s="268"/>
      <c r="H631" s="276"/>
      <c r="I631" s="276"/>
      <c r="J631" s="273"/>
      <c r="K631" s="271"/>
      <c r="L631" s="273"/>
      <c r="M631" s="273"/>
      <c r="N631" s="274"/>
      <c r="O631" s="131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</row>
    <row r="632" ht="15.75" customHeight="1">
      <c r="A632" s="479"/>
      <c r="B632" s="131"/>
      <c r="C632" s="131"/>
      <c r="D632" s="274"/>
      <c r="E632" s="295"/>
      <c r="F632" s="268"/>
      <c r="G632" s="268"/>
      <c r="H632" s="276"/>
      <c r="I632" s="276"/>
      <c r="J632" s="273"/>
      <c r="K632" s="271"/>
      <c r="L632" s="273"/>
      <c r="M632" s="273"/>
      <c r="N632" s="274"/>
      <c r="O632" s="131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</row>
    <row r="633" ht="15.75" customHeight="1">
      <c r="A633" s="479"/>
      <c r="B633" s="131"/>
      <c r="C633" s="131"/>
      <c r="D633" s="274"/>
      <c r="E633" s="295"/>
      <c r="F633" s="268"/>
      <c r="G633" s="268"/>
      <c r="H633" s="276"/>
      <c r="I633" s="276"/>
      <c r="J633" s="273"/>
      <c r="K633" s="271"/>
      <c r="L633" s="273"/>
      <c r="M633" s="273"/>
      <c r="N633" s="274"/>
      <c r="O633" s="131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</row>
    <row r="634" ht="15.75" customHeight="1">
      <c r="A634" s="479"/>
      <c r="B634" s="131"/>
      <c r="C634" s="131"/>
      <c r="D634" s="274"/>
      <c r="E634" s="295"/>
      <c r="F634" s="268"/>
      <c r="G634" s="268"/>
      <c r="H634" s="276"/>
      <c r="I634" s="276"/>
      <c r="J634" s="273"/>
      <c r="K634" s="271"/>
      <c r="L634" s="273"/>
      <c r="M634" s="273"/>
      <c r="N634" s="274"/>
      <c r="O634" s="131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</row>
    <row r="635" ht="15.75" customHeight="1">
      <c r="A635" s="479"/>
      <c r="B635" s="131"/>
      <c r="C635" s="131"/>
      <c r="D635" s="274"/>
      <c r="E635" s="295"/>
      <c r="F635" s="268"/>
      <c r="G635" s="268"/>
      <c r="H635" s="276"/>
      <c r="I635" s="276"/>
      <c r="J635" s="273"/>
      <c r="K635" s="271"/>
      <c r="L635" s="273"/>
      <c r="M635" s="273"/>
      <c r="N635" s="274"/>
      <c r="O635" s="131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</row>
    <row r="636" ht="15.75" customHeight="1">
      <c r="A636" s="479"/>
      <c r="B636" s="131"/>
      <c r="C636" s="131"/>
      <c r="D636" s="274"/>
      <c r="E636" s="295"/>
      <c r="F636" s="268"/>
      <c r="G636" s="268"/>
      <c r="H636" s="276"/>
      <c r="I636" s="276"/>
      <c r="J636" s="273"/>
      <c r="K636" s="271"/>
      <c r="L636" s="273"/>
      <c r="M636" s="273"/>
      <c r="N636" s="274"/>
      <c r="O636" s="131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</row>
    <row r="637" ht="15.75" customHeight="1">
      <c r="A637" s="479"/>
      <c r="B637" s="131"/>
      <c r="C637" s="131"/>
      <c r="D637" s="274"/>
      <c r="E637" s="295"/>
      <c r="F637" s="268"/>
      <c r="G637" s="268"/>
      <c r="H637" s="276"/>
      <c r="I637" s="276"/>
      <c r="J637" s="273"/>
      <c r="K637" s="271"/>
      <c r="L637" s="273"/>
      <c r="M637" s="273"/>
      <c r="N637" s="274"/>
      <c r="O637" s="131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</row>
    <row r="638" ht="15.75" customHeight="1">
      <c r="A638" s="479"/>
      <c r="B638" s="131"/>
      <c r="C638" s="131"/>
      <c r="D638" s="274"/>
      <c r="E638" s="295"/>
      <c r="F638" s="268"/>
      <c r="G638" s="268"/>
      <c r="H638" s="276"/>
      <c r="I638" s="276"/>
      <c r="J638" s="273"/>
      <c r="K638" s="271"/>
      <c r="L638" s="273"/>
      <c r="M638" s="273"/>
      <c r="N638" s="274"/>
      <c r="O638" s="131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</row>
    <row r="639" ht="15.75" customHeight="1">
      <c r="A639" s="479"/>
      <c r="B639" s="131"/>
      <c r="C639" s="131"/>
      <c r="D639" s="274"/>
      <c r="E639" s="295"/>
      <c r="F639" s="268"/>
      <c r="G639" s="268"/>
      <c r="H639" s="276"/>
      <c r="I639" s="276"/>
      <c r="J639" s="273"/>
      <c r="K639" s="271"/>
      <c r="L639" s="273"/>
      <c r="M639" s="273"/>
      <c r="N639" s="274"/>
      <c r="O639" s="131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</row>
    <row r="640" ht="15.75" customHeight="1">
      <c r="A640" s="479"/>
      <c r="B640" s="131"/>
      <c r="C640" s="131"/>
      <c r="D640" s="274"/>
      <c r="E640" s="295"/>
      <c r="F640" s="268"/>
      <c r="G640" s="268"/>
      <c r="H640" s="276"/>
      <c r="I640" s="276"/>
      <c r="J640" s="273"/>
      <c r="K640" s="271"/>
      <c r="L640" s="273"/>
      <c r="M640" s="273"/>
      <c r="N640" s="274"/>
      <c r="O640" s="131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</row>
    <row r="641" ht="15.75" customHeight="1">
      <c r="A641" s="479"/>
      <c r="B641" s="131"/>
      <c r="C641" s="131"/>
      <c r="D641" s="274"/>
      <c r="E641" s="295"/>
      <c r="F641" s="268"/>
      <c r="G641" s="268"/>
      <c r="H641" s="276"/>
      <c r="I641" s="276"/>
      <c r="J641" s="273"/>
      <c r="K641" s="271"/>
      <c r="L641" s="273"/>
      <c r="M641" s="273"/>
      <c r="N641" s="274"/>
      <c r="O641" s="131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</row>
    <row r="642" ht="15.75" customHeight="1">
      <c r="A642" s="479"/>
      <c r="B642" s="131"/>
      <c r="C642" s="131"/>
      <c r="D642" s="274"/>
      <c r="E642" s="295"/>
      <c r="F642" s="268"/>
      <c r="G642" s="268"/>
      <c r="H642" s="276"/>
      <c r="I642" s="276"/>
      <c r="J642" s="273"/>
      <c r="K642" s="271"/>
      <c r="L642" s="273"/>
      <c r="M642" s="273"/>
      <c r="N642" s="274"/>
      <c r="O642" s="131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</row>
    <row r="643" ht="15.75" customHeight="1">
      <c r="A643" s="479"/>
      <c r="B643" s="131"/>
      <c r="C643" s="131"/>
      <c r="D643" s="274"/>
      <c r="E643" s="295"/>
      <c r="F643" s="268"/>
      <c r="G643" s="268"/>
      <c r="H643" s="276"/>
      <c r="I643" s="276"/>
      <c r="J643" s="273"/>
      <c r="K643" s="271"/>
      <c r="L643" s="273"/>
      <c r="M643" s="273"/>
      <c r="N643" s="274"/>
      <c r="O643" s="131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</row>
    <row r="644" ht="15.75" customHeight="1">
      <c r="A644" s="479"/>
      <c r="B644" s="131"/>
      <c r="C644" s="131"/>
      <c r="D644" s="274"/>
      <c r="E644" s="295"/>
      <c r="F644" s="268"/>
      <c r="G644" s="268"/>
      <c r="H644" s="276"/>
      <c r="I644" s="276"/>
      <c r="J644" s="273"/>
      <c r="K644" s="271"/>
      <c r="L644" s="273"/>
      <c r="M644" s="273"/>
      <c r="N644" s="274"/>
      <c r="O644" s="131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</row>
    <row r="645" ht="15.75" customHeight="1">
      <c r="A645" s="479"/>
      <c r="B645" s="131"/>
      <c r="C645" s="131"/>
      <c r="D645" s="274"/>
      <c r="E645" s="295"/>
      <c r="F645" s="268"/>
      <c r="G645" s="268"/>
      <c r="H645" s="276"/>
      <c r="I645" s="276"/>
      <c r="J645" s="273"/>
      <c r="K645" s="271"/>
      <c r="L645" s="273"/>
      <c r="M645" s="273"/>
      <c r="N645" s="274"/>
      <c r="O645" s="131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</row>
    <row r="646" ht="15.75" customHeight="1">
      <c r="A646" s="479"/>
      <c r="B646" s="131"/>
      <c r="C646" s="131"/>
      <c r="D646" s="274"/>
      <c r="E646" s="295"/>
      <c r="F646" s="268"/>
      <c r="G646" s="268"/>
      <c r="H646" s="276"/>
      <c r="I646" s="276"/>
      <c r="J646" s="273"/>
      <c r="K646" s="271"/>
      <c r="L646" s="273"/>
      <c r="M646" s="273"/>
      <c r="N646" s="274"/>
      <c r="O646" s="131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</row>
    <row r="647" ht="15.75" customHeight="1">
      <c r="A647" s="479"/>
      <c r="B647" s="131"/>
      <c r="C647" s="131"/>
      <c r="D647" s="274"/>
      <c r="E647" s="295"/>
      <c r="F647" s="268"/>
      <c r="G647" s="268"/>
      <c r="H647" s="276"/>
      <c r="I647" s="276"/>
      <c r="J647" s="273"/>
      <c r="K647" s="271"/>
      <c r="L647" s="273"/>
      <c r="M647" s="273"/>
      <c r="N647" s="274"/>
      <c r="O647" s="131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</row>
    <row r="648" ht="15.75" customHeight="1">
      <c r="A648" s="479"/>
      <c r="B648" s="131"/>
      <c r="C648" s="131"/>
      <c r="D648" s="274"/>
      <c r="E648" s="295"/>
      <c r="F648" s="268"/>
      <c r="G648" s="268"/>
      <c r="H648" s="276"/>
      <c r="I648" s="276"/>
      <c r="J648" s="273"/>
      <c r="K648" s="271"/>
      <c r="L648" s="273"/>
      <c r="M648" s="273"/>
      <c r="N648" s="274"/>
      <c r="O648" s="131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</row>
    <row r="649" ht="15.75" customHeight="1">
      <c r="A649" s="479"/>
      <c r="B649" s="131"/>
      <c r="C649" s="131"/>
      <c r="D649" s="274"/>
      <c r="E649" s="295"/>
      <c r="F649" s="268"/>
      <c r="G649" s="268"/>
      <c r="H649" s="276"/>
      <c r="I649" s="276"/>
      <c r="J649" s="273"/>
      <c r="K649" s="271"/>
      <c r="L649" s="273"/>
      <c r="M649" s="273"/>
      <c r="N649" s="274"/>
      <c r="O649" s="131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</row>
    <row r="650" ht="15.75" customHeight="1">
      <c r="A650" s="479"/>
      <c r="B650" s="131"/>
      <c r="C650" s="131"/>
      <c r="D650" s="274"/>
      <c r="E650" s="295"/>
      <c r="F650" s="268"/>
      <c r="G650" s="268"/>
      <c r="H650" s="276"/>
      <c r="I650" s="276"/>
      <c r="J650" s="273"/>
      <c r="K650" s="271"/>
      <c r="L650" s="273"/>
      <c r="M650" s="273"/>
      <c r="N650" s="274"/>
      <c r="O650" s="131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</row>
    <row r="651" ht="15.75" customHeight="1">
      <c r="A651" s="479"/>
      <c r="B651" s="131"/>
      <c r="C651" s="131"/>
      <c r="D651" s="274"/>
      <c r="E651" s="295"/>
      <c r="F651" s="268"/>
      <c r="G651" s="268"/>
      <c r="H651" s="276"/>
      <c r="I651" s="276"/>
      <c r="J651" s="273"/>
      <c r="K651" s="271"/>
      <c r="L651" s="273"/>
      <c r="M651" s="273"/>
      <c r="N651" s="274"/>
      <c r="O651" s="131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</row>
    <row r="652" ht="15.75" customHeight="1">
      <c r="A652" s="479"/>
      <c r="B652" s="131"/>
      <c r="C652" s="131"/>
      <c r="D652" s="274"/>
      <c r="E652" s="295"/>
      <c r="F652" s="268"/>
      <c r="G652" s="268"/>
      <c r="H652" s="276"/>
      <c r="I652" s="276"/>
      <c r="J652" s="273"/>
      <c r="K652" s="271"/>
      <c r="L652" s="273"/>
      <c r="M652" s="273"/>
      <c r="N652" s="274"/>
      <c r="O652" s="131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</row>
    <row r="653" ht="15.75" customHeight="1">
      <c r="A653" s="479"/>
      <c r="B653" s="131"/>
      <c r="C653" s="131"/>
      <c r="D653" s="274"/>
      <c r="E653" s="295"/>
      <c r="F653" s="268"/>
      <c r="G653" s="268"/>
      <c r="H653" s="276"/>
      <c r="I653" s="276"/>
      <c r="J653" s="273"/>
      <c r="K653" s="271"/>
      <c r="L653" s="273"/>
      <c r="M653" s="273"/>
      <c r="N653" s="274"/>
      <c r="O653" s="131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</row>
    <row r="654" ht="15.75" customHeight="1">
      <c r="A654" s="479"/>
      <c r="B654" s="131"/>
      <c r="C654" s="131"/>
      <c r="D654" s="274"/>
      <c r="E654" s="295"/>
      <c r="F654" s="268"/>
      <c r="G654" s="268"/>
      <c r="H654" s="276"/>
      <c r="I654" s="276"/>
      <c r="J654" s="273"/>
      <c r="K654" s="271"/>
      <c r="L654" s="273"/>
      <c r="M654" s="273"/>
      <c r="N654" s="274"/>
      <c r="O654" s="131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</row>
    <row r="655" ht="15.75" customHeight="1">
      <c r="A655" s="479"/>
      <c r="B655" s="131"/>
      <c r="C655" s="131"/>
      <c r="D655" s="274"/>
      <c r="E655" s="295"/>
      <c r="F655" s="268"/>
      <c r="G655" s="268"/>
      <c r="H655" s="276"/>
      <c r="I655" s="276"/>
      <c r="J655" s="273"/>
      <c r="K655" s="271"/>
      <c r="L655" s="273"/>
      <c r="M655" s="273"/>
      <c r="N655" s="274"/>
      <c r="O655" s="131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</row>
    <row r="656" ht="15.75" customHeight="1">
      <c r="A656" s="479"/>
      <c r="B656" s="131"/>
      <c r="C656" s="131"/>
      <c r="D656" s="274"/>
      <c r="E656" s="295"/>
      <c r="F656" s="268"/>
      <c r="G656" s="268"/>
      <c r="H656" s="276"/>
      <c r="I656" s="276"/>
      <c r="J656" s="273"/>
      <c r="K656" s="271"/>
      <c r="L656" s="273"/>
      <c r="M656" s="273"/>
      <c r="N656" s="274"/>
      <c r="O656" s="131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</row>
    <row r="657" ht="15.75" customHeight="1">
      <c r="A657" s="479"/>
      <c r="B657" s="131"/>
      <c r="C657" s="131"/>
      <c r="D657" s="274"/>
      <c r="E657" s="295"/>
      <c r="F657" s="268"/>
      <c r="G657" s="268"/>
      <c r="H657" s="276"/>
      <c r="I657" s="276"/>
      <c r="J657" s="273"/>
      <c r="K657" s="271"/>
      <c r="L657" s="273"/>
      <c r="M657" s="273"/>
      <c r="N657" s="274"/>
      <c r="O657" s="131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</row>
    <row r="658" ht="15.75" customHeight="1">
      <c r="A658" s="479"/>
      <c r="B658" s="131"/>
      <c r="C658" s="131"/>
      <c r="D658" s="274"/>
      <c r="E658" s="295"/>
      <c r="F658" s="268"/>
      <c r="G658" s="268"/>
      <c r="H658" s="276"/>
      <c r="I658" s="276"/>
      <c r="J658" s="273"/>
      <c r="K658" s="271"/>
      <c r="L658" s="273"/>
      <c r="M658" s="273"/>
      <c r="N658" s="274"/>
      <c r="O658" s="131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</row>
    <row r="659" ht="15.75" customHeight="1">
      <c r="A659" s="479"/>
      <c r="B659" s="131"/>
      <c r="C659" s="131"/>
      <c r="D659" s="274"/>
      <c r="E659" s="295"/>
      <c r="F659" s="268"/>
      <c r="G659" s="268"/>
      <c r="H659" s="276"/>
      <c r="I659" s="276"/>
      <c r="J659" s="273"/>
      <c r="K659" s="271"/>
      <c r="L659" s="273"/>
      <c r="M659" s="273"/>
      <c r="N659" s="274"/>
      <c r="O659" s="131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</row>
    <row r="660" ht="15.75" customHeight="1">
      <c r="A660" s="479"/>
      <c r="B660" s="131"/>
      <c r="C660" s="131"/>
      <c r="D660" s="274"/>
      <c r="E660" s="295"/>
      <c r="F660" s="268"/>
      <c r="G660" s="268"/>
      <c r="H660" s="276"/>
      <c r="I660" s="276"/>
      <c r="J660" s="273"/>
      <c r="K660" s="271"/>
      <c r="L660" s="273"/>
      <c r="M660" s="273"/>
      <c r="N660" s="274"/>
      <c r="O660" s="131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</row>
    <row r="661" ht="15.75" customHeight="1">
      <c r="A661" s="479"/>
      <c r="B661" s="131"/>
      <c r="C661" s="131"/>
      <c r="D661" s="274"/>
      <c r="E661" s="295"/>
      <c r="F661" s="268"/>
      <c r="G661" s="268"/>
      <c r="H661" s="276"/>
      <c r="I661" s="276"/>
      <c r="J661" s="273"/>
      <c r="K661" s="271"/>
      <c r="L661" s="273"/>
      <c r="M661" s="273"/>
      <c r="N661" s="274"/>
      <c r="O661" s="131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</row>
    <row r="662" ht="15.75" customHeight="1">
      <c r="A662" s="479"/>
      <c r="B662" s="131"/>
      <c r="C662" s="131"/>
      <c r="D662" s="274"/>
      <c r="E662" s="295"/>
      <c r="F662" s="268"/>
      <c r="G662" s="268"/>
      <c r="H662" s="276"/>
      <c r="I662" s="276"/>
      <c r="J662" s="273"/>
      <c r="K662" s="271"/>
      <c r="L662" s="273"/>
      <c r="M662" s="273"/>
      <c r="N662" s="274"/>
      <c r="O662" s="131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</row>
    <row r="663" ht="15.75" customHeight="1">
      <c r="A663" s="479"/>
      <c r="B663" s="131"/>
      <c r="C663" s="131"/>
      <c r="D663" s="274"/>
      <c r="E663" s="295"/>
      <c r="F663" s="268"/>
      <c r="G663" s="268"/>
      <c r="H663" s="276"/>
      <c r="I663" s="276"/>
      <c r="J663" s="273"/>
      <c r="K663" s="271"/>
      <c r="L663" s="273"/>
      <c r="M663" s="273"/>
      <c r="N663" s="274"/>
      <c r="O663" s="131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</row>
    <row r="664" ht="15.75" customHeight="1">
      <c r="A664" s="479"/>
      <c r="B664" s="131"/>
      <c r="C664" s="131"/>
      <c r="D664" s="274"/>
      <c r="E664" s="295"/>
      <c r="F664" s="268"/>
      <c r="G664" s="268"/>
      <c r="H664" s="276"/>
      <c r="I664" s="276"/>
      <c r="J664" s="273"/>
      <c r="K664" s="271"/>
      <c r="L664" s="273"/>
      <c r="M664" s="273"/>
      <c r="N664" s="274"/>
      <c r="O664" s="131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</row>
    <row r="665" ht="15.75" customHeight="1">
      <c r="A665" s="479"/>
      <c r="B665" s="131"/>
      <c r="C665" s="131"/>
      <c r="D665" s="274"/>
      <c r="E665" s="295"/>
      <c r="F665" s="268"/>
      <c r="G665" s="268"/>
      <c r="H665" s="276"/>
      <c r="I665" s="276"/>
      <c r="J665" s="273"/>
      <c r="K665" s="271"/>
      <c r="L665" s="273"/>
      <c r="M665" s="273"/>
      <c r="N665" s="274"/>
      <c r="O665" s="131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</row>
    <row r="666" ht="15.75" customHeight="1">
      <c r="A666" s="479"/>
      <c r="B666" s="131"/>
      <c r="C666" s="131"/>
      <c r="D666" s="274"/>
      <c r="E666" s="295"/>
      <c r="F666" s="268"/>
      <c r="G666" s="268"/>
      <c r="H666" s="276"/>
      <c r="I666" s="276"/>
      <c r="J666" s="273"/>
      <c r="K666" s="271"/>
      <c r="L666" s="273"/>
      <c r="M666" s="273"/>
      <c r="N666" s="274"/>
      <c r="O666" s="131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</row>
    <row r="667" ht="15.75" customHeight="1">
      <c r="A667" s="479"/>
      <c r="B667" s="131"/>
      <c r="C667" s="131"/>
      <c r="D667" s="274"/>
      <c r="E667" s="295"/>
      <c r="F667" s="268"/>
      <c r="G667" s="268"/>
      <c r="H667" s="276"/>
      <c r="I667" s="276"/>
      <c r="J667" s="273"/>
      <c r="K667" s="271"/>
      <c r="L667" s="273"/>
      <c r="M667" s="273"/>
      <c r="N667" s="274"/>
      <c r="O667" s="131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</row>
    <row r="668" ht="15.75" customHeight="1">
      <c r="A668" s="479"/>
      <c r="B668" s="131"/>
      <c r="C668" s="131"/>
      <c r="D668" s="274"/>
      <c r="E668" s="295"/>
      <c r="F668" s="268"/>
      <c r="G668" s="268"/>
      <c r="H668" s="276"/>
      <c r="I668" s="276"/>
      <c r="J668" s="273"/>
      <c r="K668" s="271"/>
      <c r="L668" s="273"/>
      <c r="M668" s="273"/>
      <c r="N668" s="274"/>
      <c r="O668" s="131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</row>
    <row r="669" ht="15.75" customHeight="1">
      <c r="A669" s="479"/>
      <c r="B669" s="131"/>
      <c r="C669" s="131"/>
      <c r="D669" s="274"/>
      <c r="E669" s="295"/>
      <c r="F669" s="268"/>
      <c r="G669" s="268"/>
      <c r="H669" s="276"/>
      <c r="I669" s="276"/>
      <c r="J669" s="273"/>
      <c r="K669" s="271"/>
      <c r="L669" s="273"/>
      <c r="M669" s="273"/>
      <c r="N669" s="274"/>
      <c r="O669" s="131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</row>
    <row r="670" ht="15.75" customHeight="1">
      <c r="A670" s="479"/>
      <c r="B670" s="131"/>
      <c r="C670" s="131"/>
      <c r="D670" s="274"/>
      <c r="E670" s="295"/>
      <c r="F670" s="268"/>
      <c r="G670" s="268"/>
      <c r="H670" s="276"/>
      <c r="I670" s="276"/>
      <c r="J670" s="273"/>
      <c r="K670" s="271"/>
      <c r="L670" s="273"/>
      <c r="M670" s="273"/>
      <c r="N670" s="274"/>
      <c r="O670" s="131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</row>
    <row r="671" ht="15.75" customHeight="1">
      <c r="A671" s="479"/>
      <c r="B671" s="131"/>
      <c r="C671" s="131"/>
      <c r="D671" s="274"/>
      <c r="E671" s="295"/>
      <c r="F671" s="268"/>
      <c r="G671" s="268"/>
      <c r="H671" s="276"/>
      <c r="I671" s="276"/>
      <c r="J671" s="273"/>
      <c r="K671" s="271"/>
      <c r="L671" s="273"/>
      <c r="M671" s="273"/>
      <c r="N671" s="274"/>
      <c r="O671" s="131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</row>
    <row r="672" ht="15.75" customHeight="1">
      <c r="A672" s="479"/>
      <c r="B672" s="131"/>
      <c r="C672" s="131"/>
      <c r="D672" s="274"/>
      <c r="E672" s="295"/>
      <c r="F672" s="268"/>
      <c r="G672" s="268"/>
      <c r="H672" s="276"/>
      <c r="I672" s="276"/>
      <c r="J672" s="273"/>
      <c r="K672" s="271"/>
      <c r="L672" s="273"/>
      <c r="M672" s="273"/>
      <c r="N672" s="274"/>
      <c r="O672" s="131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</row>
    <row r="673" ht="15.75" customHeight="1">
      <c r="A673" s="479"/>
      <c r="B673" s="131"/>
      <c r="C673" s="131"/>
      <c r="D673" s="274"/>
      <c r="E673" s="295"/>
      <c r="F673" s="268"/>
      <c r="G673" s="268"/>
      <c r="H673" s="276"/>
      <c r="I673" s="276"/>
      <c r="J673" s="273"/>
      <c r="K673" s="271"/>
      <c r="L673" s="273"/>
      <c r="M673" s="273"/>
      <c r="N673" s="274"/>
      <c r="O673" s="131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</row>
    <row r="674" ht="15.75" customHeight="1">
      <c r="A674" s="479"/>
      <c r="B674" s="131"/>
      <c r="C674" s="131"/>
      <c r="D674" s="274"/>
      <c r="E674" s="295"/>
      <c r="F674" s="268"/>
      <c r="G674" s="268"/>
      <c r="H674" s="276"/>
      <c r="I674" s="276"/>
      <c r="J674" s="273"/>
      <c r="K674" s="271"/>
      <c r="L674" s="273"/>
      <c r="M674" s="273"/>
      <c r="N674" s="274"/>
      <c r="O674" s="131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</row>
    <row r="675" ht="15.75" customHeight="1">
      <c r="A675" s="479"/>
      <c r="B675" s="131"/>
      <c r="C675" s="131"/>
      <c r="D675" s="274"/>
      <c r="E675" s="295"/>
      <c r="F675" s="268"/>
      <c r="G675" s="268"/>
      <c r="H675" s="276"/>
      <c r="I675" s="276"/>
      <c r="J675" s="273"/>
      <c r="K675" s="271"/>
      <c r="L675" s="273"/>
      <c r="M675" s="273"/>
      <c r="N675" s="274"/>
      <c r="O675" s="131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</row>
    <row r="676" ht="15.75" customHeight="1">
      <c r="A676" s="479"/>
      <c r="B676" s="131"/>
      <c r="C676" s="131"/>
      <c r="D676" s="274"/>
      <c r="E676" s="295"/>
      <c r="F676" s="268"/>
      <c r="G676" s="268"/>
      <c r="H676" s="276"/>
      <c r="I676" s="276"/>
      <c r="J676" s="273"/>
      <c r="K676" s="271"/>
      <c r="L676" s="273"/>
      <c r="M676" s="273"/>
      <c r="N676" s="274"/>
      <c r="O676" s="131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</row>
    <row r="677" ht="15.75" customHeight="1">
      <c r="A677" s="479"/>
      <c r="B677" s="131"/>
      <c r="C677" s="131"/>
      <c r="D677" s="274"/>
      <c r="E677" s="295"/>
      <c r="F677" s="268"/>
      <c r="G677" s="268"/>
      <c r="H677" s="276"/>
      <c r="I677" s="276"/>
      <c r="J677" s="273"/>
      <c r="K677" s="271"/>
      <c r="L677" s="273"/>
      <c r="M677" s="273"/>
      <c r="N677" s="274"/>
      <c r="O677" s="131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</row>
    <row r="678" ht="15.75" customHeight="1">
      <c r="A678" s="479"/>
      <c r="B678" s="131"/>
      <c r="C678" s="131"/>
      <c r="D678" s="274"/>
      <c r="E678" s="295"/>
      <c r="F678" s="268"/>
      <c r="G678" s="268"/>
      <c r="H678" s="276"/>
      <c r="I678" s="276"/>
      <c r="J678" s="273"/>
      <c r="K678" s="271"/>
      <c r="L678" s="273"/>
      <c r="M678" s="273"/>
      <c r="N678" s="274"/>
      <c r="O678" s="131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</row>
    <row r="679" ht="15.75" customHeight="1">
      <c r="A679" s="479"/>
      <c r="B679" s="131"/>
      <c r="C679" s="131"/>
      <c r="D679" s="274"/>
      <c r="E679" s="295"/>
      <c r="F679" s="268"/>
      <c r="G679" s="268"/>
      <c r="H679" s="276"/>
      <c r="I679" s="276"/>
      <c r="J679" s="273"/>
      <c r="K679" s="271"/>
      <c r="L679" s="273"/>
      <c r="M679" s="273"/>
      <c r="N679" s="274"/>
      <c r="O679" s="131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</row>
    <row r="680" ht="15.75" customHeight="1">
      <c r="A680" s="479"/>
      <c r="B680" s="131"/>
      <c r="C680" s="131"/>
      <c r="D680" s="274"/>
      <c r="E680" s="295"/>
      <c r="F680" s="268"/>
      <c r="G680" s="268"/>
      <c r="H680" s="276"/>
      <c r="I680" s="276"/>
      <c r="J680" s="273"/>
      <c r="K680" s="271"/>
      <c r="L680" s="273"/>
      <c r="M680" s="273"/>
      <c r="N680" s="274"/>
      <c r="O680" s="131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</row>
    <row r="681" ht="15.75" customHeight="1">
      <c r="A681" s="479"/>
      <c r="B681" s="131"/>
      <c r="C681" s="131"/>
      <c r="D681" s="274"/>
      <c r="E681" s="295"/>
      <c r="F681" s="268"/>
      <c r="G681" s="268"/>
      <c r="H681" s="276"/>
      <c r="I681" s="276"/>
      <c r="J681" s="273"/>
      <c r="K681" s="271"/>
      <c r="L681" s="273"/>
      <c r="M681" s="273"/>
      <c r="N681" s="274"/>
      <c r="O681" s="131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</row>
    <row r="682" ht="15.75" customHeight="1">
      <c r="A682" s="479"/>
      <c r="B682" s="131"/>
      <c r="C682" s="131"/>
      <c r="D682" s="274"/>
      <c r="E682" s="295"/>
      <c r="F682" s="268"/>
      <c r="G682" s="268"/>
      <c r="H682" s="276"/>
      <c r="I682" s="276"/>
      <c r="J682" s="273"/>
      <c r="K682" s="271"/>
      <c r="L682" s="273"/>
      <c r="M682" s="273"/>
      <c r="N682" s="274"/>
      <c r="O682" s="131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</row>
    <row r="683" ht="15.75" customHeight="1">
      <c r="A683" s="479"/>
      <c r="B683" s="131"/>
      <c r="C683" s="131"/>
      <c r="D683" s="274"/>
      <c r="E683" s="295"/>
      <c r="F683" s="268"/>
      <c r="G683" s="268"/>
      <c r="H683" s="276"/>
      <c r="I683" s="276"/>
      <c r="J683" s="273"/>
      <c r="K683" s="271"/>
      <c r="L683" s="273"/>
      <c r="M683" s="273"/>
      <c r="N683" s="274"/>
      <c r="O683" s="131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</row>
    <row r="684" ht="15.75" customHeight="1">
      <c r="A684" s="479"/>
      <c r="B684" s="131"/>
      <c r="C684" s="131"/>
      <c r="D684" s="274"/>
      <c r="E684" s="295"/>
      <c r="F684" s="268"/>
      <c r="G684" s="268"/>
      <c r="H684" s="276"/>
      <c r="I684" s="276"/>
      <c r="J684" s="273"/>
      <c r="K684" s="271"/>
      <c r="L684" s="273"/>
      <c r="M684" s="273"/>
      <c r="N684" s="274"/>
      <c r="O684" s="131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</row>
    <row r="685" ht="15.75" customHeight="1">
      <c r="A685" s="479"/>
      <c r="B685" s="131"/>
      <c r="C685" s="131"/>
      <c r="D685" s="274"/>
      <c r="E685" s="295"/>
      <c r="F685" s="268"/>
      <c r="G685" s="268"/>
      <c r="H685" s="276"/>
      <c r="I685" s="276"/>
      <c r="J685" s="273"/>
      <c r="K685" s="271"/>
      <c r="L685" s="273"/>
      <c r="M685" s="273"/>
      <c r="N685" s="274"/>
      <c r="O685" s="131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</row>
    <row r="686" ht="15.75" customHeight="1">
      <c r="A686" s="479"/>
      <c r="B686" s="131"/>
      <c r="C686" s="131"/>
      <c r="D686" s="274"/>
      <c r="E686" s="295"/>
      <c r="F686" s="268"/>
      <c r="G686" s="268"/>
      <c r="H686" s="276"/>
      <c r="I686" s="276"/>
      <c r="J686" s="273"/>
      <c r="K686" s="271"/>
      <c r="L686" s="273"/>
      <c r="M686" s="273"/>
      <c r="N686" s="274"/>
      <c r="O686" s="131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</row>
    <row r="687" ht="15.75" customHeight="1">
      <c r="A687" s="479"/>
      <c r="B687" s="131"/>
      <c r="C687" s="131"/>
      <c r="D687" s="274"/>
      <c r="E687" s="295"/>
      <c r="F687" s="268"/>
      <c r="G687" s="268"/>
      <c r="H687" s="276"/>
      <c r="I687" s="276"/>
      <c r="J687" s="273"/>
      <c r="K687" s="271"/>
      <c r="L687" s="273"/>
      <c r="M687" s="273"/>
      <c r="N687" s="274"/>
      <c r="O687" s="131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</row>
    <row r="688" ht="15.75" customHeight="1">
      <c r="A688" s="479"/>
      <c r="B688" s="131"/>
      <c r="C688" s="131"/>
      <c r="D688" s="274"/>
      <c r="E688" s="295"/>
      <c r="F688" s="268"/>
      <c r="G688" s="268"/>
      <c r="H688" s="276"/>
      <c r="I688" s="276"/>
      <c r="J688" s="273"/>
      <c r="K688" s="271"/>
      <c r="L688" s="273"/>
      <c r="M688" s="273"/>
      <c r="N688" s="274"/>
      <c r="O688" s="131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</row>
    <row r="689" ht="15.75" customHeight="1">
      <c r="A689" s="479"/>
      <c r="B689" s="131"/>
      <c r="C689" s="131"/>
      <c r="D689" s="274"/>
      <c r="E689" s="295"/>
      <c r="F689" s="268"/>
      <c r="G689" s="268"/>
      <c r="H689" s="276"/>
      <c r="I689" s="276"/>
      <c r="J689" s="273"/>
      <c r="K689" s="271"/>
      <c r="L689" s="273"/>
      <c r="M689" s="273"/>
      <c r="N689" s="274"/>
      <c r="O689" s="131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</row>
    <row r="690" ht="15.75" customHeight="1">
      <c r="A690" s="479"/>
      <c r="B690" s="131"/>
      <c r="C690" s="131"/>
      <c r="D690" s="274"/>
      <c r="E690" s="295"/>
      <c r="F690" s="268"/>
      <c r="G690" s="268"/>
      <c r="H690" s="276"/>
      <c r="I690" s="276"/>
      <c r="J690" s="273"/>
      <c r="K690" s="271"/>
      <c r="L690" s="273"/>
      <c r="M690" s="273"/>
      <c r="N690" s="274"/>
      <c r="O690" s="131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</row>
    <row r="691" ht="15.75" customHeight="1">
      <c r="A691" s="479"/>
      <c r="B691" s="131"/>
      <c r="C691" s="131"/>
      <c r="D691" s="274"/>
      <c r="E691" s="295"/>
      <c r="F691" s="268"/>
      <c r="G691" s="268"/>
      <c r="H691" s="276"/>
      <c r="I691" s="276"/>
      <c r="J691" s="273"/>
      <c r="K691" s="271"/>
      <c r="L691" s="273"/>
      <c r="M691" s="273"/>
      <c r="N691" s="274"/>
      <c r="O691" s="131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</row>
    <row r="692" ht="15.75" customHeight="1">
      <c r="A692" s="479"/>
      <c r="B692" s="131"/>
      <c r="C692" s="131"/>
      <c r="D692" s="274"/>
      <c r="E692" s="295"/>
      <c r="F692" s="268"/>
      <c r="G692" s="268"/>
      <c r="H692" s="276"/>
      <c r="I692" s="276"/>
      <c r="J692" s="273"/>
      <c r="K692" s="271"/>
      <c r="L692" s="273"/>
      <c r="M692" s="273"/>
      <c r="N692" s="274"/>
      <c r="O692" s="131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</row>
    <row r="693" ht="15.75" customHeight="1">
      <c r="A693" s="479"/>
      <c r="B693" s="131"/>
      <c r="C693" s="131"/>
      <c r="D693" s="274"/>
      <c r="E693" s="295"/>
      <c r="F693" s="268"/>
      <c r="G693" s="268"/>
      <c r="H693" s="276"/>
      <c r="I693" s="276"/>
      <c r="J693" s="273"/>
      <c r="K693" s="271"/>
      <c r="L693" s="273"/>
      <c r="M693" s="273"/>
      <c r="N693" s="274"/>
      <c r="O693" s="131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</row>
    <row r="694" ht="15.75" customHeight="1">
      <c r="A694" s="479"/>
      <c r="B694" s="131"/>
      <c r="C694" s="131"/>
      <c r="D694" s="274"/>
      <c r="E694" s="295"/>
      <c r="F694" s="268"/>
      <c r="G694" s="268"/>
      <c r="H694" s="276"/>
      <c r="I694" s="276"/>
      <c r="J694" s="273"/>
      <c r="K694" s="271"/>
      <c r="L694" s="273"/>
      <c r="M694" s="273"/>
      <c r="N694" s="274"/>
      <c r="O694" s="131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</row>
    <row r="695" ht="15.75" customHeight="1">
      <c r="A695" s="479"/>
      <c r="B695" s="131"/>
      <c r="C695" s="131"/>
      <c r="D695" s="274"/>
      <c r="E695" s="295"/>
      <c r="F695" s="268"/>
      <c r="G695" s="268"/>
      <c r="H695" s="276"/>
      <c r="I695" s="276"/>
      <c r="J695" s="273"/>
      <c r="K695" s="271"/>
      <c r="L695" s="273"/>
      <c r="M695" s="273"/>
      <c r="N695" s="274"/>
      <c r="O695" s="131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</row>
    <row r="696" ht="15.75" customHeight="1">
      <c r="A696" s="479"/>
      <c r="B696" s="131"/>
      <c r="C696" s="131"/>
      <c r="D696" s="274"/>
      <c r="E696" s="295"/>
      <c r="F696" s="268"/>
      <c r="G696" s="268"/>
      <c r="H696" s="276"/>
      <c r="I696" s="276"/>
      <c r="J696" s="273"/>
      <c r="K696" s="271"/>
      <c r="L696" s="273"/>
      <c r="M696" s="273"/>
      <c r="N696" s="274"/>
      <c r="O696" s="131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</row>
    <row r="697" ht="15.75" customHeight="1">
      <c r="A697" s="479"/>
      <c r="B697" s="131"/>
      <c r="C697" s="131"/>
      <c r="D697" s="274"/>
      <c r="E697" s="295"/>
      <c r="F697" s="268"/>
      <c r="G697" s="268"/>
      <c r="H697" s="276"/>
      <c r="I697" s="276"/>
      <c r="J697" s="273"/>
      <c r="K697" s="271"/>
      <c r="L697" s="273"/>
      <c r="M697" s="273"/>
      <c r="N697" s="274"/>
      <c r="O697" s="131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</row>
    <row r="698" ht="15.75" customHeight="1">
      <c r="A698" s="479"/>
      <c r="B698" s="131"/>
      <c r="C698" s="131"/>
      <c r="D698" s="274"/>
      <c r="E698" s="295"/>
      <c r="F698" s="268"/>
      <c r="G698" s="268"/>
      <c r="H698" s="276"/>
      <c r="I698" s="276"/>
      <c r="J698" s="273"/>
      <c r="K698" s="271"/>
      <c r="L698" s="273"/>
      <c r="M698" s="273"/>
      <c r="N698" s="274"/>
      <c r="O698" s="131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</row>
    <row r="699" ht="15.75" customHeight="1">
      <c r="A699" s="479"/>
      <c r="B699" s="131"/>
      <c r="C699" s="131"/>
      <c r="D699" s="274"/>
      <c r="E699" s="295"/>
      <c r="F699" s="268"/>
      <c r="G699" s="268"/>
      <c r="H699" s="276"/>
      <c r="I699" s="276"/>
      <c r="J699" s="273"/>
      <c r="K699" s="271"/>
      <c r="L699" s="273"/>
      <c r="M699" s="273"/>
      <c r="N699" s="274"/>
      <c r="O699" s="131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</row>
    <row r="700" ht="15.75" customHeight="1">
      <c r="A700" s="479"/>
      <c r="B700" s="131"/>
      <c r="C700" s="131"/>
      <c r="D700" s="274"/>
      <c r="E700" s="295"/>
      <c r="F700" s="268"/>
      <c r="G700" s="268"/>
      <c r="H700" s="276"/>
      <c r="I700" s="276"/>
      <c r="J700" s="273"/>
      <c r="K700" s="271"/>
      <c r="L700" s="273"/>
      <c r="M700" s="273"/>
      <c r="N700" s="274"/>
      <c r="O700" s="131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</row>
    <row r="701" ht="15.75" customHeight="1">
      <c r="A701" s="479"/>
      <c r="B701" s="131"/>
      <c r="C701" s="131"/>
      <c r="D701" s="274"/>
      <c r="E701" s="295"/>
      <c r="F701" s="268"/>
      <c r="G701" s="268"/>
      <c r="H701" s="276"/>
      <c r="I701" s="276"/>
      <c r="J701" s="273"/>
      <c r="K701" s="271"/>
      <c r="L701" s="273"/>
      <c r="M701" s="273"/>
      <c r="N701" s="274"/>
      <c r="O701" s="131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</row>
    <row r="702" ht="15.75" customHeight="1">
      <c r="A702" s="479"/>
      <c r="B702" s="131"/>
      <c r="C702" s="131"/>
      <c r="D702" s="274"/>
      <c r="E702" s="295"/>
      <c r="F702" s="268"/>
      <c r="G702" s="268"/>
      <c r="H702" s="276"/>
      <c r="I702" s="276"/>
      <c r="J702" s="273"/>
      <c r="K702" s="271"/>
      <c r="L702" s="273"/>
      <c r="M702" s="273"/>
      <c r="N702" s="274"/>
      <c r="O702" s="131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</row>
    <row r="703" ht="15.75" customHeight="1">
      <c r="A703" s="479"/>
      <c r="B703" s="131"/>
      <c r="C703" s="131"/>
      <c r="D703" s="274"/>
      <c r="E703" s="295"/>
      <c r="F703" s="268"/>
      <c r="G703" s="268"/>
      <c r="H703" s="276"/>
      <c r="I703" s="276"/>
      <c r="J703" s="273"/>
      <c r="K703" s="271"/>
      <c r="L703" s="273"/>
      <c r="M703" s="273"/>
      <c r="N703" s="274"/>
      <c r="O703" s="131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</row>
    <row r="704" ht="15.75" customHeight="1">
      <c r="A704" s="479"/>
      <c r="B704" s="131"/>
      <c r="C704" s="131"/>
      <c r="D704" s="274"/>
      <c r="E704" s="295"/>
      <c r="F704" s="268"/>
      <c r="G704" s="268"/>
      <c r="H704" s="276"/>
      <c r="I704" s="276"/>
      <c r="J704" s="273"/>
      <c r="K704" s="271"/>
      <c r="L704" s="273"/>
      <c r="M704" s="273"/>
      <c r="N704" s="274"/>
      <c r="O704" s="131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</row>
    <row r="705" ht="15.75" customHeight="1">
      <c r="A705" s="479"/>
      <c r="B705" s="131"/>
      <c r="C705" s="131"/>
      <c r="D705" s="274"/>
      <c r="E705" s="295"/>
      <c r="F705" s="268"/>
      <c r="G705" s="268"/>
      <c r="H705" s="276"/>
      <c r="I705" s="276"/>
      <c r="J705" s="273"/>
      <c r="K705" s="271"/>
      <c r="L705" s="273"/>
      <c r="M705" s="273"/>
      <c r="N705" s="274"/>
      <c r="O705" s="131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</row>
    <row r="706" ht="15.75" customHeight="1">
      <c r="A706" s="479"/>
      <c r="B706" s="131"/>
      <c r="C706" s="131"/>
      <c r="D706" s="274"/>
      <c r="E706" s="295"/>
      <c r="F706" s="268"/>
      <c r="G706" s="268"/>
      <c r="H706" s="276"/>
      <c r="I706" s="276"/>
      <c r="J706" s="273"/>
      <c r="K706" s="271"/>
      <c r="L706" s="273"/>
      <c r="M706" s="273"/>
      <c r="N706" s="274"/>
      <c r="O706" s="131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</row>
    <row r="707" ht="15.75" customHeight="1">
      <c r="A707" s="479"/>
      <c r="B707" s="131"/>
      <c r="C707" s="131"/>
      <c r="D707" s="274"/>
      <c r="E707" s="295"/>
      <c r="F707" s="268"/>
      <c r="G707" s="268"/>
      <c r="H707" s="276"/>
      <c r="I707" s="276"/>
      <c r="J707" s="273"/>
      <c r="K707" s="271"/>
      <c r="L707" s="273"/>
      <c r="M707" s="273"/>
      <c r="N707" s="274"/>
      <c r="O707" s="131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</row>
    <row r="708" ht="15.75" customHeight="1">
      <c r="A708" s="479"/>
      <c r="B708" s="131"/>
      <c r="C708" s="131"/>
      <c r="D708" s="274"/>
      <c r="E708" s="295"/>
      <c r="F708" s="268"/>
      <c r="G708" s="268"/>
      <c r="H708" s="276"/>
      <c r="I708" s="276"/>
      <c r="J708" s="273"/>
      <c r="K708" s="271"/>
      <c r="L708" s="273"/>
      <c r="M708" s="273"/>
      <c r="N708" s="274"/>
      <c r="O708" s="131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</row>
    <row r="709" ht="15.75" customHeight="1">
      <c r="A709" s="479"/>
      <c r="B709" s="131"/>
      <c r="C709" s="131"/>
      <c r="D709" s="274"/>
      <c r="E709" s="295"/>
      <c r="F709" s="268"/>
      <c r="G709" s="268"/>
      <c r="H709" s="276"/>
      <c r="I709" s="276"/>
      <c r="J709" s="273"/>
      <c r="K709" s="271"/>
      <c r="L709" s="273"/>
      <c r="M709" s="273"/>
      <c r="N709" s="274"/>
      <c r="O709" s="131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</row>
    <row r="710" ht="15.75" customHeight="1">
      <c r="A710" s="479"/>
      <c r="B710" s="131"/>
      <c r="C710" s="131"/>
      <c r="D710" s="274"/>
      <c r="E710" s="295"/>
      <c r="F710" s="268"/>
      <c r="G710" s="268"/>
      <c r="H710" s="276"/>
      <c r="I710" s="276"/>
      <c r="J710" s="273"/>
      <c r="K710" s="271"/>
      <c r="L710" s="273"/>
      <c r="M710" s="273"/>
      <c r="N710" s="274"/>
      <c r="O710" s="131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</row>
    <row r="711" ht="15.75" customHeight="1">
      <c r="A711" s="479"/>
      <c r="B711" s="131"/>
      <c r="C711" s="131"/>
      <c r="D711" s="274"/>
      <c r="E711" s="295"/>
      <c r="F711" s="268"/>
      <c r="G711" s="268"/>
      <c r="H711" s="276"/>
      <c r="I711" s="276"/>
      <c r="J711" s="273"/>
      <c r="K711" s="271"/>
      <c r="L711" s="273"/>
      <c r="M711" s="273"/>
      <c r="N711" s="274"/>
      <c r="O711" s="131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</row>
    <row r="712" ht="15.75" customHeight="1">
      <c r="A712" s="479"/>
      <c r="B712" s="131"/>
      <c r="C712" s="131"/>
      <c r="D712" s="274"/>
      <c r="E712" s="295"/>
      <c r="F712" s="268"/>
      <c r="G712" s="268"/>
      <c r="H712" s="276"/>
      <c r="I712" s="276"/>
      <c r="J712" s="273"/>
      <c r="K712" s="271"/>
      <c r="L712" s="273"/>
      <c r="M712" s="273"/>
      <c r="N712" s="274"/>
      <c r="O712" s="131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</row>
    <row r="713" ht="15.75" customHeight="1">
      <c r="A713" s="479"/>
      <c r="B713" s="131"/>
      <c r="C713" s="131"/>
      <c r="D713" s="274"/>
      <c r="E713" s="295"/>
      <c r="F713" s="268"/>
      <c r="G713" s="268"/>
      <c r="H713" s="276"/>
      <c r="I713" s="276"/>
      <c r="J713" s="273"/>
      <c r="K713" s="271"/>
      <c r="L713" s="273"/>
      <c r="M713" s="273"/>
      <c r="N713" s="274"/>
      <c r="O713" s="131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</row>
    <row r="714" ht="15.75" customHeight="1">
      <c r="A714" s="479"/>
      <c r="B714" s="131"/>
      <c r="C714" s="131"/>
      <c r="D714" s="274"/>
      <c r="E714" s="295"/>
      <c r="F714" s="268"/>
      <c r="G714" s="268"/>
      <c r="H714" s="276"/>
      <c r="I714" s="276"/>
      <c r="J714" s="273"/>
      <c r="K714" s="271"/>
      <c r="L714" s="273"/>
      <c r="M714" s="273"/>
      <c r="N714" s="274"/>
      <c r="O714" s="131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</row>
    <row r="715" ht="15.75" customHeight="1">
      <c r="A715" s="479"/>
      <c r="B715" s="131"/>
      <c r="C715" s="131"/>
      <c r="D715" s="274"/>
      <c r="E715" s="295"/>
      <c r="F715" s="268"/>
      <c r="G715" s="268"/>
      <c r="H715" s="276"/>
      <c r="I715" s="276"/>
      <c r="J715" s="273"/>
      <c r="K715" s="271"/>
      <c r="L715" s="273"/>
      <c r="M715" s="273"/>
      <c r="N715" s="274"/>
      <c r="O715" s="131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</row>
    <row r="716" ht="15.75" customHeight="1">
      <c r="A716" s="479"/>
      <c r="B716" s="131"/>
      <c r="C716" s="131"/>
      <c r="D716" s="274"/>
      <c r="E716" s="295"/>
      <c r="F716" s="268"/>
      <c r="G716" s="268"/>
      <c r="H716" s="276"/>
      <c r="I716" s="276"/>
      <c r="J716" s="273"/>
      <c r="K716" s="271"/>
      <c r="L716" s="273"/>
      <c r="M716" s="273"/>
      <c r="N716" s="274"/>
      <c r="O716" s="131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</row>
    <row r="717" ht="15.75" customHeight="1">
      <c r="A717" s="479"/>
      <c r="B717" s="131"/>
      <c r="C717" s="131"/>
      <c r="D717" s="274"/>
      <c r="E717" s="295"/>
      <c r="F717" s="268"/>
      <c r="G717" s="268"/>
      <c r="H717" s="276"/>
      <c r="I717" s="276"/>
      <c r="J717" s="273"/>
      <c r="K717" s="271"/>
      <c r="L717" s="273"/>
      <c r="M717" s="273"/>
      <c r="N717" s="274"/>
      <c r="O717" s="131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</row>
    <row r="718" ht="15.75" customHeight="1">
      <c r="A718" s="479"/>
      <c r="B718" s="131"/>
      <c r="C718" s="131"/>
      <c r="D718" s="274"/>
      <c r="E718" s="295"/>
      <c r="F718" s="268"/>
      <c r="G718" s="268"/>
      <c r="H718" s="276"/>
      <c r="I718" s="276"/>
      <c r="J718" s="273"/>
      <c r="K718" s="271"/>
      <c r="L718" s="273"/>
      <c r="M718" s="273"/>
      <c r="N718" s="274"/>
      <c r="O718" s="131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</row>
    <row r="719" ht="15.75" customHeight="1">
      <c r="A719" s="479"/>
      <c r="B719" s="131"/>
      <c r="C719" s="131"/>
      <c r="D719" s="274"/>
      <c r="E719" s="295"/>
      <c r="F719" s="268"/>
      <c r="G719" s="268"/>
      <c r="H719" s="276"/>
      <c r="I719" s="276"/>
      <c r="J719" s="273"/>
      <c r="K719" s="271"/>
      <c r="L719" s="273"/>
      <c r="M719" s="273"/>
      <c r="N719" s="274"/>
      <c r="O719" s="131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</row>
    <row r="720" ht="15.75" customHeight="1">
      <c r="A720" s="479"/>
      <c r="B720" s="131"/>
      <c r="C720" s="131"/>
      <c r="D720" s="274"/>
      <c r="E720" s="295"/>
      <c r="F720" s="268"/>
      <c r="G720" s="268"/>
      <c r="H720" s="276"/>
      <c r="I720" s="276"/>
      <c r="J720" s="273"/>
      <c r="K720" s="271"/>
      <c r="L720" s="273"/>
      <c r="M720" s="273"/>
      <c r="N720" s="274"/>
      <c r="O720" s="131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</row>
    <row r="721" ht="15.75" customHeight="1">
      <c r="A721" s="479"/>
      <c r="B721" s="131"/>
      <c r="C721" s="131"/>
      <c r="D721" s="274"/>
      <c r="E721" s="295"/>
      <c r="F721" s="268"/>
      <c r="G721" s="268"/>
      <c r="H721" s="276"/>
      <c r="I721" s="276"/>
      <c r="J721" s="273"/>
      <c r="K721" s="271"/>
      <c r="L721" s="273"/>
      <c r="M721" s="273"/>
      <c r="N721" s="274"/>
      <c r="O721" s="131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</row>
    <row r="722" ht="15.75" customHeight="1">
      <c r="A722" s="479"/>
      <c r="B722" s="131"/>
      <c r="C722" s="131"/>
      <c r="D722" s="274"/>
      <c r="E722" s="295"/>
      <c r="F722" s="268"/>
      <c r="G722" s="268"/>
      <c r="H722" s="276"/>
      <c r="I722" s="276"/>
      <c r="J722" s="273"/>
      <c r="K722" s="271"/>
      <c r="L722" s="273"/>
      <c r="M722" s="273"/>
      <c r="N722" s="274"/>
      <c r="O722" s="131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</row>
    <row r="723" ht="15.75" customHeight="1">
      <c r="A723" s="479"/>
      <c r="B723" s="131"/>
      <c r="C723" s="131"/>
      <c r="D723" s="274"/>
      <c r="E723" s="295"/>
      <c r="F723" s="268"/>
      <c r="G723" s="268"/>
      <c r="H723" s="276"/>
      <c r="I723" s="276"/>
      <c r="J723" s="273"/>
      <c r="K723" s="271"/>
      <c r="L723" s="273"/>
      <c r="M723" s="273"/>
      <c r="N723" s="274"/>
      <c r="O723" s="131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</row>
    <row r="724" ht="15.75" customHeight="1">
      <c r="A724" s="479"/>
      <c r="B724" s="131"/>
      <c r="C724" s="131"/>
      <c r="D724" s="274"/>
      <c r="E724" s="295"/>
      <c r="F724" s="268"/>
      <c r="G724" s="268"/>
      <c r="H724" s="276"/>
      <c r="I724" s="276"/>
      <c r="J724" s="273"/>
      <c r="K724" s="271"/>
      <c r="L724" s="273"/>
      <c r="M724" s="273"/>
      <c r="N724" s="274"/>
      <c r="O724" s="131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</row>
    <row r="725" ht="15.75" customHeight="1">
      <c r="A725" s="479"/>
      <c r="B725" s="131"/>
      <c r="C725" s="131"/>
      <c r="D725" s="274"/>
      <c r="E725" s="295"/>
      <c r="F725" s="268"/>
      <c r="G725" s="268"/>
      <c r="H725" s="276"/>
      <c r="I725" s="276"/>
      <c r="J725" s="273"/>
      <c r="K725" s="271"/>
      <c r="L725" s="273"/>
      <c r="M725" s="273"/>
      <c r="N725" s="274"/>
      <c r="O725" s="131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</row>
    <row r="726" ht="15.75" customHeight="1">
      <c r="A726" s="479"/>
      <c r="B726" s="131"/>
      <c r="C726" s="131"/>
      <c r="D726" s="274"/>
      <c r="E726" s="295"/>
      <c r="F726" s="268"/>
      <c r="G726" s="268"/>
      <c r="H726" s="276"/>
      <c r="I726" s="276"/>
      <c r="J726" s="273"/>
      <c r="K726" s="271"/>
      <c r="L726" s="273"/>
      <c r="M726" s="273"/>
      <c r="N726" s="274"/>
      <c r="O726" s="131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</row>
    <row r="727" ht="15.75" customHeight="1">
      <c r="A727" s="479"/>
      <c r="B727" s="131"/>
      <c r="C727" s="131"/>
      <c r="D727" s="274"/>
      <c r="E727" s="295"/>
      <c r="F727" s="268"/>
      <c r="G727" s="268"/>
      <c r="H727" s="276"/>
      <c r="I727" s="276"/>
      <c r="J727" s="273"/>
      <c r="K727" s="271"/>
      <c r="L727" s="273"/>
      <c r="M727" s="273"/>
      <c r="N727" s="274"/>
      <c r="O727" s="131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</row>
    <row r="728" ht="15.75" customHeight="1">
      <c r="A728" s="479"/>
      <c r="B728" s="131"/>
      <c r="C728" s="131"/>
      <c r="D728" s="274"/>
      <c r="E728" s="295"/>
      <c r="F728" s="268"/>
      <c r="G728" s="268"/>
      <c r="H728" s="276"/>
      <c r="I728" s="276"/>
      <c r="J728" s="273"/>
      <c r="K728" s="271"/>
      <c r="L728" s="273"/>
      <c r="M728" s="273"/>
      <c r="N728" s="274"/>
      <c r="O728" s="131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</row>
    <row r="729" ht="15.75" customHeight="1">
      <c r="A729" s="479"/>
      <c r="B729" s="131"/>
      <c r="C729" s="131"/>
      <c r="D729" s="274"/>
      <c r="E729" s="295"/>
      <c r="F729" s="268"/>
      <c r="G729" s="268"/>
      <c r="H729" s="276"/>
      <c r="I729" s="276"/>
      <c r="J729" s="273"/>
      <c r="K729" s="271"/>
      <c r="L729" s="273"/>
      <c r="M729" s="273"/>
      <c r="N729" s="274"/>
      <c r="O729" s="131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</row>
    <row r="730" ht="15.75" customHeight="1">
      <c r="A730" s="479"/>
      <c r="B730" s="131"/>
      <c r="C730" s="131"/>
      <c r="D730" s="274"/>
      <c r="E730" s="295"/>
      <c r="F730" s="268"/>
      <c r="G730" s="268"/>
      <c r="H730" s="276"/>
      <c r="I730" s="276"/>
      <c r="J730" s="273"/>
      <c r="K730" s="271"/>
      <c r="L730" s="273"/>
      <c r="M730" s="273"/>
      <c r="N730" s="274"/>
      <c r="O730" s="131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</row>
    <row r="731" ht="15.75" customHeight="1">
      <c r="A731" s="479"/>
      <c r="B731" s="131"/>
      <c r="C731" s="131"/>
      <c r="D731" s="274"/>
      <c r="E731" s="295"/>
      <c r="F731" s="268"/>
      <c r="G731" s="268"/>
      <c r="H731" s="276"/>
      <c r="I731" s="276"/>
      <c r="J731" s="273"/>
      <c r="K731" s="271"/>
      <c r="L731" s="273"/>
      <c r="M731" s="273"/>
      <c r="N731" s="274"/>
      <c r="O731" s="131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</row>
    <row r="732" ht="15.75" customHeight="1">
      <c r="A732" s="479"/>
      <c r="B732" s="131"/>
      <c r="C732" s="131"/>
      <c r="D732" s="274"/>
      <c r="E732" s="295"/>
      <c r="F732" s="268"/>
      <c r="G732" s="268"/>
      <c r="H732" s="276"/>
      <c r="I732" s="276"/>
      <c r="J732" s="273"/>
      <c r="K732" s="271"/>
      <c r="L732" s="273"/>
      <c r="M732" s="273"/>
      <c r="N732" s="274"/>
      <c r="O732" s="131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</row>
    <row r="733" ht="15.75" customHeight="1">
      <c r="A733" s="479"/>
      <c r="B733" s="131"/>
      <c r="C733" s="131"/>
      <c r="D733" s="274"/>
      <c r="E733" s="295"/>
      <c r="F733" s="268"/>
      <c r="G733" s="268"/>
      <c r="H733" s="276"/>
      <c r="I733" s="276"/>
      <c r="J733" s="273"/>
      <c r="K733" s="271"/>
      <c r="L733" s="273"/>
      <c r="M733" s="273"/>
      <c r="N733" s="274"/>
      <c r="O733" s="131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</row>
    <row r="734" ht="15.75" customHeight="1">
      <c r="A734" s="479"/>
      <c r="B734" s="131"/>
      <c r="C734" s="131"/>
      <c r="D734" s="274"/>
      <c r="E734" s="295"/>
      <c r="F734" s="268"/>
      <c r="G734" s="268"/>
      <c r="H734" s="276"/>
      <c r="I734" s="276"/>
      <c r="J734" s="273"/>
      <c r="K734" s="271"/>
      <c r="L734" s="273"/>
      <c r="M734" s="273"/>
      <c r="N734" s="274"/>
      <c r="O734" s="131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</row>
    <row r="735" ht="15.75" customHeight="1">
      <c r="A735" s="479"/>
      <c r="B735" s="131"/>
      <c r="C735" s="131"/>
      <c r="D735" s="274"/>
      <c r="E735" s="295"/>
      <c r="F735" s="268"/>
      <c r="G735" s="268"/>
      <c r="H735" s="276"/>
      <c r="I735" s="276"/>
      <c r="J735" s="273"/>
      <c r="K735" s="271"/>
      <c r="L735" s="273"/>
      <c r="M735" s="273"/>
      <c r="N735" s="274"/>
      <c r="O735" s="131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</row>
    <row r="736" ht="15.75" customHeight="1">
      <c r="A736" s="479"/>
      <c r="B736" s="131"/>
      <c r="C736" s="131"/>
      <c r="D736" s="274"/>
      <c r="E736" s="295"/>
      <c r="F736" s="268"/>
      <c r="G736" s="268"/>
      <c r="H736" s="276"/>
      <c r="I736" s="276"/>
      <c r="J736" s="273"/>
      <c r="K736" s="271"/>
      <c r="L736" s="273"/>
      <c r="M736" s="273"/>
      <c r="N736" s="274"/>
      <c r="O736" s="131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</row>
    <row r="737" ht="15.75" customHeight="1">
      <c r="A737" s="479"/>
      <c r="B737" s="131"/>
      <c r="C737" s="131"/>
      <c r="D737" s="274"/>
      <c r="E737" s="295"/>
      <c r="F737" s="268"/>
      <c r="G737" s="268"/>
      <c r="H737" s="276"/>
      <c r="I737" s="276"/>
      <c r="J737" s="273"/>
      <c r="K737" s="271"/>
      <c r="L737" s="273"/>
      <c r="M737" s="273"/>
      <c r="N737" s="274"/>
      <c r="O737" s="131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</row>
    <row r="738" ht="15.75" customHeight="1">
      <c r="A738" s="479"/>
      <c r="B738" s="131"/>
      <c r="C738" s="131"/>
      <c r="D738" s="274"/>
      <c r="E738" s="295"/>
      <c r="F738" s="268"/>
      <c r="G738" s="268"/>
      <c r="H738" s="276"/>
      <c r="I738" s="276"/>
      <c r="J738" s="273"/>
      <c r="K738" s="271"/>
      <c r="L738" s="273"/>
      <c r="M738" s="273"/>
      <c r="N738" s="274"/>
      <c r="O738" s="131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</row>
    <row r="739" ht="15.75" customHeight="1">
      <c r="A739" s="479"/>
      <c r="B739" s="131"/>
      <c r="C739" s="131"/>
      <c r="D739" s="274"/>
      <c r="E739" s="295"/>
      <c r="F739" s="268"/>
      <c r="G739" s="268"/>
      <c r="H739" s="276"/>
      <c r="I739" s="276"/>
      <c r="J739" s="273"/>
      <c r="K739" s="271"/>
      <c r="L739" s="273"/>
      <c r="M739" s="273"/>
      <c r="N739" s="274"/>
      <c r="O739" s="131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</row>
    <row r="740" ht="15.75" customHeight="1">
      <c r="A740" s="479"/>
      <c r="B740" s="131"/>
      <c r="C740" s="131"/>
      <c r="D740" s="274"/>
      <c r="E740" s="295"/>
      <c r="F740" s="268"/>
      <c r="G740" s="268"/>
      <c r="H740" s="276"/>
      <c r="I740" s="276"/>
      <c r="J740" s="273"/>
      <c r="K740" s="271"/>
      <c r="L740" s="273"/>
      <c r="M740" s="273"/>
      <c r="N740" s="274"/>
      <c r="O740" s="131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</row>
    <row r="741" ht="15.75" customHeight="1">
      <c r="A741" s="479"/>
      <c r="B741" s="131"/>
      <c r="C741" s="131"/>
      <c r="D741" s="274"/>
      <c r="E741" s="295"/>
      <c r="F741" s="268"/>
      <c r="G741" s="268"/>
      <c r="H741" s="276"/>
      <c r="I741" s="276"/>
      <c r="J741" s="273"/>
      <c r="K741" s="271"/>
      <c r="L741" s="273"/>
      <c r="M741" s="273"/>
      <c r="N741" s="274"/>
      <c r="O741" s="131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</row>
    <row r="742" ht="15.75" customHeight="1">
      <c r="A742" s="479"/>
      <c r="B742" s="131"/>
      <c r="C742" s="131"/>
      <c r="D742" s="274"/>
      <c r="E742" s="295"/>
      <c r="F742" s="268"/>
      <c r="G742" s="268"/>
      <c r="H742" s="276"/>
      <c r="I742" s="276"/>
      <c r="J742" s="273"/>
      <c r="K742" s="271"/>
      <c r="L742" s="273"/>
      <c r="M742" s="273"/>
      <c r="N742" s="274"/>
      <c r="O742" s="131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</row>
    <row r="743" ht="15.75" customHeight="1">
      <c r="A743" s="479"/>
      <c r="B743" s="131"/>
      <c r="C743" s="131"/>
      <c r="D743" s="274"/>
      <c r="E743" s="295"/>
      <c r="F743" s="268"/>
      <c r="G743" s="268"/>
      <c r="H743" s="276"/>
      <c r="I743" s="276"/>
      <c r="J743" s="273"/>
      <c r="K743" s="271"/>
      <c r="L743" s="273"/>
      <c r="M743" s="273"/>
      <c r="N743" s="274"/>
      <c r="O743" s="131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</row>
    <row r="744" ht="15.75" customHeight="1">
      <c r="A744" s="479"/>
      <c r="B744" s="131"/>
      <c r="C744" s="131"/>
      <c r="D744" s="274"/>
      <c r="E744" s="295"/>
      <c r="F744" s="268"/>
      <c r="G744" s="268"/>
      <c r="H744" s="276"/>
      <c r="I744" s="276"/>
      <c r="J744" s="273"/>
      <c r="K744" s="271"/>
      <c r="L744" s="273"/>
      <c r="M744" s="273"/>
      <c r="N744" s="274"/>
      <c r="O744" s="131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</row>
    <row r="745" ht="15.75" customHeight="1">
      <c r="A745" s="479"/>
      <c r="B745" s="131"/>
      <c r="C745" s="131"/>
      <c r="D745" s="274"/>
      <c r="E745" s="295"/>
      <c r="F745" s="268"/>
      <c r="G745" s="268"/>
      <c r="H745" s="276"/>
      <c r="I745" s="276"/>
      <c r="J745" s="273"/>
      <c r="K745" s="271"/>
      <c r="L745" s="273"/>
      <c r="M745" s="273"/>
      <c r="N745" s="274"/>
      <c r="O745" s="131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</row>
    <row r="746" ht="15.75" customHeight="1">
      <c r="A746" s="479"/>
      <c r="B746" s="131"/>
      <c r="C746" s="131"/>
      <c r="D746" s="274"/>
      <c r="E746" s="295"/>
      <c r="F746" s="268"/>
      <c r="G746" s="268"/>
      <c r="H746" s="276"/>
      <c r="I746" s="276"/>
      <c r="J746" s="273"/>
      <c r="K746" s="271"/>
      <c r="L746" s="273"/>
      <c r="M746" s="273"/>
      <c r="N746" s="274"/>
      <c r="O746" s="131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</row>
    <row r="747" ht="15.75" customHeight="1">
      <c r="A747" s="479"/>
      <c r="B747" s="131"/>
      <c r="C747" s="131"/>
      <c r="D747" s="274"/>
      <c r="E747" s="295"/>
      <c r="F747" s="268"/>
      <c r="G747" s="268"/>
      <c r="H747" s="276"/>
      <c r="I747" s="276"/>
      <c r="J747" s="273"/>
      <c r="K747" s="271"/>
      <c r="L747" s="273"/>
      <c r="M747" s="273"/>
      <c r="N747" s="274"/>
      <c r="O747" s="131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</row>
    <row r="748" ht="15.75" customHeight="1">
      <c r="A748" s="479"/>
      <c r="B748" s="131"/>
      <c r="C748" s="131"/>
      <c r="D748" s="274"/>
      <c r="E748" s="295"/>
      <c r="F748" s="268"/>
      <c r="G748" s="268"/>
      <c r="H748" s="276"/>
      <c r="I748" s="276"/>
      <c r="J748" s="273"/>
      <c r="K748" s="271"/>
      <c r="L748" s="273"/>
      <c r="M748" s="273"/>
      <c r="N748" s="274"/>
      <c r="O748" s="131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</row>
    <row r="749" ht="15.75" customHeight="1">
      <c r="A749" s="479"/>
      <c r="B749" s="131"/>
      <c r="C749" s="131"/>
      <c r="D749" s="274"/>
      <c r="E749" s="295"/>
      <c r="F749" s="268"/>
      <c r="G749" s="268"/>
      <c r="H749" s="276"/>
      <c r="I749" s="276"/>
      <c r="J749" s="273"/>
      <c r="K749" s="271"/>
      <c r="L749" s="273"/>
      <c r="M749" s="273"/>
      <c r="N749" s="274"/>
      <c r="O749" s="131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</row>
    <row r="750" ht="15.75" customHeight="1">
      <c r="A750" s="479"/>
      <c r="B750" s="131"/>
      <c r="C750" s="131"/>
      <c r="D750" s="274"/>
      <c r="E750" s="295"/>
      <c r="F750" s="268"/>
      <c r="G750" s="268"/>
      <c r="H750" s="276"/>
      <c r="I750" s="276"/>
      <c r="J750" s="273"/>
      <c r="K750" s="271"/>
      <c r="L750" s="273"/>
      <c r="M750" s="273"/>
      <c r="N750" s="274"/>
      <c r="O750" s="131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</row>
    <row r="751" ht="15.75" customHeight="1">
      <c r="A751" s="479"/>
      <c r="B751" s="131"/>
      <c r="C751" s="131"/>
      <c r="D751" s="274"/>
      <c r="E751" s="295"/>
      <c r="F751" s="268"/>
      <c r="G751" s="268"/>
      <c r="H751" s="276"/>
      <c r="I751" s="276"/>
      <c r="J751" s="273"/>
      <c r="K751" s="271"/>
      <c r="L751" s="273"/>
      <c r="M751" s="273"/>
      <c r="N751" s="274"/>
      <c r="O751" s="131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</row>
    <row r="752" ht="15.75" customHeight="1">
      <c r="A752" s="479"/>
      <c r="B752" s="131"/>
      <c r="C752" s="131"/>
      <c r="D752" s="274"/>
      <c r="E752" s="295"/>
      <c r="F752" s="268"/>
      <c r="G752" s="268"/>
      <c r="H752" s="276"/>
      <c r="I752" s="276"/>
      <c r="J752" s="273"/>
      <c r="K752" s="271"/>
      <c r="L752" s="273"/>
      <c r="M752" s="273"/>
      <c r="N752" s="274"/>
      <c r="O752" s="131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</row>
    <row r="753" ht="15.75" customHeight="1">
      <c r="A753" s="479"/>
      <c r="B753" s="131"/>
      <c r="C753" s="131"/>
      <c r="D753" s="274"/>
      <c r="E753" s="295"/>
      <c r="F753" s="268"/>
      <c r="G753" s="268"/>
      <c r="H753" s="276"/>
      <c r="I753" s="276"/>
      <c r="J753" s="273"/>
      <c r="K753" s="271"/>
      <c r="L753" s="273"/>
      <c r="M753" s="273"/>
      <c r="N753" s="274"/>
      <c r="O753" s="131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</row>
    <row r="754" ht="15.75" customHeight="1">
      <c r="A754" s="479"/>
      <c r="B754" s="131"/>
      <c r="C754" s="131"/>
      <c r="D754" s="274"/>
      <c r="E754" s="295"/>
      <c r="F754" s="268"/>
      <c r="G754" s="268"/>
      <c r="H754" s="276"/>
      <c r="I754" s="276"/>
      <c r="J754" s="273"/>
      <c r="K754" s="271"/>
      <c r="L754" s="273"/>
      <c r="M754" s="273"/>
      <c r="N754" s="274"/>
      <c r="O754" s="131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</row>
    <row r="755" ht="15.75" customHeight="1">
      <c r="A755" s="479"/>
      <c r="B755" s="131"/>
      <c r="C755" s="131"/>
      <c r="D755" s="274"/>
      <c r="E755" s="295"/>
      <c r="F755" s="268"/>
      <c r="G755" s="268"/>
      <c r="H755" s="276"/>
      <c r="I755" s="276"/>
      <c r="J755" s="273"/>
      <c r="K755" s="271"/>
      <c r="L755" s="273"/>
      <c r="M755" s="273"/>
      <c r="N755" s="274"/>
      <c r="O755" s="131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</row>
    <row r="756" ht="15.75" customHeight="1">
      <c r="A756" s="479"/>
      <c r="B756" s="131"/>
      <c r="C756" s="131"/>
      <c r="D756" s="274"/>
      <c r="E756" s="295"/>
      <c r="F756" s="268"/>
      <c r="G756" s="268"/>
      <c r="H756" s="276"/>
      <c r="I756" s="276"/>
      <c r="J756" s="273"/>
      <c r="K756" s="271"/>
      <c r="L756" s="273"/>
      <c r="M756" s="273"/>
      <c r="N756" s="274"/>
      <c r="O756" s="131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</row>
    <row r="757" ht="15.75" customHeight="1">
      <c r="A757" s="479"/>
      <c r="B757" s="131"/>
      <c r="C757" s="131"/>
      <c r="D757" s="274"/>
      <c r="E757" s="295"/>
      <c r="F757" s="268"/>
      <c r="G757" s="268"/>
      <c r="H757" s="276"/>
      <c r="I757" s="276"/>
      <c r="J757" s="273"/>
      <c r="K757" s="271"/>
      <c r="L757" s="273"/>
      <c r="M757" s="273"/>
      <c r="N757" s="274"/>
      <c r="O757" s="131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</row>
    <row r="758" ht="15.75" customHeight="1">
      <c r="A758" s="479"/>
      <c r="B758" s="131"/>
      <c r="C758" s="131"/>
      <c r="D758" s="274"/>
      <c r="E758" s="295"/>
      <c r="F758" s="268"/>
      <c r="G758" s="268"/>
      <c r="H758" s="276"/>
      <c r="I758" s="276"/>
      <c r="J758" s="273"/>
      <c r="K758" s="271"/>
      <c r="L758" s="273"/>
      <c r="M758" s="273"/>
      <c r="N758" s="274"/>
      <c r="O758" s="131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</row>
    <row r="759" ht="15.75" customHeight="1">
      <c r="A759" s="479"/>
      <c r="B759" s="131"/>
      <c r="C759" s="131"/>
      <c r="D759" s="274"/>
      <c r="E759" s="295"/>
      <c r="F759" s="268"/>
      <c r="G759" s="268"/>
      <c r="H759" s="276"/>
      <c r="I759" s="276"/>
      <c r="J759" s="273"/>
      <c r="K759" s="271"/>
      <c r="L759" s="273"/>
      <c r="M759" s="273"/>
      <c r="N759" s="274"/>
      <c r="O759" s="131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</row>
    <row r="760" ht="15.75" customHeight="1">
      <c r="A760" s="479"/>
      <c r="B760" s="131"/>
      <c r="C760" s="131"/>
      <c r="D760" s="274"/>
      <c r="E760" s="295"/>
      <c r="F760" s="268"/>
      <c r="G760" s="268"/>
      <c r="H760" s="276"/>
      <c r="I760" s="276"/>
      <c r="J760" s="273"/>
      <c r="K760" s="271"/>
      <c r="L760" s="273"/>
      <c r="M760" s="273"/>
      <c r="N760" s="274"/>
      <c r="O760" s="131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</row>
    <row r="761" ht="15.75" customHeight="1">
      <c r="A761" s="479"/>
      <c r="B761" s="131"/>
      <c r="C761" s="131"/>
      <c r="D761" s="274"/>
      <c r="E761" s="295"/>
      <c r="F761" s="268"/>
      <c r="G761" s="268"/>
      <c r="H761" s="276"/>
      <c r="I761" s="276"/>
      <c r="J761" s="273"/>
      <c r="K761" s="271"/>
      <c r="L761" s="273"/>
      <c r="M761" s="273"/>
      <c r="N761" s="274"/>
      <c r="O761" s="131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</row>
    <row r="762" ht="15.75" customHeight="1">
      <c r="A762" s="479"/>
      <c r="B762" s="131"/>
      <c r="C762" s="131"/>
      <c r="D762" s="274"/>
      <c r="E762" s="295"/>
      <c r="F762" s="268"/>
      <c r="G762" s="268"/>
      <c r="H762" s="276"/>
      <c r="I762" s="276"/>
      <c r="J762" s="273"/>
      <c r="K762" s="271"/>
      <c r="L762" s="273"/>
      <c r="M762" s="273"/>
      <c r="N762" s="274"/>
      <c r="O762" s="131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</row>
    <row r="763" ht="15.75" customHeight="1">
      <c r="A763" s="479"/>
      <c r="B763" s="131"/>
      <c r="C763" s="131"/>
      <c r="D763" s="274"/>
      <c r="E763" s="295"/>
      <c r="F763" s="268"/>
      <c r="G763" s="268"/>
      <c r="H763" s="276"/>
      <c r="I763" s="276"/>
      <c r="J763" s="273"/>
      <c r="K763" s="271"/>
      <c r="L763" s="273"/>
      <c r="M763" s="273"/>
      <c r="N763" s="274"/>
      <c r="O763" s="131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</row>
    <row r="764" ht="15.75" customHeight="1">
      <c r="A764" s="479"/>
      <c r="B764" s="131"/>
      <c r="C764" s="131"/>
      <c r="D764" s="274"/>
      <c r="E764" s="295"/>
      <c r="F764" s="268"/>
      <c r="G764" s="268"/>
      <c r="H764" s="276"/>
      <c r="I764" s="276"/>
      <c r="J764" s="273"/>
      <c r="K764" s="271"/>
      <c r="L764" s="273"/>
      <c r="M764" s="273"/>
      <c r="N764" s="274"/>
      <c r="O764" s="131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</row>
    <row r="765" ht="15.75" customHeight="1">
      <c r="A765" s="479"/>
      <c r="B765" s="131"/>
      <c r="C765" s="131"/>
      <c r="D765" s="274"/>
      <c r="E765" s="295"/>
      <c r="F765" s="268"/>
      <c r="G765" s="268"/>
      <c r="H765" s="276"/>
      <c r="I765" s="276"/>
      <c r="J765" s="273"/>
      <c r="K765" s="271"/>
      <c r="L765" s="273"/>
      <c r="M765" s="273"/>
      <c r="N765" s="274"/>
      <c r="O765" s="131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</row>
    <row r="766" ht="15.75" customHeight="1">
      <c r="A766" s="479"/>
      <c r="B766" s="131"/>
      <c r="C766" s="131"/>
      <c r="D766" s="274"/>
      <c r="E766" s="295"/>
      <c r="F766" s="268"/>
      <c r="G766" s="268"/>
      <c r="H766" s="276"/>
      <c r="I766" s="276"/>
      <c r="J766" s="273"/>
      <c r="K766" s="271"/>
      <c r="L766" s="273"/>
      <c r="M766" s="273"/>
      <c r="N766" s="274"/>
      <c r="O766" s="131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</row>
    <row r="767" ht="15.75" customHeight="1">
      <c r="A767" s="479"/>
      <c r="B767" s="131"/>
      <c r="C767" s="131"/>
      <c r="D767" s="274"/>
      <c r="E767" s="295"/>
      <c r="F767" s="268"/>
      <c r="G767" s="268"/>
      <c r="H767" s="276"/>
      <c r="I767" s="276"/>
      <c r="J767" s="273"/>
      <c r="K767" s="271"/>
      <c r="L767" s="273"/>
      <c r="M767" s="273"/>
      <c r="N767" s="274"/>
      <c r="O767" s="131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</row>
    <row r="768" ht="15.75" customHeight="1">
      <c r="A768" s="479"/>
      <c r="B768" s="131"/>
      <c r="C768" s="131"/>
      <c r="D768" s="274"/>
      <c r="E768" s="295"/>
      <c r="F768" s="268"/>
      <c r="G768" s="268"/>
      <c r="H768" s="276"/>
      <c r="I768" s="276"/>
      <c r="J768" s="273"/>
      <c r="K768" s="271"/>
      <c r="L768" s="273"/>
      <c r="M768" s="273"/>
      <c r="N768" s="274"/>
      <c r="O768" s="131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</row>
    <row r="769" ht="15.75" customHeight="1">
      <c r="A769" s="479"/>
      <c r="B769" s="131"/>
      <c r="C769" s="131"/>
      <c r="D769" s="274"/>
      <c r="E769" s="295"/>
      <c r="F769" s="268"/>
      <c r="G769" s="268"/>
      <c r="H769" s="276"/>
      <c r="I769" s="276"/>
      <c r="J769" s="273"/>
      <c r="K769" s="271"/>
      <c r="L769" s="273"/>
      <c r="M769" s="273"/>
      <c r="N769" s="274"/>
      <c r="O769" s="131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</row>
    <row r="770" ht="15.75" customHeight="1">
      <c r="A770" s="479"/>
      <c r="B770" s="131"/>
      <c r="C770" s="131"/>
      <c r="D770" s="274"/>
      <c r="E770" s="295"/>
      <c r="F770" s="268"/>
      <c r="G770" s="268"/>
      <c r="H770" s="276"/>
      <c r="I770" s="276"/>
      <c r="J770" s="273"/>
      <c r="K770" s="271"/>
      <c r="L770" s="273"/>
      <c r="M770" s="273"/>
      <c r="N770" s="274"/>
      <c r="O770" s="131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</row>
    <row r="771" ht="15.75" customHeight="1">
      <c r="A771" s="479"/>
      <c r="B771" s="131"/>
      <c r="C771" s="131"/>
      <c r="D771" s="274"/>
      <c r="E771" s="295"/>
      <c r="F771" s="268"/>
      <c r="G771" s="268"/>
      <c r="H771" s="276"/>
      <c r="I771" s="276"/>
      <c r="J771" s="273"/>
      <c r="K771" s="271"/>
      <c r="L771" s="273"/>
      <c r="M771" s="273"/>
      <c r="N771" s="274"/>
      <c r="O771" s="131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</row>
    <row r="772" ht="15.75" customHeight="1">
      <c r="A772" s="479"/>
      <c r="B772" s="131"/>
      <c r="C772" s="131"/>
      <c r="D772" s="274"/>
      <c r="E772" s="295"/>
      <c r="F772" s="268"/>
      <c r="G772" s="268"/>
      <c r="H772" s="276"/>
      <c r="I772" s="276"/>
      <c r="J772" s="273"/>
      <c r="K772" s="271"/>
      <c r="L772" s="273"/>
      <c r="M772" s="273"/>
      <c r="N772" s="274"/>
      <c r="O772" s="131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</row>
    <row r="773" ht="15.75" customHeight="1">
      <c r="A773" s="479"/>
      <c r="B773" s="131"/>
      <c r="C773" s="131"/>
      <c r="D773" s="274"/>
      <c r="E773" s="295"/>
      <c r="F773" s="268"/>
      <c r="G773" s="268"/>
      <c r="H773" s="276"/>
      <c r="I773" s="276"/>
      <c r="J773" s="273"/>
      <c r="K773" s="271"/>
      <c r="L773" s="273"/>
      <c r="M773" s="273"/>
      <c r="N773" s="274"/>
      <c r="O773" s="131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</row>
    <row r="774" ht="15.75" customHeight="1">
      <c r="A774" s="479"/>
      <c r="B774" s="131"/>
      <c r="C774" s="131"/>
      <c r="D774" s="274"/>
      <c r="E774" s="295"/>
      <c r="F774" s="268"/>
      <c r="G774" s="268"/>
      <c r="H774" s="276"/>
      <c r="I774" s="276"/>
      <c r="J774" s="273"/>
      <c r="K774" s="271"/>
      <c r="L774" s="273"/>
      <c r="M774" s="273"/>
      <c r="N774" s="274"/>
      <c r="O774" s="131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</row>
    <row r="775" ht="15.75" customHeight="1">
      <c r="A775" s="479"/>
      <c r="B775" s="131"/>
      <c r="C775" s="131"/>
      <c r="D775" s="274"/>
      <c r="E775" s="295"/>
      <c r="F775" s="268"/>
      <c r="G775" s="268"/>
      <c r="H775" s="276"/>
      <c r="I775" s="276"/>
      <c r="J775" s="273"/>
      <c r="K775" s="271"/>
      <c r="L775" s="273"/>
      <c r="M775" s="273"/>
      <c r="N775" s="274"/>
      <c r="O775" s="131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</row>
    <row r="776" ht="15.75" customHeight="1">
      <c r="A776" s="479"/>
      <c r="B776" s="131"/>
      <c r="C776" s="131"/>
      <c r="D776" s="274"/>
      <c r="E776" s="295"/>
      <c r="F776" s="268"/>
      <c r="G776" s="268"/>
      <c r="H776" s="276"/>
      <c r="I776" s="276"/>
      <c r="J776" s="273"/>
      <c r="K776" s="271"/>
      <c r="L776" s="273"/>
      <c r="M776" s="273"/>
      <c r="N776" s="274"/>
      <c r="O776" s="131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</row>
    <row r="777" ht="15.75" customHeight="1">
      <c r="A777" s="479"/>
      <c r="B777" s="131"/>
      <c r="C777" s="131"/>
      <c r="D777" s="274"/>
      <c r="E777" s="295"/>
      <c r="F777" s="268"/>
      <c r="G777" s="268"/>
      <c r="H777" s="276"/>
      <c r="I777" s="276"/>
      <c r="J777" s="273"/>
      <c r="K777" s="271"/>
      <c r="L777" s="273"/>
      <c r="M777" s="273"/>
      <c r="N777" s="274"/>
      <c r="O777" s="131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</row>
    <row r="778" ht="15.75" customHeight="1">
      <c r="A778" s="479"/>
      <c r="B778" s="131"/>
      <c r="C778" s="131"/>
      <c r="D778" s="274"/>
      <c r="E778" s="295"/>
      <c r="F778" s="268"/>
      <c r="G778" s="268"/>
      <c r="H778" s="276"/>
      <c r="I778" s="276"/>
      <c r="J778" s="273"/>
      <c r="K778" s="271"/>
      <c r="L778" s="273"/>
      <c r="M778" s="273"/>
      <c r="N778" s="274"/>
      <c r="O778" s="131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</row>
    <row r="779" ht="15.75" customHeight="1">
      <c r="A779" s="479"/>
      <c r="B779" s="131"/>
      <c r="C779" s="131"/>
      <c r="D779" s="274"/>
      <c r="E779" s="295"/>
      <c r="F779" s="268"/>
      <c r="G779" s="268"/>
      <c r="H779" s="276"/>
      <c r="I779" s="276"/>
      <c r="J779" s="273"/>
      <c r="K779" s="271"/>
      <c r="L779" s="273"/>
      <c r="M779" s="273"/>
      <c r="N779" s="274"/>
      <c r="O779" s="131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</row>
    <row r="780" ht="15.75" customHeight="1">
      <c r="A780" s="479"/>
      <c r="B780" s="131"/>
      <c r="C780" s="131"/>
      <c r="D780" s="274"/>
      <c r="E780" s="295"/>
      <c r="F780" s="268"/>
      <c r="G780" s="268"/>
      <c r="H780" s="276"/>
      <c r="I780" s="276"/>
      <c r="J780" s="273"/>
      <c r="K780" s="271"/>
      <c r="L780" s="273"/>
      <c r="M780" s="273"/>
      <c r="N780" s="274"/>
      <c r="O780" s="131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</row>
    <row r="781" ht="15.75" customHeight="1">
      <c r="A781" s="479"/>
      <c r="B781" s="131"/>
      <c r="C781" s="131"/>
      <c r="D781" s="274"/>
      <c r="E781" s="295"/>
      <c r="F781" s="268"/>
      <c r="G781" s="268"/>
      <c r="H781" s="276"/>
      <c r="I781" s="276"/>
      <c r="J781" s="273"/>
      <c r="K781" s="271"/>
      <c r="L781" s="273"/>
      <c r="M781" s="273"/>
      <c r="N781" s="274"/>
      <c r="O781" s="131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</row>
    <row r="782" ht="15.75" customHeight="1">
      <c r="A782" s="479"/>
      <c r="B782" s="131"/>
      <c r="C782" s="131"/>
      <c r="D782" s="274"/>
      <c r="E782" s="295"/>
      <c r="F782" s="268"/>
      <c r="G782" s="268"/>
      <c r="H782" s="276"/>
      <c r="I782" s="276"/>
      <c r="J782" s="273"/>
      <c r="K782" s="271"/>
      <c r="L782" s="273"/>
      <c r="M782" s="273"/>
      <c r="N782" s="274"/>
      <c r="O782" s="131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</row>
    <row r="783" ht="15.75" customHeight="1">
      <c r="A783" s="479"/>
      <c r="B783" s="131"/>
      <c r="C783" s="131"/>
      <c r="D783" s="274"/>
      <c r="E783" s="295"/>
      <c r="F783" s="268"/>
      <c r="G783" s="268"/>
      <c r="H783" s="276"/>
      <c r="I783" s="276"/>
      <c r="J783" s="273"/>
      <c r="K783" s="271"/>
      <c r="L783" s="273"/>
      <c r="M783" s="273"/>
      <c r="N783" s="274"/>
      <c r="O783" s="131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</row>
    <row r="784" ht="15.75" customHeight="1">
      <c r="A784" s="479"/>
      <c r="B784" s="131"/>
      <c r="C784" s="131"/>
      <c r="D784" s="274"/>
      <c r="E784" s="295"/>
      <c r="F784" s="268"/>
      <c r="G784" s="268"/>
      <c r="H784" s="276"/>
      <c r="I784" s="276"/>
      <c r="J784" s="273"/>
      <c r="K784" s="271"/>
      <c r="L784" s="273"/>
      <c r="M784" s="273"/>
      <c r="N784" s="274"/>
      <c r="O784" s="131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</row>
    <row r="785" ht="15.75" customHeight="1">
      <c r="A785" s="479"/>
      <c r="B785" s="131"/>
      <c r="C785" s="131"/>
      <c r="D785" s="274"/>
      <c r="E785" s="295"/>
      <c r="F785" s="268"/>
      <c r="G785" s="268"/>
      <c r="H785" s="276"/>
      <c r="I785" s="276"/>
      <c r="J785" s="273"/>
      <c r="K785" s="271"/>
      <c r="L785" s="273"/>
      <c r="M785" s="273"/>
      <c r="N785" s="274"/>
      <c r="O785" s="131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</row>
    <row r="786" ht="15.75" customHeight="1">
      <c r="A786" s="479"/>
      <c r="B786" s="131"/>
      <c r="C786" s="131"/>
      <c r="D786" s="274"/>
      <c r="E786" s="295"/>
      <c r="F786" s="268"/>
      <c r="G786" s="268"/>
      <c r="H786" s="276"/>
      <c r="I786" s="276"/>
      <c r="J786" s="273"/>
      <c r="K786" s="271"/>
      <c r="L786" s="273"/>
      <c r="M786" s="273"/>
      <c r="N786" s="274"/>
      <c r="O786" s="131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</row>
    <row r="787" ht="15.75" customHeight="1">
      <c r="A787" s="479"/>
      <c r="B787" s="131"/>
      <c r="C787" s="131"/>
      <c r="D787" s="274"/>
      <c r="E787" s="295"/>
      <c r="F787" s="268"/>
      <c r="G787" s="268"/>
      <c r="H787" s="276"/>
      <c r="I787" s="276"/>
      <c r="J787" s="273"/>
      <c r="K787" s="271"/>
      <c r="L787" s="273"/>
      <c r="M787" s="273"/>
      <c r="N787" s="274"/>
      <c r="O787" s="131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</row>
    <row r="788" ht="15.75" customHeight="1">
      <c r="A788" s="479"/>
      <c r="B788" s="131"/>
      <c r="C788" s="131"/>
      <c r="D788" s="274"/>
      <c r="E788" s="295"/>
      <c r="F788" s="268"/>
      <c r="G788" s="268"/>
      <c r="H788" s="276"/>
      <c r="I788" s="276"/>
      <c r="J788" s="273"/>
      <c r="K788" s="271"/>
      <c r="L788" s="273"/>
      <c r="M788" s="273"/>
      <c r="N788" s="274"/>
      <c r="O788" s="131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</row>
    <row r="789" ht="15.75" customHeight="1">
      <c r="A789" s="479"/>
      <c r="B789" s="131"/>
      <c r="C789" s="131"/>
      <c r="D789" s="274"/>
      <c r="E789" s="295"/>
      <c r="F789" s="268"/>
      <c r="G789" s="268"/>
      <c r="H789" s="276"/>
      <c r="I789" s="276"/>
      <c r="J789" s="273"/>
      <c r="K789" s="271"/>
      <c r="L789" s="273"/>
      <c r="M789" s="273"/>
      <c r="N789" s="274"/>
      <c r="O789" s="131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</row>
    <row r="790" ht="15.75" customHeight="1">
      <c r="A790" s="479"/>
      <c r="B790" s="131"/>
      <c r="C790" s="131"/>
      <c r="D790" s="274"/>
      <c r="E790" s="295"/>
      <c r="F790" s="268"/>
      <c r="G790" s="268"/>
      <c r="H790" s="276"/>
      <c r="I790" s="276"/>
      <c r="J790" s="273"/>
      <c r="K790" s="271"/>
      <c r="L790" s="273"/>
      <c r="M790" s="273"/>
      <c r="N790" s="274"/>
      <c r="O790" s="131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</row>
    <row r="791" ht="15.75" customHeight="1">
      <c r="A791" s="479"/>
      <c r="B791" s="131"/>
      <c r="C791" s="131"/>
      <c r="D791" s="274"/>
      <c r="E791" s="295"/>
      <c r="F791" s="268"/>
      <c r="G791" s="268"/>
      <c r="H791" s="276"/>
      <c r="I791" s="276"/>
      <c r="J791" s="273"/>
      <c r="K791" s="271"/>
      <c r="L791" s="273"/>
      <c r="M791" s="273"/>
      <c r="N791" s="274"/>
      <c r="O791" s="131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</row>
    <row r="792" ht="15.75" customHeight="1">
      <c r="A792" s="479"/>
      <c r="B792" s="131"/>
      <c r="C792" s="131"/>
      <c r="D792" s="274"/>
      <c r="E792" s="295"/>
      <c r="F792" s="268"/>
      <c r="G792" s="268"/>
      <c r="H792" s="276"/>
      <c r="I792" s="276"/>
      <c r="J792" s="273"/>
      <c r="K792" s="271"/>
      <c r="L792" s="273"/>
      <c r="M792" s="273"/>
      <c r="N792" s="274"/>
      <c r="O792" s="131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</row>
    <row r="793" ht="15.75" customHeight="1">
      <c r="A793" s="479"/>
      <c r="B793" s="131"/>
      <c r="C793" s="131"/>
      <c r="D793" s="274"/>
      <c r="E793" s="295"/>
      <c r="F793" s="268"/>
      <c r="G793" s="268"/>
      <c r="H793" s="276"/>
      <c r="I793" s="276"/>
      <c r="J793" s="273"/>
      <c r="K793" s="271"/>
      <c r="L793" s="273"/>
      <c r="M793" s="273"/>
      <c r="N793" s="274"/>
      <c r="O793" s="131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</row>
    <row r="794" ht="15.75" customHeight="1">
      <c r="A794" s="479"/>
      <c r="B794" s="131"/>
      <c r="C794" s="131"/>
      <c r="D794" s="274"/>
      <c r="E794" s="295"/>
      <c r="F794" s="268"/>
      <c r="G794" s="268"/>
      <c r="H794" s="276"/>
      <c r="I794" s="276"/>
      <c r="J794" s="273"/>
      <c r="K794" s="271"/>
      <c r="L794" s="273"/>
      <c r="M794" s="273"/>
      <c r="N794" s="274"/>
      <c r="O794" s="131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</row>
    <row r="795" ht="15.75" customHeight="1">
      <c r="A795" s="479"/>
      <c r="B795" s="131"/>
      <c r="C795" s="131"/>
      <c r="D795" s="274"/>
      <c r="E795" s="295"/>
      <c r="F795" s="268"/>
      <c r="G795" s="268"/>
      <c r="H795" s="276"/>
      <c r="I795" s="276"/>
      <c r="J795" s="273"/>
      <c r="K795" s="271"/>
      <c r="L795" s="273"/>
      <c r="M795" s="273"/>
      <c r="N795" s="274"/>
      <c r="O795" s="131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</row>
    <row r="796" ht="15.75" customHeight="1">
      <c r="A796" s="479"/>
      <c r="B796" s="131"/>
      <c r="C796" s="131"/>
      <c r="D796" s="274"/>
      <c r="E796" s="295"/>
      <c r="F796" s="268"/>
      <c r="G796" s="268"/>
      <c r="H796" s="276"/>
      <c r="I796" s="276"/>
      <c r="J796" s="273"/>
      <c r="K796" s="271"/>
      <c r="L796" s="273"/>
      <c r="M796" s="273"/>
      <c r="N796" s="274"/>
      <c r="O796" s="131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</row>
    <row r="797" ht="15.75" customHeight="1">
      <c r="A797" s="479"/>
      <c r="B797" s="131"/>
      <c r="C797" s="131"/>
      <c r="D797" s="274"/>
      <c r="E797" s="295"/>
      <c r="F797" s="268"/>
      <c r="G797" s="268"/>
      <c r="H797" s="276"/>
      <c r="I797" s="276"/>
      <c r="J797" s="273"/>
      <c r="K797" s="271"/>
      <c r="L797" s="273"/>
      <c r="M797" s="273"/>
      <c r="N797" s="274"/>
      <c r="O797" s="131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</row>
    <row r="798" ht="15.75" customHeight="1">
      <c r="A798" s="479"/>
      <c r="B798" s="131"/>
      <c r="C798" s="131"/>
      <c r="D798" s="274"/>
      <c r="E798" s="295"/>
      <c r="F798" s="268"/>
      <c r="G798" s="268"/>
      <c r="H798" s="276"/>
      <c r="I798" s="276"/>
      <c r="J798" s="273"/>
      <c r="K798" s="271"/>
      <c r="L798" s="273"/>
      <c r="M798" s="273"/>
      <c r="N798" s="274"/>
      <c r="O798" s="131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</row>
    <row r="799" ht="15.75" customHeight="1">
      <c r="A799" s="479"/>
      <c r="B799" s="131"/>
      <c r="C799" s="131"/>
      <c r="D799" s="274"/>
      <c r="E799" s="295"/>
      <c r="F799" s="268"/>
      <c r="G799" s="268"/>
      <c r="H799" s="276"/>
      <c r="I799" s="276"/>
      <c r="J799" s="273"/>
      <c r="K799" s="271"/>
      <c r="L799" s="273"/>
      <c r="M799" s="273"/>
      <c r="N799" s="274"/>
      <c r="O799" s="131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</row>
    <row r="800" ht="15.75" customHeight="1">
      <c r="A800" s="479"/>
      <c r="B800" s="131"/>
      <c r="C800" s="131"/>
      <c r="D800" s="274"/>
      <c r="E800" s="295"/>
      <c r="F800" s="268"/>
      <c r="G800" s="268"/>
      <c r="H800" s="276"/>
      <c r="I800" s="276"/>
      <c r="J800" s="273"/>
      <c r="K800" s="271"/>
      <c r="L800" s="273"/>
      <c r="M800" s="273"/>
      <c r="N800" s="274"/>
      <c r="O800" s="131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</row>
    <row r="801" ht="15.75" customHeight="1">
      <c r="A801" s="479"/>
      <c r="B801" s="131"/>
      <c r="C801" s="131"/>
      <c r="D801" s="274"/>
      <c r="E801" s="295"/>
      <c r="F801" s="268"/>
      <c r="G801" s="268"/>
      <c r="H801" s="276"/>
      <c r="I801" s="276"/>
      <c r="J801" s="273"/>
      <c r="K801" s="271"/>
      <c r="L801" s="273"/>
      <c r="M801" s="273"/>
      <c r="N801" s="274"/>
      <c r="O801" s="131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</row>
    <row r="802" ht="15.75" customHeight="1">
      <c r="A802" s="479"/>
      <c r="B802" s="131"/>
      <c r="C802" s="131"/>
      <c r="D802" s="274"/>
      <c r="E802" s="295"/>
      <c r="F802" s="268"/>
      <c r="G802" s="268"/>
      <c r="H802" s="276"/>
      <c r="I802" s="276"/>
      <c r="J802" s="273"/>
      <c r="K802" s="271"/>
      <c r="L802" s="273"/>
      <c r="M802" s="273"/>
      <c r="N802" s="274"/>
      <c r="O802" s="131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</row>
    <row r="803" ht="15.75" customHeight="1">
      <c r="A803" s="479"/>
      <c r="B803" s="131"/>
      <c r="C803" s="131"/>
      <c r="D803" s="274"/>
      <c r="E803" s="295"/>
      <c r="F803" s="268"/>
      <c r="G803" s="268"/>
      <c r="H803" s="276"/>
      <c r="I803" s="276"/>
      <c r="J803" s="273"/>
      <c r="K803" s="271"/>
      <c r="L803" s="273"/>
      <c r="M803" s="273"/>
      <c r="N803" s="274"/>
      <c r="O803" s="131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</row>
    <row r="804" ht="15.75" customHeight="1">
      <c r="A804" s="479"/>
      <c r="B804" s="131"/>
      <c r="C804" s="131"/>
      <c r="D804" s="274"/>
      <c r="E804" s="295"/>
      <c r="F804" s="268"/>
      <c r="G804" s="268"/>
      <c r="H804" s="276"/>
      <c r="I804" s="276"/>
      <c r="J804" s="273"/>
      <c r="K804" s="271"/>
      <c r="L804" s="273"/>
      <c r="M804" s="273"/>
      <c r="N804" s="274"/>
      <c r="O804" s="131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</row>
    <row r="805" ht="15.75" customHeight="1">
      <c r="A805" s="479"/>
      <c r="B805" s="131"/>
      <c r="C805" s="131"/>
      <c r="D805" s="274"/>
      <c r="E805" s="295"/>
      <c r="F805" s="268"/>
      <c r="G805" s="268"/>
      <c r="H805" s="276"/>
      <c r="I805" s="276"/>
      <c r="J805" s="273"/>
      <c r="K805" s="271"/>
      <c r="L805" s="273"/>
      <c r="M805" s="273"/>
      <c r="N805" s="274"/>
      <c r="O805" s="131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</row>
    <row r="806" ht="15.75" customHeight="1">
      <c r="A806" s="479"/>
      <c r="B806" s="131"/>
      <c r="C806" s="131"/>
      <c r="D806" s="274"/>
      <c r="E806" s="295"/>
      <c r="F806" s="268"/>
      <c r="G806" s="268"/>
      <c r="H806" s="276"/>
      <c r="I806" s="276"/>
      <c r="J806" s="273"/>
      <c r="K806" s="271"/>
      <c r="L806" s="273"/>
      <c r="M806" s="273"/>
      <c r="N806" s="274"/>
      <c r="O806" s="131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</row>
    <row r="807" ht="15.75" customHeight="1">
      <c r="A807" s="479"/>
      <c r="B807" s="131"/>
      <c r="C807" s="131"/>
      <c r="D807" s="274"/>
      <c r="E807" s="295"/>
      <c r="F807" s="268"/>
      <c r="G807" s="268"/>
      <c r="H807" s="276"/>
      <c r="I807" s="276"/>
      <c r="J807" s="273"/>
      <c r="K807" s="271"/>
      <c r="L807" s="273"/>
      <c r="M807" s="273"/>
      <c r="N807" s="274"/>
      <c r="O807" s="131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</row>
    <row r="808" ht="15.75" customHeight="1">
      <c r="A808" s="479"/>
      <c r="B808" s="131"/>
      <c r="C808" s="131"/>
      <c r="D808" s="274"/>
      <c r="E808" s="295"/>
      <c r="F808" s="268"/>
      <c r="G808" s="268"/>
      <c r="H808" s="276"/>
      <c r="I808" s="276"/>
      <c r="J808" s="273"/>
      <c r="K808" s="271"/>
      <c r="L808" s="273"/>
      <c r="M808" s="273"/>
      <c r="N808" s="274"/>
      <c r="O808" s="131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</row>
    <row r="809" ht="15.75" customHeight="1">
      <c r="A809" s="479"/>
      <c r="B809" s="131"/>
      <c r="C809" s="131"/>
      <c r="D809" s="274"/>
      <c r="E809" s="295"/>
      <c r="F809" s="268"/>
      <c r="G809" s="268"/>
      <c r="H809" s="276"/>
      <c r="I809" s="276"/>
      <c r="J809" s="273"/>
      <c r="K809" s="271"/>
      <c r="L809" s="273"/>
      <c r="M809" s="273"/>
      <c r="N809" s="274"/>
      <c r="O809" s="131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</row>
    <row r="810" ht="15.75" customHeight="1">
      <c r="A810" s="479"/>
      <c r="B810" s="131"/>
      <c r="C810" s="131"/>
      <c r="D810" s="274"/>
      <c r="E810" s="295"/>
      <c r="F810" s="268"/>
      <c r="G810" s="268"/>
      <c r="H810" s="276"/>
      <c r="I810" s="276"/>
      <c r="J810" s="273"/>
      <c r="K810" s="271"/>
      <c r="L810" s="273"/>
      <c r="M810" s="273"/>
      <c r="N810" s="274"/>
      <c r="O810" s="131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</row>
    <row r="811" ht="15.75" customHeight="1">
      <c r="A811" s="479"/>
      <c r="B811" s="131"/>
      <c r="C811" s="131"/>
      <c r="D811" s="274"/>
      <c r="E811" s="295"/>
      <c r="F811" s="268"/>
      <c r="G811" s="268"/>
      <c r="H811" s="276"/>
      <c r="I811" s="276"/>
      <c r="J811" s="273"/>
      <c r="K811" s="271"/>
      <c r="L811" s="273"/>
      <c r="M811" s="273"/>
      <c r="N811" s="274"/>
      <c r="O811" s="131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</row>
    <row r="812" ht="15.75" customHeight="1">
      <c r="A812" s="479"/>
      <c r="B812" s="131"/>
      <c r="C812" s="131"/>
      <c r="D812" s="274"/>
      <c r="E812" s="295"/>
      <c r="F812" s="268"/>
      <c r="G812" s="268"/>
      <c r="H812" s="276"/>
      <c r="I812" s="276"/>
      <c r="J812" s="273"/>
      <c r="K812" s="271"/>
      <c r="L812" s="273"/>
      <c r="M812" s="273"/>
      <c r="N812" s="274"/>
      <c r="O812" s="131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</row>
    <row r="813" ht="15.75" customHeight="1">
      <c r="A813" s="479"/>
      <c r="B813" s="131"/>
      <c r="C813" s="131"/>
      <c r="D813" s="274"/>
      <c r="E813" s="295"/>
      <c r="F813" s="268"/>
      <c r="G813" s="268"/>
      <c r="H813" s="276"/>
      <c r="I813" s="276"/>
      <c r="J813" s="273"/>
      <c r="K813" s="271"/>
      <c r="L813" s="273"/>
      <c r="M813" s="273"/>
      <c r="N813" s="274"/>
      <c r="O813" s="131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</row>
    <row r="814" ht="15.75" customHeight="1">
      <c r="A814" s="479"/>
      <c r="B814" s="131"/>
      <c r="C814" s="131"/>
      <c r="D814" s="274"/>
      <c r="E814" s="295"/>
      <c r="F814" s="268"/>
      <c r="G814" s="268"/>
      <c r="H814" s="276"/>
      <c r="I814" s="276"/>
      <c r="J814" s="273"/>
      <c r="K814" s="271"/>
      <c r="L814" s="273"/>
      <c r="M814" s="273"/>
      <c r="N814" s="274"/>
      <c r="O814" s="131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</row>
    <row r="815" ht="15.75" customHeight="1">
      <c r="A815" s="479"/>
      <c r="B815" s="131"/>
      <c r="C815" s="131"/>
      <c r="D815" s="274"/>
      <c r="E815" s="295"/>
      <c r="F815" s="268"/>
      <c r="G815" s="268"/>
      <c r="H815" s="276"/>
      <c r="I815" s="276"/>
      <c r="J815" s="273"/>
      <c r="K815" s="271"/>
      <c r="L815" s="273"/>
      <c r="M815" s="273"/>
      <c r="N815" s="274"/>
      <c r="O815" s="131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</row>
    <row r="816" ht="15.75" customHeight="1">
      <c r="A816" s="479"/>
      <c r="B816" s="131"/>
      <c r="C816" s="131"/>
      <c r="D816" s="274"/>
      <c r="E816" s="295"/>
      <c r="F816" s="268"/>
      <c r="G816" s="268"/>
      <c r="H816" s="276"/>
      <c r="I816" s="276"/>
      <c r="J816" s="273"/>
      <c r="K816" s="271"/>
      <c r="L816" s="273"/>
      <c r="M816" s="273"/>
      <c r="N816" s="274"/>
      <c r="O816" s="131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</row>
    <row r="817" ht="15.75" customHeight="1">
      <c r="A817" s="479"/>
      <c r="B817" s="131"/>
      <c r="C817" s="131"/>
      <c r="D817" s="274"/>
      <c r="E817" s="295"/>
      <c r="F817" s="268"/>
      <c r="G817" s="268"/>
      <c r="H817" s="276"/>
      <c r="I817" s="276"/>
      <c r="J817" s="273"/>
      <c r="K817" s="271"/>
      <c r="L817" s="273"/>
      <c r="M817" s="273"/>
      <c r="N817" s="274"/>
      <c r="O817" s="131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</row>
    <row r="818" ht="15.75" customHeight="1">
      <c r="A818" s="479"/>
      <c r="B818" s="131"/>
      <c r="C818" s="131"/>
      <c r="D818" s="274"/>
      <c r="E818" s="295"/>
      <c r="F818" s="268"/>
      <c r="G818" s="268"/>
      <c r="H818" s="276"/>
      <c r="I818" s="276"/>
      <c r="J818" s="273"/>
      <c r="K818" s="271"/>
      <c r="L818" s="273"/>
      <c r="M818" s="273"/>
      <c r="N818" s="274"/>
      <c r="O818" s="131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</row>
    <row r="819" ht="15.75" customHeight="1">
      <c r="A819" s="479"/>
      <c r="B819" s="131"/>
      <c r="C819" s="131"/>
      <c r="D819" s="274"/>
      <c r="E819" s="295"/>
      <c r="F819" s="268"/>
      <c r="G819" s="268"/>
      <c r="H819" s="276"/>
      <c r="I819" s="276"/>
      <c r="J819" s="273"/>
      <c r="K819" s="271"/>
      <c r="L819" s="273"/>
      <c r="M819" s="273"/>
      <c r="N819" s="274"/>
      <c r="O819" s="131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</row>
    <row r="820" ht="15.75" customHeight="1">
      <c r="A820" s="479"/>
      <c r="B820" s="131"/>
      <c r="C820" s="131"/>
      <c r="D820" s="274"/>
      <c r="E820" s="295"/>
      <c r="F820" s="268"/>
      <c r="G820" s="268"/>
      <c r="H820" s="276"/>
      <c r="I820" s="276"/>
      <c r="J820" s="273"/>
      <c r="K820" s="271"/>
      <c r="L820" s="273"/>
      <c r="M820" s="273"/>
      <c r="N820" s="274"/>
      <c r="O820" s="131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</row>
    <row r="821" ht="15.75" customHeight="1">
      <c r="A821" s="479"/>
      <c r="B821" s="131"/>
      <c r="C821" s="131"/>
      <c r="D821" s="274"/>
      <c r="E821" s="295"/>
      <c r="F821" s="268"/>
      <c r="G821" s="268"/>
      <c r="H821" s="276"/>
      <c r="I821" s="276"/>
      <c r="J821" s="273"/>
      <c r="K821" s="271"/>
      <c r="L821" s="273"/>
      <c r="M821" s="273"/>
      <c r="N821" s="274"/>
      <c r="O821" s="131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</row>
    <row r="822" ht="15.75" customHeight="1">
      <c r="A822" s="479"/>
      <c r="B822" s="131"/>
      <c r="C822" s="131"/>
      <c r="D822" s="274"/>
      <c r="E822" s="295"/>
      <c r="F822" s="268"/>
      <c r="G822" s="268"/>
      <c r="H822" s="276"/>
      <c r="I822" s="276"/>
      <c r="J822" s="273"/>
      <c r="K822" s="271"/>
      <c r="L822" s="273"/>
      <c r="M822" s="273"/>
      <c r="N822" s="274"/>
      <c r="O822" s="131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</row>
    <row r="823" ht="15.75" customHeight="1">
      <c r="A823" s="479"/>
      <c r="B823" s="131"/>
      <c r="C823" s="131"/>
      <c r="D823" s="274"/>
      <c r="E823" s="295"/>
      <c r="F823" s="268"/>
      <c r="G823" s="268"/>
      <c r="H823" s="276"/>
      <c r="I823" s="276"/>
      <c r="J823" s="273"/>
      <c r="K823" s="271"/>
      <c r="L823" s="273"/>
      <c r="M823" s="273"/>
      <c r="N823" s="274"/>
      <c r="O823" s="131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</row>
    <row r="824" ht="15.75" customHeight="1">
      <c r="A824" s="479"/>
      <c r="B824" s="131"/>
      <c r="C824" s="131"/>
      <c r="D824" s="274"/>
      <c r="E824" s="295"/>
      <c r="F824" s="268"/>
      <c r="G824" s="268"/>
      <c r="H824" s="276"/>
      <c r="I824" s="276"/>
      <c r="J824" s="273"/>
      <c r="K824" s="271"/>
      <c r="L824" s="273"/>
      <c r="M824" s="273"/>
      <c r="N824" s="274"/>
      <c r="O824" s="131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</row>
    <row r="825" ht="15.75" customHeight="1">
      <c r="A825" s="479"/>
      <c r="B825" s="131"/>
      <c r="C825" s="131"/>
      <c r="D825" s="274"/>
      <c r="E825" s="295"/>
      <c r="F825" s="268"/>
      <c r="G825" s="268"/>
      <c r="H825" s="276"/>
      <c r="I825" s="276"/>
      <c r="J825" s="273"/>
      <c r="K825" s="271"/>
      <c r="L825" s="273"/>
      <c r="M825" s="273"/>
      <c r="N825" s="274"/>
      <c r="O825" s="131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</row>
    <row r="826" ht="15.75" customHeight="1">
      <c r="A826" s="479"/>
      <c r="B826" s="131"/>
      <c r="C826" s="131"/>
      <c r="D826" s="274"/>
      <c r="E826" s="295"/>
      <c r="F826" s="268"/>
      <c r="G826" s="268"/>
      <c r="H826" s="276"/>
      <c r="I826" s="276"/>
      <c r="J826" s="273"/>
      <c r="K826" s="271"/>
      <c r="L826" s="273"/>
      <c r="M826" s="273"/>
      <c r="N826" s="274"/>
      <c r="O826" s="131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</row>
    <row r="827" ht="15.75" customHeight="1">
      <c r="A827" s="479"/>
      <c r="B827" s="131"/>
      <c r="C827" s="131"/>
      <c r="D827" s="274"/>
      <c r="E827" s="295"/>
      <c r="F827" s="268"/>
      <c r="G827" s="268"/>
      <c r="H827" s="276"/>
      <c r="I827" s="276"/>
      <c r="J827" s="273"/>
      <c r="K827" s="271"/>
      <c r="L827" s="273"/>
      <c r="M827" s="273"/>
      <c r="N827" s="274"/>
      <c r="O827" s="131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</row>
    <row r="828" ht="15.75" customHeight="1">
      <c r="A828" s="479"/>
      <c r="B828" s="131"/>
      <c r="C828" s="131"/>
      <c r="D828" s="274"/>
      <c r="E828" s="295"/>
      <c r="F828" s="268"/>
      <c r="G828" s="268"/>
      <c r="H828" s="276"/>
      <c r="I828" s="276"/>
      <c r="J828" s="273"/>
      <c r="K828" s="271"/>
      <c r="L828" s="273"/>
      <c r="M828" s="273"/>
      <c r="N828" s="274"/>
      <c r="O828" s="131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</row>
    <row r="829" ht="15.75" customHeight="1">
      <c r="A829" s="479"/>
      <c r="B829" s="131"/>
      <c r="C829" s="131"/>
      <c r="D829" s="274"/>
      <c r="E829" s="295"/>
      <c r="F829" s="268"/>
      <c r="G829" s="268"/>
      <c r="H829" s="276"/>
      <c r="I829" s="276"/>
      <c r="J829" s="273"/>
      <c r="K829" s="271"/>
      <c r="L829" s="273"/>
      <c r="M829" s="273"/>
      <c r="N829" s="274"/>
      <c r="O829" s="131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</row>
    <row r="830" ht="15.75" customHeight="1">
      <c r="A830" s="479"/>
      <c r="B830" s="131"/>
      <c r="C830" s="131"/>
      <c r="D830" s="274"/>
      <c r="E830" s="295"/>
      <c r="F830" s="268"/>
      <c r="G830" s="268"/>
      <c r="H830" s="276"/>
      <c r="I830" s="276"/>
      <c r="J830" s="273"/>
      <c r="K830" s="271"/>
      <c r="L830" s="273"/>
      <c r="M830" s="273"/>
      <c r="N830" s="274"/>
      <c r="O830" s="131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</row>
    <row r="831" ht="15.75" customHeight="1">
      <c r="A831" s="479"/>
      <c r="B831" s="131"/>
      <c r="C831" s="131"/>
      <c r="D831" s="274"/>
      <c r="E831" s="295"/>
      <c r="F831" s="268"/>
      <c r="G831" s="268"/>
      <c r="H831" s="276"/>
      <c r="I831" s="276"/>
      <c r="J831" s="273"/>
      <c r="K831" s="271"/>
      <c r="L831" s="273"/>
      <c r="M831" s="273"/>
      <c r="N831" s="274"/>
      <c r="O831" s="131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</row>
    <row r="832" ht="15.75" customHeight="1">
      <c r="A832" s="479"/>
      <c r="B832" s="131"/>
      <c r="C832" s="131"/>
      <c r="D832" s="274"/>
      <c r="E832" s="295"/>
      <c r="F832" s="268"/>
      <c r="G832" s="268"/>
      <c r="H832" s="276"/>
      <c r="I832" s="276"/>
      <c r="J832" s="273"/>
      <c r="K832" s="271"/>
      <c r="L832" s="273"/>
      <c r="M832" s="273"/>
      <c r="N832" s="274"/>
      <c r="O832" s="131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</row>
    <row r="833" ht="15.75" customHeight="1">
      <c r="A833" s="479"/>
      <c r="B833" s="131"/>
      <c r="C833" s="131"/>
      <c r="D833" s="274"/>
      <c r="E833" s="295"/>
      <c r="F833" s="268"/>
      <c r="G833" s="268"/>
      <c r="H833" s="276"/>
      <c r="I833" s="276"/>
      <c r="J833" s="273"/>
      <c r="K833" s="271"/>
      <c r="L833" s="273"/>
      <c r="M833" s="273"/>
      <c r="N833" s="274"/>
      <c r="O833" s="131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</row>
    <row r="834" ht="15.75" customHeight="1">
      <c r="A834" s="479"/>
      <c r="B834" s="131"/>
      <c r="C834" s="131"/>
      <c r="D834" s="274"/>
      <c r="E834" s="295"/>
      <c r="F834" s="268"/>
      <c r="G834" s="268"/>
      <c r="H834" s="276"/>
      <c r="I834" s="276"/>
      <c r="J834" s="273"/>
      <c r="K834" s="271"/>
      <c r="L834" s="273"/>
      <c r="M834" s="273"/>
      <c r="N834" s="274"/>
      <c r="O834" s="131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</row>
    <row r="835" ht="15.75" customHeight="1">
      <c r="A835" s="479"/>
      <c r="B835" s="131"/>
      <c r="C835" s="131"/>
      <c r="D835" s="274"/>
      <c r="E835" s="295"/>
      <c r="F835" s="268"/>
      <c r="G835" s="268"/>
      <c r="H835" s="276"/>
      <c r="I835" s="276"/>
      <c r="J835" s="273"/>
      <c r="K835" s="271"/>
      <c r="L835" s="273"/>
      <c r="M835" s="273"/>
      <c r="N835" s="274"/>
      <c r="O835" s="131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</row>
    <row r="836" ht="15.75" customHeight="1">
      <c r="A836" s="479"/>
      <c r="B836" s="131"/>
      <c r="C836" s="131"/>
      <c r="D836" s="274"/>
      <c r="E836" s="295"/>
      <c r="F836" s="268"/>
      <c r="G836" s="268"/>
      <c r="H836" s="276"/>
      <c r="I836" s="276"/>
      <c r="J836" s="273"/>
      <c r="K836" s="271"/>
      <c r="L836" s="273"/>
      <c r="M836" s="273"/>
      <c r="N836" s="274"/>
      <c r="O836" s="131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</row>
    <row r="837" ht="15.75" customHeight="1">
      <c r="A837" s="479"/>
      <c r="B837" s="131"/>
      <c r="C837" s="131"/>
      <c r="D837" s="274"/>
      <c r="E837" s="295"/>
      <c r="F837" s="268"/>
      <c r="G837" s="268"/>
      <c r="H837" s="276"/>
      <c r="I837" s="276"/>
      <c r="J837" s="273"/>
      <c r="K837" s="271"/>
      <c r="L837" s="273"/>
      <c r="M837" s="273"/>
      <c r="N837" s="274"/>
      <c r="O837" s="131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</row>
    <row r="838" ht="15.75" customHeight="1">
      <c r="A838" s="479"/>
      <c r="B838" s="131"/>
      <c r="C838" s="131"/>
      <c r="D838" s="274"/>
      <c r="E838" s="295"/>
      <c r="F838" s="268"/>
      <c r="G838" s="268"/>
      <c r="H838" s="276"/>
      <c r="I838" s="276"/>
      <c r="J838" s="273"/>
      <c r="K838" s="271"/>
      <c r="L838" s="273"/>
      <c r="M838" s="273"/>
      <c r="N838" s="274"/>
      <c r="O838" s="131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</row>
    <row r="839" ht="15.75" customHeight="1">
      <c r="A839" s="479"/>
      <c r="B839" s="131"/>
      <c r="C839" s="131"/>
      <c r="D839" s="274"/>
      <c r="E839" s="295"/>
      <c r="F839" s="268"/>
      <c r="G839" s="268"/>
      <c r="H839" s="276"/>
      <c r="I839" s="276"/>
      <c r="J839" s="273"/>
      <c r="K839" s="271"/>
      <c r="L839" s="273"/>
      <c r="M839" s="273"/>
      <c r="N839" s="274"/>
      <c r="O839" s="131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</row>
    <row r="840" ht="15.75" customHeight="1">
      <c r="A840" s="479"/>
      <c r="B840" s="131"/>
      <c r="C840" s="131"/>
      <c r="D840" s="274"/>
      <c r="E840" s="295"/>
      <c r="F840" s="268"/>
      <c r="G840" s="268"/>
      <c r="H840" s="276"/>
      <c r="I840" s="276"/>
      <c r="J840" s="273"/>
      <c r="K840" s="271"/>
      <c r="L840" s="273"/>
      <c r="M840" s="273"/>
      <c r="N840" s="274"/>
      <c r="O840" s="131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</row>
    <row r="841" ht="15.75" customHeight="1">
      <c r="A841" s="479"/>
      <c r="B841" s="131"/>
      <c r="C841" s="131"/>
      <c r="D841" s="274"/>
      <c r="E841" s="295"/>
      <c r="F841" s="268"/>
      <c r="G841" s="268"/>
      <c r="H841" s="276"/>
      <c r="I841" s="276"/>
      <c r="J841" s="273"/>
      <c r="K841" s="271"/>
      <c r="L841" s="273"/>
      <c r="M841" s="273"/>
      <c r="N841" s="274"/>
      <c r="O841" s="131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</row>
    <row r="842" ht="15.75" customHeight="1">
      <c r="A842" s="479"/>
      <c r="B842" s="131"/>
      <c r="C842" s="131"/>
      <c r="D842" s="274"/>
      <c r="E842" s="295"/>
      <c r="F842" s="268"/>
      <c r="G842" s="268"/>
      <c r="H842" s="276"/>
      <c r="I842" s="276"/>
      <c r="J842" s="273"/>
      <c r="K842" s="271"/>
      <c r="L842" s="273"/>
      <c r="M842" s="273"/>
      <c r="N842" s="274"/>
      <c r="O842" s="131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</row>
    <row r="843" ht="15.75" customHeight="1">
      <c r="A843" s="479"/>
      <c r="B843" s="131"/>
      <c r="C843" s="131"/>
      <c r="D843" s="274"/>
      <c r="E843" s="295"/>
      <c r="F843" s="268"/>
      <c r="G843" s="268"/>
      <c r="H843" s="276"/>
      <c r="I843" s="276"/>
      <c r="J843" s="273"/>
      <c r="K843" s="271"/>
      <c r="L843" s="273"/>
      <c r="M843" s="273"/>
      <c r="N843" s="274"/>
      <c r="O843" s="131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</row>
    <row r="844" ht="15.75" customHeight="1">
      <c r="A844" s="479"/>
      <c r="B844" s="131"/>
      <c r="C844" s="131"/>
      <c r="D844" s="274"/>
      <c r="E844" s="295"/>
      <c r="F844" s="268"/>
      <c r="G844" s="268"/>
      <c r="H844" s="276"/>
      <c r="I844" s="276"/>
      <c r="J844" s="273"/>
      <c r="K844" s="271"/>
      <c r="L844" s="273"/>
      <c r="M844" s="273"/>
      <c r="N844" s="274"/>
      <c r="O844" s="131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</row>
    <row r="845" ht="15.75" customHeight="1">
      <c r="A845" s="479"/>
      <c r="B845" s="131"/>
      <c r="C845" s="131"/>
      <c r="D845" s="274"/>
      <c r="E845" s="295"/>
      <c r="F845" s="268"/>
      <c r="G845" s="268"/>
      <c r="H845" s="276"/>
      <c r="I845" s="276"/>
      <c r="J845" s="273"/>
      <c r="K845" s="271"/>
      <c r="L845" s="273"/>
      <c r="M845" s="273"/>
      <c r="N845" s="274"/>
      <c r="O845" s="131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</row>
    <row r="846" ht="15.75" customHeight="1">
      <c r="A846" s="479"/>
      <c r="B846" s="131"/>
      <c r="C846" s="131"/>
      <c r="D846" s="274"/>
      <c r="E846" s="295"/>
      <c r="F846" s="268"/>
      <c r="G846" s="268"/>
      <c r="H846" s="276"/>
      <c r="I846" s="276"/>
      <c r="J846" s="273"/>
      <c r="K846" s="271"/>
      <c r="L846" s="273"/>
      <c r="M846" s="273"/>
      <c r="N846" s="274"/>
      <c r="O846" s="131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</row>
    <row r="847" ht="15.75" customHeight="1">
      <c r="A847" s="479"/>
      <c r="B847" s="131"/>
      <c r="C847" s="131"/>
      <c r="D847" s="274"/>
      <c r="E847" s="295"/>
      <c r="F847" s="268"/>
      <c r="G847" s="268"/>
      <c r="H847" s="276"/>
      <c r="I847" s="276"/>
      <c r="J847" s="273"/>
      <c r="K847" s="271"/>
      <c r="L847" s="273"/>
      <c r="M847" s="273"/>
      <c r="N847" s="274"/>
      <c r="O847" s="131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</row>
    <row r="848" ht="15.75" customHeight="1">
      <c r="A848" s="479"/>
      <c r="B848" s="131"/>
      <c r="C848" s="131"/>
      <c r="D848" s="274"/>
      <c r="E848" s="295"/>
      <c r="F848" s="268"/>
      <c r="G848" s="268"/>
      <c r="H848" s="276"/>
      <c r="I848" s="276"/>
      <c r="J848" s="273"/>
      <c r="K848" s="271"/>
      <c r="L848" s="273"/>
      <c r="M848" s="273"/>
      <c r="N848" s="274"/>
      <c r="O848" s="131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</row>
    <row r="849" ht="15.75" customHeight="1">
      <c r="A849" s="479"/>
      <c r="B849" s="131"/>
      <c r="C849" s="131"/>
      <c r="D849" s="274"/>
      <c r="E849" s="295"/>
      <c r="F849" s="268"/>
      <c r="G849" s="268"/>
      <c r="H849" s="276"/>
      <c r="I849" s="276"/>
      <c r="J849" s="273"/>
      <c r="K849" s="271"/>
      <c r="L849" s="273"/>
      <c r="M849" s="273"/>
      <c r="N849" s="274"/>
      <c r="O849" s="131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</row>
    <row r="850" ht="15.75" customHeight="1">
      <c r="A850" s="479"/>
      <c r="B850" s="131"/>
      <c r="C850" s="131"/>
      <c r="D850" s="274"/>
      <c r="E850" s="295"/>
      <c r="F850" s="268"/>
      <c r="G850" s="268"/>
      <c r="H850" s="276"/>
      <c r="I850" s="276"/>
      <c r="J850" s="273"/>
      <c r="K850" s="271"/>
      <c r="L850" s="273"/>
      <c r="M850" s="273"/>
      <c r="N850" s="274"/>
      <c r="O850" s="131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</row>
    <row r="851" ht="15.75" customHeight="1">
      <c r="A851" s="479"/>
      <c r="B851" s="131"/>
      <c r="C851" s="131"/>
      <c r="D851" s="274"/>
      <c r="E851" s="295"/>
      <c r="F851" s="268"/>
      <c r="G851" s="268"/>
      <c r="H851" s="276"/>
      <c r="I851" s="276"/>
      <c r="J851" s="273"/>
      <c r="K851" s="271"/>
      <c r="L851" s="273"/>
      <c r="M851" s="273"/>
      <c r="N851" s="274"/>
      <c r="O851" s="131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</row>
    <row r="852" ht="15.75" customHeight="1">
      <c r="A852" s="479"/>
      <c r="B852" s="131"/>
      <c r="C852" s="131"/>
      <c r="D852" s="274"/>
      <c r="E852" s="295"/>
      <c r="F852" s="268"/>
      <c r="G852" s="268"/>
      <c r="H852" s="276"/>
      <c r="I852" s="276"/>
      <c r="J852" s="273"/>
      <c r="K852" s="271"/>
      <c r="L852" s="273"/>
      <c r="M852" s="273"/>
      <c r="N852" s="274"/>
      <c r="O852" s="131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</row>
    <row r="853" ht="15.75" customHeight="1">
      <c r="A853" s="479"/>
      <c r="B853" s="131"/>
      <c r="C853" s="131"/>
      <c r="D853" s="274"/>
      <c r="E853" s="295"/>
      <c r="F853" s="268"/>
      <c r="G853" s="268"/>
      <c r="H853" s="276"/>
      <c r="I853" s="276"/>
      <c r="J853" s="273"/>
      <c r="K853" s="271"/>
      <c r="L853" s="273"/>
      <c r="M853" s="273"/>
      <c r="N853" s="274"/>
      <c r="O853" s="131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</row>
    <row r="854" ht="15.75" customHeight="1">
      <c r="A854" s="479"/>
      <c r="B854" s="131"/>
      <c r="C854" s="131"/>
      <c r="D854" s="274"/>
      <c r="E854" s="295"/>
      <c r="F854" s="268"/>
      <c r="G854" s="268"/>
      <c r="H854" s="276"/>
      <c r="I854" s="276"/>
      <c r="J854" s="273"/>
      <c r="K854" s="271"/>
      <c r="L854" s="273"/>
      <c r="M854" s="273"/>
      <c r="N854" s="274"/>
      <c r="O854" s="131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</row>
    <row r="855" ht="15.75" customHeight="1">
      <c r="A855" s="479"/>
      <c r="B855" s="131"/>
      <c r="C855" s="131"/>
      <c r="D855" s="274"/>
      <c r="E855" s="295"/>
      <c r="F855" s="268"/>
      <c r="G855" s="268"/>
      <c r="H855" s="276"/>
      <c r="I855" s="276"/>
      <c r="J855" s="273"/>
      <c r="K855" s="271"/>
      <c r="L855" s="273"/>
      <c r="M855" s="273"/>
      <c r="N855" s="274"/>
      <c r="O855" s="131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</row>
    <row r="856" ht="15.75" customHeight="1">
      <c r="A856" s="479"/>
      <c r="B856" s="131"/>
      <c r="C856" s="131"/>
      <c r="D856" s="274"/>
      <c r="E856" s="295"/>
      <c r="F856" s="268"/>
      <c r="G856" s="268"/>
      <c r="H856" s="276"/>
      <c r="I856" s="276"/>
      <c r="J856" s="273"/>
      <c r="K856" s="271"/>
      <c r="L856" s="273"/>
      <c r="M856" s="273"/>
      <c r="N856" s="274"/>
      <c r="O856" s="131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</row>
    <row r="857" ht="15.75" customHeight="1">
      <c r="A857" s="479"/>
      <c r="B857" s="131"/>
      <c r="C857" s="131"/>
      <c r="D857" s="274"/>
      <c r="E857" s="295"/>
      <c r="F857" s="268"/>
      <c r="G857" s="268"/>
      <c r="H857" s="276"/>
      <c r="I857" s="276"/>
      <c r="J857" s="273"/>
      <c r="K857" s="271"/>
      <c r="L857" s="273"/>
      <c r="M857" s="273"/>
      <c r="N857" s="274"/>
      <c r="O857" s="131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</row>
    <row r="858" ht="15.75" customHeight="1">
      <c r="A858" s="479"/>
      <c r="B858" s="131"/>
      <c r="C858" s="131"/>
      <c r="D858" s="274"/>
      <c r="E858" s="295"/>
      <c r="F858" s="268"/>
      <c r="G858" s="268"/>
      <c r="H858" s="276"/>
      <c r="I858" s="276"/>
      <c r="J858" s="273"/>
      <c r="K858" s="271"/>
      <c r="L858" s="273"/>
      <c r="M858" s="273"/>
      <c r="N858" s="274"/>
      <c r="O858" s="131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</row>
    <row r="859" ht="15.75" customHeight="1">
      <c r="A859" s="479"/>
      <c r="B859" s="131"/>
      <c r="C859" s="131"/>
      <c r="D859" s="274"/>
      <c r="E859" s="295"/>
      <c r="F859" s="268"/>
      <c r="G859" s="268"/>
      <c r="H859" s="276"/>
      <c r="I859" s="276"/>
      <c r="J859" s="273"/>
      <c r="K859" s="271"/>
      <c r="L859" s="273"/>
      <c r="M859" s="273"/>
      <c r="N859" s="274"/>
      <c r="O859" s="131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</row>
    <row r="860" ht="15.75" customHeight="1">
      <c r="A860" s="479"/>
      <c r="B860" s="131"/>
      <c r="C860" s="131"/>
      <c r="D860" s="274"/>
      <c r="E860" s="295"/>
      <c r="F860" s="268"/>
      <c r="G860" s="268"/>
      <c r="H860" s="276"/>
      <c r="I860" s="276"/>
      <c r="J860" s="273"/>
      <c r="K860" s="271"/>
      <c r="L860" s="273"/>
      <c r="M860" s="273"/>
      <c r="N860" s="274"/>
      <c r="O860" s="131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</row>
    <row r="861" ht="15.75" customHeight="1">
      <c r="A861" s="479"/>
      <c r="B861" s="131"/>
      <c r="C861" s="131"/>
      <c r="D861" s="274"/>
      <c r="E861" s="295"/>
      <c r="F861" s="268"/>
      <c r="G861" s="268"/>
      <c r="H861" s="276"/>
      <c r="I861" s="276"/>
      <c r="J861" s="273"/>
      <c r="K861" s="271"/>
      <c r="L861" s="273"/>
      <c r="M861" s="273"/>
      <c r="N861" s="274"/>
      <c r="O861" s="131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</row>
    <row r="862" ht="15.75" customHeight="1">
      <c r="A862" s="479"/>
      <c r="B862" s="131"/>
      <c r="C862" s="131"/>
      <c r="D862" s="274"/>
      <c r="E862" s="295"/>
      <c r="F862" s="268"/>
      <c r="G862" s="268"/>
      <c r="H862" s="276"/>
      <c r="I862" s="276"/>
      <c r="J862" s="273"/>
      <c r="K862" s="271"/>
      <c r="L862" s="273"/>
      <c r="M862" s="273"/>
      <c r="N862" s="274"/>
      <c r="O862" s="131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</row>
    <row r="863" ht="15.75" customHeight="1">
      <c r="A863" s="479"/>
      <c r="B863" s="131"/>
      <c r="C863" s="131"/>
      <c r="D863" s="274"/>
      <c r="E863" s="295"/>
      <c r="F863" s="268"/>
      <c r="G863" s="268"/>
      <c r="H863" s="276"/>
      <c r="I863" s="276"/>
      <c r="J863" s="273"/>
      <c r="K863" s="271"/>
      <c r="L863" s="273"/>
      <c r="M863" s="273"/>
      <c r="N863" s="274"/>
      <c r="O863" s="131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</row>
    <row r="864" ht="15.75" customHeight="1">
      <c r="A864" s="479"/>
      <c r="B864" s="131"/>
      <c r="C864" s="131"/>
      <c r="D864" s="274"/>
      <c r="E864" s="295"/>
      <c r="F864" s="268"/>
      <c r="G864" s="268"/>
      <c r="H864" s="276"/>
      <c r="I864" s="276"/>
      <c r="J864" s="273"/>
      <c r="K864" s="271"/>
      <c r="L864" s="273"/>
      <c r="M864" s="273"/>
      <c r="N864" s="274"/>
      <c r="O864" s="131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</row>
    <row r="865" ht="15.75" customHeight="1">
      <c r="A865" s="479"/>
      <c r="B865" s="131"/>
      <c r="C865" s="131"/>
      <c r="D865" s="274"/>
      <c r="E865" s="295"/>
      <c r="F865" s="268"/>
      <c r="G865" s="268"/>
      <c r="H865" s="276"/>
      <c r="I865" s="276"/>
      <c r="J865" s="273"/>
      <c r="K865" s="271"/>
      <c r="L865" s="273"/>
      <c r="M865" s="273"/>
      <c r="N865" s="274"/>
      <c r="O865" s="131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</row>
    <row r="866" ht="15.75" customHeight="1">
      <c r="A866" s="479"/>
      <c r="B866" s="131"/>
      <c r="C866" s="131"/>
      <c r="D866" s="274"/>
      <c r="E866" s="295"/>
      <c r="F866" s="268"/>
      <c r="G866" s="268"/>
      <c r="H866" s="276"/>
      <c r="I866" s="276"/>
      <c r="J866" s="273"/>
      <c r="K866" s="271"/>
      <c r="L866" s="273"/>
      <c r="M866" s="273"/>
      <c r="N866" s="274"/>
      <c r="O866" s="131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</row>
    <row r="867" ht="15.75" customHeight="1">
      <c r="A867" s="479"/>
      <c r="B867" s="131"/>
      <c r="C867" s="131"/>
      <c r="D867" s="274"/>
      <c r="E867" s="295"/>
      <c r="F867" s="268"/>
      <c r="G867" s="268"/>
      <c r="H867" s="276"/>
      <c r="I867" s="276"/>
      <c r="J867" s="273"/>
      <c r="K867" s="271"/>
      <c r="L867" s="273"/>
      <c r="M867" s="273"/>
      <c r="N867" s="274"/>
      <c r="O867" s="131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</row>
    <row r="868" ht="15.75" customHeight="1">
      <c r="A868" s="479"/>
      <c r="B868" s="131"/>
      <c r="C868" s="131"/>
      <c r="D868" s="274"/>
      <c r="E868" s="295"/>
      <c r="F868" s="268"/>
      <c r="G868" s="268"/>
      <c r="H868" s="276"/>
      <c r="I868" s="276"/>
      <c r="J868" s="273"/>
      <c r="K868" s="271"/>
      <c r="L868" s="273"/>
      <c r="M868" s="273"/>
      <c r="N868" s="274"/>
      <c r="O868" s="131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</row>
    <row r="869" ht="15.75" customHeight="1">
      <c r="A869" s="479"/>
      <c r="B869" s="131"/>
      <c r="C869" s="131"/>
      <c r="D869" s="274"/>
      <c r="E869" s="295"/>
      <c r="F869" s="268"/>
      <c r="G869" s="268"/>
      <c r="H869" s="276"/>
      <c r="I869" s="276"/>
      <c r="J869" s="273"/>
      <c r="K869" s="271"/>
      <c r="L869" s="273"/>
      <c r="M869" s="273"/>
      <c r="N869" s="274"/>
      <c r="O869" s="131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</row>
    <row r="870" ht="15.75" customHeight="1">
      <c r="A870" s="479"/>
      <c r="B870" s="131"/>
      <c r="C870" s="131"/>
      <c r="D870" s="274"/>
      <c r="E870" s="295"/>
      <c r="F870" s="268"/>
      <c r="G870" s="268"/>
      <c r="H870" s="276"/>
      <c r="I870" s="276"/>
      <c r="J870" s="273"/>
      <c r="K870" s="271"/>
      <c r="L870" s="273"/>
      <c r="M870" s="273"/>
      <c r="N870" s="274"/>
      <c r="O870" s="131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</row>
    <row r="871" ht="15.75" customHeight="1">
      <c r="A871" s="479"/>
      <c r="B871" s="131"/>
      <c r="C871" s="131"/>
      <c r="D871" s="274"/>
      <c r="E871" s="295"/>
      <c r="F871" s="268"/>
      <c r="G871" s="268"/>
      <c r="H871" s="276"/>
      <c r="I871" s="276"/>
      <c r="J871" s="273"/>
      <c r="K871" s="271"/>
      <c r="L871" s="273"/>
      <c r="M871" s="273"/>
      <c r="N871" s="274"/>
      <c r="O871" s="131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</row>
    <row r="872" ht="15.75" customHeight="1">
      <c r="A872" s="479"/>
      <c r="B872" s="131"/>
      <c r="C872" s="131"/>
      <c r="D872" s="274"/>
      <c r="E872" s="295"/>
      <c r="F872" s="268"/>
      <c r="G872" s="268"/>
      <c r="H872" s="276"/>
      <c r="I872" s="276"/>
      <c r="J872" s="273"/>
      <c r="K872" s="271"/>
      <c r="L872" s="273"/>
      <c r="M872" s="273"/>
      <c r="N872" s="274"/>
      <c r="O872" s="131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</row>
    <row r="873" ht="15.75" customHeight="1">
      <c r="A873" s="479"/>
      <c r="B873" s="131"/>
      <c r="C873" s="131"/>
      <c r="D873" s="274"/>
      <c r="E873" s="295"/>
      <c r="F873" s="268"/>
      <c r="G873" s="268"/>
      <c r="H873" s="276"/>
      <c r="I873" s="276"/>
      <c r="J873" s="273"/>
      <c r="K873" s="271"/>
      <c r="L873" s="273"/>
      <c r="M873" s="273"/>
      <c r="N873" s="274"/>
      <c r="O873" s="131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</row>
    <row r="874" ht="15.75" customHeight="1">
      <c r="A874" s="479"/>
      <c r="B874" s="131"/>
      <c r="C874" s="131"/>
      <c r="D874" s="274"/>
      <c r="E874" s="295"/>
      <c r="F874" s="268"/>
      <c r="G874" s="268"/>
      <c r="H874" s="276"/>
      <c r="I874" s="276"/>
      <c r="J874" s="273"/>
      <c r="K874" s="271"/>
      <c r="L874" s="273"/>
      <c r="M874" s="273"/>
      <c r="N874" s="274"/>
      <c r="O874" s="131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</row>
    <row r="875" ht="15.75" customHeight="1">
      <c r="A875" s="479"/>
      <c r="B875" s="131"/>
      <c r="C875" s="131"/>
      <c r="D875" s="274"/>
      <c r="E875" s="295"/>
      <c r="F875" s="268"/>
      <c r="G875" s="268"/>
      <c r="H875" s="276"/>
      <c r="I875" s="276"/>
      <c r="J875" s="273"/>
      <c r="K875" s="271"/>
      <c r="L875" s="273"/>
      <c r="M875" s="273"/>
      <c r="N875" s="274"/>
      <c r="O875" s="131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</row>
    <row r="876" ht="15.75" customHeight="1">
      <c r="A876" s="479"/>
      <c r="B876" s="131"/>
      <c r="C876" s="131"/>
      <c r="D876" s="274"/>
      <c r="E876" s="295"/>
      <c r="F876" s="268"/>
      <c r="G876" s="268"/>
      <c r="H876" s="276"/>
      <c r="I876" s="276"/>
      <c r="J876" s="273"/>
      <c r="K876" s="271"/>
      <c r="L876" s="273"/>
      <c r="M876" s="273"/>
      <c r="N876" s="274"/>
      <c r="O876" s="131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</row>
    <row r="877" ht="15.75" customHeight="1">
      <c r="A877" s="479"/>
      <c r="B877" s="131"/>
      <c r="C877" s="131"/>
      <c r="D877" s="274"/>
      <c r="E877" s="295"/>
      <c r="F877" s="268"/>
      <c r="G877" s="268"/>
      <c r="H877" s="276"/>
      <c r="I877" s="276"/>
      <c r="J877" s="273"/>
      <c r="K877" s="271"/>
      <c r="L877" s="273"/>
      <c r="M877" s="273"/>
      <c r="N877" s="274"/>
      <c r="O877" s="131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</row>
    <row r="878" ht="15.75" customHeight="1">
      <c r="A878" s="479"/>
      <c r="B878" s="131"/>
      <c r="C878" s="131"/>
      <c r="D878" s="274"/>
      <c r="E878" s="295"/>
      <c r="F878" s="268"/>
      <c r="G878" s="268"/>
      <c r="H878" s="276"/>
      <c r="I878" s="276"/>
      <c r="J878" s="273"/>
      <c r="K878" s="271"/>
      <c r="L878" s="273"/>
      <c r="M878" s="273"/>
      <c r="N878" s="274"/>
      <c r="O878" s="131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</row>
    <row r="879" ht="15.75" customHeight="1">
      <c r="A879" s="479"/>
      <c r="B879" s="131"/>
      <c r="C879" s="131"/>
      <c r="D879" s="274"/>
      <c r="E879" s="295"/>
      <c r="F879" s="268"/>
      <c r="G879" s="268"/>
      <c r="H879" s="276"/>
      <c r="I879" s="276"/>
      <c r="J879" s="273"/>
      <c r="K879" s="271"/>
      <c r="L879" s="273"/>
      <c r="M879" s="273"/>
      <c r="N879" s="274"/>
      <c r="O879" s="131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</row>
    <row r="880" ht="15.75" customHeight="1">
      <c r="A880" s="479"/>
      <c r="B880" s="131"/>
      <c r="C880" s="131"/>
      <c r="D880" s="274"/>
      <c r="E880" s="295"/>
      <c r="F880" s="268"/>
      <c r="G880" s="268"/>
      <c r="H880" s="276"/>
      <c r="I880" s="276"/>
      <c r="J880" s="273"/>
      <c r="K880" s="271"/>
      <c r="L880" s="273"/>
      <c r="M880" s="273"/>
      <c r="N880" s="274"/>
      <c r="O880" s="131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</row>
    <row r="881" ht="15.75" customHeight="1">
      <c r="A881" s="479"/>
      <c r="B881" s="131"/>
      <c r="C881" s="131"/>
      <c r="D881" s="274"/>
      <c r="E881" s="295"/>
      <c r="F881" s="268"/>
      <c r="G881" s="268"/>
      <c r="H881" s="276"/>
      <c r="I881" s="276"/>
      <c r="J881" s="273"/>
      <c r="K881" s="271"/>
      <c r="L881" s="273"/>
      <c r="M881" s="273"/>
      <c r="N881" s="274"/>
      <c r="O881" s="131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</row>
    <row r="882" ht="15.75" customHeight="1">
      <c r="A882" s="479"/>
      <c r="B882" s="131"/>
      <c r="C882" s="131"/>
      <c r="D882" s="274"/>
      <c r="E882" s="295"/>
      <c r="F882" s="268"/>
      <c r="G882" s="268"/>
      <c r="H882" s="276"/>
      <c r="I882" s="276"/>
      <c r="J882" s="273"/>
      <c r="K882" s="271"/>
      <c r="L882" s="273"/>
      <c r="M882" s="273"/>
      <c r="N882" s="274"/>
      <c r="O882" s="131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</row>
    <row r="883" ht="15.75" customHeight="1">
      <c r="A883" s="479"/>
      <c r="B883" s="131"/>
      <c r="C883" s="131"/>
      <c r="D883" s="274"/>
      <c r="E883" s="295"/>
      <c r="F883" s="268"/>
      <c r="G883" s="268"/>
      <c r="H883" s="276"/>
      <c r="I883" s="276"/>
      <c r="J883" s="273"/>
      <c r="K883" s="271"/>
      <c r="L883" s="273"/>
      <c r="M883" s="273"/>
      <c r="N883" s="274"/>
      <c r="O883" s="131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</row>
    <row r="884" ht="15.75" customHeight="1">
      <c r="A884" s="479"/>
      <c r="B884" s="131"/>
      <c r="C884" s="131"/>
      <c r="D884" s="274"/>
      <c r="E884" s="295"/>
      <c r="F884" s="268"/>
      <c r="G884" s="268"/>
      <c r="H884" s="276"/>
      <c r="I884" s="276"/>
      <c r="J884" s="273"/>
      <c r="K884" s="271"/>
      <c r="L884" s="273"/>
      <c r="M884" s="273"/>
      <c r="N884" s="274"/>
      <c r="O884" s="131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</row>
    <row r="885" ht="15.75" customHeight="1">
      <c r="A885" s="479"/>
      <c r="B885" s="131"/>
      <c r="C885" s="131"/>
      <c r="D885" s="274"/>
      <c r="E885" s="295"/>
      <c r="F885" s="268"/>
      <c r="G885" s="268"/>
      <c r="H885" s="276"/>
      <c r="I885" s="276"/>
      <c r="J885" s="273"/>
      <c r="K885" s="271"/>
      <c r="L885" s="273"/>
      <c r="M885" s="273"/>
      <c r="N885" s="274"/>
      <c r="O885" s="131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</row>
    <row r="886" ht="15.75" customHeight="1">
      <c r="A886" s="479"/>
      <c r="B886" s="131"/>
      <c r="C886" s="131"/>
      <c r="D886" s="274"/>
      <c r="E886" s="295"/>
      <c r="F886" s="268"/>
      <c r="G886" s="268"/>
      <c r="H886" s="276"/>
      <c r="I886" s="276"/>
      <c r="J886" s="273"/>
      <c r="K886" s="271"/>
      <c r="L886" s="273"/>
      <c r="M886" s="273"/>
      <c r="N886" s="274"/>
      <c r="O886" s="131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</row>
    <row r="887" ht="15.75" customHeight="1">
      <c r="A887" s="479"/>
      <c r="B887" s="131"/>
      <c r="C887" s="131"/>
      <c r="D887" s="274"/>
      <c r="E887" s="295"/>
      <c r="F887" s="268"/>
      <c r="G887" s="268"/>
      <c r="H887" s="276"/>
      <c r="I887" s="276"/>
      <c r="J887" s="273"/>
      <c r="K887" s="271"/>
      <c r="L887" s="273"/>
      <c r="M887" s="273"/>
      <c r="N887" s="274"/>
      <c r="O887" s="131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</row>
    <row r="888" ht="15.75" customHeight="1">
      <c r="A888" s="479"/>
      <c r="B888" s="131"/>
      <c r="C888" s="131"/>
      <c r="D888" s="274"/>
      <c r="E888" s="295"/>
      <c r="F888" s="268"/>
      <c r="G888" s="268"/>
      <c r="H888" s="276"/>
      <c r="I888" s="276"/>
      <c r="J888" s="273"/>
      <c r="K888" s="271"/>
      <c r="L888" s="273"/>
      <c r="M888" s="273"/>
      <c r="N888" s="274"/>
      <c r="O888" s="131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</row>
    <row r="889" ht="15.75" customHeight="1">
      <c r="A889" s="479"/>
      <c r="B889" s="131"/>
      <c r="C889" s="131"/>
      <c r="D889" s="274"/>
      <c r="E889" s="295"/>
      <c r="F889" s="268"/>
      <c r="G889" s="268"/>
      <c r="H889" s="276"/>
      <c r="I889" s="276"/>
      <c r="J889" s="273"/>
      <c r="K889" s="271"/>
      <c r="L889" s="273"/>
      <c r="M889" s="273"/>
      <c r="N889" s="274"/>
      <c r="O889" s="131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</row>
    <row r="890" ht="15.75" customHeight="1">
      <c r="A890" s="479"/>
      <c r="B890" s="131"/>
      <c r="C890" s="131"/>
      <c r="D890" s="274"/>
      <c r="E890" s="295"/>
      <c r="F890" s="268"/>
      <c r="G890" s="268"/>
      <c r="H890" s="276"/>
      <c r="I890" s="276"/>
      <c r="J890" s="273"/>
      <c r="K890" s="271"/>
      <c r="L890" s="273"/>
      <c r="M890" s="273"/>
      <c r="N890" s="274"/>
      <c r="O890" s="131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</row>
    <row r="891" ht="15.75" customHeight="1">
      <c r="A891" s="479"/>
      <c r="B891" s="131"/>
      <c r="C891" s="131"/>
      <c r="D891" s="274"/>
      <c r="E891" s="295"/>
      <c r="F891" s="268"/>
      <c r="G891" s="268"/>
      <c r="H891" s="276"/>
      <c r="I891" s="276"/>
      <c r="J891" s="273"/>
      <c r="K891" s="271"/>
      <c r="L891" s="273"/>
      <c r="M891" s="273"/>
      <c r="N891" s="274"/>
      <c r="O891" s="131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</row>
    <row r="892" ht="15.75" customHeight="1">
      <c r="A892" s="479"/>
      <c r="B892" s="131"/>
      <c r="C892" s="131"/>
      <c r="D892" s="274"/>
      <c r="E892" s="295"/>
      <c r="F892" s="268"/>
      <c r="G892" s="268"/>
      <c r="H892" s="276"/>
      <c r="I892" s="276"/>
      <c r="J892" s="273"/>
      <c r="K892" s="271"/>
      <c r="L892" s="273"/>
      <c r="M892" s="273"/>
      <c r="N892" s="274"/>
      <c r="O892" s="131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</row>
    <row r="893" ht="15.75" customHeight="1">
      <c r="A893" s="479"/>
      <c r="B893" s="131"/>
      <c r="C893" s="131"/>
      <c r="D893" s="274"/>
      <c r="E893" s="295"/>
      <c r="F893" s="268"/>
      <c r="G893" s="268"/>
      <c r="H893" s="276"/>
      <c r="I893" s="276"/>
      <c r="J893" s="273"/>
      <c r="K893" s="271"/>
      <c r="L893" s="273"/>
      <c r="M893" s="273"/>
      <c r="N893" s="274"/>
      <c r="O893" s="131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</row>
    <row r="894" ht="15.75" customHeight="1">
      <c r="A894" s="479"/>
      <c r="B894" s="131"/>
      <c r="C894" s="131"/>
      <c r="D894" s="274"/>
      <c r="E894" s="295"/>
      <c r="F894" s="268"/>
      <c r="G894" s="268"/>
      <c r="H894" s="276"/>
      <c r="I894" s="276"/>
      <c r="J894" s="273"/>
      <c r="K894" s="271"/>
      <c r="L894" s="273"/>
      <c r="M894" s="273"/>
      <c r="N894" s="274"/>
      <c r="O894" s="131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</row>
    <row r="895" ht="15.75" customHeight="1">
      <c r="A895" s="479"/>
      <c r="B895" s="131"/>
      <c r="C895" s="131"/>
      <c r="D895" s="274"/>
      <c r="E895" s="295"/>
      <c r="F895" s="268"/>
      <c r="G895" s="268"/>
      <c r="H895" s="276"/>
      <c r="I895" s="276"/>
      <c r="J895" s="273"/>
      <c r="K895" s="271"/>
      <c r="L895" s="273"/>
      <c r="M895" s="273"/>
      <c r="N895" s="274"/>
      <c r="O895" s="131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</row>
    <row r="896" ht="15.75" customHeight="1">
      <c r="A896" s="479"/>
      <c r="B896" s="131"/>
      <c r="C896" s="131"/>
      <c r="D896" s="274"/>
      <c r="E896" s="295"/>
      <c r="F896" s="268"/>
      <c r="G896" s="268"/>
      <c r="H896" s="276"/>
      <c r="I896" s="276"/>
      <c r="J896" s="273"/>
      <c r="K896" s="271"/>
      <c r="L896" s="273"/>
      <c r="M896" s="273"/>
      <c r="N896" s="274"/>
      <c r="O896" s="131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</row>
    <row r="897" ht="15.75" customHeight="1">
      <c r="A897" s="479"/>
      <c r="B897" s="131"/>
      <c r="C897" s="131"/>
      <c r="D897" s="274"/>
      <c r="E897" s="295"/>
      <c r="F897" s="268"/>
      <c r="G897" s="268"/>
      <c r="H897" s="276"/>
      <c r="I897" s="276"/>
      <c r="J897" s="273"/>
      <c r="K897" s="271"/>
      <c r="L897" s="273"/>
      <c r="M897" s="273"/>
      <c r="N897" s="274"/>
      <c r="O897" s="131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</row>
    <row r="898" ht="15.75" customHeight="1">
      <c r="A898" s="479"/>
      <c r="B898" s="131"/>
      <c r="C898" s="131"/>
      <c r="D898" s="274"/>
      <c r="E898" s="295"/>
      <c r="F898" s="268"/>
      <c r="G898" s="268"/>
      <c r="H898" s="276"/>
      <c r="I898" s="276"/>
      <c r="J898" s="273"/>
      <c r="K898" s="271"/>
      <c r="L898" s="273"/>
      <c r="M898" s="273"/>
      <c r="N898" s="274"/>
      <c r="O898" s="131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</row>
    <row r="899" ht="15.75" customHeight="1">
      <c r="A899" s="479"/>
      <c r="B899" s="131"/>
      <c r="C899" s="131"/>
      <c r="D899" s="274"/>
      <c r="E899" s="295"/>
      <c r="F899" s="268"/>
      <c r="G899" s="268"/>
      <c r="H899" s="276"/>
      <c r="I899" s="276"/>
      <c r="J899" s="273"/>
      <c r="K899" s="271"/>
      <c r="L899" s="273"/>
      <c r="M899" s="273"/>
      <c r="N899" s="274"/>
      <c r="O899" s="131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</row>
    <row r="900" ht="15.75" customHeight="1">
      <c r="A900" s="479"/>
      <c r="B900" s="131"/>
      <c r="C900" s="131"/>
      <c r="D900" s="274"/>
      <c r="E900" s="295"/>
      <c r="F900" s="268"/>
      <c r="G900" s="268"/>
      <c r="H900" s="276"/>
      <c r="I900" s="276"/>
      <c r="J900" s="273"/>
      <c r="K900" s="271"/>
      <c r="L900" s="273"/>
      <c r="M900" s="273"/>
      <c r="N900" s="274"/>
      <c r="O900" s="131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</row>
    <row r="901" ht="15.75" customHeight="1">
      <c r="A901" s="479"/>
      <c r="B901" s="131"/>
      <c r="C901" s="131"/>
      <c r="D901" s="274"/>
      <c r="E901" s="295"/>
      <c r="F901" s="268"/>
      <c r="G901" s="268"/>
      <c r="H901" s="276"/>
      <c r="I901" s="276"/>
      <c r="J901" s="273"/>
      <c r="K901" s="271"/>
      <c r="L901" s="273"/>
      <c r="M901" s="273"/>
      <c r="N901" s="274"/>
      <c r="O901" s="131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</row>
    <row r="902" ht="15.75" customHeight="1">
      <c r="A902" s="479"/>
      <c r="B902" s="131"/>
      <c r="C902" s="131"/>
      <c r="D902" s="274"/>
      <c r="E902" s="295"/>
      <c r="F902" s="268"/>
      <c r="G902" s="268"/>
      <c r="H902" s="276"/>
      <c r="I902" s="276"/>
      <c r="J902" s="273"/>
      <c r="K902" s="271"/>
      <c r="L902" s="273"/>
      <c r="M902" s="273"/>
      <c r="N902" s="274"/>
      <c r="O902" s="131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</row>
    <row r="903" ht="15.75" customHeight="1">
      <c r="A903" s="479"/>
      <c r="B903" s="131"/>
      <c r="C903" s="131"/>
      <c r="D903" s="274"/>
      <c r="E903" s="295"/>
      <c r="F903" s="268"/>
      <c r="G903" s="268"/>
      <c r="H903" s="276"/>
      <c r="I903" s="276"/>
      <c r="J903" s="273"/>
      <c r="K903" s="271"/>
      <c r="L903" s="273"/>
      <c r="M903" s="273"/>
      <c r="N903" s="274"/>
      <c r="O903" s="131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</row>
    <row r="904" ht="15.75" customHeight="1">
      <c r="A904" s="479"/>
      <c r="B904" s="131"/>
      <c r="C904" s="131"/>
      <c r="D904" s="274"/>
      <c r="E904" s="295"/>
      <c r="F904" s="268"/>
      <c r="G904" s="268"/>
      <c r="H904" s="276"/>
      <c r="I904" s="276"/>
      <c r="J904" s="273"/>
      <c r="K904" s="271"/>
      <c r="L904" s="273"/>
      <c r="M904" s="273"/>
      <c r="N904" s="274"/>
      <c r="O904" s="131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</row>
    <row r="905" ht="15.75" customHeight="1">
      <c r="A905" s="479"/>
      <c r="B905" s="131"/>
      <c r="C905" s="131"/>
      <c r="D905" s="274"/>
      <c r="E905" s="295"/>
      <c r="F905" s="268"/>
      <c r="G905" s="268"/>
      <c r="H905" s="276"/>
      <c r="I905" s="276"/>
      <c r="J905" s="273"/>
      <c r="K905" s="271"/>
      <c r="L905" s="273"/>
      <c r="M905" s="273"/>
      <c r="N905" s="274"/>
      <c r="O905" s="131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</row>
    <row r="906" ht="15.75" customHeight="1">
      <c r="A906" s="479"/>
      <c r="B906" s="131"/>
      <c r="C906" s="131"/>
      <c r="D906" s="274"/>
      <c r="E906" s="295"/>
      <c r="F906" s="268"/>
      <c r="G906" s="268"/>
      <c r="H906" s="276"/>
      <c r="I906" s="276"/>
      <c r="J906" s="273"/>
      <c r="K906" s="271"/>
      <c r="L906" s="273"/>
      <c r="M906" s="273"/>
      <c r="N906" s="274"/>
      <c r="O906" s="131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</row>
    <row r="907" ht="15.75" customHeight="1">
      <c r="A907" s="479"/>
      <c r="B907" s="131"/>
      <c r="C907" s="131"/>
      <c r="D907" s="274"/>
      <c r="E907" s="295"/>
      <c r="F907" s="268"/>
      <c r="G907" s="268"/>
      <c r="H907" s="276"/>
      <c r="I907" s="276"/>
      <c r="J907" s="273"/>
      <c r="K907" s="271"/>
      <c r="L907" s="273"/>
      <c r="M907" s="273"/>
      <c r="N907" s="274"/>
      <c r="O907" s="131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</row>
    <row r="908" ht="15.75" customHeight="1">
      <c r="A908" s="479"/>
      <c r="B908" s="131"/>
      <c r="C908" s="131"/>
      <c r="D908" s="274"/>
      <c r="E908" s="295"/>
      <c r="F908" s="268"/>
      <c r="G908" s="268"/>
      <c r="H908" s="276"/>
      <c r="I908" s="276"/>
      <c r="J908" s="273"/>
      <c r="K908" s="271"/>
      <c r="L908" s="273"/>
      <c r="M908" s="273"/>
      <c r="N908" s="274"/>
      <c r="O908" s="131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</row>
    <row r="909" ht="15.75" customHeight="1">
      <c r="A909" s="479"/>
      <c r="B909" s="131"/>
      <c r="C909" s="131"/>
      <c r="D909" s="274"/>
      <c r="E909" s="295"/>
      <c r="F909" s="268"/>
      <c r="G909" s="268"/>
      <c r="H909" s="276"/>
      <c r="I909" s="276"/>
      <c r="J909" s="273"/>
      <c r="K909" s="271"/>
      <c r="L909" s="273"/>
      <c r="M909" s="273"/>
      <c r="N909" s="274"/>
      <c r="O909" s="131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</row>
    <row r="910" ht="15.75" customHeight="1">
      <c r="A910" s="479"/>
      <c r="B910" s="131"/>
      <c r="C910" s="131"/>
      <c r="D910" s="274"/>
      <c r="E910" s="295"/>
      <c r="F910" s="268"/>
      <c r="G910" s="268"/>
      <c r="H910" s="276"/>
      <c r="I910" s="276"/>
      <c r="J910" s="273"/>
      <c r="K910" s="271"/>
      <c r="L910" s="273"/>
      <c r="M910" s="273"/>
      <c r="N910" s="274"/>
      <c r="O910" s="131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</row>
    <row r="911" ht="15.75" customHeight="1">
      <c r="A911" s="479"/>
      <c r="B911" s="131"/>
      <c r="C911" s="131"/>
      <c r="D911" s="274"/>
      <c r="E911" s="295"/>
      <c r="F911" s="268"/>
      <c r="G911" s="268"/>
      <c r="H911" s="276"/>
      <c r="I911" s="276"/>
      <c r="J911" s="273"/>
      <c r="K911" s="271"/>
      <c r="L911" s="273"/>
      <c r="M911" s="273"/>
      <c r="N911" s="274"/>
      <c r="O911" s="131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</row>
    <row r="912" ht="15.75" customHeight="1">
      <c r="A912" s="479"/>
      <c r="B912" s="131"/>
      <c r="C912" s="131"/>
      <c r="D912" s="274"/>
      <c r="E912" s="295"/>
      <c r="F912" s="268"/>
      <c r="G912" s="268"/>
      <c r="H912" s="276"/>
      <c r="I912" s="276"/>
      <c r="J912" s="273"/>
      <c r="K912" s="271"/>
      <c r="L912" s="273"/>
      <c r="M912" s="273"/>
      <c r="N912" s="274"/>
      <c r="O912" s="131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</row>
    <row r="913" ht="15.75" customHeight="1">
      <c r="A913" s="479"/>
      <c r="B913" s="131"/>
      <c r="C913" s="131"/>
      <c r="D913" s="274"/>
      <c r="E913" s="295"/>
      <c r="F913" s="268"/>
      <c r="G913" s="268"/>
      <c r="H913" s="276"/>
      <c r="I913" s="276"/>
      <c r="J913" s="273"/>
      <c r="K913" s="271"/>
      <c r="L913" s="273"/>
      <c r="M913" s="273"/>
      <c r="N913" s="274"/>
      <c r="O913" s="131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</row>
    <row r="914" ht="15.75" customHeight="1">
      <c r="A914" s="479"/>
      <c r="B914" s="131"/>
      <c r="C914" s="131"/>
      <c r="D914" s="274"/>
      <c r="E914" s="295"/>
      <c r="F914" s="268"/>
      <c r="G914" s="268"/>
      <c r="H914" s="276"/>
      <c r="I914" s="276"/>
      <c r="J914" s="273"/>
      <c r="K914" s="271"/>
      <c r="L914" s="273"/>
      <c r="M914" s="273"/>
      <c r="N914" s="274"/>
      <c r="O914" s="131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</row>
    <row r="915" ht="15.75" customHeight="1">
      <c r="A915" s="479"/>
      <c r="B915" s="131"/>
      <c r="C915" s="131"/>
      <c r="D915" s="274"/>
      <c r="E915" s="295"/>
      <c r="F915" s="268"/>
      <c r="G915" s="268"/>
      <c r="H915" s="276"/>
      <c r="I915" s="276"/>
      <c r="J915" s="273"/>
      <c r="K915" s="271"/>
      <c r="L915" s="273"/>
      <c r="M915" s="273"/>
      <c r="N915" s="274"/>
      <c r="O915" s="131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</row>
    <row r="916" ht="15.75" customHeight="1">
      <c r="A916" s="479"/>
      <c r="B916" s="131"/>
      <c r="C916" s="131"/>
      <c r="D916" s="274"/>
      <c r="E916" s="295"/>
      <c r="F916" s="268"/>
      <c r="G916" s="268"/>
      <c r="H916" s="276"/>
      <c r="I916" s="276"/>
      <c r="J916" s="273"/>
      <c r="K916" s="271"/>
      <c r="L916" s="273"/>
      <c r="M916" s="273"/>
      <c r="N916" s="274"/>
      <c r="O916" s="131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</row>
    <row r="917" ht="15.75" customHeight="1">
      <c r="A917" s="479"/>
      <c r="B917" s="131"/>
      <c r="C917" s="131"/>
      <c r="D917" s="274"/>
      <c r="E917" s="295"/>
      <c r="F917" s="268"/>
      <c r="G917" s="268"/>
      <c r="H917" s="276"/>
      <c r="I917" s="276"/>
      <c r="J917" s="273"/>
      <c r="K917" s="271"/>
      <c r="L917" s="273"/>
      <c r="M917" s="273"/>
      <c r="N917" s="274"/>
      <c r="O917" s="131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</row>
    <row r="918" ht="15.75" customHeight="1">
      <c r="A918" s="479"/>
      <c r="B918" s="131"/>
      <c r="C918" s="131"/>
      <c r="D918" s="274"/>
      <c r="E918" s="295"/>
      <c r="F918" s="268"/>
      <c r="G918" s="268"/>
      <c r="H918" s="276"/>
      <c r="I918" s="276"/>
      <c r="J918" s="273"/>
      <c r="K918" s="271"/>
      <c r="L918" s="273"/>
      <c r="M918" s="273"/>
      <c r="N918" s="274"/>
      <c r="O918" s="131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</row>
    <row r="919" ht="15.75" customHeight="1">
      <c r="A919" s="479"/>
      <c r="B919" s="131"/>
      <c r="C919" s="131"/>
      <c r="D919" s="274"/>
      <c r="E919" s="295"/>
      <c r="F919" s="268"/>
      <c r="G919" s="268"/>
      <c r="H919" s="276"/>
      <c r="I919" s="276"/>
      <c r="J919" s="273"/>
      <c r="K919" s="271"/>
      <c r="L919" s="273"/>
      <c r="M919" s="273"/>
      <c r="N919" s="274"/>
      <c r="O919" s="131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</row>
    <row r="920" ht="15.75" customHeight="1">
      <c r="A920" s="479"/>
      <c r="B920" s="131"/>
      <c r="C920" s="131"/>
      <c r="D920" s="274"/>
      <c r="E920" s="295"/>
      <c r="F920" s="268"/>
      <c r="G920" s="268"/>
      <c r="H920" s="276"/>
      <c r="I920" s="276"/>
      <c r="J920" s="273"/>
      <c r="K920" s="271"/>
      <c r="L920" s="273"/>
      <c r="M920" s="273"/>
      <c r="N920" s="274"/>
      <c r="O920" s="131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</row>
    <row r="921" ht="15.75" customHeight="1">
      <c r="A921" s="479"/>
      <c r="B921" s="131"/>
      <c r="C921" s="131"/>
      <c r="D921" s="274"/>
      <c r="E921" s="295"/>
      <c r="F921" s="268"/>
      <c r="G921" s="268"/>
      <c r="H921" s="276"/>
      <c r="I921" s="276"/>
      <c r="J921" s="273"/>
      <c r="K921" s="271"/>
      <c r="L921" s="273"/>
      <c r="M921" s="273"/>
      <c r="N921" s="274"/>
      <c r="O921" s="131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</row>
    <row r="922" ht="15.75" customHeight="1">
      <c r="A922" s="479"/>
      <c r="B922" s="131"/>
      <c r="C922" s="131"/>
      <c r="D922" s="274"/>
      <c r="E922" s="295"/>
      <c r="F922" s="268"/>
      <c r="G922" s="268"/>
      <c r="H922" s="276"/>
      <c r="I922" s="276"/>
      <c r="J922" s="273"/>
      <c r="K922" s="271"/>
      <c r="L922" s="273"/>
      <c r="M922" s="273"/>
      <c r="N922" s="274"/>
      <c r="O922" s="131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</row>
    <row r="923" ht="15.75" customHeight="1">
      <c r="A923" s="479"/>
      <c r="B923" s="131"/>
      <c r="C923" s="131"/>
      <c r="D923" s="274"/>
      <c r="E923" s="295"/>
      <c r="F923" s="268"/>
      <c r="G923" s="268"/>
      <c r="H923" s="276"/>
      <c r="I923" s="276"/>
      <c r="J923" s="273"/>
      <c r="K923" s="271"/>
      <c r="L923" s="273"/>
      <c r="M923" s="273"/>
      <c r="N923" s="274"/>
      <c r="O923" s="131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</row>
    <row r="924" ht="15.75" customHeight="1">
      <c r="A924" s="479"/>
      <c r="B924" s="131"/>
      <c r="C924" s="131"/>
      <c r="D924" s="274"/>
      <c r="E924" s="295"/>
      <c r="F924" s="268"/>
      <c r="G924" s="268"/>
      <c r="H924" s="276"/>
      <c r="I924" s="276"/>
      <c r="J924" s="273"/>
      <c r="K924" s="271"/>
      <c r="L924" s="273"/>
      <c r="M924" s="273"/>
      <c r="N924" s="274"/>
      <c r="O924" s="131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</row>
    <row r="925" ht="15.75" customHeight="1">
      <c r="A925" s="479"/>
      <c r="B925" s="131"/>
      <c r="C925" s="131"/>
      <c r="D925" s="274"/>
      <c r="E925" s="295"/>
      <c r="F925" s="268"/>
      <c r="G925" s="268"/>
      <c r="H925" s="276"/>
      <c r="I925" s="276"/>
      <c r="J925" s="273"/>
      <c r="K925" s="271"/>
      <c r="L925" s="273"/>
      <c r="M925" s="273"/>
      <c r="N925" s="274"/>
      <c r="O925" s="131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</row>
    <row r="926" ht="15.75" customHeight="1">
      <c r="A926" s="479"/>
      <c r="B926" s="131"/>
      <c r="C926" s="131"/>
      <c r="D926" s="274"/>
      <c r="E926" s="295"/>
      <c r="F926" s="268"/>
      <c r="G926" s="268"/>
      <c r="H926" s="276"/>
      <c r="I926" s="276"/>
      <c r="J926" s="273"/>
      <c r="K926" s="271"/>
      <c r="L926" s="273"/>
      <c r="M926" s="273"/>
      <c r="N926" s="274"/>
      <c r="O926" s="131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</row>
    <row r="927" ht="15.75" customHeight="1">
      <c r="A927" s="479"/>
      <c r="B927" s="131"/>
      <c r="C927" s="131"/>
      <c r="D927" s="274"/>
      <c r="E927" s="295"/>
      <c r="F927" s="268"/>
      <c r="G927" s="268"/>
      <c r="H927" s="276"/>
      <c r="I927" s="276"/>
      <c r="J927" s="273"/>
      <c r="K927" s="271"/>
      <c r="L927" s="273"/>
      <c r="M927" s="273"/>
      <c r="N927" s="274"/>
      <c r="O927" s="131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</row>
    <row r="928" ht="15.75" customHeight="1">
      <c r="A928" s="479"/>
      <c r="B928" s="131"/>
      <c r="C928" s="131"/>
      <c r="D928" s="274"/>
      <c r="E928" s="295"/>
      <c r="F928" s="268"/>
      <c r="G928" s="268"/>
      <c r="H928" s="276"/>
      <c r="I928" s="276"/>
      <c r="J928" s="273"/>
      <c r="K928" s="271"/>
      <c r="L928" s="273"/>
      <c r="M928" s="273"/>
      <c r="N928" s="274"/>
      <c r="O928" s="131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</row>
    <row r="929" ht="15.75" customHeight="1">
      <c r="A929" s="479"/>
      <c r="B929" s="131"/>
      <c r="C929" s="131"/>
      <c r="D929" s="274"/>
      <c r="E929" s="295"/>
      <c r="F929" s="268"/>
      <c r="G929" s="268"/>
      <c r="H929" s="276"/>
      <c r="I929" s="276"/>
      <c r="J929" s="273"/>
      <c r="K929" s="271"/>
      <c r="L929" s="273"/>
      <c r="M929" s="273"/>
      <c r="N929" s="274"/>
      <c r="O929" s="131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</row>
    <row r="930" ht="15.75" customHeight="1">
      <c r="A930" s="479"/>
      <c r="B930" s="131"/>
      <c r="C930" s="131"/>
      <c r="D930" s="274"/>
      <c r="E930" s="295"/>
      <c r="F930" s="268"/>
      <c r="G930" s="268"/>
      <c r="H930" s="276"/>
      <c r="I930" s="276"/>
      <c r="J930" s="273"/>
      <c r="K930" s="271"/>
      <c r="L930" s="273"/>
      <c r="M930" s="273"/>
      <c r="N930" s="274"/>
      <c r="O930" s="131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</row>
    <row r="931" ht="15.75" customHeight="1">
      <c r="A931" s="479"/>
      <c r="B931" s="131"/>
      <c r="C931" s="131"/>
      <c r="D931" s="274"/>
      <c r="E931" s="295"/>
      <c r="F931" s="268"/>
      <c r="G931" s="268"/>
      <c r="H931" s="276"/>
      <c r="I931" s="276"/>
      <c r="J931" s="273"/>
      <c r="K931" s="271"/>
      <c r="L931" s="273"/>
      <c r="M931" s="273"/>
      <c r="N931" s="274"/>
      <c r="O931" s="131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</row>
    <row r="932" ht="15.75" customHeight="1">
      <c r="A932" s="479"/>
      <c r="B932" s="131"/>
      <c r="C932" s="131"/>
      <c r="D932" s="274"/>
      <c r="E932" s="295"/>
      <c r="F932" s="268"/>
      <c r="G932" s="268"/>
      <c r="H932" s="276"/>
      <c r="I932" s="276"/>
      <c r="J932" s="273"/>
      <c r="K932" s="271"/>
      <c r="L932" s="273"/>
      <c r="M932" s="273"/>
      <c r="N932" s="274"/>
      <c r="O932" s="131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</row>
    <row r="933" ht="15.75" customHeight="1">
      <c r="A933" s="479"/>
      <c r="B933" s="131"/>
      <c r="C933" s="131"/>
      <c r="D933" s="274"/>
      <c r="E933" s="295"/>
      <c r="F933" s="268"/>
      <c r="G933" s="268"/>
      <c r="H933" s="276"/>
      <c r="I933" s="276"/>
      <c r="J933" s="273"/>
      <c r="K933" s="271"/>
      <c r="L933" s="273"/>
      <c r="M933" s="273"/>
      <c r="N933" s="274"/>
      <c r="O933" s="131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</row>
    <row r="934" ht="15.75" customHeight="1">
      <c r="A934" s="479"/>
      <c r="B934" s="131"/>
      <c r="C934" s="131"/>
      <c r="D934" s="274"/>
      <c r="E934" s="295"/>
      <c r="F934" s="268"/>
      <c r="G934" s="268"/>
      <c r="H934" s="276"/>
      <c r="I934" s="276"/>
      <c r="J934" s="273"/>
      <c r="K934" s="271"/>
      <c r="L934" s="273"/>
      <c r="M934" s="273"/>
      <c r="N934" s="274"/>
      <c r="O934" s="131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</row>
    <row r="935" ht="15.75" customHeight="1">
      <c r="A935" s="479"/>
      <c r="B935" s="131"/>
      <c r="C935" s="131"/>
      <c r="D935" s="274"/>
      <c r="E935" s="295"/>
      <c r="F935" s="268"/>
      <c r="G935" s="268"/>
      <c r="H935" s="276"/>
      <c r="I935" s="276"/>
      <c r="J935" s="273"/>
      <c r="K935" s="271"/>
      <c r="L935" s="273"/>
      <c r="M935" s="273"/>
      <c r="N935" s="274"/>
      <c r="O935" s="131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</row>
    <row r="936" ht="15.75" customHeight="1">
      <c r="A936" s="479"/>
      <c r="B936" s="131"/>
      <c r="C936" s="131"/>
      <c r="D936" s="274"/>
      <c r="E936" s="295"/>
      <c r="F936" s="268"/>
      <c r="G936" s="268"/>
      <c r="H936" s="276"/>
      <c r="I936" s="276"/>
      <c r="J936" s="273"/>
      <c r="K936" s="271"/>
      <c r="L936" s="273"/>
      <c r="M936" s="273"/>
      <c r="N936" s="274"/>
      <c r="O936" s="131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</row>
    <row r="937" ht="15.75" customHeight="1">
      <c r="A937" s="479"/>
      <c r="B937" s="131"/>
      <c r="C937" s="131"/>
      <c r="D937" s="274"/>
      <c r="E937" s="295"/>
      <c r="F937" s="268"/>
      <c r="G937" s="268"/>
      <c r="H937" s="276"/>
      <c r="I937" s="276"/>
      <c r="J937" s="273"/>
      <c r="K937" s="271"/>
      <c r="L937" s="273"/>
      <c r="M937" s="273"/>
      <c r="N937" s="274"/>
      <c r="O937" s="131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</row>
    <row r="938" ht="15.75" customHeight="1">
      <c r="A938" s="479"/>
      <c r="B938" s="131"/>
      <c r="C938" s="131"/>
      <c r="D938" s="274"/>
      <c r="E938" s="295"/>
      <c r="F938" s="268"/>
      <c r="G938" s="268"/>
      <c r="H938" s="276"/>
      <c r="I938" s="276"/>
      <c r="J938" s="273"/>
      <c r="K938" s="271"/>
      <c r="L938" s="273"/>
      <c r="M938" s="273"/>
      <c r="N938" s="274"/>
      <c r="O938" s="131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</row>
    <row r="939" ht="15.75" customHeight="1">
      <c r="A939" s="479"/>
      <c r="B939" s="131"/>
      <c r="C939" s="131"/>
      <c r="D939" s="274"/>
      <c r="E939" s="295"/>
      <c r="F939" s="268"/>
      <c r="G939" s="268"/>
      <c r="H939" s="276"/>
      <c r="I939" s="276"/>
      <c r="J939" s="273"/>
      <c r="K939" s="271"/>
      <c r="L939" s="273"/>
      <c r="M939" s="273"/>
      <c r="N939" s="274"/>
      <c r="O939" s="131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</row>
    <row r="940" ht="15.75" customHeight="1">
      <c r="A940" s="479"/>
      <c r="B940" s="131"/>
      <c r="C940" s="131"/>
      <c r="D940" s="274"/>
      <c r="E940" s="295"/>
      <c r="F940" s="268"/>
      <c r="G940" s="268"/>
      <c r="H940" s="276"/>
      <c r="I940" s="276"/>
      <c r="J940" s="273"/>
      <c r="K940" s="271"/>
      <c r="L940" s="273"/>
      <c r="M940" s="273"/>
      <c r="N940" s="274"/>
      <c r="O940" s="131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</row>
    <row r="941" ht="15.75" customHeight="1">
      <c r="A941" s="479"/>
      <c r="B941" s="131"/>
      <c r="C941" s="131"/>
      <c r="D941" s="274"/>
      <c r="E941" s="295"/>
      <c r="F941" s="268"/>
      <c r="G941" s="268"/>
      <c r="H941" s="276"/>
      <c r="I941" s="276"/>
      <c r="J941" s="273"/>
      <c r="K941" s="271"/>
      <c r="L941" s="273"/>
      <c r="M941" s="273"/>
      <c r="N941" s="274"/>
      <c r="O941" s="131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</row>
    <row r="942" ht="15.75" customHeight="1">
      <c r="A942" s="479"/>
      <c r="B942" s="131"/>
      <c r="C942" s="131"/>
      <c r="D942" s="274"/>
      <c r="E942" s="295"/>
      <c r="F942" s="268"/>
      <c r="G942" s="268"/>
      <c r="H942" s="276"/>
      <c r="I942" s="276"/>
      <c r="J942" s="273"/>
      <c r="K942" s="271"/>
      <c r="L942" s="273"/>
      <c r="M942" s="273"/>
      <c r="N942" s="274"/>
      <c r="O942" s="131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</row>
    <row r="943" ht="15.75" customHeight="1">
      <c r="A943" s="479"/>
      <c r="B943" s="131"/>
      <c r="C943" s="131"/>
      <c r="D943" s="274"/>
      <c r="E943" s="295"/>
      <c r="F943" s="268"/>
      <c r="G943" s="268"/>
      <c r="H943" s="276"/>
      <c r="I943" s="276"/>
      <c r="J943" s="273"/>
      <c r="K943" s="271"/>
      <c r="L943" s="273"/>
      <c r="M943" s="273"/>
      <c r="N943" s="274"/>
      <c r="O943" s="131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</row>
    <row r="944" ht="15.75" customHeight="1">
      <c r="A944" s="479"/>
      <c r="B944" s="131"/>
      <c r="C944" s="131"/>
      <c r="D944" s="274"/>
      <c r="E944" s="295"/>
      <c r="F944" s="268"/>
      <c r="G944" s="268"/>
      <c r="H944" s="276"/>
      <c r="I944" s="276"/>
      <c r="J944" s="273"/>
      <c r="K944" s="271"/>
      <c r="L944" s="273"/>
      <c r="M944" s="273"/>
      <c r="N944" s="274"/>
      <c r="O944" s="131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</row>
    <row r="945" ht="15.75" customHeight="1">
      <c r="A945" s="479"/>
      <c r="B945" s="131"/>
      <c r="C945" s="131"/>
      <c r="D945" s="274"/>
      <c r="E945" s="295"/>
      <c r="F945" s="268"/>
      <c r="G945" s="268"/>
      <c r="H945" s="276"/>
      <c r="I945" s="276"/>
      <c r="J945" s="273"/>
      <c r="K945" s="271"/>
      <c r="L945" s="273"/>
      <c r="M945" s="273"/>
      <c r="N945" s="274"/>
      <c r="O945" s="131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</row>
    <row r="946" ht="15.75" customHeight="1">
      <c r="A946" s="479"/>
      <c r="B946" s="131"/>
      <c r="C946" s="131"/>
      <c r="D946" s="274"/>
      <c r="E946" s="295"/>
      <c r="F946" s="268"/>
      <c r="G946" s="268"/>
      <c r="H946" s="276"/>
      <c r="I946" s="276"/>
      <c r="J946" s="273"/>
      <c r="K946" s="271"/>
      <c r="L946" s="273"/>
      <c r="M946" s="273"/>
      <c r="N946" s="274"/>
      <c r="O946" s="131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</row>
    <row r="947" ht="15.75" customHeight="1">
      <c r="A947" s="479"/>
      <c r="B947" s="131"/>
      <c r="C947" s="131"/>
      <c r="D947" s="274"/>
      <c r="E947" s="295"/>
      <c r="F947" s="268"/>
      <c r="G947" s="268"/>
      <c r="H947" s="276"/>
      <c r="I947" s="276"/>
      <c r="J947" s="273"/>
      <c r="K947" s="271"/>
      <c r="L947" s="273"/>
      <c r="M947" s="273"/>
      <c r="N947" s="274"/>
      <c r="O947" s="131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</row>
    <row r="948" ht="15.75" customHeight="1">
      <c r="A948" s="479"/>
      <c r="B948" s="131"/>
      <c r="C948" s="131"/>
      <c r="D948" s="274"/>
      <c r="E948" s="295"/>
      <c r="F948" s="268"/>
      <c r="G948" s="268"/>
      <c r="H948" s="276"/>
      <c r="I948" s="276"/>
      <c r="J948" s="273"/>
      <c r="K948" s="271"/>
      <c r="L948" s="273"/>
      <c r="M948" s="273"/>
      <c r="N948" s="274"/>
      <c r="O948" s="131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</row>
    <row r="949" ht="15.75" customHeight="1">
      <c r="A949" s="479"/>
      <c r="B949" s="131"/>
      <c r="C949" s="131"/>
      <c r="D949" s="274"/>
      <c r="E949" s="295"/>
      <c r="F949" s="268"/>
      <c r="G949" s="268"/>
      <c r="H949" s="276"/>
      <c r="I949" s="276"/>
      <c r="J949" s="273"/>
      <c r="K949" s="271"/>
      <c r="L949" s="273"/>
      <c r="M949" s="273"/>
      <c r="N949" s="274"/>
      <c r="O949" s="131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</row>
    <row r="950" ht="15.75" customHeight="1">
      <c r="A950" s="479"/>
      <c r="B950" s="131"/>
      <c r="C950" s="131"/>
      <c r="D950" s="274"/>
      <c r="E950" s="295"/>
      <c r="F950" s="268"/>
      <c r="G950" s="268"/>
      <c r="H950" s="276"/>
      <c r="I950" s="276"/>
      <c r="J950" s="273"/>
      <c r="K950" s="271"/>
      <c r="L950" s="273"/>
      <c r="M950" s="273"/>
      <c r="N950" s="274"/>
      <c r="O950" s="131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</row>
    <row r="951" ht="15.75" customHeight="1">
      <c r="A951" s="479"/>
      <c r="B951" s="131"/>
      <c r="C951" s="131"/>
      <c r="D951" s="274"/>
      <c r="E951" s="295"/>
      <c r="F951" s="268"/>
      <c r="G951" s="268"/>
      <c r="H951" s="276"/>
      <c r="I951" s="276"/>
      <c r="J951" s="273"/>
      <c r="K951" s="271"/>
      <c r="L951" s="273"/>
      <c r="M951" s="273"/>
      <c r="N951" s="274"/>
      <c r="O951" s="131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</row>
    <row r="952" ht="15.75" customHeight="1">
      <c r="A952" s="479"/>
      <c r="B952" s="131"/>
      <c r="C952" s="131"/>
      <c r="D952" s="274"/>
      <c r="E952" s="295"/>
      <c r="F952" s="268"/>
      <c r="G952" s="268"/>
      <c r="H952" s="276"/>
      <c r="I952" s="276"/>
      <c r="J952" s="273"/>
      <c r="K952" s="271"/>
      <c r="L952" s="273"/>
      <c r="M952" s="273"/>
      <c r="N952" s="274"/>
      <c r="O952" s="131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</row>
    <row r="953" ht="15.75" customHeight="1">
      <c r="A953" s="479"/>
      <c r="B953" s="131"/>
      <c r="C953" s="131"/>
      <c r="D953" s="274"/>
      <c r="E953" s="295"/>
      <c r="F953" s="268"/>
      <c r="G953" s="268"/>
      <c r="H953" s="276"/>
      <c r="I953" s="276"/>
      <c r="J953" s="273"/>
      <c r="K953" s="271"/>
      <c r="L953" s="273"/>
      <c r="M953" s="273"/>
      <c r="N953" s="274"/>
      <c r="O953" s="131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</row>
    <row r="954" ht="15.75" customHeight="1">
      <c r="A954" s="479"/>
      <c r="B954" s="131"/>
      <c r="C954" s="131"/>
      <c r="D954" s="274"/>
      <c r="E954" s="295"/>
      <c r="F954" s="268"/>
      <c r="G954" s="268"/>
      <c r="H954" s="276"/>
      <c r="I954" s="276"/>
      <c r="J954" s="273"/>
      <c r="K954" s="271"/>
      <c r="L954" s="273"/>
      <c r="M954" s="273"/>
      <c r="N954" s="274"/>
      <c r="O954" s="131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</row>
    <row r="955" ht="15.75" customHeight="1">
      <c r="A955" s="479"/>
      <c r="B955" s="131"/>
      <c r="C955" s="131"/>
      <c r="D955" s="274"/>
      <c r="E955" s="295"/>
      <c r="F955" s="268"/>
      <c r="G955" s="268"/>
      <c r="H955" s="276"/>
      <c r="I955" s="276"/>
      <c r="J955" s="273"/>
      <c r="K955" s="271"/>
      <c r="L955" s="273"/>
      <c r="M955" s="273"/>
      <c r="N955" s="274"/>
      <c r="O955" s="131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</row>
    <row r="956" ht="15.75" customHeight="1">
      <c r="A956" s="479"/>
      <c r="B956" s="131"/>
      <c r="C956" s="131"/>
      <c r="D956" s="274"/>
      <c r="E956" s="295"/>
      <c r="F956" s="268"/>
      <c r="G956" s="268"/>
      <c r="H956" s="276"/>
      <c r="I956" s="276"/>
      <c r="J956" s="273"/>
      <c r="K956" s="271"/>
      <c r="L956" s="273"/>
      <c r="M956" s="273"/>
      <c r="N956" s="274"/>
      <c r="O956" s="131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</row>
    <row r="957" ht="15.75" customHeight="1">
      <c r="A957" s="479"/>
      <c r="B957" s="131"/>
      <c r="C957" s="131"/>
      <c r="D957" s="274"/>
      <c r="E957" s="295"/>
      <c r="F957" s="268"/>
      <c r="G957" s="268"/>
      <c r="H957" s="276"/>
      <c r="I957" s="276"/>
      <c r="J957" s="273"/>
      <c r="K957" s="271"/>
      <c r="L957" s="273"/>
      <c r="M957" s="273"/>
      <c r="N957" s="274"/>
      <c r="O957" s="131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</row>
    <row r="958" ht="15.75" customHeight="1">
      <c r="A958" s="479"/>
      <c r="B958" s="131"/>
      <c r="C958" s="131"/>
      <c r="D958" s="274"/>
      <c r="E958" s="295"/>
      <c r="F958" s="268"/>
      <c r="G958" s="268"/>
      <c r="H958" s="276"/>
      <c r="I958" s="276"/>
      <c r="J958" s="273"/>
      <c r="K958" s="271"/>
      <c r="L958" s="273"/>
      <c r="M958" s="273"/>
      <c r="N958" s="274"/>
      <c r="O958" s="131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</row>
    <row r="959" ht="15.75" customHeight="1">
      <c r="A959" s="479"/>
      <c r="B959" s="131"/>
      <c r="C959" s="131"/>
      <c r="D959" s="274"/>
      <c r="E959" s="295"/>
      <c r="F959" s="268"/>
      <c r="G959" s="268"/>
      <c r="H959" s="276"/>
      <c r="I959" s="276"/>
      <c r="J959" s="273"/>
      <c r="K959" s="271"/>
      <c r="L959" s="273"/>
      <c r="M959" s="273"/>
      <c r="N959" s="274"/>
      <c r="O959" s="131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</row>
    <row r="960" ht="15.75" customHeight="1">
      <c r="A960" s="479"/>
      <c r="B960" s="131"/>
      <c r="C960" s="131"/>
      <c r="D960" s="274"/>
      <c r="E960" s="295"/>
      <c r="F960" s="268"/>
      <c r="G960" s="268"/>
      <c r="H960" s="276"/>
      <c r="I960" s="276"/>
      <c r="J960" s="273"/>
      <c r="K960" s="271"/>
      <c r="L960" s="273"/>
      <c r="M960" s="273"/>
      <c r="N960" s="274"/>
      <c r="O960" s="131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</row>
    <row r="961" ht="15.75" customHeight="1">
      <c r="A961" s="479"/>
      <c r="B961" s="131"/>
      <c r="C961" s="131"/>
      <c r="D961" s="274"/>
      <c r="E961" s="295"/>
      <c r="F961" s="268"/>
      <c r="G961" s="268"/>
      <c r="H961" s="276"/>
      <c r="I961" s="276"/>
      <c r="J961" s="273"/>
      <c r="K961" s="271"/>
      <c r="L961" s="273"/>
      <c r="M961" s="273"/>
      <c r="N961" s="274"/>
      <c r="O961" s="131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</row>
    <row r="962" ht="15.75" customHeight="1">
      <c r="A962" s="479"/>
      <c r="B962" s="131"/>
      <c r="C962" s="131"/>
      <c r="D962" s="274"/>
      <c r="E962" s="295"/>
      <c r="F962" s="268"/>
      <c r="G962" s="268"/>
      <c r="H962" s="276"/>
      <c r="I962" s="276"/>
      <c r="J962" s="273"/>
      <c r="K962" s="271"/>
      <c r="L962" s="273"/>
      <c r="M962" s="273"/>
      <c r="N962" s="274"/>
      <c r="O962" s="131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</row>
    <row r="963" ht="15.75" customHeight="1">
      <c r="A963" s="479"/>
      <c r="B963" s="131"/>
      <c r="C963" s="131"/>
      <c r="D963" s="274"/>
      <c r="E963" s="295"/>
      <c r="F963" s="268"/>
      <c r="G963" s="268"/>
      <c r="H963" s="276"/>
      <c r="I963" s="276"/>
      <c r="J963" s="273"/>
      <c r="K963" s="271"/>
      <c r="L963" s="273"/>
      <c r="M963" s="273"/>
      <c r="N963" s="274"/>
      <c r="O963" s="131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</row>
    <row r="964" ht="15.75" customHeight="1">
      <c r="A964" s="479"/>
      <c r="B964" s="131"/>
      <c r="C964" s="131"/>
      <c r="D964" s="274"/>
      <c r="E964" s="295"/>
      <c r="F964" s="268"/>
      <c r="G964" s="268"/>
      <c r="H964" s="276"/>
      <c r="I964" s="276"/>
      <c r="J964" s="273"/>
      <c r="K964" s="271"/>
      <c r="L964" s="273"/>
      <c r="M964" s="273"/>
      <c r="N964" s="274"/>
      <c r="O964" s="131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</row>
    <row r="965" ht="15.75" customHeight="1">
      <c r="A965" s="479"/>
      <c r="B965" s="131"/>
      <c r="C965" s="131"/>
      <c r="D965" s="274"/>
      <c r="E965" s="295"/>
      <c r="F965" s="268"/>
      <c r="G965" s="268"/>
      <c r="H965" s="276"/>
      <c r="I965" s="276"/>
      <c r="J965" s="273"/>
      <c r="K965" s="271"/>
      <c r="L965" s="273"/>
      <c r="M965" s="273"/>
      <c r="N965" s="274"/>
      <c r="O965" s="131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</row>
    <row r="966" ht="15.75" customHeight="1">
      <c r="A966" s="479"/>
      <c r="B966" s="131"/>
      <c r="C966" s="131"/>
      <c r="D966" s="274"/>
      <c r="E966" s="295"/>
      <c r="F966" s="268"/>
      <c r="G966" s="268"/>
      <c r="H966" s="276"/>
      <c r="I966" s="276"/>
      <c r="J966" s="273"/>
      <c r="K966" s="271"/>
      <c r="L966" s="273"/>
      <c r="M966" s="273"/>
      <c r="N966" s="274"/>
      <c r="O966" s="131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</row>
    <row r="967" ht="15.75" customHeight="1">
      <c r="A967" s="479"/>
      <c r="B967" s="131"/>
      <c r="C967" s="131"/>
      <c r="D967" s="274"/>
      <c r="E967" s="295"/>
      <c r="F967" s="268"/>
      <c r="G967" s="268"/>
      <c r="H967" s="276"/>
      <c r="I967" s="276"/>
      <c r="J967" s="273"/>
      <c r="K967" s="271"/>
      <c r="L967" s="273"/>
      <c r="M967" s="273"/>
      <c r="N967" s="274"/>
      <c r="O967" s="131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</row>
    <row r="968" ht="15.75" customHeight="1">
      <c r="A968" s="479"/>
      <c r="B968" s="131"/>
      <c r="C968" s="131"/>
      <c r="D968" s="274"/>
      <c r="E968" s="295"/>
      <c r="F968" s="268"/>
      <c r="G968" s="268"/>
      <c r="H968" s="276"/>
      <c r="I968" s="276"/>
      <c r="J968" s="273"/>
      <c r="K968" s="271"/>
      <c r="L968" s="273"/>
      <c r="M968" s="273"/>
      <c r="N968" s="274"/>
      <c r="O968" s="131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</row>
    <row r="969" ht="15.75" customHeight="1">
      <c r="A969" s="479"/>
      <c r="B969" s="131"/>
      <c r="C969" s="131"/>
      <c r="D969" s="274"/>
      <c r="E969" s="295"/>
      <c r="F969" s="268"/>
      <c r="G969" s="268"/>
      <c r="H969" s="276"/>
      <c r="I969" s="276"/>
      <c r="J969" s="273"/>
      <c r="K969" s="271"/>
      <c r="L969" s="273"/>
      <c r="M969" s="273"/>
      <c r="N969" s="274"/>
      <c r="O969" s="131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</row>
    <row r="970" ht="15.75" customHeight="1">
      <c r="A970" s="479"/>
      <c r="B970" s="131"/>
      <c r="C970" s="131"/>
      <c r="D970" s="274"/>
      <c r="E970" s="295"/>
      <c r="F970" s="268"/>
      <c r="G970" s="268"/>
      <c r="H970" s="276"/>
      <c r="I970" s="276"/>
      <c r="J970" s="273"/>
      <c r="K970" s="271"/>
      <c r="L970" s="273"/>
      <c r="M970" s="273"/>
      <c r="N970" s="274"/>
      <c r="O970" s="131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</row>
    <row r="971" ht="15.75" customHeight="1">
      <c r="A971" s="479"/>
      <c r="B971" s="131"/>
      <c r="C971" s="131"/>
      <c r="D971" s="274"/>
      <c r="E971" s="295"/>
      <c r="F971" s="268"/>
      <c r="G971" s="268"/>
      <c r="H971" s="276"/>
      <c r="I971" s="276"/>
      <c r="J971" s="273"/>
      <c r="K971" s="271"/>
      <c r="L971" s="273"/>
      <c r="M971" s="273"/>
      <c r="N971" s="274"/>
      <c r="O971" s="131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</row>
    <row r="972" ht="15.75" customHeight="1">
      <c r="A972" s="479"/>
      <c r="B972" s="131"/>
      <c r="C972" s="131"/>
      <c r="D972" s="274"/>
      <c r="E972" s="295"/>
      <c r="F972" s="268"/>
      <c r="G972" s="268"/>
      <c r="H972" s="276"/>
      <c r="I972" s="276"/>
      <c r="J972" s="273"/>
      <c r="K972" s="271"/>
      <c r="L972" s="273"/>
      <c r="M972" s="273"/>
      <c r="N972" s="274"/>
      <c r="O972" s="131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</row>
    <row r="973" ht="15.75" customHeight="1">
      <c r="A973" s="479"/>
      <c r="B973" s="131"/>
      <c r="C973" s="131"/>
      <c r="D973" s="274"/>
      <c r="E973" s="295"/>
      <c r="F973" s="268"/>
      <c r="G973" s="268"/>
      <c r="H973" s="276"/>
      <c r="I973" s="276"/>
      <c r="J973" s="273"/>
      <c r="K973" s="271"/>
      <c r="L973" s="273"/>
      <c r="M973" s="273"/>
      <c r="N973" s="274"/>
      <c r="O973" s="131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</row>
    <row r="974" ht="15.75" customHeight="1">
      <c r="A974" s="479"/>
      <c r="B974" s="131"/>
      <c r="C974" s="131"/>
      <c r="D974" s="274"/>
      <c r="E974" s="295"/>
      <c r="F974" s="268"/>
      <c r="G974" s="268"/>
      <c r="H974" s="276"/>
      <c r="I974" s="276"/>
      <c r="J974" s="273"/>
      <c r="K974" s="271"/>
      <c r="L974" s="273"/>
      <c r="M974" s="273"/>
      <c r="N974" s="274"/>
      <c r="O974" s="131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</row>
    <row r="975" ht="15.75" customHeight="1">
      <c r="A975" s="479"/>
      <c r="B975" s="131"/>
      <c r="C975" s="131"/>
      <c r="D975" s="274"/>
      <c r="E975" s="295"/>
      <c r="F975" s="268"/>
      <c r="G975" s="268"/>
      <c r="H975" s="276"/>
      <c r="I975" s="276"/>
      <c r="J975" s="273"/>
      <c r="K975" s="271"/>
      <c r="L975" s="273"/>
      <c r="M975" s="273"/>
      <c r="N975" s="274"/>
      <c r="O975" s="131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</row>
    <row r="976" ht="15.75" customHeight="1">
      <c r="A976" s="479"/>
      <c r="B976" s="131"/>
      <c r="C976" s="131"/>
      <c r="D976" s="274"/>
      <c r="E976" s="295"/>
      <c r="F976" s="268"/>
      <c r="G976" s="268"/>
      <c r="H976" s="276"/>
      <c r="I976" s="276"/>
      <c r="J976" s="273"/>
      <c r="K976" s="271"/>
      <c r="L976" s="273"/>
      <c r="M976" s="273"/>
      <c r="N976" s="274"/>
      <c r="O976" s="131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</row>
    <row r="977" ht="15.75" customHeight="1">
      <c r="A977" s="479"/>
      <c r="B977" s="131"/>
      <c r="C977" s="131"/>
      <c r="D977" s="274"/>
      <c r="E977" s="295"/>
      <c r="F977" s="268"/>
      <c r="G977" s="268"/>
      <c r="H977" s="276"/>
      <c r="I977" s="276"/>
      <c r="J977" s="273"/>
      <c r="K977" s="271"/>
      <c r="L977" s="273"/>
      <c r="M977" s="273"/>
      <c r="N977" s="274"/>
      <c r="O977" s="131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</row>
    <row r="978" ht="15.75" customHeight="1">
      <c r="A978" s="479"/>
      <c r="B978" s="131"/>
      <c r="C978" s="131"/>
      <c r="D978" s="274"/>
      <c r="E978" s="295"/>
      <c r="F978" s="268"/>
      <c r="G978" s="268"/>
      <c r="H978" s="276"/>
      <c r="I978" s="276"/>
      <c r="J978" s="273"/>
      <c r="K978" s="271"/>
      <c r="L978" s="273"/>
      <c r="M978" s="273"/>
      <c r="N978" s="274"/>
      <c r="O978" s="131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</row>
    <row r="979" ht="15.75" customHeight="1">
      <c r="A979" s="479"/>
      <c r="B979" s="131"/>
      <c r="C979" s="131"/>
      <c r="D979" s="274"/>
      <c r="E979" s="295"/>
      <c r="F979" s="268"/>
      <c r="G979" s="268"/>
      <c r="H979" s="276"/>
      <c r="I979" s="276"/>
      <c r="J979" s="273"/>
      <c r="K979" s="271"/>
      <c r="L979" s="273"/>
      <c r="M979" s="273"/>
      <c r="N979" s="274"/>
      <c r="O979" s="131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</row>
    <row r="980" ht="15.75" customHeight="1">
      <c r="A980" s="479"/>
      <c r="B980" s="131"/>
      <c r="C980" s="131"/>
      <c r="D980" s="274"/>
      <c r="E980" s="295"/>
      <c r="F980" s="268"/>
      <c r="G980" s="268"/>
      <c r="H980" s="276"/>
      <c r="I980" s="276"/>
      <c r="J980" s="273"/>
      <c r="K980" s="271"/>
      <c r="L980" s="273"/>
      <c r="M980" s="273"/>
      <c r="N980" s="274"/>
      <c r="O980" s="131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</row>
    <row r="981" ht="15.75" customHeight="1">
      <c r="A981" s="479"/>
      <c r="B981" s="131"/>
      <c r="C981" s="131"/>
      <c r="D981" s="274"/>
      <c r="E981" s="295"/>
      <c r="F981" s="268"/>
      <c r="G981" s="268"/>
      <c r="H981" s="276"/>
      <c r="I981" s="276"/>
      <c r="J981" s="273"/>
      <c r="K981" s="271"/>
      <c r="L981" s="273"/>
      <c r="M981" s="273"/>
      <c r="N981" s="274"/>
      <c r="O981" s="131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</row>
    <row r="982" ht="15.75" customHeight="1">
      <c r="A982" s="479"/>
      <c r="B982" s="131"/>
      <c r="C982" s="131"/>
      <c r="D982" s="274"/>
      <c r="E982" s="295"/>
      <c r="F982" s="268"/>
      <c r="G982" s="268"/>
      <c r="H982" s="276"/>
      <c r="I982" s="276"/>
      <c r="J982" s="273"/>
      <c r="K982" s="271"/>
      <c r="L982" s="273"/>
      <c r="M982" s="273"/>
      <c r="N982" s="274"/>
      <c r="O982" s="131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</row>
    <row r="983" ht="15.75" customHeight="1">
      <c r="A983" s="479"/>
      <c r="B983" s="131"/>
      <c r="C983" s="131"/>
      <c r="D983" s="274"/>
      <c r="E983" s="295"/>
      <c r="F983" s="268"/>
      <c r="G983" s="268"/>
      <c r="H983" s="276"/>
      <c r="I983" s="276"/>
      <c r="J983" s="273"/>
      <c r="K983" s="271"/>
      <c r="L983" s="273"/>
      <c r="M983" s="273"/>
      <c r="N983" s="274"/>
      <c r="O983" s="131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</row>
    <row r="984" ht="15.75" customHeight="1">
      <c r="A984" s="479"/>
      <c r="B984" s="131"/>
      <c r="C984" s="131"/>
      <c r="D984" s="274"/>
      <c r="E984" s="295"/>
      <c r="F984" s="268"/>
      <c r="G984" s="268"/>
      <c r="H984" s="276"/>
      <c r="I984" s="276"/>
      <c r="J984" s="273"/>
      <c r="K984" s="271"/>
      <c r="L984" s="273"/>
      <c r="M984" s="273"/>
      <c r="N984" s="274"/>
      <c r="O984" s="131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</row>
    <row r="985" ht="15.75" customHeight="1">
      <c r="A985" s="479"/>
      <c r="B985" s="131"/>
      <c r="C985" s="131"/>
      <c r="D985" s="274"/>
      <c r="E985" s="295"/>
      <c r="F985" s="268"/>
      <c r="G985" s="268"/>
      <c r="H985" s="276"/>
      <c r="I985" s="276"/>
      <c r="J985" s="273"/>
      <c r="K985" s="271"/>
      <c r="L985" s="273"/>
      <c r="M985" s="273"/>
      <c r="N985" s="274"/>
      <c r="O985" s="131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</row>
    <row r="986" ht="15.75" customHeight="1">
      <c r="A986" s="479"/>
      <c r="B986" s="131"/>
      <c r="C986" s="131"/>
      <c r="D986" s="274"/>
      <c r="E986" s="295"/>
      <c r="F986" s="268"/>
      <c r="G986" s="268"/>
      <c r="H986" s="276"/>
      <c r="I986" s="276"/>
      <c r="J986" s="273"/>
      <c r="K986" s="271"/>
      <c r="L986" s="273"/>
      <c r="M986" s="273"/>
      <c r="N986" s="274"/>
      <c r="O986" s="131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</row>
    <row r="987" ht="15.75" customHeight="1">
      <c r="A987" s="479"/>
      <c r="B987" s="131"/>
      <c r="C987" s="131"/>
      <c r="D987" s="274"/>
      <c r="E987" s="295"/>
      <c r="F987" s="268"/>
      <c r="G987" s="268"/>
      <c r="H987" s="276"/>
      <c r="I987" s="276"/>
      <c r="J987" s="273"/>
      <c r="K987" s="271"/>
      <c r="L987" s="273"/>
      <c r="M987" s="273"/>
      <c r="N987" s="274"/>
      <c r="O987" s="131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</row>
    <row r="988" ht="15.75" customHeight="1">
      <c r="A988" s="479"/>
      <c r="B988" s="131"/>
      <c r="C988" s="131"/>
      <c r="D988" s="274"/>
      <c r="E988" s="295"/>
      <c r="F988" s="268"/>
      <c r="G988" s="268"/>
      <c r="H988" s="276"/>
      <c r="I988" s="276"/>
      <c r="J988" s="273"/>
      <c r="K988" s="271"/>
      <c r="L988" s="273"/>
      <c r="M988" s="273"/>
      <c r="N988" s="274"/>
      <c r="O988" s="131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</row>
    <row r="989" ht="15.75" customHeight="1">
      <c r="A989" s="479"/>
      <c r="B989" s="131"/>
      <c r="C989" s="131"/>
      <c r="D989" s="274"/>
      <c r="E989" s="295"/>
      <c r="F989" s="268"/>
      <c r="G989" s="268"/>
      <c r="H989" s="276"/>
      <c r="I989" s="276"/>
      <c r="J989" s="273"/>
      <c r="K989" s="271"/>
      <c r="L989" s="273"/>
      <c r="M989" s="273"/>
      <c r="N989" s="274"/>
      <c r="O989" s="131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</row>
    <row r="990" ht="15.75" customHeight="1">
      <c r="A990" s="479"/>
      <c r="B990" s="131"/>
      <c r="C990" s="131"/>
      <c r="D990" s="274"/>
      <c r="E990" s="295"/>
      <c r="F990" s="268"/>
      <c r="G990" s="268"/>
      <c r="H990" s="276"/>
      <c r="I990" s="276"/>
      <c r="J990" s="273"/>
      <c r="K990" s="271"/>
      <c r="L990" s="273"/>
      <c r="M990" s="273"/>
      <c r="N990" s="274"/>
      <c r="O990" s="131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</row>
    <row r="991" ht="15.75" customHeight="1">
      <c r="A991" s="479"/>
      <c r="B991" s="131"/>
      <c r="C991" s="131"/>
      <c r="D991" s="274"/>
      <c r="E991" s="295"/>
      <c r="F991" s="268"/>
      <c r="G991" s="268"/>
      <c r="H991" s="276"/>
      <c r="I991" s="276"/>
      <c r="J991" s="273"/>
      <c r="K991" s="271"/>
      <c r="L991" s="273"/>
      <c r="M991" s="273"/>
      <c r="N991" s="274"/>
      <c r="O991" s="131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</row>
    <row r="992" ht="15.75" customHeight="1">
      <c r="A992" s="479"/>
      <c r="B992" s="131"/>
      <c r="C992" s="131"/>
      <c r="D992" s="274"/>
      <c r="E992" s="295"/>
      <c r="F992" s="268"/>
      <c r="G992" s="268"/>
      <c r="H992" s="276"/>
      <c r="I992" s="276"/>
      <c r="J992" s="273"/>
      <c r="K992" s="271"/>
      <c r="L992" s="273"/>
      <c r="M992" s="273"/>
      <c r="N992" s="274"/>
      <c r="O992" s="131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</row>
    <row r="993" ht="15.75" customHeight="1">
      <c r="A993" s="479"/>
      <c r="B993" s="131"/>
      <c r="C993" s="131"/>
      <c r="D993" s="274"/>
      <c r="E993" s="295"/>
      <c r="F993" s="268"/>
      <c r="G993" s="268"/>
      <c r="H993" s="276"/>
      <c r="I993" s="276"/>
      <c r="J993" s="273"/>
      <c r="K993" s="271"/>
      <c r="L993" s="273"/>
      <c r="M993" s="273"/>
      <c r="N993" s="274"/>
      <c r="O993" s="131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</row>
    <row r="994" ht="15.75" customHeight="1">
      <c r="A994" s="479"/>
      <c r="B994" s="131"/>
      <c r="C994" s="131"/>
      <c r="D994" s="274"/>
      <c r="E994" s="295"/>
      <c r="F994" s="268"/>
      <c r="G994" s="268"/>
      <c r="H994" s="276"/>
      <c r="I994" s="276"/>
      <c r="J994" s="273"/>
      <c r="K994" s="271"/>
      <c r="L994" s="273"/>
      <c r="M994" s="273"/>
      <c r="N994" s="274"/>
      <c r="O994" s="131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</row>
    <row r="995" ht="15.75" customHeight="1">
      <c r="A995" s="479"/>
      <c r="B995" s="131"/>
      <c r="C995" s="131"/>
      <c r="D995" s="274"/>
      <c r="E995" s="295"/>
      <c r="F995" s="268"/>
      <c r="G995" s="268"/>
      <c r="H995" s="276"/>
      <c r="I995" s="276"/>
      <c r="J995" s="273"/>
      <c r="K995" s="271"/>
      <c r="L995" s="273"/>
      <c r="M995" s="273"/>
      <c r="N995" s="274"/>
      <c r="O995" s="131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</row>
    <row r="996" ht="15.75" customHeight="1">
      <c r="A996" s="479"/>
      <c r="B996" s="131"/>
      <c r="C996" s="131"/>
      <c r="D996" s="274"/>
      <c r="E996" s="295"/>
      <c r="F996" s="268"/>
      <c r="G996" s="268"/>
      <c r="H996" s="276"/>
      <c r="I996" s="276"/>
      <c r="J996" s="273"/>
      <c r="K996" s="271"/>
      <c r="L996" s="273"/>
      <c r="M996" s="273"/>
      <c r="N996" s="274"/>
      <c r="O996" s="131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</row>
    <row r="997" ht="15.75" customHeight="1">
      <c r="A997" s="479"/>
      <c r="B997" s="131"/>
      <c r="C997" s="131"/>
      <c r="D997" s="274"/>
      <c r="E997" s="295"/>
      <c r="F997" s="268"/>
      <c r="G997" s="268"/>
      <c r="H997" s="276"/>
      <c r="I997" s="276"/>
      <c r="J997" s="273"/>
      <c r="K997" s="271"/>
      <c r="L997" s="273"/>
      <c r="M997" s="273"/>
      <c r="N997" s="274"/>
      <c r="O997" s="131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</row>
    <row r="998" ht="15.75" customHeight="1">
      <c r="A998" s="479"/>
      <c r="B998" s="131"/>
      <c r="C998" s="131"/>
      <c r="D998" s="274"/>
      <c r="E998" s="295"/>
      <c r="F998" s="268"/>
      <c r="G998" s="268"/>
      <c r="H998" s="276"/>
      <c r="I998" s="276"/>
      <c r="J998" s="273"/>
      <c r="K998" s="271"/>
      <c r="L998" s="273"/>
      <c r="M998" s="273"/>
      <c r="N998" s="274"/>
      <c r="O998" s="131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</row>
    <row r="999" ht="15.75" customHeight="1">
      <c r="A999" s="479"/>
      <c r="B999" s="131"/>
      <c r="C999" s="131"/>
      <c r="D999" s="274"/>
      <c r="E999" s="295"/>
      <c r="F999" s="268"/>
      <c r="G999" s="268"/>
      <c r="H999" s="276"/>
      <c r="I999" s="276"/>
      <c r="J999" s="273"/>
      <c r="K999" s="271"/>
      <c r="L999" s="273"/>
      <c r="M999" s="273"/>
      <c r="N999" s="274"/>
      <c r="O999" s="131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</row>
    <row r="1000" ht="15.75" customHeight="1">
      <c r="A1000" s="479"/>
      <c r="B1000" s="131"/>
      <c r="C1000" s="131"/>
      <c r="D1000" s="274"/>
      <c r="E1000" s="295"/>
      <c r="F1000" s="268"/>
      <c r="G1000" s="268"/>
      <c r="H1000" s="276"/>
      <c r="I1000" s="276"/>
      <c r="J1000" s="273"/>
      <c r="K1000" s="271"/>
      <c r="L1000" s="273"/>
      <c r="M1000" s="273"/>
      <c r="N1000" s="274"/>
      <c r="O1000" s="131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</row>
    <row r="1001" ht="15.75" customHeight="1">
      <c r="A1001" s="479"/>
      <c r="B1001" s="131"/>
      <c r="C1001" s="131"/>
      <c r="D1001" s="274"/>
      <c r="E1001" s="295"/>
      <c r="F1001" s="268"/>
      <c r="G1001" s="268"/>
      <c r="H1001" s="276"/>
      <c r="I1001" s="276"/>
      <c r="J1001" s="273"/>
      <c r="K1001" s="271"/>
      <c r="L1001" s="273"/>
      <c r="M1001" s="273"/>
      <c r="N1001" s="274"/>
      <c r="O1001" s="131"/>
      <c r="P1001" s="273"/>
      <c r="Q1001" s="273"/>
      <c r="R1001" s="273"/>
      <c r="S1001" s="273"/>
      <c r="T1001" s="273"/>
      <c r="U1001" s="273"/>
      <c r="V1001" s="273"/>
      <c r="W1001" s="273"/>
      <c r="X1001" s="273"/>
      <c r="Y1001" s="273"/>
      <c r="Z1001" s="273"/>
    </row>
    <row r="1002" ht="15.75" customHeight="1">
      <c r="A1002" s="479"/>
      <c r="B1002" s="131"/>
      <c r="C1002" s="131"/>
      <c r="D1002" s="274"/>
      <c r="E1002" s="295"/>
      <c r="F1002" s="268"/>
      <c r="G1002" s="268"/>
      <c r="H1002" s="276"/>
      <c r="I1002" s="276"/>
      <c r="J1002" s="273"/>
      <c r="K1002" s="271"/>
      <c r="L1002" s="273"/>
      <c r="M1002" s="273"/>
      <c r="N1002" s="274"/>
      <c r="O1002" s="131"/>
      <c r="P1002" s="273"/>
      <c r="Q1002" s="273"/>
      <c r="R1002" s="273"/>
      <c r="S1002" s="273"/>
      <c r="T1002" s="273"/>
      <c r="U1002" s="273"/>
      <c r="V1002" s="273"/>
      <c r="W1002" s="273"/>
      <c r="X1002" s="273"/>
      <c r="Y1002" s="273"/>
      <c r="Z1002" s="273"/>
    </row>
    <row r="1003" ht="15.75" customHeight="1">
      <c r="A1003" s="479"/>
      <c r="B1003" s="131"/>
      <c r="C1003" s="131"/>
      <c r="D1003" s="274"/>
      <c r="E1003" s="295"/>
      <c r="F1003" s="268"/>
      <c r="G1003" s="268"/>
      <c r="H1003" s="276"/>
      <c r="I1003" s="276"/>
      <c r="J1003" s="273"/>
      <c r="K1003" s="271"/>
      <c r="L1003" s="273"/>
      <c r="M1003" s="273"/>
      <c r="N1003" s="274"/>
      <c r="O1003" s="131"/>
      <c r="P1003" s="273"/>
      <c r="Q1003" s="273"/>
      <c r="R1003" s="273"/>
      <c r="S1003" s="273"/>
      <c r="T1003" s="273"/>
      <c r="U1003" s="273"/>
      <c r="V1003" s="273"/>
      <c r="W1003" s="273"/>
      <c r="X1003" s="273"/>
      <c r="Y1003" s="273"/>
      <c r="Z1003" s="273"/>
    </row>
    <row r="1004" ht="15.75" customHeight="1">
      <c r="A1004" s="479"/>
      <c r="B1004" s="131"/>
      <c r="C1004" s="131"/>
      <c r="D1004" s="274"/>
      <c r="E1004" s="295"/>
      <c r="F1004" s="268"/>
      <c r="G1004" s="268"/>
      <c r="H1004" s="276"/>
      <c r="I1004" s="276"/>
      <c r="J1004" s="273"/>
      <c r="K1004" s="271"/>
      <c r="L1004" s="273"/>
      <c r="M1004" s="273"/>
      <c r="N1004" s="274"/>
      <c r="O1004" s="131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3"/>
      <c r="Z1004" s="273"/>
    </row>
    <row r="1005" ht="15.75" customHeight="1">
      <c r="A1005" s="479"/>
      <c r="B1005" s="131"/>
      <c r="C1005" s="131"/>
      <c r="D1005" s="274"/>
      <c r="E1005" s="295"/>
      <c r="F1005" s="268"/>
      <c r="G1005" s="268"/>
      <c r="H1005" s="276"/>
      <c r="I1005" s="276"/>
      <c r="J1005" s="273"/>
      <c r="K1005" s="271"/>
      <c r="L1005" s="273"/>
      <c r="M1005" s="273"/>
      <c r="N1005" s="274"/>
      <c r="O1005" s="131"/>
      <c r="P1005" s="273"/>
      <c r="Q1005" s="273"/>
      <c r="R1005" s="273"/>
      <c r="S1005" s="273"/>
      <c r="T1005" s="273"/>
      <c r="U1005" s="273"/>
      <c r="V1005" s="273"/>
      <c r="W1005" s="273"/>
      <c r="X1005" s="273"/>
      <c r="Y1005" s="273"/>
      <c r="Z1005" s="273"/>
    </row>
    <row r="1006" ht="15.75" customHeight="1">
      <c r="A1006" s="479"/>
      <c r="B1006" s="131"/>
      <c r="C1006" s="131"/>
      <c r="D1006" s="274"/>
      <c r="E1006" s="295"/>
      <c r="F1006" s="268"/>
      <c r="G1006" s="268"/>
      <c r="H1006" s="276"/>
      <c r="I1006" s="276"/>
      <c r="J1006" s="273"/>
      <c r="K1006" s="271"/>
      <c r="L1006" s="273"/>
      <c r="M1006" s="273"/>
      <c r="N1006" s="274"/>
      <c r="O1006" s="131"/>
      <c r="P1006" s="273"/>
      <c r="Q1006" s="273"/>
      <c r="R1006" s="273"/>
      <c r="S1006" s="273"/>
      <c r="T1006" s="273"/>
      <c r="U1006" s="273"/>
      <c r="V1006" s="273"/>
      <c r="W1006" s="273"/>
      <c r="X1006" s="273"/>
      <c r="Y1006" s="273"/>
      <c r="Z1006" s="273"/>
    </row>
    <row r="1007" ht="15.75" customHeight="1">
      <c r="A1007" s="479"/>
      <c r="B1007" s="131"/>
      <c r="C1007" s="131"/>
      <c r="D1007" s="274"/>
      <c r="E1007" s="295"/>
      <c r="F1007" s="268"/>
      <c r="G1007" s="268"/>
      <c r="H1007" s="276"/>
      <c r="I1007" s="276"/>
      <c r="J1007" s="273"/>
      <c r="K1007" s="271"/>
      <c r="L1007" s="273"/>
      <c r="M1007" s="273"/>
      <c r="N1007" s="274"/>
      <c r="O1007" s="131"/>
      <c r="P1007" s="273"/>
      <c r="Q1007" s="273"/>
      <c r="R1007" s="273"/>
      <c r="S1007" s="273"/>
      <c r="T1007" s="273"/>
      <c r="U1007" s="273"/>
      <c r="V1007" s="273"/>
      <c r="W1007" s="273"/>
      <c r="X1007" s="273"/>
      <c r="Y1007" s="273"/>
      <c r="Z1007" s="273"/>
    </row>
    <row r="1008" ht="15.75" customHeight="1">
      <c r="A1008" s="479"/>
      <c r="B1008" s="131"/>
      <c r="C1008" s="131"/>
      <c r="D1008" s="274"/>
      <c r="E1008" s="295"/>
      <c r="F1008" s="268"/>
      <c r="G1008" s="268"/>
      <c r="H1008" s="276"/>
      <c r="I1008" s="276"/>
      <c r="J1008" s="273"/>
      <c r="K1008" s="271"/>
      <c r="L1008" s="273"/>
      <c r="M1008" s="273"/>
      <c r="N1008" s="274"/>
      <c r="O1008" s="131"/>
      <c r="P1008" s="273"/>
      <c r="Q1008" s="273"/>
      <c r="R1008" s="273"/>
      <c r="S1008" s="273"/>
      <c r="T1008" s="273"/>
      <c r="U1008" s="273"/>
      <c r="V1008" s="273"/>
      <c r="W1008" s="273"/>
      <c r="X1008" s="273"/>
      <c r="Y1008" s="273"/>
      <c r="Z1008" s="273"/>
    </row>
    <row r="1009" ht="15.75" customHeight="1">
      <c r="A1009" s="479"/>
      <c r="B1009" s="131"/>
      <c r="C1009" s="131"/>
      <c r="D1009" s="274"/>
      <c r="E1009" s="295"/>
      <c r="F1009" s="268"/>
      <c r="G1009" s="268"/>
      <c r="H1009" s="276"/>
      <c r="I1009" s="276"/>
      <c r="J1009" s="273"/>
      <c r="K1009" s="271"/>
      <c r="L1009" s="273"/>
      <c r="M1009" s="273"/>
      <c r="N1009" s="274"/>
      <c r="O1009" s="131"/>
      <c r="P1009" s="273"/>
      <c r="Q1009" s="273"/>
      <c r="R1009" s="273"/>
      <c r="S1009" s="273"/>
      <c r="T1009" s="273"/>
      <c r="U1009" s="273"/>
      <c r="V1009" s="273"/>
      <c r="W1009" s="273"/>
      <c r="X1009" s="273"/>
      <c r="Y1009" s="273"/>
      <c r="Z1009" s="273"/>
    </row>
    <row r="1010" ht="15.75" customHeight="1">
      <c r="A1010" s="479"/>
      <c r="B1010" s="131"/>
      <c r="C1010" s="131"/>
      <c r="D1010" s="274"/>
      <c r="E1010" s="295"/>
      <c r="F1010" s="268"/>
      <c r="G1010" s="268"/>
      <c r="H1010" s="276"/>
      <c r="I1010" s="276"/>
      <c r="J1010" s="273"/>
      <c r="K1010" s="271"/>
      <c r="L1010" s="273"/>
      <c r="M1010" s="273"/>
      <c r="N1010" s="274"/>
      <c r="O1010" s="131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3"/>
      <c r="Z1010" s="273"/>
    </row>
    <row r="1011" ht="15.75" customHeight="1">
      <c r="A1011" s="479"/>
      <c r="B1011" s="131"/>
      <c r="C1011" s="131"/>
      <c r="D1011" s="274"/>
      <c r="E1011" s="295"/>
      <c r="F1011" s="268"/>
      <c r="G1011" s="268"/>
      <c r="H1011" s="276"/>
      <c r="I1011" s="276"/>
      <c r="J1011" s="273"/>
      <c r="K1011" s="271"/>
      <c r="L1011" s="273"/>
      <c r="M1011" s="273"/>
      <c r="N1011" s="274"/>
      <c r="O1011" s="131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3"/>
      <c r="Z1011" s="273"/>
    </row>
    <row r="1012" ht="15.75" customHeight="1">
      <c r="A1012" s="479"/>
      <c r="B1012" s="131"/>
      <c r="C1012" s="131"/>
      <c r="D1012" s="274"/>
      <c r="E1012" s="295"/>
      <c r="F1012" s="268"/>
      <c r="G1012" s="268"/>
      <c r="H1012" s="276"/>
      <c r="I1012" s="276"/>
      <c r="J1012" s="273"/>
      <c r="K1012" s="271"/>
      <c r="L1012" s="273"/>
      <c r="M1012" s="273"/>
      <c r="N1012" s="274"/>
      <c r="O1012" s="131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3"/>
      <c r="Z1012" s="273"/>
    </row>
    <row r="1013" ht="15.75" customHeight="1">
      <c r="A1013" s="479"/>
      <c r="B1013" s="131"/>
      <c r="C1013" s="131"/>
      <c r="D1013" s="274"/>
      <c r="E1013" s="295"/>
      <c r="F1013" s="268"/>
      <c r="G1013" s="268"/>
      <c r="H1013" s="276"/>
      <c r="I1013" s="276"/>
      <c r="J1013" s="273"/>
      <c r="K1013" s="271"/>
      <c r="L1013" s="273"/>
      <c r="M1013" s="273"/>
      <c r="N1013" s="274"/>
      <c r="O1013" s="131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3"/>
      <c r="Z1013" s="273"/>
    </row>
    <row r="1014" ht="15.75" customHeight="1">
      <c r="A1014" s="479"/>
      <c r="B1014" s="131"/>
      <c r="C1014" s="131"/>
      <c r="D1014" s="274"/>
      <c r="E1014" s="295"/>
      <c r="F1014" s="268"/>
      <c r="G1014" s="268"/>
      <c r="H1014" s="276"/>
      <c r="I1014" s="276"/>
      <c r="J1014" s="273"/>
      <c r="K1014" s="271"/>
      <c r="L1014" s="273"/>
      <c r="M1014" s="273"/>
      <c r="N1014" s="274"/>
      <c r="O1014" s="131"/>
      <c r="P1014" s="273"/>
      <c r="Q1014" s="273"/>
      <c r="R1014" s="273"/>
      <c r="S1014" s="273"/>
      <c r="T1014" s="273"/>
      <c r="U1014" s="273"/>
      <c r="V1014" s="273"/>
      <c r="W1014" s="273"/>
      <c r="X1014" s="273"/>
      <c r="Y1014" s="273"/>
      <c r="Z1014" s="273"/>
    </row>
    <row r="1015" ht="15.75" customHeight="1">
      <c r="A1015" s="479"/>
      <c r="B1015" s="131"/>
      <c r="C1015" s="131"/>
      <c r="D1015" s="274"/>
      <c r="E1015" s="295"/>
      <c r="F1015" s="268"/>
      <c r="G1015" s="268"/>
      <c r="H1015" s="276"/>
      <c r="I1015" s="276"/>
      <c r="J1015" s="273"/>
      <c r="K1015" s="271"/>
      <c r="L1015" s="273"/>
      <c r="M1015" s="273"/>
      <c r="N1015" s="274"/>
      <c r="O1015" s="131"/>
      <c r="P1015" s="273"/>
      <c r="Q1015" s="273"/>
      <c r="R1015" s="273"/>
      <c r="S1015" s="273"/>
      <c r="T1015" s="273"/>
      <c r="U1015" s="273"/>
      <c r="V1015" s="273"/>
      <c r="W1015" s="273"/>
      <c r="X1015" s="273"/>
      <c r="Y1015" s="273"/>
      <c r="Z1015" s="273"/>
    </row>
    <row r="1016" ht="15.75" customHeight="1">
      <c r="A1016" s="479"/>
      <c r="B1016" s="131"/>
      <c r="C1016" s="131"/>
      <c r="D1016" s="274"/>
      <c r="E1016" s="295"/>
      <c r="F1016" s="268"/>
      <c r="G1016" s="268"/>
      <c r="H1016" s="276"/>
      <c r="I1016" s="276"/>
      <c r="J1016" s="273"/>
      <c r="K1016" s="271"/>
      <c r="L1016" s="273"/>
      <c r="M1016" s="273"/>
      <c r="N1016" s="274"/>
      <c r="O1016" s="131"/>
      <c r="P1016" s="273"/>
      <c r="Q1016" s="273"/>
      <c r="R1016" s="273"/>
      <c r="S1016" s="273"/>
      <c r="T1016" s="273"/>
      <c r="U1016" s="273"/>
      <c r="V1016" s="273"/>
      <c r="W1016" s="273"/>
      <c r="X1016" s="273"/>
      <c r="Y1016" s="273"/>
      <c r="Z1016" s="273"/>
    </row>
    <row r="1017" ht="15.75" customHeight="1">
      <c r="A1017" s="479"/>
      <c r="B1017" s="131"/>
      <c r="C1017" s="131"/>
      <c r="D1017" s="274"/>
      <c r="E1017" s="295"/>
      <c r="F1017" s="268"/>
      <c r="G1017" s="268"/>
      <c r="H1017" s="276"/>
      <c r="I1017" s="276"/>
      <c r="J1017" s="273"/>
      <c r="K1017" s="271"/>
      <c r="L1017" s="273"/>
      <c r="M1017" s="273"/>
      <c r="N1017" s="274"/>
      <c r="O1017" s="131"/>
      <c r="P1017" s="273"/>
      <c r="Q1017" s="273"/>
      <c r="R1017" s="273"/>
      <c r="S1017" s="273"/>
      <c r="T1017" s="273"/>
      <c r="U1017" s="273"/>
      <c r="V1017" s="273"/>
      <c r="W1017" s="273"/>
      <c r="X1017" s="273"/>
      <c r="Y1017" s="273"/>
      <c r="Z1017" s="273"/>
    </row>
    <row r="1018" ht="15.75" customHeight="1">
      <c r="A1018" s="479"/>
      <c r="B1018" s="131"/>
      <c r="C1018" s="131"/>
      <c r="D1018" s="274"/>
      <c r="E1018" s="295"/>
      <c r="F1018" s="268"/>
      <c r="G1018" s="268"/>
      <c r="H1018" s="276"/>
      <c r="I1018" s="276"/>
      <c r="J1018" s="273"/>
      <c r="K1018" s="271"/>
      <c r="L1018" s="273"/>
      <c r="M1018" s="273"/>
      <c r="N1018" s="274"/>
      <c r="O1018" s="131"/>
      <c r="P1018" s="273"/>
      <c r="Q1018" s="273"/>
      <c r="R1018" s="273"/>
      <c r="S1018" s="273"/>
      <c r="T1018" s="273"/>
      <c r="U1018" s="273"/>
      <c r="V1018" s="273"/>
      <c r="W1018" s="273"/>
      <c r="X1018" s="273"/>
      <c r="Y1018" s="273"/>
      <c r="Z1018" s="273"/>
    </row>
    <row r="1019" ht="15.75" customHeight="1">
      <c r="A1019" s="479"/>
      <c r="B1019" s="131"/>
      <c r="C1019" s="131"/>
      <c r="D1019" s="274"/>
      <c r="E1019" s="295"/>
      <c r="F1019" s="268"/>
      <c r="G1019" s="268"/>
      <c r="H1019" s="276"/>
      <c r="I1019" s="276"/>
      <c r="J1019" s="273"/>
      <c r="K1019" s="271"/>
      <c r="L1019" s="273"/>
      <c r="M1019" s="273"/>
      <c r="N1019" s="274"/>
      <c r="O1019" s="131"/>
      <c r="P1019" s="273"/>
      <c r="Q1019" s="273"/>
      <c r="R1019" s="273"/>
      <c r="S1019" s="273"/>
      <c r="T1019" s="273"/>
      <c r="U1019" s="273"/>
      <c r="V1019" s="273"/>
      <c r="W1019" s="273"/>
      <c r="X1019" s="273"/>
      <c r="Y1019" s="273"/>
      <c r="Z1019" s="273"/>
    </row>
    <row r="1020" ht="15.75" customHeight="1">
      <c r="A1020" s="479"/>
      <c r="B1020" s="131"/>
      <c r="C1020" s="131"/>
      <c r="D1020" s="274"/>
      <c r="E1020" s="295"/>
      <c r="F1020" s="268"/>
      <c r="G1020" s="268"/>
      <c r="H1020" s="276"/>
      <c r="I1020" s="276"/>
      <c r="J1020" s="273"/>
      <c r="K1020" s="271"/>
      <c r="L1020" s="273"/>
      <c r="M1020" s="273"/>
      <c r="N1020" s="274"/>
      <c r="O1020" s="131"/>
      <c r="P1020" s="273"/>
      <c r="Q1020" s="273"/>
      <c r="R1020" s="273"/>
      <c r="S1020" s="273"/>
      <c r="T1020" s="273"/>
      <c r="U1020" s="273"/>
      <c r="V1020" s="273"/>
      <c r="W1020" s="273"/>
      <c r="X1020" s="273"/>
      <c r="Y1020" s="273"/>
      <c r="Z1020" s="273"/>
    </row>
    <row r="1021" ht="15.75" customHeight="1">
      <c r="A1021" s="479"/>
      <c r="B1021" s="131"/>
      <c r="C1021" s="131"/>
      <c r="D1021" s="274"/>
      <c r="E1021" s="295"/>
      <c r="F1021" s="268"/>
      <c r="G1021" s="268"/>
      <c r="H1021" s="276"/>
      <c r="I1021" s="276"/>
      <c r="J1021" s="273"/>
      <c r="K1021" s="271"/>
      <c r="L1021" s="273"/>
      <c r="M1021" s="273"/>
      <c r="N1021" s="274"/>
      <c r="O1021" s="131"/>
      <c r="P1021" s="273"/>
      <c r="Q1021" s="273"/>
      <c r="R1021" s="273"/>
      <c r="S1021" s="273"/>
      <c r="T1021" s="273"/>
      <c r="U1021" s="273"/>
      <c r="V1021" s="273"/>
      <c r="W1021" s="273"/>
      <c r="X1021" s="273"/>
      <c r="Y1021" s="273"/>
      <c r="Z1021" s="273"/>
    </row>
    <row r="1022" ht="15.75" customHeight="1">
      <c r="A1022" s="479"/>
      <c r="B1022" s="131"/>
      <c r="C1022" s="131"/>
      <c r="D1022" s="274"/>
      <c r="E1022" s="295"/>
      <c r="F1022" s="268"/>
      <c r="G1022" s="268"/>
      <c r="H1022" s="276"/>
      <c r="I1022" s="276"/>
      <c r="J1022" s="273"/>
      <c r="K1022" s="271"/>
      <c r="L1022" s="273"/>
      <c r="M1022" s="273"/>
      <c r="N1022" s="274"/>
      <c r="O1022" s="131"/>
      <c r="P1022" s="273"/>
      <c r="Q1022" s="273"/>
      <c r="R1022" s="273"/>
      <c r="S1022" s="273"/>
      <c r="T1022" s="273"/>
      <c r="U1022" s="273"/>
      <c r="V1022" s="273"/>
      <c r="W1022" s="273"/>
      <c r="X1022" s="273"/>
      <c r="Y1022" s="273"/>
      <c r="Z1022" s="273"/>
    </row>
    <row r="1023" ht="15.75" customHeight="1">
      <c r="A1023" s="479"/>
      <c r="B1023" s="131"/>
      <c r="C1023" s="131"/>
      <c r="D1023" s="274"/>
      <c r="E1023" s="295"/>
      <c r="F1023" s="268"/>
      <c r="G1023" s="268"/>
      <c r="H1023" s="276"/>
      <c r="I1023" s="276"/>
      <c r="J1023" s="273"/>
      <c r="K1023" s="271"/>
      <c r="L1023" s="273"/>
      <c r="M1023" s="273"/>
      <c r="N1023" s="274"/>
      <c r="O1023" s="131"/>
      <c r="P1023" s="273"/>
      <c r="Q1023" s="273"/>
      <c r="R1023" s="273"/>
      <c r="S1023" s="273"/>
      <c r="T1023" s="273"/>
      <c r="U1023" s="273"/>
      <c r="V1023" s="273"/>
      <c r="W1023" s="273"/>
      <c r="X1023" s="273"/>
      <c r="Y1023" s="273"/>
      <c r="Z1023" s="273"/>
    </row>
    <row r="1024" ht="15.75" customHeight="1">
      <c r="A1024" s="479"/>
      <c r="B1024" s="131"/>
      <c r="C1024" s="131"/>
      <c r="D1024" s="274"/>
      <c r="E1024" s="295"/>
      <c r="F1024" s="268"/>
      <c r="G1024" s="268"/>
      <c r="H1024" s="276"/>
      <c r="I1024" s="276"/>
      <c r="J1024" s="273"/>
      <c r="K1024" s="271"/>
      <c r="L1024" s="273"/>
      <c r="M1024" s="273"/>
      <c r="N1024" s="274"/>
      <c r="O1024" s="131"/>
      <c r="P1024" s="273"/>
      <c r="Q1024" s="273"/>
      <c r="R1024" s="273"/>
      <c r="S1024" s="273"/>
      <c r="T1024" s="273"/>
      <c r="U1024" s="273"/>
      <c r="V1024" s="273"/>
      <c r="W1024" s="273"/>
      <c r="X1024" s="273"/>
      <c r="Y1024" s="273"/>
      <c r="Z1024" s="273"/>
    </row>
    <row r="1025" ht="15.75" customHeight="1">
      <c r="A1025" s="479"/>
      <c r="B1025" s="131"/>
      <c r="C1025" s="131"/>
      <c r="D1025" s="274"/>
      <c r="E1025" s="295"/>
      <c r="F1025" s="268"/>
      <c r="G1025" s="268"/>
      <c r="H1025" s="276"/>
      <c r="I1025" s="276"/>
      <c r="J1025" s="273"/>
      <c r="K1025" s="271"/>
      <c r="L1025" s="273"/>
      <c r="M1025" s="273"/>
      <c r="N1025" s="274"/>
      <c r="O1025" s="131"/>
      <c r="P1025" s="273"/>
      <c r="Q1025" s="273"/>
      <c r="R1025" s="273"/>
      <c r="S1025" s="273"/>
      <c r="T1025" s="273"/>
      <c r="U1025" s="273"/>
      <c r="V1025" s="273"/>
      <c r="W1025" s="273"/>
      <c r="X1025" s="273"/>
      <c r="Y1025" s="273"/>
      <c r="Z1025" s="273"/>
    </row>
    <row r="1026" ht="15.75" customHeight="1">
      <c r="A1026" s="479"/>
      <c r="B1026" s="131"/>
      <c r="C1026" s="131"/>
      <c r="D1026" s="274"/>
      <c r="E1026" s="295"/>
      <c r="F1026" s="268"/>
      <c r="G1026" s="268"/>
      <c r="H1026" s="276"/>
      <c r="I1026" s="276"/>
      <c r="J1026" s="273"/>
      <c r="K1026" s="271"/>
      <c r="L1026" s="273"/>
      <c r="M1026" s="273"/>
      <c r="N1026" s="274"/>
      <c r="O1026" s="131"/>
      <c r="P1026" s="273"/>
      <c r="Q1026" s="273"/>
      <c r="R1026" s="273"/>
      <c r="S1026" s="273"/>
      <c r="T1026" s="273"/>
      <c r="U1026" s="273"/>
      <c r="V1026" s="273"/>
      <c r="W1026" s="273"/>
      <c r="X1026" s="273"/>
      <c r="Y1026" s="273"/>
      <c r="Z1026" s="273"/>
    </row>
    <row r="1027" ht="15.75" customHeight="1">
      <c r="A1027" s="479"/>
      <c r="B1027" s="131"/>
      <c r="C1027" s="131"/>
      <c r="D1027" s="274"/>
      <c r="E1027" s="295"/>
      <c r="F1027" s="268"/>
      <c r="G1027" s="268"/>
      <c r="H1027" s="276"/>
      <c r="I1027" s="276"/>
      <c r="J1027" s="273"/>
      <c r="K1027" s="271"/>
      <c r="L1027" s="273"/>
      <c r="M1027" s="273"/>
      <c r="N1027" s="274"/>
      <c r="O1027" s="131"/>
      <c r="P1027" s="273"/>
      <c r="Q1027" s="273"/>
      <c r="R1027" s="273"/>
      <c r="S1027" s="273"/>
      <c r="T1027" s="273"/>
      <c r="U1027" s="273"/>
      <c r="V1027" s="273"/>
      <c r="W1027" s="273"/>
      <c r="X1027" s="273"/>
      <c r="Y1027" s="273"/>
      <c r="Z1027" s="273"/>
    </row>
    <row r="1028" ht="15.75" customHeight="1">
      <c r="A1028" s="479"/>
      <c r="B1028" s="131"/>
      <c r="C1028" s="131"/>
      <c r="D1028" s="274"/>
      <c r="E1028" s="295"/>
      <c r="F1028" s="268"/>
      <c r="G1028" s="268"/>
      <c r="H1028" s="276"/>
      <c r="I1028" s="276"/>
      <c r="J1028" s="273"/>
      <c r="K1028" s="271"/>
      <c r="L1028" s="273"/>
      <c r="M1028" s="273"/>
      <c r="N1028" s="274"/>
      <c r="O1028" s="131"/>
      <c r="P1028" s="273"/>
      <c r="Q1028" s="273"/>
      <c r="R1028" s="273"/>
      <c r="S1028" s="273"/>
      <c r="T1028" s="273"/>
      <c r="U1028" s="273"/>
      <c r="V1028" s="273"/>
      <c r="W1028" s="273"/>
      <c r="X1028" s="273"/>
      <c r="Y1028" s="273"/>
      <c r="Z1028" s="273"/>
    </row>
    <row r="1029" ht="15.75" customHeight="1">
      <c r="A1029" s="479"/>
      <c r="B1029" s="131"/>
      <c r="C1029" s="131"/>
      <c r="D1029" s="274"/>
      <c r="E1029" s="295"/>
      <c r="F1029" s="268"/>
      <c r="G1029" s="268"/>
      <c r="H1029" s="276"/>
      <c r="I1029" s="276"/>
      <c r="J1029" s="273"/>
      <c r="K1029" s="271"/>
      <c r="L1029" s="273"/>
      <c r="M1029" s="273"/>
      <c r="N1029" s="274"/>
      <c r="O1029" s="131"/>
      <c r="P1029" s="273"/>
      <c r="Q1029" s="273"/>
      <c r="R1029" s="273"/>
      <c r="S1029" s="273"/>
      <c r="T1029" s="273"/>
      <c r="U1029" s="273"/>
      <c r="V1029" s="273"/>
      <c r="W1029" s="273"/>
      <c r="X1029" s="273"/>
      <c r="Y1029" s="273"/>
      <c r="Z1029" s="273"/>
    </row>
    <row r="1030" ht="15.75" customHeight="1">
      <c r="A1030" s="479"/>
      <c r="B1030" s="131"/>
      <c r="C1030" s="131"/>
      <c r="D1030" s="274"/>
      <c r="E1030" s="295"/>
      <c r="F1030" s="268"/>
      <c r="G1030" s="268"/>
      <c r="H1030" s="276"/>
      <c r="I1030" s="276"/>
      <c r="J1030" s="273"/>
      <c r="K1030" s="271"/>
      <c r="L1030" s="273"/>
      <c r="M1030" s="273"/>
      <c r="N1030" s="274"/>
      <c r="O1030" s="131"/>
      <c r="P1030" s="273"/>
      <c r="Q1030" s="273"/>
      <c r="R1030" s="273"/>
      <c r="S1030" s="273"/>
      <c r="T1030" s="273"/>
      <c r="U1030" s="273"/>
      <c r="V1030" s="273"/>
      <c r="W1030" s="273"/>
      <c r="X1030" s="273"/>
      <c r="Y1030" s="273"/>
      <c r="Z1030" s="273"/>
    </row>
    <row r="1031" ht="15.75" customHeight="1">
      <c r="A1031" s="479"/>
      <c r="B1031" s="131"/>
      <c r="C1031" s="131"/>
      <c r="D1031" s="274"/>
      <c r="E1031" s="295"/>
      <c r="F1031" s="268"/>
      <c r="G1031" s="268"/>
      <c r="H1031" s="276"/>
      <c r="I1031" s="276"/>
      <c r="J1031" s="273"/>
      <c r="K1031" s="271"/>
      <c r="L1031" s="273"/>
      <c r="M1031" s="273"/>
      <c r="N1031" s="274"/>
      <c r="O1031" s="131"/>
      <c r="P1031" s="273"/>
      <c r="Q1031" s="273"/>
      <c r="R1031" s="273"/>
      <c r="S1031" s="273"/>
      <c r="T1031" s="273"/>
      <c r="U1031" s="273"/>
      <c r="V1031" s="273"/>
      <c r="W1031" s="273"/>
      <c r="X1031" s="273"/>
      <c r="Y1031" s="273"/>
      <c r="Z1031" s="273"/>
    </row>
    <row r="1032" ht="15.75" customHeight="1">
      <c r="A1032" s="479"/>
      <c r="B1032" s="131"/>
      <c r="C1032" s="131"/>
      <c r="D1032" s="274"/>
      <c r="E1032" s="295"/>
      <c r="F1032" s="268"/>
      <c r="G1032" s="268"/>
      <c r="H1032" s="276"/>
      <c r="I1032" s="276"/>
      <c r="J1032" s="273"/>
      <c r="K1032" s="271"/>
      <c r="L1032" s="273"/>
      <c r="M1032" s="273"/>
      <c r="N1032" s="274"/>
      <c r="O1032" s="131"/>
      <c r="P1032" s="273"/>
      <c r="Q1032" s="273"/>
      <c r="R1032" s="273"/>
      <c r="S1032" s="273"/>
      <c r="T1032" s="273"/>
      <c r="U1032" s="273"/>
      <c r="V1032" s="273"/>
      <c r="W1032" s="273"/>
      <c r="X1032" s="273"/>
      <c r="Y1032" s="273"/>
      <c r="Z1032" s="273"/>
    </row>
    <row r="1033" ht="15.75" customHeight="1">
      <c r="A1033" s="479"/>
      <c r="B1033" s="131"/>
      <c r="C1033" s="131"/>
      <c r="D1033" s="274"/>
      <c r="E1033" s="295"/>
      <c r="F1033" s="268"/>
      <c r="G1033" s="268"/>
      <c r="H1033" s="276"/>
      <c r="I1033" s="276"/>
      <c r="J1033" s="273"/>
      <c r="K1033" s="271"/>
      <c r="L1033" s="273"/>
      <c r="M1033" s="273"/>
      <c r="N1033" s="274"/>
      <c r="O1033" s="131"/>
      <c r="P1033" s="273"/>
      <c r="Q1033" s="273"/>
      <c r="R1033" s="273"/>
      <c r="S1033" s="273"/>
      <c r="T1033" s="273"/>
      <c r="U1033" s="273"/>
      <c r="V1033" s="273"/>
      <c r="W1033" s="273"/>
      <c r="X1033" s="273"/>
      <c r="Y1033" s="273"/>
      <c r="Z1033" s="273"/>
    </row>
    <row r="1034" ht="15.75" customHeight="1">
      <c r="A1034" s="479"/>
      <c r="B1034" s="131"/>
      <c r="C1034" s="131"/>
      <c r="D1034" s="274"/>
      <c r="E1034" s="295"/>
      <c r="F1034" s="268"/>
      <c r="G1034" s="268"/>
      <c r="H1034" s="276"/>
      <c r="I1034" s="276"/>
      <c r="J1034" s="273"/>
      <c r="K1034" s="271"/>
      <c r="L1034" s="273"/>
      <c r="M1034" s="273"/>
      <c r="N1034" s="274"/>
      <c r="O1034" s="131"/>
      <c r="P1034" s="273"/>
      <c r="Q1034" s="273"/>
      <c r="R1034" s="273"/>
      <c r="S1034" s="273"/>
      <c r="T1034" s="273"/>
      <c r="U1034" s="273"/>
      <c r="V1034" s="273"/>
      <c r="W1034" s="273"/>
      <c r="X1034" s="273"/>
      <c r="Y1034" s="273"/>
      <c r="Z1034" s="273"/>
    </row>
    <row r="1035" ht="15.75" customHeight="1">
      <c r="A1035" s="479"/>
      <c r="B1035" s="131"/>
      <c r="C1035" s="131"/>
      <c r="D1035" s="274"/>
      <c r="E1035" s="295"/>
      <c r="F1035" s="268"/>
      <c r="G1035" s="268"/>
      <c r="H1035" s="276"/>
      <c r="I1035" s="276"/>
      <c r="J1035" s="273"/>
      <c r="K1035" s="271"/>
      <c r="L1035" s="273"/>
      <c r="M1035" s="273"/>
      <c r="N1035" s="274"/>
      <c r="O1035" s="131"/>
      <c r="P1035" s="273"/>
      <c r="Q1035" s="273"/>
      <c r="R1035" s="273"/>
      <c r="S1035" s="273"/>
      <c r="T1035" s="273"/>
      <c r="U1035" s="273"/>
      <c r="V1035" s="273"/>
      <c r="W1035" s="273"/>
      <c r="X1035" s="273"/>
      <c r="Y1035" s="273"/>
      <c r="Z1035" s="273"/>
    </row>
  </sheetData>
  <autoFilter ref="$A$1:$G$1035"/>
  <customSheetViews>
    <customSheetView guid="{1B6C7A18-4C29-44F1-B742-6F1AB0AF3989}" filter="1" showAutoFilter="1">
      <autoFilter ref="$A$1:$G$94"/>
      <extLst>
        <ext uri="GoogleSheetsCustomDataVersion1">
          <go:sheetsCustomData xmlns:go="http://customooxmlschemas.google.com/" filterViewId="1074020280"/>
        </ext>
      </extLst>
    </customSheetView>
    <customSheetView guid="{EFA1E2F2-F62C-4D69-BC53-57001C80045A}" filter="1" showAutoFilter="1">
      <autoFilter ref="$A$1:$G$1035"/>
      <extLst>
        <ext uri="GoogleSheetsCustomDataVersion1">
          <go:sheetsCustomData xmlns:go="http://customooxmlschemas.google.com/" filterViewId="1126382731"/>
        </ext>
      </extLst>
    </customSheetView>
  </customSheetViews>
  <mergeCells count="2">
    <mergeCell ref="N35:N36"/>
    <mergeCell ref="N88:N89"/>
  </mergeCells>
  <conditionalFormatting sqref="C1:C4 C36:C64 C66:C69 C71:C1035">
    <cfRule type="containsText" dxfId="0" priority="1" operator="containsText" text="No Sales">
      <formula>NOT(ISERROR(SEARCH(("No Sales"),(C1))))</formula>
    </cfRule>
  </conditionalFormatting>
  <conditionalFormatting sqref="C6 C8 C12:C13 C19 C24:C25">
    <cfRule type="containsText" dxfId="0" priority="2" operator="containsText" text="No Sales">
      <formula>NOT(ISERROR(SEARCH(("No Sales"),(C6))))</formula>
    </cfRule>
  </conditionalFormatting>
  <conditionalFormatting sqref="J2:J624">
    <cfRule type="colorScale" priority="3">
      <colorScale>
        <cfvo type="min"/>
        <cfvo type="max"/>
        <color rgb="FFFFFFFF"/>
        <color rgb="FF57BB8A"/>
      </colorScale>
    </cfRule>
  </conditionalFormatting>
  <conditionalFormatting sqref="B1:B1035">
    <cfRule type="containsText" dxfId="1" priority="4" operator="containsText" text="SAME VALUES">
      <formula>NOT(ISERROR(SEARCH(("SAME VALUES"),(B1))))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4.0" topLeftCell="K15" activePane="bottomRight" state="frozen"/>
      <selection activeCell="K1" sqref="K1" pane="topRight"/>
      <selection activeCell="A15" sqref="A15" pane="bottomLeft"/>
      <selection activeCell="K15" sqref="K15" pane="bottomRight"/>
    </sheetView>
  </sheetViews>
  <sheetFormatPr customHeight="1" defaultColWidth="14.43" defaultRowHeight="15.0"/>
  <cols>
    <col customWidth="1" min="1" max="1" width="7.43"/>
    <col customWidth="1" min="2" max="3" width="10.14"/>
    <col customWidth="1" min="4" max="4" width="11.14"/>
    <col customWidth="1" min="5" max="6" width="11.71"/>
    <col customWidth="1" min="7" max="7" width="10.57"/>
    <col customWidth="1" min="8" max="20" width="11.14"/>
    <col customWidth="1" min="21" max="22" width="11.43"/>
    <col customWidth="1" min="23" max="24" width="11.14"/>
    <col customWidth="1" min="25" max="25" width="11.43"/>
    <col customWidth="1" min="26" max="29" width="11.14"/>
    <col customWidth="1" min="30" max="30" width="11.43"/>
    <col customWidth="1" min="31" max="35" width="11.14"/>
    <col customWidth="1" min="36" max="36" width="11.43"/>
    <col customWidth="1" min="37" max="38" width="11.14"/>
    <col customWidth="1" min="39" max="39" width="11.43"/>
    <col customWidth="1" min="40" max="40" width="11.14"/>
    <col customWidth="1" min="41" max="42" width="8.86"/>
  </cols>
  <sheetData>
    <row r="1" ht="12.75" customHeight="1">
      <c r="A1" s="175" t="s">
        <v>0</v>
      </c>
      <c r="B1" s="325"/>
      <c r="C1" s="326"/>
      <c r="D1" s="175"/>
      <c r="E1" s="175"/>
      <c r="F1" s="175"/>
      <c r="G1" s="327" t="s">
        <v>484</v>
      </c>
      <c r="H1" s="328" t="s">
        <v>41</v>
      </c>
      <c r="I1" s="328" t="s">
        <v>55</v>
      </c>
      <c r="J1" s="328" t="s">
        <v>9</v>
      </c>
      <c r="K1" s="176"/>
      <c r="L1" s="176"/>
      <c r="M1" s="329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</row>
    <row r="2" ht="16.5" customHeight="1">
      <c r="A2" s="175" t="s">
        <v>488</v>
      </c>
      <c r="B2" s="325"/>
      <c r="C2" s="326"/>
      <c r="D2" s="330"/>
      <c r="E2" s="331"/>
      <c r="F2" s="331"/>
      <c r="G2" s="327" t="s">
        <v>128</v>
      </c>
      <c r="H2" s="176">
        <f t="shared" ref="H2:J2" si="1">K12</f>
        <v>182141.6</v>
      </c>
      <c r="I2" s="176">
        <f t="shared" si="1"/>
        <v>142471.2</v>
      </c>
      <c r="J2" s="176">
        <f t="shared" si="1"/>
        <v>-134107.4</v>
      </c>
      <c r="K2" s="176"/>
      <c r="L2" s="176"/>
      <c r="M2" s="329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</row>
    <row r="3" ht="12.75" customHeight="1">
      <c r="A3" s="332">
        <f>TODAY()</f>
        <v>46311</v>
      </c>
      <c r="D3" s="330"/>
      <c r="E3" s="333"/>
      <c r="F3" s="333"/>
      <c r="G3" s="334" t="s">
        <v>97</v>
      </c>
      <c r="H3" s="176">
        <f t="shared" ref="H3:J3" si="2">N12</f>
        <v>594175</v>
      </c>
      <c r="I3" s="176">
        <f t="shared" si="2"/>
        <v>675800</v>
      </c>
      <c r="J3" s="176">
        <f t="shared" si="2"/>
        <v>284235</v>
      </c>
      <c r="K3" s="175"/>
      <c r="L3" s="176"/>
      <c r="M3" s="329"/>
      <c r="N3" s="176"/>
      <c r="O3" s="176"/>
      <c r="P3" s="335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</row>
    <row r="4" ht="12.75" customHeight="1">
      <c r="A4" s="175"/>
      <c r="B4" s="325"/>
      <c r="C4" s="326"/>
      <c r="D4" s="330"/>
      <c r="E4" s="333"/>
      <c r="F4" s="333"/>
      <c r="G4" s="334" t="s">
        <v>341</v>
      </c>
      <c r="H4" s="176">
        <f t="shared" ref="H4:J4" si="3">Q12</f>
        <v>282470</v>
      </c>
      <c r="I4" s="176">
        <f t="shared" si="3"/>
        <v>395940</v>
      </c>
      <c r="J4" s="176">
        <f t="shared" si="3"/>
        <v>382490</v>
      </c>
      <c r="K4" s="175"/>
      <c r="L4" s="176"/>
      <c r="M4" s="329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</row>
    <row r="5" ht="12.75" customHeight="1">
      <c r="A5" s="175"/>
      <c r="B5" s="325"/>
      <c r="C5" s="326"/>
      <c r="D5" s="330"/>
      <c r="E5" s="333"/>
      <c r="F5" s="333"/>
      <c r="G5" s="334" t="s">
        <v>186</v>
      </c>
      <c r="H5" s="176">
        <f t="shared" ref="H5:J5" si="4">T12</f>
        <v>271260.32</v>
      </c>
      <c r="I5" s="176">
        <f t="shared" si="4"/>
        <v>307449.12</v>
      </c>
      <c r="J5" s="176">
        <f t="shared" si="4"/>
        <v>112396</v>
      </c>
      <c r="K5" s="175"/>
      <c r="L5" s="176"/>
      <c r="M5" s="329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</row>
    <row r="6" ht="12.75" customHeight="1">
      <c r="A6" s="175"/>
      <c r="B6" s="325"/>
      <c r="C6" s="326"/>
      <c r="D6" s="330"/>
      <c r="E6" s="333"/>
      <c r="F6" s="333"/>
      <c r="G6" s="334" t="s">
        <v>498</v>
      </c>
      <c r="H6" s="176">
        <f t="shared" ref="H6:J6" si="5">W12</f>
        <v>246667.72</v>
      </c>
      <c r="I6" s="176">
        <f t="shared" si="5"/>
        <v>246667.72</v>
      </c>
      <c r="J6" s="176">
        <f t="shared" si="5"/>
        <v>0</v>
      </c>
      <c r="K6" s="175"/>
      <c r="L6" s="176"/>
      <c r="M6" s="329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</row>
    <row r="7" ht="12.75" customHeight="1">
      <c r="A7" s="175"/>
      <c r="B7" s="325"/>
      <c r="C7" s="326"/>
      <c r="D7" s="330"/>
      <c r="E7" s="333"/>
      <c r="F7" s="333"/>
      <c r="G7" s="334" t="s">
        <v>136</v>
      </c>
      <c r="H7" s="176">
        <f t="shared" ref="H7:J7" si="6">Z12</f>
        <v>129600</v>
      </c>
      <c r="I7" s="176">
        <f t="shared" si="6"/>
        <v>49000</v>
      </c>
      <c r="J7" s="176">
        <f t="shared" si="6"/>
        <v>0</v>
      </c>
      <c r="K7" s="175"/>
      <c r="L7" s="176"/>
      <c r="M7" s="329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</row>
    <row r="8" ht="12.75" customHeight="1">
      <c r="A8" s="175"/>
      <c r="B8" s="325"/>
      <c r="C8" s="326"/>
      <c r="D8" s="330"/>
      <c r="E8" s="333"/>
      <c r="F8" s="333"/>
      <c r="G8" s="334" t="s">
        <v>506</v>
      </c>
      <c r="H8" s="176">
        <f t="shared" ref="H8:J8" si="7">AC12</f>
        <v>71073</v>
      </c>
      <c r="I8" s="176">
        <f t="shared" si="7"/>
        <v>71073</v>
      </c>
      <c r="J8" s="176">
        <f t="shared" si="7"/>
        <v>0</v>
      </c>
      <c r="K8" s="175"/>
      <c r="L8" s="176"/>
      <c r="M8" s="329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30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</row>
    <row r="9" ht="12.75" customHeight="1">
      <c r="A9" s="175"/>
      <c r="B9" s="325"/>
      <c r="C9" s="326"/>
      <c r="D9" s="330"/>
      <c r="E9" s="333"/>
      <c r="F9" s="333"/>
      <c r="G9" s="334" t="s">
        <v>164</v>
      </c>
      <c r="H9" s="176">
        <f t="shared" ref="H9:J9" si="8">AF12</f>
        <v>69300</v>
      </c>
      <c r="I9" s="176">
        <f t="shared" si="8"/>
        <v>209500</v>
      </c>
      <c r="J9" s="176">
        <f t="shared" si="8"/>
        <v>140200</v>
      </c>
      <c r="K9" s="175"/>
      <c r="L9" s="176"/>
      <c r="M9" s="329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</row>
    <row r="10" ht="12.75" customHeight="1">
      <c r="A10" s="175"/>
      <c r="B10" s="325"/>
      <c r="C10" s="326"/>
      <c r="D10" s="330"/>
      <c r="E10" s="333"/>
      <c r="F10" s="333"/>
      <c r="G10" s="177"/>
      <c r="H10" s="175"/>
      <c r="I10" s="175"/>
      <c r="J10" s="175"/>
      <c r="K10" s="175"/>
      <c r="L10" s="176"/>
      <c r="M10" s="329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</row>
    <row r="11" ht="12.75" customHeight="1">
      <c r="A11" s="175"/>
      <c r="B11" s="325"/>
      <c r="C11" s="326"/>
      <c r="D11" s="330"/>
      <c r="E11" s="333"/>
      <c r="F11" s="333"/>
      <c r="G11" s="177"/>
      <c r="H11" s="375">
        <f t="shared" ref="H11:J11" si="9">sum(H2:H10)</f>
        <v>1846687.64</v>
      </c>
      <c r="I11" s="375">
        <f t="shared" si="9"/>
        <v>2097901.04</v>
      </c>
      <c r="J11" s="376">
        <f t="shared" si="9"/>
        <v>785213.6</v>
      </c>
      <c r="K11" s="175"/>
      <c r="L11" s="176"/>
      <c r="M11" s="329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</row>
    <row r="12" ht="12.75" customHeight="1">
      <c r="A12" s="175"/>
      <c r="B12" s="325"/>
      <c r="C12" s="326"/>
      <c r="D12" s="175"/>
      <c r="E12" s="175"/>
      <c r="F12" s="175"/>
      <c r="G12" s="184"/>
      <c r="H12" s="375">
        <f t="shared" ref="H12:I12" si="10">SUM(H16:H1048583)</f>
        <v>1846687.64</v>
      </c>
      <c r="I12" s="375">
        <f t="shared" si="10"/>
        <v>2097901.04</v>
      </c>
      <c r="J12" s="385">
        <f>J15+I12-H12</f>
        <v>785213.6</v>
      </c>
      <c r="K12" s="176">
        <f t="shared" ref="K12:L12" si="11">SUM(K16:K1048583)</f>
        <v>182141.6</v>
      </c>
      <c r="L12" s="176">
        <f t="shared" si="11"/>
        <v>142471.2</v>
      </c>
      <c r="M12" s="393">
        <f>M15+L12-K12</f>
        <v>-134107.4</v>
      </c>
      <c r="N12" s="176">
        <f t="shared" ref="N12:O12" si="12">SUM(N16:N1048583)</f>
        <v>594175</v>
      </c>
      <c r="O12" s="176">
        <f t="shared" si="12"/>
        <v>675800</v>
      </c>
      <c r="P12" s="397">
        <f>P15+O12-N12</f>
        <v>284235</v>
      </c>
      <c r="Q12" s="176">
        <f t="shared" ref="Q12:R12" si="13">SUM(Q16:Q1048583)</f>
        <v>282470</v>
      </c>
      <c r="R12" s="176">
        <f t="shared" si="13"/>
        <v>395940</v>
      </c>
      <c r="S12" s="397">
        <f>S15+R12-Q12</f>
        <v>382490</v>
      </c>
      <c r="T12" s="176">
        <f t="shared" ref="T12:U12" si="14">SUM(T16:T1048583)</f>
        <v>271260.32</v>
      </c>
      <c r="U12" s="176">
        <f t="shared" si="14"/>
        <v>307449.12</v>
      </c>
      <c r="V12" s="397">
        <f>V15+U12-T12</f>
        <v>112396</v>
      </c>
      <c r="W12" s="176">
        <f t="shared" ref="W12:X12" si="15">SUM(W16:W1048583)</f>
        <v>246667.72</v>
      </c>
      <c r="X12" s="176">
        <f t="shared" si="15"/>
        <v>246667.72</v>
      </c>
      <c r="Y12" s="397">
        <f>Y15+X12-W12</f>
        <v>0</v>
      </c>
      <c r="Z12" s="176">
        <f t="shared" ref="Z12:AA12" si="16">SUM(Z16:Z1048583)</f>
        <v>129600</v>
      </c>
      <c r="AA12" s="176">
        <f t="shared" si="16"/>
        <v>49000</v>
      </c>
      <c r="AB12" s="397">
        <f>AB15+AA12-Z12</f>
        <v>0</v>
      </c>
      <c r="AC12" s="176">
        <f t="shared" ref="AC12:AD12" si="17">SUM(AC16:AC1048583)</f>
        <v>71073</v>
      </c>
      <c r="AD12" s="176">
        <f t="shared" si="17"/>
        <v>71073</v>
      </c>
      <c r="AE12" s="397">
        <f>AE15+AD12-AC12</f>
        <v>0</v>
      </c>
      <c r="AF12" s="176">
        <f t="shared" ref="AF12:AG12" si="18">SUM(AF16:AF1048583)</f>
        <v>69300</v>
      </c>
      <c r="AG12" s="176">
        <f t="shared" si="18"/>
        <v>209500</v>
      </c>
      <c r="AH12" s="397">
        <f>AH15+AG12-AF12</f>
        <v>140200</v>
      </c>
      <c r="AI12" s="176">
        <f t="shared" ref="AI12:AJ12" si="19">SUM(AI16:AI1048583)</f>
        <v>0</v>
      </c>
      <c r="AJ12" s="176">
        <f t="shared" si="19"/>
        <v>0</v>
      </c>
      <c r="AK12" s="397">
        <f>AK15+AJ12-AI12</f>
        <v>0</v>
      </c>
      <c r="AL12" s="176">
        <f t="shared" ref="AL12:AM12" si="20">SUM(AL16:AL1048583)</f>
        <v>0</v>
      </c>
      <c r="AM12" s="176">
        <f t="shared" si="20"/>
        <v>0</v>
      </c>
      <c r="AN12" s="397">
        <f>AN15+AM12-AL12</f>
        <v>0</v>
      </c>
      <c r="AO12" s="176"/>
      <c r="AP12" s="176"/>
    </row>
    <row r="13" ht="14.25" customHeight="1">
      <c r="A13" s="413"/>
      <c r="B13" s="414"/>
      <c r="C13" s="415"/>
      <c r="D13" s="413"/>
      <c r="E13" s="413"/>
      <c r="F13" s="413"/>
      <c r="G13" s="418"/>
      <c r="H13" s="418"/>
      <c r="I13" s="421" t="s">
        <v>550</v>
      </c>
      <c r="J13" s="418"/>
      <c r="K13" s="418" t="s">
        <v>369</v>
      </c>
      <c r="N13" s="418" t="s">
        <v>551</v>
      </c>
      <c r="Q13" s="421" t="s">
        <v>341</v>
      </c>
      <c r="T13" s="418" t="s">
        <v>552</v>
      </c>
      <c r="W13" s="421" t="s">
        <v>554</v>
      </c>
      <c r="Z13" s="418" t="s">
        <v>353</v>
      </c>
      <c r="AC13" s="421" t="s">
        <v>350</v>
      </c>
      <c r="AF13" s="421" t="s">
        <v>164</v>
      </c>
      <c r="AI13" s="418"/>
      <c r="AL13" s="418"/>
      <c r="AO13" s="424"/>
      <c r="AP13" s="424"/>
    </row>
    <row r="14" ht="12.75" customHeight="1">
      <c r="A14" s="425" t="s">
        <v>330</v>
      </c>
      <c r="B14" s="428" t="s">
        <v>1</v>
      </c>
      <c r="C14" s="429" t="s">
        <v>337</v>
      </c>
      <c r="D14" s="175" t="s">
        <v>560</v>
      </c>
      <c r="E14" s="430" t="s">
        <v>562</v>
      </c>
      <c r="F14" s="430" t="s">
        <v>197</v>
      </c>
      <c r="G14" s="334" t="s">
        <v>338</v>
      </c>
      <c r="H14" s="431" t="s">
        <v>564</v>
      </c>
      <c r="I14" s="431" t="s">
        <v>565</v>
      </c>
      <c r="J14" s="431" t="s">
        <v>9</v>
      </c>
      <c r="K14" s="431" t="s">
        <v>564</v>
      </c>
      <c r="L14" s="431" t="s">
        <v>565</v>
      </c>
      <c r="M14" s="432" t="s">
        <v>9</v>
      </c>
      <c r="N14" s="431" t="s">
        <v>564</v>
      </c>
      <c r="O14" s="431" t="s">
        <v>565</v>
      </c>
      <c r="P14" s="431" t="s">
        <v>9</v>
      </c>
      <c r="Q14" s="431" t="s">
        <v>564</v>
      </c>
      <c r="R14" s="431" t="s">
        <v>565</v>
      </c>
      <c r="S14" s="431" t="s">
        <v>9</v>
      </c>
      <c r="T14" s="431" t="s">
        <v>564</v>
      </c>
      <c r="U14" s="431" t="s">
        <v>565</v>
      </c>
      <c r="V14" s="431" t="s">
        <v>9</v>
      </c>
      <c r="W14" s="431" t="s">
        <v>564</v>
      </c>
      <c r="X14" s="431" t="s">
        <v>565</v>
      </c>
      <c r="Y14" s="431" t="s">
        <v>9</v>
      </c>
      <c r="Z14" s="431" t="s">
        <v>564</v>
      </c>
      <c r="AA14" s="431" t="s">
        <v>565</v>
      </c>
      <c r="AB14" s="431" t="s">
        <v>9</v>
      </c>
      <c r="AC14" s="431" t="s">
        <v>564</v>
      </c>
      <c r="AD14" s="431" t="s">
        <v>565</v>
      </c>
      <c r="AE14" s="431" t="s">
        <v>9</v>
      </c>
      <c r="AF14" s="431" t="s">
        <v>564</v>
      </c>
      <c r="AG14" s="431" t="s">
        <v>565</v>
      </c>
      <c r="AH14" s="431" t="s">
        <v>9</v>
      </c>
      <c r="AI14" s="431" t="s">
        <v>564</v>
      </c>
      <c r="AJ14" s="431" t="s">
        <v>565</v>
      </c>
      <c r="AK14" s="431" t="s">
        <v>9</v>
      </c>
      <c r="AL14" s="431" t="s">
        <v>564</v>
      </c>
      <c r="AM14" s="431" t="s">
        <v>565</v>
      </c>
      <c r="AN14" s="431" t="s">
        <v>9</v>
      </c>
      <c r="AO14" s="176"/>
      <c r="AP14" s="176"/>
    </row>
    <row r="15" ht="12.75" customHeight="1">
      <c r="A15" s="430" t="s">
        <v>334</v>
      </c>
      <c r="B15" s="437">
        <v>46024.0</v>
      </c>
      <c r="C15" s="429"/>
      <c r="D15" s="175" t="s">
        <v>571</v>
      </c>
      <c r="E15" s="175"/>
      <c r="F15" s="175"/>
      <c r="G15" s="184"/>
      <c r="H15" s="176"/>
      <c r="I15" s="176"/>
      <c r="J15" s="176">
        <f>sum(M15,P15,S15,V15,Y15,AB15,AE15,AH15,AK15,AN15)</f>
        <v>534000.2</v>
      </c>
      <c r="K15" s="176"/>
      <c r="L15" s="176"/>
      <c r="M15" s="451">
        <v>-94437.0</v>
      </c>
      <c r="N15" s="176"/>
      <c r="O15" s="176"/>
      <c r="P15" s="328">
        <v>202610.0</v>
      </c>
      <c r="Q15" s="176"/>
      <c r="R15" s="176"/>
      <c r="S15" s="328">
        <v>269020.0</v>
      </c>
      <c r="T15" s="176"/>
      <c r="U15" s="176"/>
      <c r="V15" s="328">
        <f>50976.4+25230.8</f>
        <v>76207.2</v>
      </c>
      <c r="W15" s="176"/>
      <c r="X15" s="176"/>
      <c r="Y15" s="328">
        <v>0.0</v>
      </c>
      <c r="Z15" s="176"/>
      <c r="AA15" s="176"/>
      <c r="AB15" s="328">
        <v>80600.0</v>
      </c>
      <c r="AC15" s="176"/>
      <c r="AD15" s="176"/>
      <c r="AE15" s="176">
        <v>0.0</v>
      </c>
      <c r="AF15" s="176"/>
      <c r="AG15" s="176"/>
      <c r="AH15" s="176">
        <v>0.0</v>
      </c>
      <c r="AI15" s="176"/>
      <c r="AJ15" s="176"/>
      <c r="AK15" s="176">
        <v>0.0</v>
      </c>
      <c r="AL15" s="176"/>
      <c r="AM15" s="176"/>
      <c r="AN15" s="176">
        <v>0.0</v>
      </c>
      <c r="AO15" s="176"/>
      <c r="AP15" s="176"/>
    </row>
    <row r="16" ht="12.75" customHeight="1">
      <c r="A16" s="191">
        <v>30.0</v>
      </c>
      <c r="B16" s="457">
        <v>46029.0</v>
      </c>
      <c r="C16" s="459">
        <f t="shared" ref="C16:C23" si="22">B16+A16</f>
        <v>46059</v>
      </c>
      <c r="D16" s="196" t="s">
        <v>55</v>
      </c>
      <c r="E16" s="196"/>
      <c r="F16" s="196" t="s">
        <v>582</v>
      </c>
      <c r="G16" s="460"/>
      <c r="H16" s="181">
        <f t="shared" ref="H16:J16" si="21">sum(K16,N16,Q16,T16,W16,Z16,AC16,AF16,AI16,AL16)</f>
        <v>0</v>
      </c>
      <c r="I16" s="181">
        <f t="shared" si="21"/>
        <v>10290</v>
      </c>
      <c r="J16" s="176">
        <f t="shared" si="21"/>
        <v>544290.2</v>
      </c>
      <c r="K16" s="181"/>
      <c r="L16" s="181"/>
      <c r="M16" s="329">
        <f t="shared" ref="M16:M56" si="24">M15+L16-K16</f>
        <v>-94437</v>
      </c>
      <c r="N16" s="181"/>
      <c r="O16" s="197">
        <v>10290.0</v>
      </c>
      <c r="P16" s="176">
        <f t="shared" ref="P16:P23" si="25">P15+O16-N16</f>
        <v>212900</v>
      </c>
      <c r="Q16" s="181"/>
      <c r="R16" s="181"/>
      <c r="S16" s="176">
        <f t="shared" ref="S16:S87" si="26">S15+R16-Q16</f>
        <v>269020</v>
      </c>
      <c r="T16" s="181"/>
      <c r="U16" s="181"/>
      <c r="V16" s="176">
        <f t="shared" ref="V16:V87" si="27">V15+U16-T16</f>
        <v>76207.2</v>
      </c>
      <c r="W16" s="181"/>
      <c r="X16" s="181"/>
      <c r="Y16" s="176">
        <f t="shared" ref="Y16:Y54" si="28">Y15+X16-W16</f>
        <v>0</v>
      </c>
      <c r="Z16" s="181"/>
      <c r="AA16" s="181"/>
      <c r="AB16" s="176">
        <f t="shared" ref="AB16:AB308" si="29">AB15+AA16-Z16</f>
        <v>80600</v>
      </c>
      <c r="AC16" s="181"/>
      <c r="AD16" s="181"/>
      <c r="AE16" s="176">
        <f t="shared" ref="AE16:AE54" si="30">AE15+AD16-AC16</f>
        <v>0</v>
      </c>
      <c r="AF16" s="176"/>
      <c r="AG16" s="176"/>
      <c r="AH16" s="176">
        <f t="shared" ref="AH16:AH54" si="31">AH15+AG16-AF16</f>
        <v>0</v>
      </c>
      <c r="AI16" s="181"/>
      <c r="AJ16" s="181"/>
      <c r="AK16" s="176">
        <f t="shared" ref="AK16:AK54" si="32">AK15+AJ16-AI16</f>
        <v>0</v>
      </c>
      <c r="AL16" s="181"/>
      <c r="AM16" s="181"/>
      <c r="AN16" s="176">
        <f t="shared" ref="AN16:AN54" si="33">AN15+AM16-AL16</f>
        <v>0</v>
      </c>
      <c r="AO16" s="181"/>
      <c r="AP16" s="181"/>
    </row>
    <row r="17" ht="12.75" customHeight="1">
      <c r="A17" s="191">
        <v>30.0</v>
      </c>
      <c r="B17" s="457">
        <v>46035.0</v>
      </c>
      <c r="C17" s="459">
        <f t="shared" si="22"/>
        <v>46065</v>
      </c>
      <c r="D17" s="196" t="s">
        <v>55</v>
      </c>
      <c r="E17" s="196"/>
      <c r="F17" s="196" t="s">
        <v>597</v>
      </c>
      <c r="G17" s="460"/>
      <c r="H17" s="181">
        <f t="shared" ref="H17:J17" si="23">sum(K17,N17,Q17,T17,W17,Z17,AC17,AF17,AI17,AL17)</f>
        <v>0</v>
      </c>
      <c r="I17" s="181">
        <f t="shared" si="23"/>
        <v>9400</v>
      </c>
      <c r="J17" s="176">
        <f t="shared" si="23"/>
        <v>553690.2</v>
      </c>
      <c r="K17" s="181"/>
      <c r="L17" s="181"/>
      <c r="M17" s="329">
        <f t="shared" si="24"/>
        <v>-94437</v>
      </c>
      <c r="N17" s="181"/>
      <c r="O17" s="197">
        <v>9400.0</v>
      </c>
      <c r="P17" s="176">
        <f t="shared" si="25"/>
        <v>222300</v>
      </c>
      <c r="Q17" s="181"/>
      <c r="R17" s="181"/>
      <c r="S17" s="176">
        <f t="shared" si="26"/>
        <v>269020</v>
      </c>
      <c r="T17" s="181"/>
      <c r="U17" s="181"/>
      <c r="V17" s="176">
        <f t="shared" si="27"/>
        <v>76207.2</v>
      </c>
      <c r="W17" s="181"/>
      <c r="X17" s="181"/>
      <c r="Y17" s="176">
        <f t="shared" si="28"/>
        <v>0</v>
      </c>
      <c r="Z17" s="181"/>
      <c r="AA17" s="181"/>
      <c r="AB17" s="176">
        <f t="shared" si="29"/>
        <v>80600</v>
      </c>
      <c r="AC17" s="181"/>
      <c r="AD17" s="181"/>
      <c r="AE17" s="176">
        <f t="shared" si="30"/>
        <v>0</v>
      </c>
      <c r="AF17" s="176"/>
      <c r="AG17" s="176"/>
      <c r="AH17" s="176">
        <f t="shared" si="31"/>
        <v>0</v>
      </c>
      <c r="AI17" s="181"/>
      <c r="AJ17" s="181"/>
      <c r="AK17" s="176">
        <f t="shared" si="32"/>
        <v>0</v>
      </c>
      <c r="AL17" s="181"/>
      <c r="AM17" s="181"/>
      <c r="AN17" s="176">
        <f t="shared" si="33"/>
        <v>0</v>
      </c>
      <c r="AO17" s="181"/>
      <c r="AP17" s="181"/>
    </row>
    <row r="18" ht="12.75" customHeight="1">
      <c r="A18" s="191">
        <v>30.0</v>
      </c>
      <c r="B18" s="457">
        <v>46038.0</v>
      </c>
      <c r="C18" s="459">
        <f t="shared" si="22"/>
        <v>46068</v>
      </c>
      <c r="D18" s="196" t="s">
        <v>55</v>
      </c>
      <c r="E18" s="196"/>
      <c r="F18" s="196" t="s">
        <v>119</v>
      </c>
      <c r="G18" s="460"/>
      <c r="H18" s="181">
        <f t="shared" ref="H18:J18" si="34">sum(K18,N18,Q18,T18,W18,Z18,AC18,AF18,AI18,AL18)</f>
        <v>0</v>
      </c>
      <c r="I18" s="181">
        <f t="shared" si="34"/>
        <v>19240</v>
      </c>
      <c r="J18" s="176">
        <f t="shared" si="34"/>
        <v>572930.2</v>
      </c>
      <c r="K18" s="181"/>
      <c r="L18" s="181"/>
      <c r="M18" s="329">
        <f t="shared" si="24"/>
        <v>-94437</v>
      </c>
      <c r="N18" s="181"/>
      <c r="O18" s="197">
        <v>19240.0</v>
      </c>
      <c r="P18" s="176">
        <f t="shared" si="25"/>
        <v>241540</v>
      </c>
      <c r="Q18" s="181"/>
      <c r="R18" s="181"/>
      <c r="S18" s="176">
        <f t="shared" si="26"/>
        <v>269020</v>
      </c>
      <c r="T18" s="181"/>
      <c r="U18" s="181"/>
      <c r="V18" s="176">
        <f t="shared" si="27"/>
        <v>76207.2</v>
      </c>
      <c r="W18" s="181"/>
      <c r="X18" s="181"/>
      <c r="Y18" s="176">
        <f t="shared" si="28"/>
        <v>0</v>
      </c>
      <c r="Z18" s="181"/>
      <c r="AA18" s="181"/>
      <c r="AB18" s="176">
        <f t="shared" si="29"/>
        <v>80600</v>
      </c>
      <c r="AC18" s="181"/>
      <c r="AD18" s="181"/>
      <c r="AE18" s="176">
        <f t="shared" si="30"/>
        <v>0</v>
      </c>
      <c r="AF18" s="176"/>
      <c r="AG18" s="176"/>
      <c r="AH18" s="176">
        <f t="shared" si="31"/>
        <v>0</v>
      </c>
      <c r="AI18" s="181"/>
      <c r="AJ18" s="181"/>
      <c r="AK18" s="176">
        <f t="shared" si="32"/>
        <v>0</v>
      </c>
      <c r="AL18" s="181"/>
      <c r="AM18" s="181"/>
      <c r="AN18" s="176">
        <f t="shared" si="33"/>
        <v>0</v>
      </c>
      <c r="AO18" s="181"/>
      <c r="AP18" s="181"/>
    </row>
    <row r="19" ht="12.75" customHeight="1">
      <c r="A19" s="191">
        <v>30.0</v>
      </c>
      <c r="B19" s="457">
        <v>46041.0</v>
      </c>
      <c r="C19" s="459">
        <f t="shared" si="22"/>
        <v>46071</v>
      </c>
      <c r="D19" s="196" t="s">
        <v>55</v>
      </c>
      <c r="E19" s="196"/>
      <c r="F19" s="196" t="s">
        <v>613</v>
      </c>
      <c r="G19" s="460"/>
      <c r="H19" s="181">
        <f t="shared" ref="H19:J19" si="35">sum(K19,N19,Q19,T19,W19,Z19,AC19,AF19,AI19,AL19)</f>
        <v>0</v>
      </c>
      <c r="I19" s="181">
        <f t="shared" si="35"/>
        <v>9200</v>
      </c>
      <c r="J19" s="176">
        <f t="shared" si="35"/>
        <v>582130.2</v>
      </c>
      <c r="K19" s="181"/>
      <c r="L19" s="181"/>
      <c r="M19" s="329">
        <f t="shared" si="24"/>
        <v>-94437</v>
      </c>
      <c r="N19" s="181"/>
      <c r="O19" s="197">
        <v>9200.0</v>
      </c>
      <c r="P19" s="176">
        <f t="shared" si="25"/>
        <v>250740</v>
      </c>
      <c r="Q19" s="181"/>
      <c r="R19" s="181"/>
      <c r="S19" s="176">
        <f t="shared" si="26"/>
        <v>269020</v>
      </c>
      <c r="T19" s="181"/>
      <c r="U19" s="181"/>
      <c r="V19" s="176">
        <f t="shared" si="27"/>
        <v>76207.2</v>
      </c>
      <c r="W19" s="181"/>
      <c r="X19" s="181"/>
      <c r="Y19" s="176">
        <f t="shared" si="28"/>
        <v>0</v>
      </c>
      <c r="Z19" s="181"/>
      <c r="AA19" s="181"/>
      <c r="AB19" s="176">
        <f t="shared" si="29"/>
        <v>80600</v>
      </c>
      <c r="AC19" s="181"/>
      <c r="AD19" s="181"/>
      <c r="AE19" s="176">
        <f t="shared" si="30"/>
        <v>0</v>
      </c>
      <c r="AF19" s="176"/>
      <c r="AG19" s="176"/>
      <c r="AH19" s="176">
        <f t="shared" si="31"/>
        <v>0</v>
      </c>
      <c r="AI19" s="181"/>
      <c r="AJ19" s="181"/>
      <c r="AK19" s="176">
        <f t="shared" si="32"/>
        <v>0</v>
      </c>
      <c r="AL19" s="181"/>
      <c r="AM19" s="181"/>
      <c r="AN19" s="176">
        <f t="shared" si="33"/>
        <v>0</v>
      </c>
      <c r="AO19" s="181"/>
      <c r="AP19" s="181"/>
    </row>
    <row r="20" ht="12.75" customHeight="1">
      <c r="A20" s="191">
        <v>30.0</v>
      </c>
      <c r="B20" s="457">
        <v>46042.0</v>
      </c>
      <c r="C20" s="459">
        <f t="shared" si="22"/>
        <v>46072</v>
      </c>
      <c r="D20" s="196" t="s">
        <v>55</v>
      </c>
      <c r="E20" s="196"/>
      <c r="F20" s="196" t="s">
        <v>147</v>
      </c>
      <c r="G20" s="460"/>
      <c r="H20" s="181">
        <f t="shared" ref="H20:J20" si="36">sum(K20,N20,Q20,T20,W20,Z20,AC20,AF20,AI20,AL20)</f>
        <v>0</v>
      </c>
      <c r="I20" s="181">
        <f t="shared" si="36"/>
        <v>22500</v>
      </c>
      <c r="J20" s="176">
        <f t="shared" si="36"/>
        <v>604630.2</v>
      </c>
      <c r="K20" s="181"/>
      <c r="L20" s="181"/>
      <c r="M20" s="329">
        <f t="shared" si="24"/>
        <v>-94437</v>
      </c>
      <c r="N20" s="181"/>
      <c r="O20" s="197">
        <v>22500.0</v>
      </c>
      <c r="P20" s="176">
        <f t="shared" si="25"/>
        <v>273240</v>
      </c>
      <c r="Q20" s="181"/>
      <c r="R20" s="181"/>
      <c r="S20" s="176">
        <f t="shared" si="26"/>
        <v>269020</v>
      </c>
      <c r="T20" s="181"/>
      <c r="U20" s="181"/>
      <c r="V20" s="176">
        <f t="shared" si="27"/>
        <v>76207.2</v>
      </c>
      <c r="W20" s="181"/>
      <c r="X20" s="181"/>
      <c r="Y20" s="176">
        <f t="shared" si="28"/>
        <v>0</v>
      </c>
      <c r="Z20" s="181"/>
      <c r="AA20" s="181"/>
      <c r="AB20" s="176">
        <f t="shared" si="29"/>
        <v>80600</v>
      </c>
      <c r="AC20" s="181"/>
      <c r="AD20" s="181"/>
      <c r="AE20" s="176">
        <f t="shared" si="30"/>
        <v>0</v>
      </c>
      <c r="AF20" s="176"/>
      <c r="AG20" s="176"/>
      <c r="AH20" s="176">
        <f t="shared" si="31"/>
        <v>0</v>
      </c>
      <c r="AI20" s="181"/>
      <c r="AJ20" s="181"/>
      <c r="AK20" s="176">
        <f t="shared" si="32"/>
        <v>0</v>
      </c>
      <c r="AL20" s="181"/>
      <c r="AM20" s="181"/>
      <c r="AN20" s="176">
        <f t="shared" si="33"/>
        <v>0</v>
      </c>
      <c r="AO20" s="181"/>
      <c r="AP20" s="181"/>
    </row>
    <row r="21" ht="12.75" customHeight="1">
      <c r="A21" s="191">
        <v>30.0</v>
      </c>
      <c r="B21" s="457">
        <v>46042.0</v>
      </c>
      <c r="C21" s="459">
        <f t="shared" si="22"/>
        <v>46072</v>
      </c>
      <c r="D21" s="196" t="s">
        <v>55</v>
      </c>
      <c r="E21" s="196"/>
      <c r="F21" s="196" t="s">
        <v>147</v>
      </c>
      <c r="G21" s="460"/>
      <c r="H21" s="181">
        <f t="shared" ref="H21:J21" si="37">sum(K21,N21,Q21,T21,W21,Z21,AC21,AF21,AI21,AL21)</f>
        <v>0</v>
      </c>
      <c r="I21" s="181">
        <f t="shared" si="37"/>
        <v>22500</v>
      </c>
      <c r="J21" s="176">
        <f t="shared" si="37"/>
        <v>627130.2</v>
      </c>
      <c r="K21" s="181"/>
      <c r="L21" s="181"/>
      <c r="M21" s="329">
        <f t="shared" si="24"/>
        <v>-94437</v>
      </c>
      <c r="N21" s="181"/>
      <c r="O21" s="197">
        <v>22500.0</v>
      </c>
      <c r="P21" s="176">
        <f t="shared" si="25"/>
        <v>295740</v>
      </c>
      <c r="Q21" s="181"/>
      <c r="R21" s="181"/>
      <c r="S21" s="176">
        <f t="shared" si="26"/>
        <v>269020</v>
      </c>
      <c r="T21" s="181"/>
      <c r="U21" s="181"/>
      <c r="V21" s="176">
        <f t="shared" si="27"/>
        <v>76207.2</v>
      </c>
      <c r="W21" s="181"/>
      <c r="X21" s="181"/>
      <c r="Y21" s="176">
        <f t="shared" si="28"/>
        <v>0</v>
      </c>
      <c r="Z21" s="181"/>
      <c r="AA21" s="181"/>
      <c r="AB21" s="176">
        <f t="shared" si="29"/>
        <v>80600</v>
      </c>
      <c r="AC21" s="181"/>
      <c r="AD21" s="181"/>
      <c r="AE21" s="176">
        <f t="shared" si="30"/>
        <v>0</v>
      </c>
      <c r="AF21" s="176"/>
      <c r="AG21" s="176"/>
      <c r="AH21" s="176">
        <f t="shared" si="31"/>
        <v>0</v>
      </c>
      <c r="AI21" s="181"/>
      <c r="AJ21" s="181"/>
      <c r="AK21" s="176">
        <f t="shared" si="32"/>
        <v>0</v>
      </c>
      <c r="AL21" s="181"/>
      <c r="AM21" s="181"/>
      <c r="AN21" s="176">
        <f t="shared" si="33"/>
        <v>0</v>
      </c>
      <c r="AO21" s="181"/>
      <c r="AP21" s="181"/>
    </row>
    <row r="22" ht="12.75" customHeight="1">
      <c r="A22" s="191">
        <v>30.0</v>
      </c>
      <c r="B22" s="457">
        <v>46044.0</v>
      </c>
      <c r="C22" s="459">
        <f t="shared" si="22"/>
        <v>46074</v>
      </c>
      <c r="D22" s="196" t="s">
        <v>55</v>
      </c>
      <c r="E22" s="196"/>
      <c r="F22" s="196" t="s">
        <v>632</v>
      </c>
      <c r="G22" s="460"/>
      <c r="H22" s="181">
        <f t="shared" ref="H22:J22" si="38">sum(K22,N22,Q22,T22,W22,Z22,AC22,AF22,AI22,AL22)</f>
        <v>0</v>
      </c>
      <c r="I22" s="181">
        <f t="shared" si="38"/>
        <v>6385</v>
      </c>
      <c r="J22" s="176">
        <f t="shared" si="38"/>
        <v>633515.2</v>
      </c>
      <c r="K22" s="181"/>
      <c r="L22" s="181"/>
      <c r="M22" s="329">
        <f t="shared" si="24"/>
        <v>-94437</v>
      </c>
      <c r="N22" s="181"/>
      <c r="O22" s="197">
        <v>6385.0</v>
      </c>
      <c r="P22" s="176">
        <f t="shared" si="25"/>
        <v>302125</v>
      </c>
      <c r="Q22" s="181"/>
      <c r="R22" s="181"/>
      <c r="S22" s="176">
        <f t="shared" si="26"/>
        <v>269020</v>
      </c>
      <c r="T22" s="181"/>
      <c r="U22" s="181"/>
      <c r="V22" s="176">
        <f t="shared" si="27"/>
        <v>76207.2</v>
      </c>
      <c r="W22" s="181"/>
      <c r="X22" s="181"/>
      <c r="Y22" s="176">
        <f t="shared" si="28"/>
        <v>0</v>
      </c>
      <c r="Z22" s="181"/>
      <c r="AA22" s="181"/>
      <c r="AB22" s="176">
        <f t="shared" si="29"/>
        <v>80600</v>
      </c>
      <c r="AC22" s="181"/>
      <c r="AD22" s="181"/>
      <c r="AE22" s="176">
        <f t="shared" si="30"/>
        <v>0</v>
      </c>
      <c r="AF22" s="176"/>
      <c r="AG22" s="176"/>
      <c r="AH22" s="176">
        <f t="shared" si="31"/>
        <v>0</v>
      </c>
      <c r="AI22" s="181"/>
      <c r="AJ22" s="181"/>
      <c r="AK22" s="176">
        <f t="shared" si="32"/>
        <v>0</v>
      </c>
      <c r="AL22" s="181"/>
      <c r="AM22" s="181"/>
      <c r="AN22" s="176">
        <f t="shared" si="33"/>
        <v>0</v>
      </c>
      <c r="AO22" s="181"/>
      <c r="AP22" s="181"/>
    </row>
    <row r="23" ht="12.75" customHeight="1">
      <c r="A23" s="191">
        <v>30.0</v>
      </c>
      <c r="B23" s="457">
        <v>46049.0</v>
      </c>
      <c r="C23" s="459">
        <f t="shared" si="22"/>
        <v>46079</v>
      </c>
      <c r="D23" s="196" t="s">
        <v>55</v>
      </c>
      <c r="E23" s="196"/>
      <c r="F23" s="196" t="s">
        <v>636</v>
      </c>
      <c r="G23" s="460"/>
      <c r="H23" s="181">
        <f t="shared" ref="H23:J23" si="39">sum(K23,N23,Q23,T23,W23,Z23,AC23,AF23,AI23,AL23)</f>
        <v>0</v>
      </c>
      <c r="I23" s="181">
        <f t="shared" si="39"/>
        <v>20730</v>
      </c>
      <c r="J23" s="176">
        <f t="shared" si="39"/>
        <v>654245.2</v>
      </c>
      <c r="K23" s="181"/>
      <c r="L23" s="181"/>
      <c r="M23" s="329">
        <f t="shared" si="24"/>
        <v>-94437</v>
      </c>
      <c r="N23" s="181"/>
      <c r="O23" s="197">
        <v>20730.0</v>
      </c>
      <c r="P23" s="176">
        <f t="shared" si="25"/>
        <v>322855</v>
      </c>
      <c r="Q23" s="181"/>
      <c r="R23" s="181"/>
      <c r="S23" s="176">
        <f t="shared" si="26"/>
        <v>269020</v>
      </c>
      <c r="T23" s="181"/>
      <c r="U23" s="181"/>
      <c r="V23" s="176">
        <f t="shared" si="27"/>
        <v>76207.2</v>
      </c>
      <c r="W23" s="181"/>
      <c r="X23" s="181"/>
      <c r="Y23" s="176">
        <f t="shared" si="28"/>
        <v>0</v>
      </c>
      <c r="Z23" s="181"/>
      <c r="AA23" s="181"/>
      <c r="AB23" s="176">
        <f t="shared" si="29"/>
        <v>80600</v>
      </c>
      <c r="AC23" s="181"/>
      <c r="AD23" s="181"/>
      <c r="AE23" s="176">
        <f t="shared" si="30"/>
        <v>0</v>
      </c>
      <c r="AF23" s="176"/>
      <c r="AG23" s="176"/>
      <c r="AH23" s="176">
        <f t="shared" si="31"/>
        <v>0</v>
      </c>
      <c r="AI23" s="181"/>
      <c r="AJ23" s="181"/>
      <c r="AK23" s="176">
        <f t="shared" si="32"/>
        <v>0</v>
      </c>
      <c r="AL23" s="181"/>
      <c r="AM23" s="181"/>
      <c r="AN23" s="176">
        <f t="shared" si="33"/>
        <v>0</v>
      </c>
      <c r="AO23" s="181"/>
      <c r="AP23" s="181"/>
    </row>
    <row r="24" ht="12.75" customHeight="1">
      <c r="A24" s="179"/>
      <c r="B24" s="457">
        <v>46042.0</v>
      </c>
      <c r="C24" s="481"/>
      <c r="D24" s="196" t="s">
        <v>41</v>
      </c>
      <c r="E24" s="196" t="s">
        <v>640</v>
      </c>
      <c r="F24" s="196"/>
      <c r="G24" s="191">
        <v>938017.0</v>
      </c>
      <c r="H24" s="181">
        <f t="shared" ref="H24:J24" si="40">sum(K24,N24,Q24,T24,W24,Z24,AC24,AF24,AI24,AL24)</f>
        <v>20000</v>
      </c>
      <c r="I24" s="181">
        <f t="shared" si="40"/>
        <v>0</v>
      </c>
      <c r="J24" s="176">
        <f t="shared" si="40"/>
        <v>622445.2</v>
      </c>
      <c r="K24" s="197">
        <v>20000.0</v>
      </c>
      <c r="L24" s="181"/>
      <c r="M24" s="329">
        <f t="shared" si="24"/>
        <v>-114437</v>
      </c>
      <c r="O24" s="181"/>
      <c r="P24" s="176">
        <f t="shared" ref="P24:P29" si="42">P23+O24-N25</f>
        <v>311055</v>
      </c>
      <c r="Q24" s="181"/>
      <c r="R24" s="181"/>
      <c r="S24" s="176">
        <f t="shared" si="26"/>
        <v>269020</v>
      </c>
      <c r="T24" s="181"/>
      <c r="U24" s="181"/>
      <c r="V24" s="176">
        <f t="shared" si="27"/>
        <v>76207.2</v>
      </c>
      <c r="W24" s="181"/>
      <c r="X24" s="181"/>
      <c r="Y24" s="176">
        <f t="shared" si="28"/>
        <v>0</v>
      </c>
      <c r="Z24" s="181"/>
      <c r="AA24" s="181"/>
      <c r="AB24" s="176">
        <f t="shared" si="29"/>
        <v>80600</v>
      </c>
      <c r="AC24" s="181"/>
      <c r="AD24" s="181"/>
      <c r="AE24" s="176">
        <f t="shared" si="30"/>
        <v>0</v>
      </c>
      <c r="AF24" s="176"/>
      <c r="AG24" s="176"/>
      <c r="AH24" s="176">
        <f t="shared" si="31"/>
        <v>0</v>
      </c>
      <c r="AI24" s="181"/>
      <c r="AJ24" s="181"/>
      <c r="AK24" s="176">
        <f t="shared" si="32"/>
        <v>0</v>
      </c>
      <c r="AL24" s="181"/>
      <c r="AM24" s="181"/>
      <c r="AN24" s="176">
        <f t="shared" si="33"/>
        <v>0</v>
      </c>
      <c r="AO24" s="181"/>
      <c r="AP24" s="181"/>
    </row>
    <row r="25" ht="12.75" customHeight="1">
      <c r="A25" s="179"/>
      <c r="B25" s="457">
        <v>45669.0</v>
      </c>
      <c r="C25" s="481"/>
      <c r="D25" s="196" t="s">
        <v>41</v>
      </c>
      <c r="E25" s="196" t="s">
        <v>97</v>
      </c>
      <c r="F25" s="196"/>
      <c r="G25" s="191">
        <v>938046.0</v>
      </c>
      <c r="H25" s="181">
        <f t="shared" ref="H25:J25" si="41">sum(K25,N25,Q25,T25,W25,Z25,AC25,AF25,AI25,AL25)</f>
        <v>11800</v>
      </c>
      <c r="I25" s="181">
        <f t="shared" si="41"/>
        <v>0</v>
      </c>
      <c r="J25" s="176">
        <f t="shared" si="41"/>
        <v>608645.2</v>
      </c>
      <c r="K25" s="181"/>
      <c r="L25" s="181"/>
      <c r="M25" s="329">
        <f t="shared" si="24"/>
        <v>-114437</v>
      </c>
      <c r="N25" s="197">
        <v>11800.0</v>
      </c>
      <c r="O25" s="181"/>
      <c r="P25" s="176">
        <f t="shared" si="42"/>
        <v>297255</v>
      </c>
      <c r="Q25" s="181"/>
      <c r="R25" s="181"/>
      <c r="S25" s="176">
        <f t="shared" si="26"/>
        <v>269020</v>
      </c>
      <c r="T25" s="181"/>
      <c r="U25" s="181"/>
      <c r="V25" s="176">
        <f t="shared" si="27"/>
        <v>76207.2</v>
      </c>
      <c r="W25" s="181"/>
      <c r="X25" s="181"/>
      <c r="Y25" s="176">
        <f t="shared" si="28"/>
        <v>0</v>
      </c>
      <c r="Z25" s="181"/>
      <c r="AA25" s="181"/>
      <c r="AB25" s="176">
        <f t="shared" si="29"/>
        <v>80600</v>
      </c>
      <c r="AC25" s="181"/>
      <c r="AD25" s="181"/>
      <c r="AE25" s="176">
        <f t="shared" si="30"/>
        <v>0</v>
      </c>
      <c r="AF25" s="176"/>
      <c r="AG25" s="176"/>
      <c r="AH25" s="176">
        <f t="shared" si="31"/>
        <v>0</v>
      </c>
      <c r="AI25" s="181"/>
      <c r="AJ25" s="181"/>
      <c r="AK25" s="176">
        <f t="shared" si="32"/>
        <v>0</v>
      </c>
      <c r="AL25" s="181"/>
      <c r="AM25" s="181"/>
      <c r="AN25" s="176">
        <f t="shared" si="33"/>
        <v>0</v>
      </c>
      <c r="AO25" s="181"/>
      <c r="AP25" s="181"/>
    </row>
    <row r="26" ht="12.75" customHeight="1">
      <c r="A26" s="179"/>
      <c r="B26" s="457">
        <v>45670.0</v>
      </c>
      <c r="C26" s="481"/>
      <c r="D26" s="196" t="s">
        <v>41</v>
      </c>
      <c r="E26" s="196" t="s">
        <v>97</v>
      </c>
      <c r="F26" s="196"/>
      <c r="G26" s="191">
        <v>942956.0</v>
      </c>
      <c r="H26" s="181">
        <f t="shared" ref="H26:J26" si="43">sum(K26,N26,Q26,T26,W26,Z26,AC26,AF26,AI26,AL26)</f>
        <v>13800</v>
      </c>
      <c r="I26" s="181">
        <f t="shared" si="43"/>
        <v>0</v>
      </c>
      <c r="J26" s="176">
        <f t="shared" si="43"/>
        <v>592345.2</v>
      </c>
      <c r="K26" s="181"/>
      <c r="L26" s="181"/>
      <c r="M26" s="329">
        <f t="shared" si="24"/>
        <v>-114437</v>
      </c>
      <c r="N26" s="197">
        <v>13800.0</v>
      </c>
      <c r="O26" s="181"/>
      <c r="P26" s="176">
        <f t="shared" si="42"/>
        <v>280955</v>
      </c>
      <c r="Q26" s="181"/>
      <c r="R26" s="181"/>
      <c r="S26" s="176">
        <f t="shared" si="26"/>
        <v>269020</v>
      </c>
      <c r="T26" s="181"/>
      <c r="U26" s="181"/>
      <c r="V26" s="176">
        <f t="shared" si="27"/>
        <v>76207.2</v>
      </c>
      <c r="W26" s="181"/>
      <c r="X26" s="181"/>
      <c r="Y26" s="176">
        <f t="shared" si="28"/>
        <v>0</v>
      </c>
      <c r="Z26" s="181"/>
      <c r="AA26" s="181"/>
      <c r="AB26" s="176">
        <f t="shared" si="29"/>
        <v>80600</v>
      </c>
      <c r="AC26" s="181"/>
      <c r="AD26" s="181"/>
      <c r="AE26" s="176">
        <f t="shared" si="30"/>
        <v>0</v>
      </c>
      <c r="AF26" s="176"/>
      <c r="AG26" s="176"/>
      <c r="AH26" s="176">
        <f t="shared" si="31"/>
        <v>0</v>
      </c>
      <c r="AI26" s="181"/>
      <c r="AJ26" s="181"/>
      <c r="AK26" s="176">
        <f t="shared" si="32"/>
        <v>0</v>
      </c>
      <c r="AL26" s="181"/>
      <c r="AM26" s="181"/>
      <c r="AN26" s="176">
        <f t="shared" si="33"/>
        <v>0</v>
      </c>
      <c r="AO26" s="181"/>
      <c r="AP26" s="181"/>
    </row>
    <row r="27" ht="12.75" customHeight="1">
      <c r="A27" s="179"/>
      <c r="B27" s="457">
        <v>45670.0</v>
      </c>
      <c r="C27" s="481"/>
      <c r="D27" s="196" t="s">
        <v>41</v>
      </c>
      <c r="E27" s="196" t="s">
        <v>97</v>
      </c>
      <c r="F27" s="196"/>
      <c r="G27" s="191">
        <v>942957.0</v>
      </c>
      <c r="H27" s="181">
        <f t="shared" ref="H27:J27" si="44">sum(K27,N27,Q27,T27,W27,Z27,AC27,AF27,AI27,AL27)</f>
        <v>16300</v>
      </c>
      <c r="I27" s="181">
        <f t="shared" si="44"/>
        <v>0</v>
      </c>
      <c r="J27" s="176">
        <f t="shared" si="44"/>
        <v>592345.2</v>
      </c>
      <c r="K27" s="181"/>
      <c r="L27" s="181"/>
      <c r="M27" s="329">
        <f t="shared" si="24"/>
        <v>-114437</v>
      </c>
      <c r="N27" s="197">
        <v>16300.0</v>
      </c>
      <c r="O27" s="181"/>
      <c r="P27" s="176">
        <f t="shared" si="42"/>
        <v>280955</v>
      </c>
      <c r="Q27" s="197"/>
      <c r="R27" s="181"/>
      <c r="S27" s="176">
        <f t="shared" si="26"/>
        <v>269020</v>
      </c>
      <c r="T27" s="181"/>
      <c r="U27" s="181"/>
      <c r="V27" s="176">
        <f t="shared" si="27"/>
        <v>76207.2</v>
      </c>
      <c r="W27" s="181"/>
      <c r="X27" s="181"/>
      <c r="Y27" s="176">
        <f t="shared" si="28"/>
        <v>0</v>
      </c>
      <c r="Z27" s="181"/>
      <c r="AA27" s="181"/>
      <c r="AB27" s="176">
        <f t="shared" si="29"/>
        <v>80600</v>
      </c>
      <c r="AC27" s="181"/>
      <c r="AD27" s="181"/>
      <c r="AE27" s="176">
        <f t="shared" si="30"/>
        <v>0</v>
      </c>
      <c r="AF27" s="176"/>
      <c r="AG27" s="176"/>
      <c r="AH27" s="176">
        <f t="shared" si="31"/>
        <v>0</v>
      </c>
      <c r="AI27" s="181"/>
      <c r="AJ27" s="181"/>
      <c r="AK27" s="176">
        <f t="shared" si="32"/>
        <v>0</v>
      </c>
      <c r="AL27" s="181"/>
      <c r="AM27" s="181"/>
      <c r="AN27" s="176">
        <f t="shared" si="33"/>
        <v>0</v>
      </c>
      <c r="AO27" s="181"/>
      <c r="AP27" s="181"/>
    </row>
    <row r="28" ht="12.75" customHeight="1">
      <c r="A28" s="179"/>
      <c r="B28" s="457">
        <v>46041.0</v>
      </c>
      <c r="C28" s="481"/>
      <c r="D28" s="196" t="s">
        <v>41</v>
      </c>
      <c r="E28" s="196" t="s">
        <v>341</v>
      </c>
      <c r="F28" s="196"/>
      <c r="G28" s="191">
        <v>917636.0</v>
      </c>
      <c r="H28" s="181">
        <f t="shared" ref="H28:J28" si="45">sum(K28,N28,Q28,T28,W28,Z28,AC28,AF28,AI28,AL28)</f>
        <v>5310</v>
      </c>
      <c r="I28" s="181">
        <f t="shared" si="45"/>
        <v>0</v>
      </c>
      <c r="J28" s="176">
        <f t="shared" si="45"/>
        <v>587035.2</v>
      </c>
      <c r="K28" s="181"/>
      <c r="L28" s="181"/>
      <c r="M28" s="329">
        <f t="shared" si="24"/>
        <v>-114437</v>
      </c>
      <c r="N28" s="181"/>
      <c r="O28" s="181"/>
      <c r="P28" s="176">
        <f t="shared" si="42"/>
        <v>280955</v>
      </c>
      <c r="Q28" s="197">
        <v>5310.0</v>
      </c>
      <c r="R28" s="181"/>
      <c r="S28" s="176">
        <f t="shared" si="26"/>
        <v>263710</v>
      </c>
      <c r="T28" s="181"/>
      <c r="U28" s="181"/>
      <c r="V28" s="176">
        <f t="shared" si="27"/>
        <v>76207.2</v>
      </c>
      <c r="W28" s="181"/>
      <c r="X28" s="181"/>
      <c r="Y28" s="176">
        <f t="shared" si="28"/>
        <v>0</v>
      </c>
      <c r="Z28" s="181"/>
      <c r="AA28" s="181"/>
      <c r="AB28" s="176">
        <f t="shared" si="29"/>
        <v>80600</v>
      </c>
      <c r="AC28" s="181"/>
      <c r="AD28" s="181"/>
      <c r="AE28" s="176">
        <f t="shared" si="30"/>
        <v>0</v>
      </c>
      <c r="AF28" s="176"/>
      <c r="AG28" s="176"/>
      <c r="AH28" s="176">
        <f t="shared" si="31"/>
        <v>0</v>
      </c>
      <c r="AI28" s="181"/>
      <c r="AJ28" s="181"/>
      <c r="AK28" s="176">
        <f t="shared" si="32"/>
        <v>0</v>
      </c>
      <c r="AL28" s="181"/>
      <c r="AM28" s="181"/>
      <c r="AN28" s="176">
        <f t="shared" si="33"/>
        <v>0</v>
      </c>
      <c r="AO28" s="181"/>
      <c r="AP28" s="181"/>
    </row>
    <row r="29" ht="12.75" customHeight="1">
      <c r="A29" s="179"/>
      <c r="B29" s="457">
        <v>46041.0</v>
      </c>
      <c r="C29" s="481"/>
      <c r="D29" s="196" t="s">
        <v>41</v>
      </c>
      <c r="E29" s="196" t="s">
        <v>341</v>
      </c>
      <c r="F29" s="196"/>
      <c r="G29" s="191">
        <v>917637.0</v>
      </c>
      <c r="H29" s="181">
        <f t="shared" ref="H29:J29" si="46">sum(K29,N29,Q29,T29,W29,Z29,AC29,AF29,AI29,AL29)</f>
        <v>18760</v>
      </c>
      <c r="I29" s="181">
        <f t="shared" si="46"/>
        <v>0</v>
      </c>
      <c r="J29" s="176">
        <f t="shared" si="46"/>
        <v>568275.2</v>
      </c>
      <c r="K29" s="181"/>
      <c r="L29" s="181"/>
      <c r="M29" s="329">
        <f t="shared" si="24"/>
        <v>-114437</v>
      </c>
      <c r="N29" s="181"/>
      <c r="O29" s="181"/>
      <c r="P29" s="176">
        <f t="shared" si="42"/>
        <v>280955</v>
      </c>
      <c r="Q29" s="197">
        <v>18760.0</v>
      </c>
      <c r="R29" s="181"/>
      <c r="S29" s="176">
        <f t="shared" si="26"/>
        <v>244950</v>
      </c>
      <c r="T29" s="181"/>
      <c r="U29" s="181"/>
      <c r="V29" s="176">
        <f t="shared" si="27"/>
        <v>76207.2</v>
      </c>
      <c r="W29" s="181"/>
      <c r="X29" s="181"/>
      <c r="Y29" s="176">
        <f t="shared" si="28"/>
        <v>0</v>
      </c>
      <c r="Z29" s="181"/>
      <c r="AA29" s="181"/>
      <c r="AB29" s="176">
        <f t="shared" si="29"/>
        <v>80600</v>
      </c>
      <c r="AC29" s="181"/>
      <c r="AD29" s="181"/>
      <c r="AE29" s="176">
        <f t="shared" si="30"/>
        <v>0</v>
      </c>
      <c r="AF29" s="176"/>
      <c r="AG29" s="176"/>
      <c r="AH29" s="176">
        <f t="shared" si="31"/>
        <v>0</v>
      </c>
      <c r="AI29" s="181"/>
      <c r="AJ29" s="181"/>
      <c r="AK29" s="176">
        <f t="shared" si="32"/>
        <v>0</v>
      </c>
      <c r="AL29" s="181"/>
      <c r="AM29" s="181"/>
      <c r="AN29" s="176">
        <f t="shared" si="33"/>
        <v>0</v>
      </c>
      <c r="AO29" s="181"/>
      <c r="AP29" s="181"/>
    </row>
    <row r="30" ht="12.75" customHeight="1">
      <c r="A30" s="179"/>
      <c r="B30" s="457">
        <v>46041.0</v>
      </c>
      <c r="C30" s="481"/>
      <c r="D30" s="196" t="s">
        <v>41</v>
      </c>
      <c r="E30" s="196" t="s">
        <v>341</v>
      </c>
      <c r="F30" s="196"/>
      <c r="G30" s="191">
        <v>917646.0</v>
      </c>
      <c r="H30" s="181">
        <f t="shared" ref="H30:J30" si="47">sum(K30,N30,Q30,T30,W30,Z30,AC30,AF30,AI30,AL30)</f>
        <v>10020</v>
      </c>
      <c r="I30" s="181">
        <f t="shared" si="47"/>
        <v>0</v>
      </c>
      <c r="J30" s="176">
        <f t="shared" si="47"/>
        <v>558255.2</v>
      </c>
      <c r="K30" s="181"/>
      <c r="L30" s="181"/>
      <c r="M30" s="329">
        <f t="shared" si="24"/>
        <v>-114437</v>
      </c>
      <c r="N30" s="181"/>
      <c r="O30" s="181"/>
      <c r="P30" s="176">
        <f t="shared" ref="P30:P87" si="49">P29+O30-N30</f>
        <v>280955</v>
      </c>
      <c r="Q30" s="197">
        <v>10020.0</v>
      </c>
      <c r="R30" s="181"/>
      <c r="S30" s="176">
        <f t="shared" si="26"/>
        <v>234930</v>
      </c>
      <c r="T30" s="181"/>
      <c r="U30" s="181"/>
      <c r="V30" s="176">
        <f t="shared" si="27"/>
        <v>76207.2</v>
      </c>
      <c r="W30" s="181"/>
      <c r="X30" s="181"/>
      <c r="Y30" s="176">
        <f t="shared" si="28"/>
        <v>0</v>
      </c>
      <c r="Z30" s="181"/>
      <c r="AA30" s="181"/>
      <c r="AB30" s="176">
        <f t="shared" si="29"/>
        <v>80600</v>
      </c>
      <c r="AC30" s="181"/>
      <c r="AD30" s="181"/>
      <c r="AE30" s="176">
        <f t="shared" si="30"/>
        <v>0</v>
      </c>
      <c r="AF30" s="176"/>
      <c r="AG30" s="176"/>
      <c r="AH30" s="176">
        <f t="shared" si="31"/>
        <v>0</v>
      </c>
      <c r="AI30" s="181"/>
      <c r="AJ30" s="181"/>
      <c r="AK30" s="176">
        <f t="shared" si="32"/>
        <v>0</v>
      </c>
      <c r="AL30" s="181"/>
      <c r="AM30" s="181"/>
      <c r="AN30" s="176">
        <f t="shared" si="33"/>
        <v>0</v>
      </c>
      <c r="AO30" s="181"/>
      <c r="AP30" s="181"/>
    </row>
    <row r="31" ht="12.75" customHeight="1">
      <c r="A31" s="179"/>
      <c r="B31" s="457">
        <v>46036.0</v>
      </c>
      <c r="C31" s="481"/>
      <c r="D31" s="196" t="s">
        <v>41</v>
      </c>
      <c r="E31" s="196" t="s">
        <v>186</v>
      </c>
      <c r="F31" s="196"/>
      <c r="G31" s="191">
        <v>942953.0</v>
      </c>
      <c r="H31" s="181">
        <f t="shared" ref="H31:J31" si="48">sum(K31,N31,Q31,T31,W31,Z31,AC31,AF31,AI31,AL31)</f>
        <v>32118</v>
      </c>
      <c r="I31" s="181">
        <f t="shared" si="48"/>
        <v>0</v>
      </c>
      <c r="J31" s="176">
        <f t="shared" si="48"/>
        <v>526137.2</v>
      </c>
      <c r="K31" s="181"/>
      <c r="L31" s="181"/>
      <c r="M31" s="329">
        <f t="shared" si="24"/>
        <v>-114437</v>
      </c>
      <c r="N31" s="181"/>
      <c r="O31" s="181"/>
      <c r="P31" s="176">
        <f t="shared" si="49"/>
        <v>280955</v>
      </c>
      <c r="Q31" s="181"/>
      <c r="R31" s="181"/>
      <c r="S31" s="176">
        <f t="shared" si="26"/>
        <v>234930</v>
      </c>
      <c r="T31" s="197">
        <v>32118.0</v>
      </c>
      <c r="U31" s="181"/>
      <c r="V31" s="176">
        <f t="shared" si="27"/>
        <v>44089.2</v>
      </c>
      <c r="W31" s="181"/>
      <c r="X31" s="181"/>
      <c r="Y31" s="176">
        <f t="shared" si="28"/>
        <v>0</v>
      </c>
      <c r="Z31" s="181"/>
      <c r="AA31" s="181"/>
      <c r="AB31" s="176">
        <f t="shared" si="29"/>
        <v>80600</v>
      </c>
      <c r="AC31" s="181"/>
      <c r="AD31" s="181"/>
      <c r="AE31" s="176">
        <f t="shared" si="30"/>
        <v>0</v>
      </c>
      <c r="AF31" s="176"/>
      <c r="AG31" s="176"/>
      <c r="AH31" s="176">
        <f t="shared" si="31"/>
        <v>0</v>
      </c>
      <c r="AI31" s="181"/>
      <c r="AJ31" s="181"/>
      <c r="AK31" s="176">
        <f t="shared" si="32"/>
        <v>0</v>
      </c>
      <c r="AL31" s="181"/>
      <c r="AM31" s="181"/>
      <c r="AN31" s="176">
        <f t="shared" si="33"/>
        <v>0</v>
      </c>
      <c r="AO31" s="181"/>
      <c r="AP31" s="181"/>
    </row>
    <row r="32" ht="12.75" customHeight="1">
      <c r="A32" s="191">
        <v>10.0</v>
      </c>
      <c r="B32" s="457">
        <v>46030.0</v>
      </c>
      <c r="C32" s="459">
        <f t="shared" ref="C32:C33" si="51">B32+A32</f>
        <v>46040</v>
      </c>
      <c r="D32" s="196" t="s">
        <v>55</v>
      </c>
      <c r="E32" s="196" t="s">
        <v>506</v>
      </c>
      <c r="F32" s="196"/>
      <c r="G32" s="460"/>
      <c r="H32" s="181">
        <f t="shared" ref="H32:J32" si="50">sum(K32,N32,Q32,T32,W32,Z32,AC32,AF32,AI32,AL32)</f>
        <v>0</v>
      </c>
      <c r="I32" s="181">
        <f t="shared" si="50"/>
        <v>44145</v>
      </c>
      <c r="J32" s="176">
        <f t="shared" si="50"/>
        <v>570282.2</v>
      </c>
      <c r="K32" s="181"/>
      <c r="L32" s="181"/>
      <c r="M32" s="329">
        <f t="shared" si="24"/>
        <v>-114437</v>
      </c>
      <c r="N32" s="181"/>
      <c r="O32" s="181"/>
      <c r="P32" s="176">
        <f t="shared" si="49"/>
        <v>280955</v>
      </c>
      <c r="Q32" s="181"/>
      <c r="R32" s="181"/>
      <c r="S32" s="176">
        <f t="shared" si="26"/>
        <v>234930</v>
      </c>
      <c r="T32" s="181"/>
      <c r="U32" s="181"/>
      <c r="V32" s="176">
        <f t="shared" si="27"/>
        <v>44089.2</v>
      </c>
      <c r="W32" s="181"/>
      <c r="X32" s="181"/>
      <c r="Y32" s="176">
        <f t="shared" si="28"/>
        <v>0</v>
      </c>
      <c r="Z32" s="181"/>
      <c r="AA32" s="181"/>
      <c r="AB32" s="176">
        <f t="shared" si="29"/>
        <v>80600</v>
      </c>
      <c r="AC32" s="181"/>
      <c r="AD32" s="197">
        <v>44145.0</v>
      </c>
      <c r="AE32" s="176">
        <f t="shared" si="30"/>
        <v>44145</v>
      </c>
      <c r="AF32" s="176"/>
      <c r="AG32" s="176"/>
      <c r="AH32" s="176">
        <f t="shared" si="31"/>
        <v>0</v>
      </c>
      <c r="AI32" s="181"/>
      <c r="AJ32" s="181"/>
      <c r="AK32" s="176">
        <f t="shared" si="32"/>
        <v>0</v>
      </c>
      <c r="AL32" s="181"/>
      <c r="AM32" s="181"/>
      <c r="AN32" s="176">
        <f t="shared" si="33"/>
        <v>0</v>
      </c>
      <c r="AO32" s="181"/>
      <c r="AP32" s="181"/>
    </row>
    <row r="33" ht="12.75" customHeight="1">
      <c r="A33" s="191">
        <v>10.0</v>
      </c>
      <c r="B33" s="457">
        <v>46037.0</v>
      </c>
      <c r="C33" s="459">
        <f t="shared" si="51"/>
        <v>46047</v>
      </c>
      <c r="D33" s="196" t="s">
        <v>55</v>
      </c>
      <c r="E33" s="196" t="s">
        <v>506</v>
      </c>
      <c r="F33" s="196"/>
      <c r="G33" s="460"/>
      <c r="H33" s="181">
        <f t="shared" ref="H33:J33" si="52">sum(K33,N33,Q33,T33,W33,Z33,AC33,AF33,AI33,AL33)</f>
        <v>0</v>
      </c>
      <c r="I33" s="181">
        <f t="shared" si="52"/>
        <v>26928</v>
      </c>
      <c r="J33" s="176">
        <f t="shared" si="52"/>
        <v>597210.2</v>
      </c>
      <c r="K33" s="181"/>
      <c r="L33" s="181"/>
      <c r="M33" s="329">
        <f t="shared" si="24"/>
        <v>-114437</v>
      </c>
      <c r="N33" s="181"/>
      <c r="O33" s="181"/>
      <c r="P33" s="176">
        <f t="shared" si="49"/>
        <v>280955</v>
      </c>
      <c r="Q33" s="181"/>
      <c r="R33" s="181"/>
      <c r="S33" s="176">
        <f t="shared" si="26"/>
        <v>234930</v>
      </c>
      <c r="T33" s="181"/>
      <c r="U33" s="181"/>
      <c r="V33" s="176">
        <f t="shared" si="27"/>
        <v>44089.2</v>
      </c>
      <c r="W33" s="181"/>
      <c r="X33" s="181"/>
      <c r="Y33" s="176">
        <f t="shared" si="28"/>
        <v>0</v>
      </c>
      <c r="Z33" s="181"/>
      <c r="AA33" s="181"/>
      <c r="AB33" s="176">
        <f t="shared" si="29"/>
        <v>80600</v>
      </c>
      <c r="AC33" s="181"/>
      <c r="AD33" s="197">
        <v>26928.0</v>
      </c>
      <c r="AE33" s="176">
        <f t="shared" si="30"/>
        <v>71073</v>
      </c>
      <c r="AF33" s="176"/>
      <c r="AG33" s="176"/>
      <c r="AH33" s="176">
        <f t="shared" si="31"/>
        <v>0</v>
      </c>
      <c r="AI33" s="181"/>
      <c r="AJ33" s="181"/>
      <c r="AK33" s="176">
        <f t="shared" si="32"/>
        <v>0</v>
      </c>
      <c r="AL33" s="181"/>
      <c r="AM33" s="181"/>
      <c r="AN33" s="176">
        <f t="shared" si="33"/>
        <v>0</v>
      </c>
      <c r="AO33" s="181"/>
      <c r="AP33" s="181"/>
    </row>
    <row r="34" ht="12.75" customHeight="1">
      <c r="A34" s="179"/>
      <c r="B34" s="457">
        <v>46044.0</v>
      </c>
      <c r="C34" s="506"/>
      <c r="D34" s="196" t="s">
        <v>41</v>
      </c>
      <c r="E34" s="196" t="s">
        <v>506</v>
      </c>
      <c r="F34" s="196"/>
      <c r="G34" s="191">
        <v>942970.0</v>
      </c>
      <c r="H34" s="181">
        <f t="shared" ref="H34:J34" si="53">sum(K34,N34,Q34,T34,W34,Z34,AC34,AF34,AI34,AL34)</f>
        <v>44145</v>
      </c>
      <c r="I34" s="181">
        <f t="shared" si="53"/>
        <v>0</v>
      </c>
      <c r="J34" s="176">
        <f t="shared" si="53"/>
        <v>553065.2</v>
      </c>
      <c r="K34" s="181"/>
      <c r="L34" s="181"/>
      <c r="M34" s="329">
        <f t="shared" si="24"/>
        <v>-114437</v>
      </c>
      <c r="N34" s="181"/>
      <c r="O34" s="181"/>
      <c r="P34" s="176">
        <f t="shared" si="49"/>
        <v>280955</v>
      </c>
      <c r="Q34" s="181"/>
      <c r="R34" s="181"/>
      <c r="S34" s="176">
        <f t="shared" si="26"/>
        <v>234930</v>
      </c>
      <c r="T34" s="181"/>
      <c r="U34" s="181"/>
      <c r="V34" s="176">
        <f t="shared" si="27"/>
        <v>44089.2</v>
      </c>
      <c r="W34" s="181"/>
      <c r="X34" s="181"/>
      <c r="Y34" s="176">
        <f t="shared" si="28"/>
        <v>0</v>
      </c>
      <c r="Z34" s="181"/>
      <c r="AA34" s="181"/>
      <c r="AB34" s="176">
        <f t="shared" si="29"/>
        <v>80600</v>
      </c>
      <c r="AC34" s="197">
        <v>44145.0</v>
      </c>
      <c r="AD34" s="181"/>
      <c r="AE34" s="176">
        <f t="shared" si="30"/>
        <v>26928</v>
      </c>
      <c r="AF34" s="176"/>
      <c r="AG34" s="176"/>
      <c r="AH34" s="176">
        <f t="shared" si="31"/>
        <v>0</v>
      </c>
      <c r="AI34" s="181"/>
      <c r="AJ34" s="181"/>
      <c r="AK34" s="176">
        <f t="shared" si="32"/>
        <v>0</v>
      </c>
      <c r="AL34" s="181"/>
      <c r="AM34" s="181"/>
      <c r="AN34" s="176">
        <f t="shared" si="33"/>
        <v>0</v>
      </c>
      <c r="AO34" s="181"/>
      <c r="AP34" s="181"/>
    </row>
    <row r="35" ht="12.75" customHeight="1">
      <c r="A35" s="179"/>
      <c r="B35" s="457">
        <v>46044.0</v>
      </c>
      <c r="C35" s="506"/>
      <c r="D35" s="196" t="s">
        <v>41</v>
      </c>
      <c r="E35" s="196" t="s">
        <v>506</v>
      </c>
      <c r="F35" s="196"/>
      <c r="G35" s="191">
        <v>942972.0</v>
      </c>
      <c r="H35" s="181">
        <f t="shared" ref="H35:J35" si="54">sum(K35,N35,Q35,T35,W35,Z35,AC35,AF35,AI35,AL35)</f>
        <v>26928</v>
      </c>
      <c r="I35" s="181">
        <f t="shared" si="54"/>
        <v>0</v>
      </c>
      <c r="J35" s="176">
        <f t="shared" si="54"/>
        <v>526137.2</v>
      </c>
      <c r="K35" s="181"/>
      <c r="L35" s="181"/>
      <c r="M35" s="329">
        <f t="shared" si="24"/>
        <v>-114437</v>
      </c>
      <c r="N35" s="181"/>
      <c r="O35" s="181"/>
      <c r="P35" s="176">
        <f t="shared" si="49"/>
        <v>280955</v>
      </c>
      <c r="Q35" s="181"/>
      <c r="R35" s="181"/>
      <c r="S35" s="176">
        <f t="shared" si="26"/>
        <v>234930</v>
      </c>
      <c r="T35" s="181"/>
      <c r="U35" s="181"/>
      <c r="V35" s="176">
        <f t="shared" si="27"/>
        <v>44089.2</v>
      </c>
      <c r="W35" s="181"/>
      <c r="X35" s="181"/>
      <c r="Y35" s="176">
        <f t="shared" si="28"/>
        <v>0</v>
      </c>
      <c r="Z35" s="181"/>
      <c r="AA35" s="181"/>
      <c r="AB35" s="176">
        <f t="shared" si="29"/>
        <v>80600</v>
      </c>
      <c r="AC35" s="197">
        <v>26928.0</v>
      </c>
      <c r="AD35" s="181"/>
      <c r="AE35" s="176">
        <f t="shared" si="30"/>
        <v>0</v>
      </c>
      <c r="AF35" s="176"/>
      <c r="AG35" s="176"/>
      <c r="AH35" s="176">
        <f t="shared" si="31"/>
        <v>0</v>
      </c>
      <c r="AI35" s="181"/>
      <c r="AJ35" s="181"/>
      <c r="AK35" s="176">
        <f t="shared" si="32"/>
        <v>0</v>
      </c>
      <c r="AL35" s="181"/>
      <c r="AM35" s="181"/>
      <c r="AN35" s="176">
        <f t="shared" si="33"/>
        <v>0</v>
      </c>
      <c r="AO35" s="181"/>
      <c r="AP35" s="181"/>
    </row>
    <row r="36" ht="12.75" customHeight="1">
      <c r="A36" s="179"/>
      <c r="B36" s="457">
        <v>46037.0</v>
      </c>
      <c r="C36" s="481"/>
      <c r="D36" s="196" t="s">
        <v>41</v>
      </c>
      <c r="E36" s="196" t="s">
        <v>136</v>
      </c>
      <c r="F36" s="196"/>
      <c r="G36" s="191">
        <v>938035.0</v>
      </c>
      <c r="H36" s="181">
        <f t="shared" ref="H36:J36" si="55">sum(K36,N36,Q36,T36,W36,Z36,AC36,AF36,AI36,AL36)</f>
        <v>20000</v>
      </c>
      <c r="I36" s="181">
        <f t="shared" si="55"/>
        <v>0</v>
      </c>
      <c r="J36" s="176">
        <f t="shared" si="55"/>
        <v>506137.2</v>
      </c>
      <c r="K36" s="181"/>
      <c r="L36" s="181"/>
      <c r="M36" s="329">
        <f t="shared" si="24"/>
        <v>-114437</v>
      </c>
      <c r="N36" s="181"/>
      <c r="O36" s="181"/>
      <c r="P36" s="176">
        <f t="shared" si="49"/>
        <v>280955</v>
      </c>
      <c r="Q36" s="181"/>
      <c r="R36" s="181"/>
      <c r="S36" s="176">
        <f t="shared" si="26"/>
        <v>234930</v>
      </c>
      <c r="T36" s="181"/>
      <c r="U36" s="181"/>
      <c r="V36" s="176">
        <f t="shared" si="27"/>
        <v>44089.2</v>
      </c>
      <c r="W36" s="181"/>
      <c r="X36" s="181"/>
      <c r="Y36" s="176">
        <f t="shared" si="28"/>
        <v>0</v>
      </c>
      <c r="Z36" s="197">
        <v>20000.0</v>
      </c>
      <c r="AA36" s="181"/>
      <c r="AB36" s="176">
        <f t="shared" si="29"/>
        <v>60600</v>
      </c>
      <c r="AC36" s="181"/>
      <c r="AD36" s="181"/>
      <c r="AE36" s="176">
        <f t="shared" si="30"/>
        <v>0</v>
      </c>
      <c r="AF36" s="176"/>
      <c r="AG36" s="176"/>
      <c r="AH36" s="176">
        <f t="shared" si="31"/>
        <v>0</v>
      </c>
      <c r="AI36" s="181"/>
      <c r="AJ36" s="181"/>
      <c r="AK36" s="176">
        <f t="shared" si="32"/>
        <v>0</v>
      </c>
      <c r="AL36" s="181"/>
      <c r="AM36" s="181"/>
      <c r="AN36" s="176">
        <f t="shared" si="33"/>
        <v>0</v>
      </c>
      <c r="AO36" s="181"/>
      <c r="AP36" s="181"/>
    </row>
    <row r="37" ht="12.75" customHeight="1">
      <c r="A37" s="179"/>
      <c r="B37" s="457">
        <v>46038.0</v>
      </c>
      <c r="C37" s="481"/>
      <c r="D37" s="196" t="s">
        <v>41</v>
      </c>
      <c r="E37" s="196" t="s">
        <v>97</v>
      </c>
      <c r="F37" s="196"/>
      <c r="G37" s="191">
        <v>938045.0</v>
      </c>
      <c r="H37" s="181">
        <f t="shared" ref="H37:J37" si="56">sum(K37,N37,Q37,T37,W37,Z37,AC37,AF37,AI37,AL37)</f>
        <v>27260</v>
      </c>
      <c r="I37" s="181">
        <f t="shared" si="56"/>
        <v>0</v>
      </c>
      <c r="J37" s="176">
        <f t="shared" si="56"/>
        <v>478877.2</v>
      </c>
      <c r="K37" s="181"/>
      <c r="L37" s="181"/>
      <c r="M37" s="329">
        <f t="shared" si="24"/>
        <v>-114437</v>
      </c>
      <c r="N37" s="197">
        <v>27260.0</v>
      </c>
      <c r="O37" s="181"/>
      <c r="P37" s="176">
        <f t="shared" si="49"/>
        <v>253695</v>
      </c>
      <c r="Q37" s="181"/>
      <c r="R37" s="181"/>
      <c r="S37" s="176">
        <f t="shared" si="26"/>
        <v>234930</v>
      </c>
      <c r="T37" s="181"/>
      <c r="U37" s="181"/>
      <c r="V37" s="176">
        <f t="shared" si="27"/>
        <v>44089.2</v>
      </c>
      <c r="W37" s="181"/>
      <c r="X37" s="181"/>
      <c r="Y37" s="176">
        <f t="shared" si="28"/>
        <v>0</v>
      </c>
      <c r="Z37" s="181"/>
      <c r="AA37" s="181"/>
      <c r="AB37" s="176">
        <f t="shared" si="29"/>
        <v>60600</v>
      </c>
      <c r="AC37" s="181"/>
      <c r="AD37" s="181"/>
      <c r="AE37" s="176">
        <f t="shared" si="30"/>
        <v>0</v>
      </c>
      <c r="AF37" s="176"/>
      <c r="AG37" s="176"/>
      <c r="AH37" s="176">
        <f t="shared" si="31"/>
        <v>0</v>
      </c>
      <c r="AI37" s="181"/>
      <c r="AJ37" s="181"/>
      <c r="AK37" s="176">
        <f t="shared" si="32"/>
        <v>0</v>
      </c>
      <c r="AL37" s="181"/>
      <c r="AM37" s="181"/>
      <c r="AN37" s="176">
        <f t="shared" si="33"/>
        <v>0</v>
      </c>
      <c r="AO37" s="181"/>
      <c r="AP37" s="181"/>
    </row>
    <row r="38" ht="12.75" customHeight="1">
      <c r="A38" s="179"/>
      <c r="B38" s="457">
        <v>46038.0</v>
      </c>
      <c r="C38" s="481"/>
      <c r="D38" s="196" t="s">
        <v>41</v>
      </c>
      <c r="E38" s="196" t="s">
        <v>97</v>
      </c>
      <c r="F38" s="196"/>
      <c r="G38" s="191">
        <v>942958.0</v>
      </c>
      <c r="H38" s="181">
        <f t="shared" ref="H38:J38" si="57">sum(K38,N38,Q38,T38,W38,Z38,AC38,AF38,AI38,AL38)</f>
        <v>12000</v>
      </c>
      <c r="I38" s="181">
        <f t="shared" si="57"/>
        <v>0</v>
      </c>
      <c r="J38" s="176">
        <f t="shared" si="57"/>
        <v>466877.2</v>
      </c>
      <c r="K38" s="181"/>
      <c r="L38" s="181"/>
      <c r="M38" s="329">
        <f t="shared" si="24"/>
        <v>-114437</v>
      </c>
      <c r="N38" s="197">
        <v>12000.0</v>
      </c>
      <c r="O38" s="181"/>
      <c r="P38" s="176">
        <f t="shared" si="49"/>
        <v>241695</v>
      </c>
      <c r="Q38" s="181"/>
      <c r="R38" s="181"/>
      <c r="S38" s="176">
        <f t="shared" si="26"/>
        <v>234930</v>
      </c>
      <c r="T38" s="181"/>
      <c r="U38" s="181"/>
      <c r="V38" s="176">
        <f t="shared" si="27"/>
        <v>44089.2</v>
      </c>
      <c r="W38" s="181"/>
      <c r="X38" s="181"/>
      <c r="Y38" s="176">
        <f t="shared" si="28"/>
        <v>0</v>
      </c>
      <c r="Z38" s="181"/>
      <c r="AA38" s="181"/>
      <c r="AB38" s="176">
        <f t="shared" si="29"/>
        <v>60600</v>
      </c>
      <c r="AC38" s="181"/>
      <c r="AD38" s="181"/>
      <c r="AE38" s="176">
        <f t="shared" si="30"/>
        <v>0</v>
      </c>
      <c r="AF38" s="176"/>
      <c r="AG38" s="176"/>
      <c r="AH38" s="176">
        <f t="shared" si="31"/>
        <v>0</v>
      </c>
      <c r="AI38" s="181"/>
      <c r="AJ38" s="181"/>
      <c r="AK38" s="176">
        <f t="shared" si="32"/>
        <v>0</v>
      </c>
      <c r="AL38" s="181"/>
      <c r="AM38" s="181"/>
      <c r="AN38" s="176">
        <f t="shared" si="33"/>
        <v>0</v>
      </c>
      <c r="AO38" s="181"/>
      <c r="AP38" s="181"/>
    </row>
    <row r="39" ht="12.75" customHeight="1">
      <c r="A39" s="179"/>
      <c r="B39" s="457">
        <v>46038.0</v>
      </c>
      <c r="C39" s="481"/>
      <c r="D39" s="196" t="s">
        <v>41</v>
      </c>
      <c r="E39" s="196" t="s">
        <v>97</v>
      </c>
      <c r="F39" s="196"/>
      <c r="G39" s="191">
        <v>942959.0</v>
      </c>
      <c r="H39" s="181">
        <f t="shared" ref="H39:J39" si="58">sum(K39,N39,Q39,T39,W39,Z39,AC39,AF39,AI39,AL39)</f>
        <v>10800</v>
      </c>
      <c r="I39" s="181">
        <f t="shared" si="58"/>
        <v>0</v>
      </c>
      <c r="J39" s="176">
        <f t="shared" si="58"/>
        <v>456077.2</v>
      </c>
      <c r="K39" s="181"/>
      <c r="L39" s="181"/>
      <c r="M39" s="329">
        <f t="shared" si="24"/>
        <v>-114437</v>
      </c>
      <c r="N39" s="197">
        <v>10800.0</v>
      </c>
      <c r="O39" s="181"/>
      <c r="P39" s="176">
        <f t="shared" si="49"/>
        <v>230895</v>
      </c>
      <c r="Q39" s="181"/>
      <c r="R39" s="181"/>
      <c r="S39" s="176">
        <f t="shared" si="26"/>
        <v>234930</v>
      </c>
      <c r="T39" s="181"/>
      <c r="U39" s="181"/>
      <c r="V39" s="176">
        <f t="shared" si="27"/>
        <v>44089.2</v>
      </c>
      <c r="W39" s="181"/>
      <c r="X39" s="181"/>
      <c r="Y39" s="176">
        <f t="shared" si="28"/>
        <v>0</v>
      </c>
      <c r="Z39" s="181"/>
      <c r="AA39" s="181"/>
      <c r="AB39" s="176">
        <f t="shared" si="29"/>
        <v>60600</v>
      </c>
      <c r="AC39" s="181"/>
      <c r="AD39" s="181"/>
      <c r="AE39" s="176">
        <f t="shared" si="30"/>
        <v>0</v>
      </c>
      <c r="AF39" s="176"/>
      <c r="AG39" s="176"/>
      <c r="AH39" s="176">
        <f t="shared" si="31"/>
        <v>0</v>
      </c>
      <c r="AI39" s="181"/>
      <c r="AJ39" s="181"/>
      <c r="AK39" s="176">
        <f t="shared" si="32"/>
        <v>0</v>
      </c>
      <c r="AL39" s="181"/>
      <c r="AM39" s="181"/>
      <c r="AN39" s="176">
        <f t="shared" si="33"/>
        <v>0</v>
      </c>
      <c r="AO39" s="181"/>
      <c r="AP39" s="181"/>
    </row>
    <row r="40" ht="12.75" customHeight="1">
      <c r="A40" s="179"/>
      <c r="B40" s="457">
        <v>46044.0</v>
      </c>
      <c r="C40" s="481"/>
      <c r="D40" s="196" t="s">
        <v>41</v>
      </c>
      <c r="E40" s="196" t="s">
        <v>97</v>
      </c>
      <c r="F40" s="196"/>
      <c r="G40" s="191">
        <v>942960.0</v>
      </c>
      <c r="H40" s="181">
        <f t="shared" ref="H40:J40" si="59">sum(K40,N40,Q40,T40,W40,Z40,AC40,AF40,AI40,AL40)</f>
        <v>8550</v>
      </c>
      <c r="I40" s="181">
        <f t="shared" si="59"/>
        <v>0</v>
      </c>
      <c r="J40" s="176">
        <f t="shared" si="59"/>
        <v>447527.2</v>
      </c>
      <c r="K40" s="181"/>
      <c r="L40" s="181"/>
      <c r="M40" s="329">
        <f t="shared" si="24"/>
        <v>-114437</v>
      </c>
      <c r="N40" s="197">
        <v>8550.0</v>
      </c>
      <c r="O40" s="181"/>
      <c r="P40" s="176">
        <f t="shared" si="49"/>
        <v>222345</v>
      </c>
      <c r="Q40" s="181"/>
      <c r="R40" s="181"/>
      <c r="S40" s="176">
        <f t="shared" si="26"/>
        <v>234930</v>
      </c>
      <c r="T40" s="181"/>
      <c r="U40" s="181"/>
      <c r="V40" s="176">
        <f t="shared" si="27"/>
        <v>44089.2</v>
      </c>
      <c r="W40" s="181"/>
      <c r="X40" s="181"/>
      <c r="Y40" s="176">
        <f t="shared" si="28"/>
        <v>0</v>
      </c>
      <c r="Z40" s="181"/>
      <c r="AA40" s="181"/>
      <c r="AB40" s="176">
        <f t="shared" si="29"/>
        <v>60600</v>
      </c>
      <c r="AC40" s="181"/>
      <c r="AD40" s="181"/>
      <c r="AE40" s="176">
        <f t="shared" si="30"/>
        <v>0</v>
      </c>
      <c r="AF40" s="176"/>
      <c r="AG40" s="176"/>
      <c r="AH40" s="176">
        <f t="shared" si="31"/>
        <v>0</v>
      </c>
      <c r="AI40" s="181"/>
      <c r="AJ40" s="181"/>
      <c r="AK40" s="176">
        <f t="shared" si="32"/>
        <v>0</v>
      </c>
      <c r="AL40" s="181"/>
      <c r="AM40" s="181"/>
      <c r="AN40" s="176">
        <f t="shared" si="33"/>
        <v>0</v>
      </c>
      <c r="AO40" s="181"/>
      <c r="AP40" s="181"/>
    </row>
    <row r="41" ht="12.75" customHeight="1">
      <c r="A41" s="179"/>
      <c r="B41" s="457">
        <v>46045.0</v>
      </c>
      <c r="C41" s="481"/>
      <c r="D41" s="196" t="s">
        <v>41</v>
      </c>
      <c r="E41" s="196" t="s">
        <v>186</v>
      </c>
      <c r="F41" s="196"/>
      <c r="G41" s="191">
        <v>942955.0</v>
      </c>
      <c r="H41" s="181">
        <f t="shared" ref="H41:J41" si="60">sum(K41,N41,Q41,T41,W41,Z41,AC41,AF41,AI41,AL41)</f>
        <v>18858.4</v>
      </c>
      <c r="I41" s="181">
        <f t="shared" si="60"/>
        <v>0</v>
      </c>
      <c r="J41" s="176">
        <f t="shared" si="60"/>
        <v>428668.8</v>
      </c>
      <c r="K41" s="181"/>
      <c r="L41" s="181"/>
      <c r="M41" s="329">
        <f t="shared" si="24"/>
        <v>-114437</v>
      </c>
      <c r="N41" s="181"/>
      <c r="O41" s="181"/>
      <c r="P41" s="176">
        <f t="shared" si="49"/>
        <v>222345</v>
      </c>
      <c r="Q41" s="181"/>
      <c r="R41" s="181"/>
      <c r="S41" s="176">
        <f t="shared" si="26"/>
        <v>234930</v>
      </c>
      <c r="T41" s="197">
        <v>18858.4</v>
      </c>
      <c r="U41" s="181"/>
      <c r="V41" s="176">
        <f t="shared" si="27"/>
        <v>25230.8</v>
      </c>
      <c r="W41" s="181"/>
      <c r="X41" s="181"/>
      <c r="Y41" s="176">
        <f t="shared" si="28"/>
        <v>0</v>
      </c>
      <c r="Z41" s="181"/>
      <c r="AA41" s="181"/>
      <c r="AB41" s="176">
        <f t="shared" si="29"/>
        <v>60600</v>
      </c>
      <c r="AC41" s="181"/>
      <c r="AD41" s="181"/>
      <c r="AE41" s="176">
        <f t="shared" si="30"/>
        <v>0</v>
      </c>
      <c r="AF41" s="176"/>
      <c r="AG41" s="176"/>
      <c r="AH41" s="176">
        <f t="shared" si="31"/>
        <v>0</v>
      </c>
      <c r="AI41" s="181"/>
      <c r="AJ41" s="181"/>
      <c r="AK41" s="176">
        <f t="shared" si="32"/>
        <v>0</v>
      </c>
      <c r="AL41" s="181"/>
      <c r="AM41" s="181"/>
      <c r="AN41" s="176">
        <f t="shared" si="33"/>
        <v>0</v>
      </c>
      <c r="AO41" s="181"/>
      <c r="AP41" s="181"/>
    </row>
    <row r="42" ht="12.75" customHeight="1">
      <c r="A42" s="179"/>
      <c r="B42" s="457">
        <v>46045.0</v>
      </c>
      <c r="C42" s="481"/>
      <c r="D42" s="196" t="s">
        <v>41</v>
      </c>
      <c r="E42" s="196" t="s">
        <v>341</v>
      </c>
      <c r="F42" s="196"/>
      <c r="G42" s="191">
        <v>917650.0</v>
      </c>
      <c r="H42" s="181">
        <f t="shared" ref="H42:J42" si="61">sum(K42,N42,Q42,T42,W42,Z42,AC42,AF42,AI42,AL42)</f>
        <v>3650</v>
      </c>
      <c r="I42" s="181">
        <f t="shared" si="61"/>
        <v>0</v>
      </c>
      <c r="J42" s="176">
        <f t="shared" si="61"/>
        <v>425018.8</v>
      </c>
      <c r="K42" s="181"/>
      <c r="L42" s="181"/>
      <c r="M42" s="329">
        <f t="shared" si="24"/>
        <v>-114437</v>
      </c>
      <c r="N42" s="181"/>
      <c r="O42" s="181"/>
      <c r="P42" s="176">
        <f t="shared" si="49"/>
        <v>222345</v>
      </c>
      <c r="Q42" s="197">
        <v>3650.0</v>
      </c>
      <c r="R42" s="181"/>
      <c r="S42" s="176">
        <f t="shared" si="26"/>
        <v>231280</v>
      </c>
      <c r="T42" s="181"/>
      <c r="U42" s="181"/>
      <c r="V42" s="176">
        <f t="shared" si="27"/>
        <v>25230.8</v>
      </c>
      <c r="W42" s="181"/>
      <c r="X42" s="181"/>
      <c r="Y42" s="176">
        <f t="shared" si="28"/>
        <v>0</v>
      </c>
      <c r="Z42" s="181"/>
      <c r="AA42" s="181"/>
      <c r="AB42" s="176">
        <f t="shared" si="29"/>
        <v>60600</v>
      </c>
      <c r="AC42" s="181"/>
      <c r="AD42" s="181"/>
      <c r="AE42" s="176">
        <f t="shared" si="30"/>
        <v>0</v>
      </c>
      <c r="AF42" s="176"/>
      <c r="AG42" s="176"/>
      <c r="AH42" s="176">
        <f t="shared" si="31"/>
        <v>0</v>
      </c>
      <c r="AI42" s="181"/>
      <c r="AJ42" s="181"/>
      <c r="AK42" s="176">
        <f t="shared" si="32"/>
        <v>0</v>
      </c>
      <c r="AL42" s="181"/>
      <c r="AM42" s="181"/>
      <c r="AN42" s="176">
        <f t="shared" si="33"/>
        <v>0</v>
      </c>
      <c r="AO42" s="181"/>
      <c r="AP42" s="181"/>
    </row>
    <row r="43" ht="12.75" customHeight="1">
      <c r="A43" s="179"/>
      <c r="B43" s="457">
        <v>46045.0</v>
      </c>
      <c r="C43" s="481"/>
      <c r="D43" s="196" t="s">
        <v>41</v>
      </c>
      <c r="E43" s="196" t="s">
        <v>341</v>
      </c>
      <c r="F43" s="196"/>
      <c r="G43" s="191">
        <v>938001.0</v>
      </c>
      <c r="H43" s="181">
        <f t="shared" ref="H43:J43" si="62">sum(K43,N43,Q43,T43,W43,Z43,AC43,AF43,AI43,AL43)</f>
        <v>7470</v>
      </c>
      <c r="I43" s="181">
        <f t="shared" si="62"/>
        <v>0</v>
      </c>
      <c r="J43" s="176">
        <f t="shared" si="62"/>
        <v>417548.8</v>
      </c>
      <c r="K43" s="181"/>
      <c r="L43" s="181"/>
      <c r="M43" s="329">
        <f t="shared" si="24"/>
        <v>-114437</v>
      </c>
      <c r="N43" s="181"/>
      <c r="O43" s="181"/>
      <c r="P43" s="176">
        <f t="shared" si="49"/>
        <v>222345</v>
      </c>
      <c r="Q43" s="197">
        <v>7470.0</v>
      </c>
      <c r="R43" s="181"/>
      <c r="S43" s="176">
        <f t="shared" si="26"/>
        <v>223810</v>
      </c>
      <c r="T43" s="181"/>
      <c r="U43" s="181"/>
      <c r="V43" s="176">
        <f t="shared" si="27"/>
        <v>25230.8</v>
      </c>
      <c r="W43" s="181"/>
      <c r="X43" s="181"/>
      <c r="Y43" s="176">
        <f t="shared" si="28"/>
        <v>0</v>
      </c>
      <c r="Z43" s="181"/>
      <c r="AA43" s="181"/>
      <c r="AB43" s="176">
        <f t="shared" si="29"/>
        <v>60600</v>
      </c>
      <c r="AC43" s="181"/>
      <c r="AD43" s="181"/>
      <c r="AE43" s="176">
        <f t="shared" si="30"/>
        <v>0</v>
      </c>
      <c r="AF43" s="176"/>
      <c r="AG43" s="176"/>
      <c r="AH43" s="176">
        <f t="shared" si="31"/>
        <v>0</v>
      </c>
      <c r="AI43" s="181"/>
      <c r="AJ43" s="181"/>
      <c r="AK43" s="176">
        <f t="shared" si="32"/>
        <v>0</v>
      </c>
      <c r="AL43" s="181"/>
      <c r="AM43" s="181"/>
      <c r="AN43" s="176">
        <f t="shared" si="33"/>
        <v>0</v>
      </c>
      <c r="AO43" s="181"/>
      <c r="AP43" s="181"/>
    </row>
    <row r="44" ht="12.75" customHeight="1">
      <c r="A44" s="179"/>
      <c r="B44" s="457">
        <v>46048.0</v>
      </c>
      <c r="C44" s="481"/>
      <c r="D44" s="196" t="s">
        <v>41</v>
      </c>
      <c r="E44" s="196" t="s">
        <v>136</v>
      </c>
      <c r="F44" s="196"/>
      <c r="G44" s="191">
        <v>938036.0</v>
      </c>
      <c r="H44" s="181">
        <f t="shared" ref="H44:J44" si="63">sum(K44,N44,Q44,T44,W44,Z44,AC44,AF44,AI44,AL44)</f>
        <v>25600</v>
      </c>
      <c r="I44" s="181">
        <f t="shared" si="63"/>
        <v>0</v>
      </c>
      <c r="J44" s="176">
        <f t="shared" si="63"/>
        <v>391948.8</v>
      </c>
      <c r="K44" s="181"/>
      <c r="L44" s="181"/>
      <c r="M44" s="329">
        <f t="shared" si="24"/>
        <v>-114437</v>
      </c>
      <c r="N44" s="181"/>
      <c r="O44" s="181"/>
      <c r="P44" s="176">
        <f t="shared" si="49"/>
        <v>222345</v>
      </c>
      <c r="Q44" s="181"/>
      <c r="R44" s="181"/>
      <c r="S44" s="176">
        <f t="shared" si="26"/>
        <v>223810</v>
      </c>
      <c r="T44" s="181"/>
      <c r="U44" s="181"/>
      <c r="V44" s="176">
        <f t="shared" si="27"/>
        <v>25230.8</v>
      </c>
      <c r="W44" s="181"/>
      <c r="X44" s="181"/>
      <c r="Y44" s="176">
        <f t="shared" si="28"/>
        <v>0</v>
      </c>
      <c r="Z44" s="197">
        <v>25600.0</v>
      </c>
      <c r="AA44" s="181"/>
      <c r="AB44" s="176">
        <f t="shared" si="29"/>
        <v>35000</v>
      </c>
      <c r="AC44" s="181"/>
      <c r="AD44" s="181"/>
      <c r="AE44" s="176">
        <f t="shared" si="30"/>
        <v>0</v>
      </c>
      <c r="AF44" s="176"/>
      <c r="AG44" s="176"/>
      <c r="AH44" s="176">
        <f t="shared" si="31"/>
        <v>0</v>
      </c>
      <c r="AI44" s="181"/>
      <c r="AJ44" s="181"/>
      <c r="AK44" s="176">
        <f t="shared" si="32"/>
        <v>0</v>
      </c>
      <c r="AL44" s="181"/>
      <c r="AM44" s="181"/>
      <c r="AN44" s="176">
        <f t="shared" si="33"/>
        <v>0</v>
      </c>
      <c r="AO44" s="181"/>
      <c r="AP44" s="181"/>
    </row>
    <row r="45" ht="12.75" customHeight="1">
      <c r="A45" s="179"/>
      <c r="B45" s="457">
        <v>46036.0</v>
      </c>
      <c r="C45" s="481"/>
      <c r="D45" s="196" t="s">
        <v>55</v>
      </c>
      <c r="E45" s="196" t="s">
        <v>136</v>
      </c>
      <c r="F45" s="196"/>
      <c r="G45" s="460"/>
      <c r="H45" s="181">
        <f t="shared" ref="H45:J45" si="64">sum(K45,N45,Q45,T45,W45,Z45,AC45,AF45,AI45,AL45)</f>
        <v>0</v>
      </c>
      <c r="I45" s="181">
        <f t="shared" si="64"/>
        <v>16000</v>
      </c>
      <c r="J45" s="176">
        <f t="shared" si="64"/>
        <v>407948.8</v>
      </c>
      <c r="K45" s="181"/>
      <c r="L45" s="181"/>
      <c r="M45" s="329">
        <f t="shared" si="24"/>
        <v>-114437</v>
      </c>
      <c r="N45" s="181"/>
      <c r="O45" s="181"/>
      <c r="P45" s="176">
        <f t="shared" si="49"/>
        <v>222345</v>
      </c>
      <c r="Q45" s="181"/>
      <c r="R45" s="181"/>
      <c r="S45" s="176">
        <f t="shared" si="26"/>
        <v>223810</v>
      </c>
      <c r="T45" s="181"/>
      <c r="U45" s="181"/>
      <c r="V45" s="176">
        <f t="shared" si="27"/>
        <v>25230.8</v>
      </c>
      <c r="W45" s="181"/>
      <c r="X45" s="181"/>
      <c r="Y45" s="176">
        <f t="shared" si="28"/>
        <v>0</v>
      </c>
      <c r="Z45" s="181"/>
      <c r="AA45" s="197">
        <v>16000.0</v>
      </c>
      <c r="AB45" s="176">
        <f t="shared" si="29"/>
        <v>51000</v>
      </c>
      <c r="AC45" s="181"/>
      <c r="AD45" s="181"/>
      <c r="AE45" s="176">
        <f t="shared" si="30"/>
        <v>0</v>
      </c>
      <c r="AF45" s="176"/>
      <c r="AG45" s="176"/>
      <c r="AH45" s="176">
        <f t="shared" si="31"/>
        <v>0</v>
      </c>
      <c r="AI45" s="181"/>
      <c r="AJ45" s="181"/>
      <c r="AK45" s="176">
        <f t="shared" si="32"/>
        <v>0</v>
      </c>
      <c r="AL45" s="181"/>
      <c r="AM45" s="181"/>
      <c r="AN45" s="176">
        <f t="shared" si="33"/>
        <v>0</v>
      </c>
      <c r="AO45" s="181"/>
      <c r="AP45" s="181"/>
    </row>
    <row r="46" ht="12.75" customHeight="1">
      <c r="A46" s="179"/>
      <c r="B46" s="457">
        <v>46036.0</v>
      </c>
      <c r="C46" s="481"/>
      <c r="D46" s="196" t="s">
        <v>55</v>
      </c>
      <c r="E46" s="196" t="s">
        <v>341</v>
      </c>
      <c r="F46" s="196" t="s">
        <v>354</v>
      </c>
      <c r="G46" s="460"/>
      <c r="H46" s="181">
        <f t="shared" ref="H46:J46" si="65">sum(K46,N46,Q46,T46,W46,Z46,AC46,AF46,AI46,AL46)</f>
        <v>0</v>
      </c>
      <c r="I46" s="181">
        <f t="shared" si="65"/>
        <v>14550</v>
      </c>
      <c r="J46" s="176">
        <f t="shared" si="65"/>
        <v>422498.8</v>
      </c>
      <c r="K46" s="181"/>
      <c r="L46" s="181"/>
      <c r="M46" s="329">
        <f t="shared" si="24"/>
        <v>-114437</v>
      </c>
      <c r="N46" s="181"/>
      <c r="O46" s="181"/>
      <c r="P46" s="176">
        <f t="shared" si="49"/>
        <v>222345</v>
      </c>
      <c r="Q46" s="181"/>
      <c r="R46" s="531">
        <v>14550.0</v>
      </c>
      <c r="S46" s="176">
        <f t="shared" si="26"/>
        <v>238360</v>
      </c>
      <c r="T46" s="181"/>
      <c r="U46" s="181"/>
      <c r="V46" s="176">
        <f t="shared" si="27"/>
        <v>25230.8</v>
      </c>
      <c r="W46" s="181"/>
      <c r="X46" s="181"/>
      <c r="Y46" s="176">
        <f t="shared" si="28"/>
        <v>0</v>
      </c>
      <c r="Z46" s="181"/>
      <c r="AA46" s="181"/>
      <c r="AB46" s="176">
        <f t="shared" si="29"/>
        <v>51000</v>
      </c>
      <c r="AC46" s="181"/>
      <c r="AD46" s="181"/>
      <c r="AE46" s="176">
        <f t="shared" si="30"/>
        <v>0</v>
      </c>
      <c r="AF46" s="176"/>
      <c r="AG46" s="176"/>
      <c r="AH46" s="176">
        <f t="shared" si="31"/>
        <v>0</v>
      </c>
      <c r="AI46" s="181"/>
      <c r="AJ46" s="181"/>
      <c r="AK46" s="176">
        <f t="shared" si="32"/>
        <v>0</v>
      </c>
      <c r="AL46" s="181"/>
      <c r="AM46" s="181"/>
      <c r="AN46" s="176">
        <f t="shared" si="33"/>
        <v>0</v>
      </c>
      <c r="AO46" s="181"/>
      <c r="AP46" s="181"/>
    </row>
    <row r="47" ht="12.75" customHeight="1">
      <c r="A47" s="179"/>
      <c r="B47" s="457">
        <v>46043.0</v>
      </c>
      <c r="C47" s="481"/>
      <c r="D47" s="196" t="s">
        <v>55</v>
      </c>
      <c r="E47" s="196" t="s">
        <v>341</v>
      </c>
      <c r="F47" s="196" t="s">
        <v>360</v>
      </c>
      <c r="G47" s="460"/>
      <c r="H47" s="181">
        <f t="shared" ref="H47:J47" si="66">sum(K47,N47,Q47,T47,W47,Z47,AC47,AF47,AI47,AL47)</f>
        <v>0</v>
      </c>
      <c r="I47" s="181">
        <f t="shared" si="66"/>
        <v>6750</v>
      </c>
      <c r="J47" s="176">
        <f t="shared" si="66"/>
        <v>429248.8</v>
      </c>
      <c r="K47" s="181"/>
      <c r="L47" s="181"/>
      <c r="M47" s="329">
        <f t="shared" si="24"/>
        <v>-114437</v>
      </c>
      <c r="N47" s="181"/>
      <c r="O47" s="181"/>
      <c r="P47" s="176">
        <f t="shared" si="49"/>
        <v>222345</v>
      </c>
      <c r="Q47" s="181"/>
      <c r="R47" s="531">
        <v>6750.0</v>
      </c>
      <c r="S47" s="176">
        <f t="shared" si="26"/>
        <v>245110</v>
      </c>
      <c r="T47" s="181"/>
      <c r="U47" s="181"/>
      <c r="V47" s="176">
        <f t="shared" si="27"/>
        <v>25230.8</v>
      </c>
      <c r="W47" s="181"/>
      <c r="X47" s="181"/>
      <c r="Y47" s="176">
        <f t="shared" si="28"/>
        <v>0</v>
      </c>
      <c r="Z47" s="181"/>
      <c r="AA47" s="181"/>
      <c r="AB47" s="176">
        <f t="shared" si="29"/>
        <v>51000</v>
      </c>
      <c r="AC47" s="181"/>
      <c r="AD47" s="181"/>
      <c r="AE47" s="176">
        <f t="shared" si="30"/>
        <v>0</v>
      </c>
      <c r="AF47" s="176"/>
      <c r="AG47" s="176"/>
      <c r="AH47" s="176">
        <f t="shared" si="31"/>
        <v>0</v>
      </c>
      <c r="AI47" s="181"/>
      <c r="AJ47" s="181"/>
      <c r="AK47" s="176">
        <f t="shared" si="32"/>
        <v>0</v>
      </c>
      <c r="AL47" s="181"/>
      <c r="AM47" s="181"/>
      <c r="AN47" s="176">
        <f t="shared" si="33"/>
        <v>0</v>
      </c>
      <c r="AO47" s="181"/>
      <c r="AP47" s="181"/>
    </row>
    <row r="48" ht="12.75" customHeight="1">
      <c r="A48" s="179"/>
      <c r="B48" s="457">
        <v>46044.0</v>
      </c>
      <c r="C48" s="481"/>
      <c r="D48" s="196" t="s">
        <v>55</v>
      </c>
      <c r="E48" s="196" t="s">
        <v>341</v>
      </c>
      <c r="F48" s="196" t="s">
        <v>362</v>
      </c>
      <c r="G48" s="460"/>
      <c r="H48" s="181">
        <f t="shared" ref="H48:J48" si="67">sum(K48,N48,Q48,T48,W48,Z48,AC48,AF48,AI48,AL48)</f>
        <v>0</v>
      </c>
      <c r="I48" s="181">
        <f t="shared" si="67"/>
        <v>5650</v>
      </c>
      <c r="J48" s="176">
        <f t="shared" si="67"/>
        <v>434898.8</v>
      </c>
      <c r="K48" s="181"/>
      <c r="L48" s="181"/>
      <c r="M48" s="329">
        <f t="shared" si="24"/>
        <v>-114437</v>
      </c>
      <c r="N48" s="181"/>
      <c r="O48" s="181"/>
      <c r="P48" s="176">
        <f t="shared" si="49"/>
        <v>222345</v>
      </c>
      <c r="Q48" s="181"/>
      <c r="R48" s="531">
        <v>5650.0</v>
      </c>
      <c r="S48" s="176">
        <f t="shared" si="26"/>
        <v>250760</v>
      </c>
      <c r="T48" s="181"/>
      <c r="U48" s="181"/>
      <c r="V48" s="176">
        <f t="shared" si="27"/>
        <v>25230.8</v>
      </c>
      <c r="W48" s="181"/>
      <c r="X48" s="181"/>
      <c r="Y48" s="176">
        <f t="shared" si="28"/>
        <v>0</v>
      </c>
      <c r="Z48" s="181"/>
      <c r="AA48" s="181"/>
      <c r="AB48" s="176">
        <f t="shared" si="29"/>
        <v>51000</v>
      </c>
      <c r="AC48" s="181"/>
      <c r="AD48" s="181"/>
      <c r="AE48" s="176">
        <f t="shared" si="30"/>
        <v>0</v>
      </c>
      <c r="AF48" s="176"/>
      <c r="AG48" s="176"/>
      <c r="AH48" s="176">
        <f t="shared" si="31"/>
        <v>0</v>
      </c>
      <c r="AI48" s="181"/>
      <c r="AJ48" s="181"/>
      <c r="AK48" s="176">
        <f t="shared" si="32"/>
        <v>0</v>
      </c>
      <c r="AL48" s="181"/>
      <c r="AM48" s="181"/>
      <c r="AN48" s="176">
        <f t="shared" si="33"/>
        <v>0</v>
      </c>
      <c r="AO48" s="181"/>
      <c r="AP48" s="181"/>
    </row>
    <row r="49" ht="12.75" customHeight="1">
      <c r="A49" s="179"/>
      <c r="B49" s="457">
        <v>46049.0</v>
      </c>
      <c r="C49" s="481"/>
      <c r="D49" s="196" t="s">
        <v>55</v>
      </c>
      <c r="E49" s="196" t="s">
        <v>341</v>
      </c>
      <c r="F49" s="196" t="s">
        <v>365</v>
      </c>
      <c r="G49" s="460"/>
      <c r="H49" s="181">
        <f t="shared" ref="H49:J49" si="68">sum(K49,N49,Q49,T49,W49,Z49,AC49,AF49,AI49,AL49)</f>
        <v>0</v>
      </c>
      <c r="I49" s="181">
        <f t="shared" si="68"/>
        <v>10800</v>
      </c>
      <c r="J49" s="176">
        <f t="shared" si="68"/>
        <v>445698.8</v>
      </c>
      <c r="K49" s="181"/>
      <c r="L49" s="181"/>
      <c r="M49" s="329">
        <f t="shared" si="24"/>
        <v>-114437</v>
      </c>
      <c r="N49" s="181"/>
      <c r="O49" s="181"/>
      <c r="P49" s="176">
        <f t="shared" si="49"/>
        <v>222345</v>
      </c>
      <c r="Q49" s="181"/>
      <c r="R49" s="531">
        <v>10800.0</v>
      </c>
      <c r="S49" s="176">
        <f t="shared" si="26"/>
        <v>261560</v>
      </c>
      <c r="T49" s="181"/>
      <c r="U49" s="181"/>
      <c r="V49" s="176">
        <f t="shared" si="27"/>
        <v>25230.8</v>
      </c>
      <c r="W49" s="181"/>
      <c r="X49" s="181"/>
      <c r="Y49" s="176">
        <f t="shared" si="28"/>
        <v>0</v>
      </c>
      <c r="Z49" s="181"/>
      <c r="AA49" s="181"/>
      <c r="AB49" s="176">
        <f t="shared" si="29"/>
        <v>51000</v>
      </c>
      <c r="AC49" s="181"/>
      <c r="AD49" s="181"/>
      <c r="AE49" s="176">
        <f t="shared" si="30"/>
        <v>0</v>
      </c>
      <c r="AF49" s="176"/>
      <c r="AG49" s="176"/>
      <c r="AH49" s="176">
        <f t="shared" si="31"/>
        <v>0</v>
      </c>
      <c r="AI49" s="181"/>
      <c r="AJ49" s="181"/>
      <c r="AK49" s="176">
        <f t="shared" si="32"/>
        <v>0</v>
      </c>
      <c r="AL49" s="181"/>
      <c r="AM49" s="181"/>
      <c r="AN49" s="176">
        <f t="shared" si="33"/>
        <v>0</v>
      </c>
      <c r="AO49" s="181"/>
      <c r="AP49" s="181"/>
    </row>
    <row r="50" ht="12.75" customHeight="1">
      <c r="A50" s="538"/>
      <c r="B50" s="539">
        <v>46051.0</v>
      </c>
      <c r="C50" s="540"/>
      <c r="D50" s="541" t="s">
        <v>55</v>
      </c>
      <c r="E50" s="541" t="s">
        <v>136</v>
      </c>
      <c r="F50" s="542"/>
      <c r="G50" s="544"/>
      <c r="H50" s="545">
        <f t="shared" ref="H50:J50" si="69">sum(K50,N50,Q50,T50,W50,Z50,AC50,AF50,AI50,AL50)</f>
        <v>0</v>
      </c>
      <c r="I50" s="545">
        <f t="shared" si="69"/>
        <v>16400</v>
      </c>
      <c r="J50" s="546">
        <f t="shared" si="69"/>
        <v>462098.8</v>
      </c>
      <c r="K50" s="545"/>
      <c r="L50" s="545"/>
      <c r="M50" s="547">
        <f t="shared" si="24"/>
        <v>-114437</v>
      </c>
      <c r="N50" s="545"/>
      <c r="O50" s="545"/>
      <c r="P50" s="546">
        <f t="shared" si="49"/>
        <v>222345</v>
      </c>
      <c r="Q50" s="545"/>
      <c r="R50" s="545"/>
      <c r="S50" s="546">
        <f t="shared" si="26"/>
        <v>261560</v>
      </c>
      <c r="T50" s="545"/>
      <c r="U50" s="545"/>
      <c r="V50" s="546">
        <f t="shared" si="27"/>
        <v>25230.8</v>
      </c>
      <c r="W50" s="545"/>
      <c r="X50" s="545"/>
      <c r="Y50" s="546">
        <f t="shared" si="28"/>
        <v>0</v>
      </c>
      <c r="Z50" s="545"/>
      <c r="AA50" s="548">
        <v>16400.0</v>
      </c>
      <c r="AB50" s="546">
        <f t="shared" si="29"/>
        <v>67400</v>
      </c>
      <c r="AC50" s="545"/>
      <c r="AD50" s="545"/>
      <c r="AE50" s="546">
        <f t="shared" si="30"/>
        <v>0</v>
      </c>
      <c r="AF50" s="546"/>
      <c r="AG50" s="546"/>
      <c r="AH50" s="546">
        <f t="shared" si="31"/>
        <v>0</v>
      </c>
      <c r="AI50" s="545"/>
      <c r="AJ50" s="545"/>
      <c r="AK50" s="546">
        <f t="shared" si="32"/>
        <v>0</v>
      </c>
      <c r="AL50" s="545"/>
      <c r="AM50" s="545"/>
      <c r="AN50" s="546">
        <f t="shared" si="33"/>
        <v>0</v>
      </c>
      <c r="AO50" s="545"/>
      <c r="AP50" s="545"/>
    </row>
    <row r="51" ht="12.75" customHeight="1">
      <c r="A51" s="179"/>
      <c r="B51" s="457">
        <v>46051.0</v>
      </c>
      <c r="C51" s="481"/>
      <c r="D51" s="196" t="s">
        <v>55</v>
      </c>
      <c r="E51" s="196" t="s">
        <v>341</v>
      </c>
      <c r="F51" s="196" t="s">
        <v>367</v>
      </c>
      <c r="G51" s="460"/>
      <c r="H51" s="181">
        <f t="shared" ref="H51:J51" si="70">sum(K51,N51,Q51,T51,W51,Z51,AC51,AF51,AI51,AL51)</f>
        <v>0</v>
      </c>
      <c r="I51" s="181">
        <f t="shared" si="70"/>
        <v>8500</v>
      </c>
      <c r="J51" s="176">
        <f t="shared" si="70"/>
        <v>470598.8</v>
      </c>
      <c r="K51" s="181"/>
      <c r="L51" s="181"/>
      <c r="M51" s="329">
        <f t="shared" si="24"/>
        <v>-114437</v>
      </c>
      <c r="N51" s="181"/>
      <c r="O51" s="181"/>
      <c r="P51" s="176">
        <f t="shared" si="49"/>
        <v>222345</v>
      </c>
      <c r="Q51" s="181"/>
      <c r="R51" s="267">
        <v>8500.0</v>
      </c>
      <c r="S51" s="176">
        <f t="shared" si="26"/>
        <v>270060</v>
      </c>
      <c r="T51" s="181"/>
      <c r="U51" s="181"/>
      <c r="V51" s="176">
        <f t="shared" si="27"/>
        <v>25230.8</v>
      </c>
      <c r="W51" s="181"/>
      <c r="X51" s="181"/>
      <c r="Y51" s="176">
        <f t="shared" si="28"/>
        <v>0</v>
      </c>
      <c r="Z51" s="181"/>
      <c r="AA51" s="181"/>
      <c r="AB51" s="176">
        <f t="shared" si="29"/>
        <v>67400</v>
      </c>
      <c r="AC51" s="181"/>
      <c r="AD51" s="181"/>
      <c r="AE51" s="176">
        <f t="shared" si="30"/>
        <v>0</v>
      </c>
      <c r="AF51" s="176"/>
      <c r="AG51" s="176"/>
      <c r="AH51" s="176">
        <f t="shared" si="31"/>
        <v>0</v>
      </c>
      <c r="AI51" s="181"/>
      <c r="AJ51" s="181"/>
      <c r="AK51" s="176">
        <f t="shared" si="32"/>
        <v>0</v>
      </c>
      <c r="AL51" s="181"/>
      <c r="AM51" s="181"/>
      <c r="AN51" s="176">
        <f t="shared" si="33"/>
        <v>0</v>
      </c>
      <c r="AO51" s="181"/>
      <c r="AP51" s="181"/>
    </row>
    <row r="52" ht="12.75" customHeight="1">
      <c r="A52" s="179"/>
      <c r="B52" s="457">
        <v>46056.0</v>
      </c>
      <c r="C52" s="557" t="s">
        <v>747</v>
      </c>
      <c r="D52" s="196" t="s">
        <v>55</v>
      </c>
      <c r="E52" s="196" t="s">
        <v>128</v>
      </c>
      <c r="F52" s="196"/>
      <c r="G52" s="558" t="s">
        <v>749</v>
      </c>
      <c r="H52" s="559">
        <f t="shared" ref="H52:J52" si="71">sum(K52,N52,Q52,T52,W52,Z52,AC52,AF52,AI52,AL52)</f>
        <v>9854.8</v>
      </c>
      <c r="I52" s="181">
        <f t="shared" si="71"/>
        <v>9854.8</v>
      </c>
      <c r="J52" s="176">
        <f t="shared" si="71"/>
        <v>470598.8</v>
      </c>
      <c r="K52" s="197">
        <v>9854.8</v>
      </c>
      <c r="L52" s="267">
        <f>9854.8</f>
        <v>9854.8</v>
      </c>
      <c r="M52" s="329">
        <f t="shared" si="24"/>
        <v>-114437</v>
      </c>
      <c r="N52" s="181"/>
      <c r="O52" s="181"/>
      <c r="P52" s="176">
        <f t="shared" si="49"/>
        <v>222345</v>
      </c>
      <c r="Q52" s="181"/>
      <c r="R52" s="181"/>
      <c r="S52" s="176">
        <f t="shared" si="26"/>
        <v>270060</v>
      </c>
      <c r="T52" s="181"/>
      <c r="U52" s="181"/>
      <c r="V52" s="176">
        <f t="shared" si="27"/>
        <v>25230.8</v>
      </c>
      <c r="W52" s="181"/>
      <c r="X52" s="181"/>
      <c r="Y52" s="176">
        <f t="shared" si="28"/>
        <v>0</v>
      </c>
      <c r="Z52" s="181"/>
      <c r="AA52" s="181"/>
      <c r="AB52" s="176">
        <f t="shared" si="29"/>
        <v>67400</v>
      </c>
      <c r="AC52" s="181"/>
      <c r="AD52" s="181"/>
      <c r="AE52" s="176">
        <f t="shared" si="30"/>
        <v>0</v>
      </c>
      <c r="AF52" s="176"/>
      <c r="AG52" s="176"/>
      <c r="AH52" s="176">
        <f t="shared" si="31"/>
        <v>0</v>
      </c>
      <c r="AI52" s="181"/>
      <c r="AJ52" s="181"/>
      <c r="AK52" s="176">
        <f t="shared" si="32"/>
        <v>0</v>
      </c>
      <c r="AL52" s="181"/>
      <c r="AM52" s="181"/>
      <c r="AN52" s="176">
        <f t="shared" si="33"/>
        <v>0</v>
      </c>
      <c r="AO52" s="181"/>
      <c r="AP52" s="181"/>
    </row>
    <row r="53" ht="12.75" customHeight="1">
      <c r="A53" s="179"/>
      <c r="B53" s="457">
        <v>46057.0</v>
      </c>
      <c r="C53" s="481"/>
      <c r="D53" s="196" t="s">
        <v>55</v>
      </c>
      <c r="E53" s="196" t="s">
        <v>97</v>
      </c>
      <c r="F53" s="196" t="s">
        <v>370</v>
      </c>
      <c r="G53" s="460"/>
      <c r="H53" s="181">
        <f t="shared" ref="H53:J53" si="72">sum(K53,N53,Q53,T53,W53,Z53,AC53,AF53,AI53,AL53)</f>
        <v>0</v>
      </c>
      <c r="I53" s="181">
        <f t="shared" si="72"/>
        <v>2780</v>
      </c>
      <c r="J53" s="176">
        <f t="shared" si="72"/>
        <v>473378.8</v>
      </c>
      <c r="K53" s="181"/>
      <c r="L53" s="181"/>
      <c r="M53" s="329">
        <f t="shared" si="24"/>
        <v>-114437</v>
      </c>
      <c r="N53" s="181"/>
      <c r="O53" s="267">
        <v>2780.0</v>
      </c>
      <c r="P53" s="176">
        <f t="shared" si="49"/>
        <v>225125</v>
      </c>
      <c r="Q53" s="181"/>
      <c r="R53" s="181"/>
      <c r="S53" s="176">
        <f t="shared" si="26"/>
        <v>270060</v>
      </c>
      <c r="T53" s="181"/>
      <c r="U53" s="181"/>
      <c r="V53" s="176">
        <f t="shared" si="27"/>
        <v>25230.8</v>
      </c>
      <c r="W53" s="181"/>
      <c r="X53" s="181"/>
      <c r="Y53" s="176">
        <f t="shared" si="28"/>
        <v>0</v>
      </c>
      <c r="Z53" s="181"/>
      <c r="AA53" s="181"/>
      <c r="AB53" s="176">
        <f t="shared" si="29"/>
        <v>67400</v>
      </c>
      <c r="AC53" s="181"/>
      <c r="AD53" s="181"/>
      <c r="AE53" s="176">
        <f t="shared" si="30"/>
        <v>0</v>
      </c>
      <c r="AF53" s="176"/>
      <c r="AG53" s="176"/>
      <c r="AH53" s="176">
        <f t="shared" si="31"/>
        <v>0</v>
      </c>
      <c r="AI53" s="181"/>
      <c r="AJ53" s="181"/>
      <c r="AK53" s="176">
        <f t="shared" si="32"/>
        <v>0</v>
      </c>
      <c r="AL53" s="181"/>
      <c r="AM53" s="181"/>
      <c r="AN53" s="176">
        <f t="shared" si="33"/>
        <v>0</v>
      </c>
      <c r="AO53" s="181"/>
      <c r="AP53" s="181"/>
    </row>
    <row r="54" ht="12.75" customHeight="1">
      <c r="A54" s="179"/>
      <c r="B54" s="457">
        <v>46057.0</v>
      </c>
      <c r="C54" s="481"/>
      <c r="D54" s="196" t="s">
        <v>55</v>
      </c>
      <c r="E54" s="196" t="s">
        <v>97</v>
      </c>
      <c r="F54" s="196" t="s">
        <v>371</v>
      </c>
      <c r="G54" s="460"/>
      <c r="H54" s="181">
        <f t="shared" ref="H54:J54" si="73">sum(K54,N54,Q54,T54,W54,Z54,AC54,AF54,AI54,AL54)</f>
        <v>0</v>
      </c>
      <c r="I54" s="181">
        <f t="shared" si="73"/>
        <v>4750</v>
      </c>
      <c r="J54" s="176">
        <f t="shared" si="73"/>
        <v>478128.8</v>
      </c>
      <c r="K54" s="181"/>
      <c r="L54" s="181"/>
      <c r="M54" s="329">
        <f t="shared" si="24"/>
        <v>-114437</v>
      </c>
      <c r="N54" s="181"/>
      <c r="O54" s="267">
        <v>4750.0</v>
      </c>
      <c r="P54" s="176">
        <f t="shared" si="49"/>
        <v>229875</v>
      </c>
      <c r="Q54" s="181"/>
      <c r="R54" s="181"/>
      <c r="S54" s="176">
        <f t="shared" si="26"/>
        <v>270060</v>
      </c>
      <c r="T54" s="181"/>
      <c r="U54" s="181"/>
      <c r="V54" s="176">
        <f t="shared" si="27"/>
        <v>25230.8</v>
      </c>
      <c r="W54" s="181"/>
      <c r="X54" s="181"/>
      <c r="Y54" s="176">
        <f t="shared" si="28"/>
        <v>0</v>
      </c>
      <c r="Z54" s="181"/>
      <c r="AA54" s="181"/>
      <c r="AB54" s="176">
        <f t="shared" si="29"/>
        <v>67400</v>
      </c>
      <c r="AC54" s="181"/>
      <c r="AD54" s="181"/>
      <c r="AE54" s="176">
        <f t="shared" si="30"/>
        <v>0</v>
      </c>
      <c r="AF54" s="176"/>
      <c r="AG54" s="176"/>
      <c r="AH54" s="176">
        <f t="shared" si="31"/>
        <v>0</v>
      </c>
      <c r="AI54" s="181"/>
      <c r="AJ54" s="181"/>
      <c r="AK54" s="176">
        <f t="shared" si="32"/>
        <v>0</v>
      </c>
      <c r="AL54" s="181"/>
      <c r="AM54" s="181"/>
      <c r="AN54" s="176">
        <f t="shared" si="33"/>
        <v>0</v>
      </c>
      <c r="AO54" s="181"/>
      <c r="AP54" s="181"/>
    </row>
    <row r="55" ht="12.75" customHeight="1">
      <c r="A55" s="179"/>
      <c r="B55" s="457">
        <v>46058.0</v>
      </c>
      <c r="C55" s="481"/>
      <c r="D55" s="196" t="s">
        <v>41</v>
      </c>
      <c r="E55" s="196" t="s">
        <v>97</v>
      </c>
      <c r="F55" s="196"/>
      <c r="G55" s="191">
        <v>942965.0</v>
      </c>
      <c r="H55" s="559">
        <f t="shared" ref="H55:J55" si="74">sum(K55,N55,Q55,T55,W55,Z55,AC55,AF55,AI55,AL55)</f>
        <v>27450</v>
      </c>
      <c r="I55" s="181">
        <f t="shared" si="74"/>
        <v>0</v>
      </c>
      <c r="J55" s="176">
        <f t="shared" si="74"/>
        <v>450678.8</v>
      </c>
      <c r="K55" s="181"/>
      <c r="L55" s="181"/>
      <c r="M55" s="329">
        <f t="shared" si="24"/>
        <v>-114437</v>
      </c>
      <c r="N55" s="197">
        <v>27450.0</v>
      </c>
      <c r="O55" s="181"/>
      <c r="P55" s="176">
        <f t="shared" si="49"/>
        <v>202425</v>
      </c>
      <c r="Q55" s="181"/>
      <c r="R55" s="267"/>
      <c r="S55" s="176">
        <f t="shared" si="26"/>
        <v>270060</v>
      </c>
      <c r="T55" s="181"/>
      <c r="U55" s="181"/>
      <c r="V55" s="176">
        <f t="shared" si="27"/>
        <v>25230.8</v>
      </c>
      <c r="W55" s="181"/>
      <c r="X55" s="181"/>
      <c r="Y55" s="176"/>
      <c r="Z55" s="181"/>
      <c r="AA55" s="181"/>
      <c r="AB55" s="176">
        <f t="shared" si="29"/>
        <v>67400</v>
      </c>
      <c r="AC55" s="181"/>
      <c r="AD55" s="181"/>
      <c r="AE55" s="176"/>
      <c r="AF55" s="176"/>
      <c r="AG55" s="176"/>
      <c r="AH55" s="176"/>
      <c r="AI55" s="181"/>
      <c r="AJ55" s="181"/>
      <c r="AK55" s="176"/>
      <c r="AL55" s="181"/>
      <c r="AM55" s="181"/>
      <c r="AN55" s="176"/>
      <c r="AO55" s="181"/>
      <c r="AP55" s="181"/>
    </row>
    <row r="56" ht="12.75" customHeight="1">
      <c r="A56" s="179"/>
      <c r="B56" s="457">
        <v>46058.0</v>
      </c>
      <c r="C56" s="481"/>
      <c r="D56" s="196" t="s">
        <v>41</v>
      </c>
      <c r="E56" s="196" t="s">
        <v>97</v>
      </c>
      <c r="F56" s="196"/>
      <c r="G56" s="191">
        <v>942961.0</v>
      </c>
      <c r="H56" s="559">
        <f t="shared" ref="H56:J56" si="75">sum(K56,N56,Q56,T56,W56,Z56,AC56,AF56,AI56,AL56)</f>
        <v>18610</v>
      </c>
      <c r="I56" s="181">
        <f t="shared" si="75"/>
        <v>0</v>
      </c>
      <c r="J56" s="176">
        <f t="shared" si="75"/>
        <v>432068.8</v>
      </c>
      <c r="K56" s="181"/>
      <c r="L56" s="181"/>
      <c r="M56" s="329">
        <f t="shared" si="24"/>
        <v>-114437</v>
      </c>
      <c r="N56" s="197">
        <v>18610.0</v>
      </c>
      <c r="O56" s="181"/>
      <c r="P56" s="176">
        <f t="shared" si="49"/>
        <v>183815</v>
      </c>
      <c r="Q56" s="181"/>
      <c r="R56" s="267"/>
      <c r="S56" s="176">
        <f t="shared" si="26"/>
        <v>270060</v>
      </c>
      <c r="T56" s="181"/>
      <c r="U56" s="181"/>
      <c r="V56" s="176">
        <f t="shared" si="27"/>
        <v>25230.8</v>
      </c>
      <c r="W56" s="181"/>
      <c r="X56" s="181"/>
      <c r="Y56" s="176"/>
      <c r="Z56" s="181"/>
      <c r="AA56" s="181"/>
      <c r="AB56" s="176">
        <f t="shared" si="29"/>
        <v>67400</v>
      </c>
      <c r="AC56" s="181"/>
      <c r="AD56" s="181"/>
      <c r="AE56" s="176"/>
      <c r="AF56" s="176"/>
      <c r="AG56" s="176"/>
      <c r="AH56" s="176"/>
      <c r="AI56" s="181"/>
      <c r="AJ56" s="181"/>
      <c r="AK56" s="176"/>
      <c r="AL56" s="181"/>
      <c r="AM56" s="181"/>
      <c r="AN56" s="176"/>
      <c r="AO56" s="181"/>
      <c r="AP56" s="181"/>
    </row>
    <row r="57" ht="12.75" customHeight="1">
      <c r="A57" s="179"/>
      <c r="B57" s="457">
        <v>46058.0</v>
      </c>
      <c r="C57" s="481"/>
      <c r="D57" s="196" t="s">
        <v>55</v>
      </c>
      <c r="E57" s="196" t="s">
        <v>341</v>
      </c>
      <c r="F57" s="196" t="s">
        <v>372</v>
      </c>
      <c r="G57" s="460"/>
      <c r="H57" s="181">
        <f t="shared" ref="H57:J57" si="76">sum(K57,N57,Q57,T57,W57,Z57,AC57,AF57,AI57,AL57)</f>
        <v>0</v>
      </c>
      <c r="I57" s="181">
        <f t="shared" si="76"/>
        <v>15550</v>
      </c>
      <c r="J57" s="176">
        <f t="shared" si="76"/>
        <v>447618.8</v>
      </c>
      <c r="K57" s="181"/>
      <c r="L57" s="181"/>
      <c r="M57" s="329">
        <f t="shared" ref="M57:M68" si="78">M54+L57-K57</f>
        <v>-114437</v>
      </c>
      <c r="N57" s="181"/>
      <c r="O57" s="181"/>
      <c r="P57" s="176">
        <f t="shared" si="49"/>
        <v>183815</v>
      </c>
      <c r="Q57" s="181"/>
      <c r="R57" s="267">
        <v>15550.0</v>
      </c>
      <c r="S57" s="176">
        <f t="shared" si="26"/>
        <v>285610</v>
      </c>
      <c r="T57" s="181"/>
      <c r="U57" s="181"/>
      <c r="V57" s="176">
        <f t="shared" si="27"/>
        <v>25230.8</v>
      </c>
      <c r="W57" s="181"/>
      <c r="X57" s="181"/>
      <c r="Y57" s="176">
        <f>Y54+X57-W57</f>
        <v>0</v>
      </c>
      <c r="Z57" s="181"/>
      <c r="AA57" s="181"/>
      <c r="AB57" s="176">
        <f t="shared" si="29"/>
        <v>67400</v>
      </c>
      <c r="AC57" s="181"/>
      <c r="AD57" s="181"/>
      <c r="AE57" s="176">
        <f>AE54+AD57-AC57</f>
        <v>0</v>
      </c>
      <c r="AF57" s="176"/>
      <c r="AG57" s="176"/>
      <c r="AH57" s="176">
        <f>AH54+AG57-AF57</f>
        <v>0</v>
      </c>
      <c r="AI57" s="181"/>
      <c r="AJ57" s="181"/>
      <c r="AK57" s="176">
        <f>AK54+AJ57-AI57</f>
        <v>0</v>
      </c>
      <c r="AL57" s="181"/>
      <c r="AM57" s="181"/>
      <c r="AN57" s="176">
        <f>AN54+AM57-AL57</f>
        <v>0</v>
      </c>
      <c r="AO57" s="181"/>
      <c r="AP57" s="181"/>
    </row>
    <row r="58" ht="12.75" customHeight="1">
      <c r="A58" s="179"/>
      <c r="B58" s="457">
        <v>46059.0</v>
      </c>
      <c r="C58" s="481"/>
      <c r="D58" s="196" t="s">
        <v>41</v>
      </c>
      <c r="E58" s="196" t="s">
        <v>136</v>
      </c>
      <c r="F58" s="196"/>
      <c r="G58" s="191">
        <v>942952.0</v>
      </c>
      <c r="H58" s="559">
        <f t="shared" ref="H58:J58" si="77">sum(K58,N58,Q58,T58,W58,Z58,AC58,AF58,AI58,AL58)</f>
        <v>35000</v>
      </c>
      <c r="I58" s="181">
        <f t="shared" si="77"/>
        <v>0</v>
      </c>
      <c r="J58" s="176">
        <f t="shared" si="77"/>
        <v>412618.8</v>
      </c>
      <c r="K58" s="181"/>
      <c r="L58" s="181"/>
      <c r="M58" s="329">
        <f t="shared" si="78"/>
        <v>-114437</v>
      </c>
      <c r="N58" s="181"/>
      <c r="O58" s="267"/>
      <c r="P58" s="176">
        <f t="shared" si="49"/>
        <v>183815</v>
      </c>
      <c r="Q58" s="181"/>
      <c r="R58" s="181"/>
      <c r="S58" s="176">
        <f t="shared" si="26"/>
        <v>285610</v>
      </c>
      <c r="T58" s="181"/>
      <c r="U58" s="181"/>
      <c r="V58" s="176">
        <f t="shared" si="27"/>
        <v>25230.8</v>
      </c>
      <c r="W58" s="181"/>
      <c r="X58" s="181"/>
      <c r="Y58" s="176"/>
      <c r="Z58" s="197">
        <v>35000.0</v>
      </c>
      <c r="AA58" s="181"/>
      <c r="AB58" s="176">
        <f t="shared" si="29"/>
        <v>32400</v>
      </c>
      <c r="AC58" s="181"/>
      <c r="AD58" s="181"/>
      <c r="AE58" s="176"/>
      <c r="AF58" s="176"/>
      <c r="AG58" s="176"/>
      <c r="AH58" s="176"/>
      <c r="AI58" s="181"/>
      <c r="AJ58" s="181"/>
      <c r="AK58" s="176"/>
      <c r="AL58" s="181"/>
      <c r="AM58" s="181"/>
      <c r="AN58" s="176"/>
      <c r="AO58" s="181"/>
      <c r="AP58" s="181"/>
    </row>
    <row r="59" ht="12.75" customHeight="1">
      <c r="A59" s="179"/>
      <c r="B59" s="457">
        <v>46060.0</v>
      </c>
      <c r="C59" s="481"/>
      <c r="D59" s="196" t="s">
        <v>41</v>
      </c>
      <c r="E59" s="196" t="s">
        <v>97</v>
      </c>
      <c r="F59" s="196"/>
      <c r="G59" s="191">
        <v>942982.0</v>
      </c>
      <c r="H59" s="559">
        <f t="shared" ref="H59:J59" si="79">sum(K59,N59,Q59,T59,W59,Z59,AC59,AF59,AI59,AL59)</f>
        <v>12850</v>
      </c>
      <c r="I59" s="181">
        <f t="shared" si="79"/>
        <v>0</v>
      </c>
      <c r="J59" s="176">
        <f t="shared" si="79"/>
        <v>399768.8</v>
      </c>
      <c r="K59" s="181"/>
      <c r="L59" s="181"/>
      <c r="M59" s="329">
        <f t="shared" si="78"/>
        <v>-114437</v>
      </c>
      <c r="N59" s="197">
        <v>12850.0</v>
      </c>
      <c r="O59" s="267"/>
      <c r="P59" s="176">
        <f t="shared" si="49"/>
        <v>170965</v>
      </c>
      <c r="Q59" s="181"/>
      <c r="R59" s="181"/>
      <c r="S59" s="176">
        <f t="shared" si="26"/>
        <v>285610</v>
      </c>
      <c r="T59" s="181"/>
      <c r="U59" s="181"/>
      <c r="V59" s="176">
        <f t="shared" si="27"/>
        <v>25230.8</v>
      </c>
      <c r="W59" s="181"/>
      <c r="X59" s="181"/>
      <c r="Y59" s="176"/>
      <c r="Z59" s="181"/>
      <c r="AA59" s="181"/>
      <c r="AB59" s="176">
        <f t="shared" si="29"/>
        <v>32400</v>
      </c>
      <c r="AC59" s="181"/>
      <c r="AD59" s="181"/>
      <c r="AE59" s="176"/>
      <c r="AF59" s="176"/>
      <c r="AG59" s="176"/>
      <c r="AH59" s="176"/>
      <c r="AI59" s="181"/>
      <c r="AJ59" s="181"/>
      <c r="AK59" s="176"/>
      <c r="AL59" s="181"/>
      <c r="AM59" s="181"/>
      <c r="AN59" s="176"/>
      <c r="AO59" s="181"/>
      <c r="AP59" s="181"/>
    </row>
    <row r="60" ht="12.75" customHeight="1">
      <c r="A60" s="179"/>
      <c r="B60" s="457">
        <v>46065.0</v>
      </c>
      <c r="C60" s="481"/>
      <c r="D60" s="196" t="s">
        <v>55</v>
      </c>
      <c r="E60" s="196" t="s">
        <v>97</v>
      </c>
      <c r="F60" s="196" t="s">
        <v>373</v>
      </c>
      <c r="G60" s="460"/>
      <c r="H60" s="181">
        <f t="shared" ref="H60:J60" si="80">sum(K60,N60,Q60,T60,W60,Z60,AC60,AF60,AI60,AL60)</f>
        <v>0</v>
      </c>
      <c r="I60" s="181">
        <f t="shared" si="80"/>
        <v>17050</v>
      </c>
      <c r="J60" s="176">
        <f t="shared" si="80"/>
        <v>416818.8</v>
      </c>
      <c r="K60" s="181"/>
      <c r="L60" s="181"/>
      <c r="M60" s="329">
        <f t="shared" si="78"/>
        <v>-114437</v>
      </c>
      <c r="N60" s="181"/>
      <c r="O60" s="267">
        <v>17050.0</v>
      </c>
      <c r="P60" s="176">
        <f t="shared" si="49"/>
        <v>188015</v>
      </c>
      <c r="Q60" s="181"/>
      <c r="R60" s="181"/>
      <c r="S60" s="176">
        <f t="shared" si="26"/>
        <v>285610</v>
      </c>
      <c r="T60" s="181"/>
      <c r="U60" s="181"/>
      <c r="V60" s="176">
        <f t="shared" si="27"/>
        <v>25230.8</v>
      </c>
      <c r="W60" s="181"/>
      <c r="X60" s="181"/>
      <c r="Y60" s="176">
        <f>Y57+X60-W60</f>
        <v>0</v>
      </c>
      <c r="Z60" s="181"/>
      <c r="AA60" s="181"/>
      <c r="AB60" s="176">
        <f t="shared" si="29"/>
        <v>32400</v>
      </c>
      <c r="AC60" s="181"/>
      <c r="AD60" s="181"/>
      <c r="AE60" s="176">
        <f>AE57+AD60-AC60</f>
        <v>0</v>
      </c>
      <c r="AF60" s="176"/>
      <c r="AG60" s="176"/>
      <c r="AH60" s="176">
        <f>AH57+AG60-AF60</f>
        <v>0</v>
      </c>
      <c r="AI60" s="181"/>
      <c r="AJ60" s="181"/>
      <c r="AK60" s="176">
        <f>AK57+AJ60-AI60</f>
        <v>0</v>
      </c>
      <c r="AL60" s="181"/>
      <c r="AM60" s="181"/>
      <c r="AN60" s="176">
        <f>AN57+AM60-AL60</f>
        <v>0</v>
      </c>
      <c r="AO60" s="181"/>
      <c r="AP60" s="181"/>
    </row>
    <row r="61" ht="12.75" customHeight="1">
      <c r="A61" s="179"/>
      <c r="B61" s="457">
        <v>46065.0</v>
      </c>
      <c r="C61" s="481"/>
      <c r="D61" s="196" t="s">
        <v>41</v>
      </c>
      <c r="E61" s="196" t="s">
        <v>97</v>
      </c>
      <c r="F61" s="196"/>
      <c r="G61" s="191">
        <v>942974.0</v>
      </c>
      <c r="H61" s="559">
        <f t="shared" ref="H61:J61" si="81">sum(K61,N61,Q61,T61,W61,Z61,AC61,AF61,AI61,AL61)</f>
        <v>23500</v>
      </c>
      <c r="I61" s="181">
        <f t="shared" si="81"/>
        <v>0</v>
      </c>
      <c r="J61" s="176">
        <f t="shared" si="81"/>
        <v>393318.8</v>
      </c>
      <c r="K61" s="181"/>
      <c r="L61" s="181"/>
      <c r="M61" s="329">
        <f t="shared" si="78"/>
        <v>-114437</v>
      </c>
      <c r="N61" s="197">
        <v>23500.0</v>
      </c>
      <c r="O61" s="267"/>
      <c r="P61" s="176">
        <f t="shared" si="49"/>
        <v>164515</v>
      </c>
      <c r="Q61" s="181"/>
      <c r="R61" s="181"/>
      <c r="S61" s="176">
        <f t="shared" si="26"/>
        <v>285610</v>
      </c>
      <c r="T61" s="181"/>
      <c r="U61" s="181"/>
      <c r="V61" s="176">
        <f t="shared" si="27"/>
        <v>25230.8</v>
      </c>
      <c r="W61" s="181"/>
      <c r="X61" s="181"/>
      <c r="Y61" s="176"/>
      <c r="Z61" s="181"/>
      <c r="AA61" s="181"/>
      <c r="AB61" s="176">
        <f t="shared" si="29"/>
        <v>32400</v>
      </c>
      <c r="AC61" s="181"/>
      <c r="AD61" s="181"/>
      <c r="AE61" s="176"/>
      <c r="AF61" s="176"/>
      <c r="AG61" s="176"/>
      <c r="AH61" s="176"/>
      <c r="AI61" s="181"/>
      <c r="AJ61" s="181"/>
      <c r="AK61" s="176"/>
      <c r="AL61" s="181"/>
      <c r="AM61" s="181"/>
      <c r="AN61" s="176"/>
      <c r="AO61" s="181"/>
      <c r="AP61" s="181"/>
    </row>
    <row r="62" ht="12.75" customHeight="1">
      <c r="A62" s="179"/>
      <c r="B62" s="457">
        <v>46066.0</v>
      </c>
      <c r="C62" s="481"/>
      <c r="D62" s="196" t="s">
        <v>41</v>
      </c>
      <c r="E62" s="196" t="s">
        <v>97</v>
      </c>
      <c r="F62" s="196"/>
      <c r="G62" s="191">
        <v>942975.0</v>
      </c>
      <c r="H62" s="559">
        <f t="shared" ref="H62:J62" si="82">sum(K62,N62,Q62,T62,W62,Z62,AC62,AF62,AI62,AL62)</f>
        <v>10290</v>
      </c>
      <c r="I62" s="181">
        <f t="shared" si="82"/>
        <v>0</v>
      </c>
      <c r="J62" s="176">
        <f t="shared" si="82"/>
        <v>383028.8</v>
      </c>
      <c r="K62" s="181"/>
      <c r="L62" s="181"/>
      <c r="M62" s="329">
        <f t="shared" si="78"/>
        <v>-114437</v>
      </c>
      <c r="N62" s="197">
        <v>10290.0</v>
      </c>
      <c r="O62" s="267"/>
      <c r="P62" s="176">
        <f t="shared" si="49"/>
        <v>154225</v>
      </c>
      <c r="Q62" s="181"/>
      <c r="R62" s="181"/>
      <c r="S62" s="176">
        <f t="shared" si="26"/>
        <v>285610</v>
      </c>
      <c r="T62" s="181"/>
      <c r="U62" s="181"/>
      <c r="V62" s="176">
        <f t="shared" si="27"/>
        <v>25230.8</v>
      </c>
      <c r="W62" s="181"/>
      <c r="X62" s="181"/>
      <c r="Y62" s="176"/>
      <c r="Z62" s="181"/>
      <c r="AA62" s="181"/>
      <c r="AB62" s="176">
        <f t="shared" si="29"/>
        <v>32400</v>
      </c>
      <c r="AC62" s="181"/>
      <c r="AD62" s="181"/>
      <c r="AE62" s="176"/>
      <c r="AF62" s="176"/>
      <c r="AG62" s="176"/>
      <c r="AH62" s="176"/>
      <c r="AI62" s="181"/>
      <c r="AJ62" s="181"/>
      <c r="AK62" s="176"/>
      <c r="AL62" s="181"/>
      <c r="AM62" s="181"/>
      <c r="AN62" s="176"/>
      <c r="AO62" s="181"/>
      <c r="AP62" s="181"/>
    </row>
    <row r="63" ht="12.75" customHeight="1">
      <c r="A63" s="179"/>
      <c r="B63" s="457">
        <v>46066.0</v>
      </c>
      <c r="C63" s="481"/>
      <c r="D63" s="196" t="s">
        <v>41</v>
      </c>
      <c r="E63" s="196" t="s">
        <v>97</v>
      </c>
      <c r="F63" s="196"/>
      <c r="G63" s="191">
        <v>942976.0</v>
      </c>
      <c r="H63" s="559">
        <f t="shared" ref="H63:J63" si="83">sum(K63,N63,Q63,T63,W63,Z63,AC63,AF63,AI63,AL63)</f>
        <v>9400</v>
      </c>
      <c r="I63" s="181">
        <f t="shared" si="83"/>
        <v>0</v>
      </c>
      <c r="J63" s="176">
        <f t="shared" si="83"/>
        <v>373628.8</v>
      </c>
      <c r="K63" s="181"/>
      <c r="L63" s="181"/>
      <c r="M63" s="329">
        <f t="shared" si="78"/>
        <v>-114437</v>
      </c>
      <c r="N63" s="197">
        <v>9400.0</v>
      </c>
      <c r="O63" s="267"/>
      <c r="P63" s="176">
        <f t="shared" si="49"/>
        <v>144825</v>
      </c>
      <c r="Q63" s="181"/>
      <c r="R63" s="181"/>
      <c r="S63" s="176">
        <f t="shared" si="26"/>
        <v>285610</v>
      </c>
      <c r="T63" s="181"/>
      <c r="U63" s="181"/>
      <c r="V63" s="176">
        <f t="shared" si="27"/>
        <v>25230.8</v>
      </c>
      <c r="W63" s="181"/>
      <c r="X63" s="181"/>
      <c r="Y63" s="176"/>
      <c r="Z63" s="181"/>
      <c r="AA63" s="181"/>
      <c r="AB63" s="176">
        <f t="shared" si="29"/>
        <v>32400</v>
      </c>
      <c r="AC63" s="181"/>
      <c r="AD63" s="181"/>
      <c r="AE63" s="176"/>
      <c r="AF63" s="176"/>
      <c r="AG63" s="176"/>
      <c r="AH63" s="176"/>
      <c r="AI63" s="181"/>
      <c r="AJ63" s="181"/>
      <c r="AK63" s="176"/>
      <c r="AL63" s="181"/>
      <c r="AM63" s="181"/>
      <c r="AN63" s="176"/>
      <c r="AO63" s="181"/>
      <c r="AP63" s="181"/>
    </row>
    <row r="64" ht="12.75" customHeight="1">
      <c r="A64" s="179"/>
      <c r="B64" s="457">
        <v>46071.0</v>
      </c>
      <c r="C64" s="481"/>
      <c r="D64" s="196" t="s">
        <v>55</v>
      </c>
      <c r="E64" s="196" t="s">
        <v>97</v>
      </c>
      <c r="F64" s="196" t="s">
        <v>374</v>
      </c>
      <c r="G64" s="460"/>
      <c r="H64" s="181">
        <f t="shared" ref="H64:J64" si="84">sum(K64,N64,Q64,T64,W64,Z64,AC64,AF64,AI64,AL64)</f>
        <v>0</v>
      </c>
      <c r="I64" s="181">
        <f t="shared" si="84"/>
        <v>18090</v>
      </c>
      <c r="J64" s="176">
        <f t="shared" si="84"/>
        <v>391718.8</v>
      </c>
      <c r="K64" s="181"/>
      <c r="L64" s="181"/>
      <c r="M64" s="329">
        <f t="shared" si="78"/>
        <v>-114437</v>
      </c>
      <c r="N64" s="181"/>
      <c r="O64" s="267">
        <v>18090.0</v>
      </c>
      <c r="P64" s="176">
        <f t="shared" si="49"/>
        <v>162915</v>
      </c>
      <c r="Q64" s="181"/>
      <c r="R64" s="181"/>
      <c r="S64" s="176">
        <f t="shared" si="26"/>
        <v>285610</v>
      </c>
      <c r="T64" s="181"/>
      <c r="U64" s="181"/>
      <c r="V64" s="176">
        <f t="shared" si="27"/>
        <v>25230.8</v>
      </c>
      <c r="W64" s="181"/>
      <c r="X64" s="181"/>
      <c r="Y64" s="176">
        <f>Y60+X64-W64</f>
        <v>0</v>
      </c>
      <c r="Z64" s="181"/>
      <c r="AA64" s="181"/>
      <c r="AB64" s="176">
        <f t="shared" si="29"/>
        <v>32400</v>
      </c>
      <c r="AC64" s="181"/>
      <c r="AD64" s="181"/>
      <c r="AE64" s="176">
        <f>AE60+AD64-AC64</f>
        <v>0</v>
      </c>
      <c r="AF64" s="176"/>
      <c r="AG64" s="176"/>
      <c r="AH64" s="176">
        <f>AH60+AG64-AF64</f>
        <v>0</v>
      </c>
      <c r="AI64" s="181"/>
      <c r="AJ64" s="181"/>
      <c r="AK64" s="176">
        <f>AK60+AJ64-AI64</f>
        <v>0</v>
      </c>
      <c r="AL64" s="181"/>
      <c r="AM64" s="181"/>
      <c r="AN64" s="176">
        <f>AN60+AM64-AL64</f>
        <v>0</v>
      </c>
      <c r="AO64" s="181"/>
      <c r="AP64" s="181"/>
    </row>
    <row r="65" ht="12.75" customHeight="1">
      <c r="A65" s="179"/>
      <c r="B65" s="457">
        <v>46071.0</v>
      </c>
      <c r="C65" s="481"/>
      <c r="D65" s="196" t="s">
        <v>55</v>
      </c>
      <c r="E65" s="196" t="s">
        <v>341</v>
      </c>
      <c r="F65" s="196" t="s">
        <v>375</v>
      </c>
      <c r="G65" s="460"/>
      <c r="H65" s="181">
        <f t="shared" ref="H65:J65" si="85">sum(K65,N65,Q65,T65,W65,Z65,AC65,AF65,AI65,AL65)</f>
        <v>0</v>
      </c>
      <c r="I65" s="181">
        <f t="shared" si="85"/>
        <v>11750</v>
      </c>
      <c r="J65" s="176">
        <f t="shared" si="85"/>
        <v>403468.8</v>
      </c>
      <c r="K65" s="181"/>
      <c r="L65" s="181"/>
      <c r="M65" s="329">
        <f t="shared" si="78"/>
        <v>-114437</v>
      </c>
      <c r="N65" s="181"/>
      <c r="O65" s="181"/>
      <c r="P65" s="176">
        <f t="shared" si="49"/>
        <v>162915</v>
      </c>
      <c r="Q65" s="181"/>
      <c r="R65" s="292">
        <v>11750.0</v>
      </c>
      <c r="S65" s="176">
        <f t="shared" si="26"/>
        <v>297360</v>
      </c>
      <c r="T65" s="181"/>
      <c r="U65" s="181"/>
      <c r="V65" s="176">
        <f t="shared" si="27"/>
        <v>25230.8</v>
      </c>
      <c r="W65" s="181"/>
      <c r="X65" s="181"/>
      <c r="Y65" s="176">
        <f t="shared" ref="Y65:Y308" si="87">Y64+X65-W65</f>
        <v>0</v>
      </c>
      <c r="Z65" s="181"/>
      <c r="AA65" s="181"/>
      <c r="AB65" s="176">
        <f t="shared" si="29"/>
        <v>32400</v>
      </c>
      <c r="AC65" s="181"/>
      <c r="AD65" s="181"/>
      <c r="AE65" s="176">
        <f t="shared" ref="AE65:AE87" si="88">AE64+AD65-AC65</f>
        <v>0</v>
      </c>
      <c r="AF65" s="176"/>
      <c r="AG65" s="176"/>
      <c r="AH65" s="176">
        <f t="shared" ref="AH65:AH87" si="89">AH64+AG65-AF65</f>
        <v>0</v>
      </c>
      <c r="AI65" s="181"/>
      <c r="AJ65" s="181"/>
      <c r="AK65" s="176">
        <f t="shared" ref="AK65:AK87" si="90">AK64+AJ65-AI65</f>
        <v>0</v>
      </c>
      <c r="AL65" s="181"/>
      <c r="AM65" s="181"/>
      <c r="AN65" s="176">
        <f t="shared" ref="AN65:AN87" si="91">AN64+AM65-AL65</f>
        <v>0</v>
      </c>
      <c r="AO65" s="181"/>
      <c r="AP65" s="181"/>
    </row>
    <row r="66" ht="12.75" customHeight="1">
      <c r="A66" s="179"/>
      <c r="B66" s="457">
        <v>46073.0</v>
      </c>
      <c r="C66" s="557" t="s">
        <v>747</v>
      </c>
      <c r="D66" s="196" t="s">
        <v>55</v>
      </c>
      <c r="E66" s="196" t="s">
        <v>136</v>
      </c>
      <c r="F66" s="196"/>
      <c r="G66" s="460"/>
      <c r="H66" s="559">
        <f t="shared" ref="H66:J66" si="86">sum(K66,N66,Q66,T66,W66,Z66,AC66,AF66,AI66,AL66)</f>
        <v>16600</v>
      </c>
      <c r="I66" s="181">
        <f t="shared" si="86"/>
        <v>16600</v>
      </c>
      <c r="J66" s="176">
        <f t="shared" si="86"/>
        <v>403468.8</v>
      </c>
      <c r="K66" s="181"/>
      <c r="L66" s="181"/>
      <c r="M66" s="329">
        <f t="shared" si="78"/>
        <v>-114437</v>
      </c>
      <c r="N66" s="181"/>
      <c r="O66" s="181"/>
      <c r="P66" s="176">
        <f t="shared" si="49"/>
        <v>162915</v>
      </c>
      <c r="Q66" s="181"/>
      <c r="R66" s="181"/>
      <c r="S66" s="176">
        <f t="shared" si="26"/>
        <v>297360</v>
      </c>
      <c r="T66" s="181"/>
      <c r="U66" s="181"/>
      <c r="V66" s="176">
        <f t="shared" si="27"/>
        <v>25230.8</v>
      </c>
      <c r="W66" s="181"/>
      <c r="X66" s="181"/>
      <c r="Y66" s="176">
        <f t="shared" si="87"/>
        <v>0</v>
      </c>
      <c r="Z66" s="197">
        <v>16600.0</v>
      </c>
      <c r="AA66" s="292">
        <v>16600.0</v>
      </c>
      <c r="AB66" s="176">
        <f t="shared" si="29"/>
        <v>32400</v>
      </c>
      <c r="AC66" s="181"/>
      <c r="AD66" s="181"/>
      <c r="AE66" s="176">
        <f t="shared" si="88"/>
        <v>0</v>
      </c>
      <c r="AF66" s="176"/>
      <c r="AG66" s="176"/>
      <c r="AH66" s="176">
        <f t="shared" si="89"/>
        <v>0</v>
      </c>
      <c r="AI66" s="181"/>
      <c r="AJ66" s="181"/>
      <c r="AK66" s="176">
        <f t="shared" si="90"/>
        <v>0</v>
      </c>
      <c r="AL66" s="181"/>
      <c r="AM66" s="181"/>
      <c r="AN66" s="176">
        <f t="shared" si="91"/>
        <v>0</v>
      </c>
      <c r="AO66" s="181"/>
      <c r="AP66" s="181"/>
    </row>
    <row r="67" ht="12.75" customHeight="1">
      <c r="A67" s="179"/>
      <c r="B67" s="457">
        <v>46077.0</v>
      </c>
      <c r="C67" s="481"/>
      <c r="D67" s="196" t="s">
        <v>55</v>
      </c>
      <c r="E67" s="196" t="s">
        <v>97</v>
      </c>
      <c r="F67" s="196" t="s">
        <v>376</v>
      </c>
      <c r="G67" s="460"/>
      <c r="H67" s="181">
        <f t="shared" ref="H67:J67" si="92">sum(K67,N67,Q67,T67,W67,Z67,AC67,AF67,AI67,AL67)</f>
        <v>0</v>
      </c>
      <c r="I67" s="181">
        <f t="shared" si="92"/>
        <v>7840</v>
      </c>
      <c r="J67" s="176">
        <f t="shared" si="92"/>
        <v>411308.8</v>
      </c>
      <c r="K67" s="181"/>
      <c r="L67" s="181"/>
      <c r="M67" s="329">
        <f t="shared" si="78"/>
        <v>-114437</v>
      </c>
      <c r="N67" s="181"/>
      <c r="O67" s="292">
        <v>7840.0</v>
      </c>
      <c r="P67" s="176">
        <f t="shared" si="49"/>
        <v>170755</v>
      </c>
      <c r="Q67" s="181"/>
      <c r="R67" s="181"/>
      <c r="S67" s="176">
        <f t="shared" si="26"/>
        <v>297360</v>
      </c>
      <c r="T67" s="181"/>
      <c r="U67" s="181"/>
      <c r="V67" s="176">
        <f t="shared" si="27"/>
        <v>25230.8</v>
      </c>
      <c r="W67" s="181"/>
      <c r="X67" s="181"/>
      <c r="Y67" s="176">
        <f t="shared" si="87"/>
        <v>0</v>
      </c>
      <c r="Z67" s="181"/>
      <c r="AA67" s="181"/>
      <c r="AB67" s="176">
        <f t="shared" si="29"/>
        <v>32400</v>
      </c>
      <c r="AC67" s="181"/>
      <c r="AD67" s="181"/>
      <c r="AE67" s="176">
        <f t="shared" si="88"/>
        <v>0</v>
      </c>
      <c r="AF67" s="176"/>
      <c r="AG67" s="176"/>
      <c r="AH67" s="176">
        <f t="shared" si="89"/>
        <v>0</v>
      </c>
      <c r="AI67" s="181"/>
      <c r="AJ67" s="181"/>
      <c r="AK67" s="176">
        <f t="shared" si="90"/>
        <v>0</v>
      </c>
      <c r="AL67" s="181"/>
      <c r="AM67" s="181"/>
      <c r="AN67" s="176">
        <f t="shared" si="91"/>
        <v>0</v>
      </c>
      <c r="AO67" s="181"/>
      <c r="AP67" s="181"/>
    </row>
    <row r="68" ht="12.75" customHeight="1">
      <c r="A68" s="179"/>
      <c r="B68" s="457">
        <v>46076.0</v>
      </c>
      <c r="C68" s="481"/>
      <c r="D68" s="196" t="s">
        <v>55</v>
      </c>
      <c r="E68" s="196" t="s">
        <v>341</v>
      </c>
      <c r="F68" s="196" t="s">
        <v>377</v>
      </c>
      <c r="G68" s="460"/>
      <c r="H68" s="181">
        <f t="shared" ref="H68:J68" si="93">sum(K68,N68,Q68,T68,W68,Z68,AC68,AF68,AI68,AL68)</f>
        <v>0</v>
      </c>
      <c r="I68" s="181">
        <f t="shared" si="93"/>
        <v>43850</v>
      </c>
      <c r="J68" s="176">
        <f t="shared" si="93"/>
        <v>455158.8</v>
      </c>
      <c r="K68" s="181"/>
      <c r="L68" s="181"/>
      <c r="M68" s="329">
        <f t="shared" si="78"/>
        <v>-114437</v>
      </c>
      <c r="N68" s="181"/>
      <c r="O68" s="181"/>
      <c r="P68" s="176">
        <f t="shared" si="49"/>
        <v>170755</v>
      </c>
      <c r="Q68" s="181"/>
      <c r="R68" s="292">
        <v>43850.0</v>
      </c>
      <c r="S68" s="176">
        <f t="shared" si="26"/>
        <v>341210</v>
      </c>
      <c r="T68" s="181"/>
      <c r="U68" s="181"/>
      <c r="V68" s="176">
        <f t="shared" si="27"/>
        <v>25230.8</v>
      </c>
      <c r="W68" s="181"/>
      <c r="X68" s="181"/>
      <c r="Y68" s="176">
        <f t="shared" si="87"/>
        <v>0</v>
      </c>
      <c r="Z68" s="181"/>
      <c r="AA68" s="181"/>
      <c r="AB68" s="176">
        <f t="shared" si="29"/>
        <v>32400</v>
      </c>
      <c r="AC68" s="181"/>
      <c r="AD68" s="181"/>
      <c r="AE68" s="176">
        <f t="shared" si="88"/>
        <v>0</v>
      </c>
      <c r="AF68" s="176"/>
      <c r="AG68" s="176"/>
      <c r="AH68" s="176">
        <f t="shared" si="89"/>
        <v>0</v>
      </c>
      <c r="AI68" s="181"/>
      <c r="AJ68" s="181"/>
      <c r="AK68" s="176">
        <f t="shared" si="90"/>
        <v>0</v>
      </c>
      <c r="AL68" s="181"/>
      <c r="AM68" s="181"/>
      <c r="AN68" s="176">
        <f t="shared" si="91"/>
        <v>0</v>
      </c>
      <c r="AO68" s="181"/>
      <c r="AP68" s="181"/>
    </row>
    <row r="69" ht="12.75" customHeight="1">
      <c r="A69" s="179"/>
      <c r="B69" s="457">
        <v>46078.0</v>
      </c>
      <c r="C69" s="481"/>
      <c r="D69" s="196" t="s">
        <v>55</v>
      </c>
      <c r="E69" s="196" t="s">
        <v>128</v>
      </c>
      <c r="F69" s="180"/>
      <c r="G69" s="460"/>
      <c r="H69" s="181">
        <f t="shared" ref="H69:J69" si="94">sum(K69,N69,Q69,T69,W69,Z69,AC69,AF69,AI69,AL69)</f>
        <v>0</v>
      </c>
      <c r="I69" s="181">
        <f t="shared" si="94"/>
        <v>16926.8</v>
      </c>
      <c r="J69" s="176">
        <f t="shared" si="94"/>
        <v>472085.6</v>
      </c>
      <c r="K69" s="181"/>
      <c r="L69" s="295">
        <f>9854.8+7072</f>
        <v>16926.8</v>
      </c>
      <c r="M69" s="329">
        <f t="shared" ref="M69:M87" si="96">M68+L69-K69</f>
        <v>-97510.2</v>
      </c>
      <c r="N69" s="181"/>
      <c r="O69" s="181"/>
      <c r="P69" s="176">
        <f t="shared" si="49"/>
        <v>170755</v>
      </c>
      <c r="Q69" s="181"/>
      <c r="R69" s="181"/>
      <c r="S69" s="176">
        <f t="shared" si="26"/>
        <v>341210</v>
      </c>
      <c r="T69" s="181"/>
      <c r="U69" s="181"/>
      <c r="V69" s="176">
        <f t="shared" si="27"/>
        <v>25230.8</v>
      </c>
      <c r="W69" s="181"/>
      <c r="X69" s="181"/>
      <c r="Y69" s="176">
        <f t="shared" si="87"/>
        <v>0</v>
      </c>
      <c r="Z69" s="181"/>
      <c r="AA69" s="181"/>
      <c r="AB69" s="176">
        <f t="shared" si="29"/>
        <v>32400</v>
      </c>
      <c r="AC69" s="181"/>
      <c r="AD69" s="181"/>
      <c r="AE69" s="176">
        <f t="shared" si="88"/>
        <v>0</v>
      </c>
      <c r="AF69" s="176"/>
      <c r="AG69" s="176"/>
      <c r="AH69" s="176">
        <f t="shared" si="89"/>
        <v>0</v>
      </c>
      <c r="AI69" s="181"/>
      <c r="AJ69" s="181"/>
      <c r="AK69" s="176">
        <f t="shared" si="90"/>
        <v>0</v>
      </c>
      <c r="AL69" s="181"/>
      <c r="AM69" s="181"/>
      <c r="AN69" s="176">
        <f t="shared" si="91"/>
        <v>0</v>
      </c>
      <c r="AO69" s="181"/>
      <c r="AP69" s="181"/>
    </row>
    <row r="70" ht="12.75" customHeight="1">
      <c r="A70" s="179"/>
      <c r="B70" s="457">
        <v>46078.0</v>
      </c>
      <c r="C70" s="481"/>
      <c r="D70" s="196" t="s">
        <v>55</v>
      </c>
      <c r="E70" s="196" t="s">
        <v>764</v>
      </c>
      <c r="F70" s="180"/>
      <c r="G70" s="460"/>
      <c r="H70" s="181">
        <f t="shared" ref="H70:J70" si="95">sum(K70,N70,Q70,T70,W70,Z70,AC70,AF70,AI70,AL70)</f>
        <v>0</v>
      </c>
      <c r="I70" s="181">
        <f t="shared" si="95"/>
        <v>35360</v>
      </c>
      <c r="J70" s="176">
        <f t="shared" si="95"/>
        <v>507445.6</v>
      </c>
      <c r="K70" s="181"/>
      <c r="L70" s="295">
        <f>5*7072</f>
        <v>35360</v>
      </c>
      <c r="M70" s="329">
        <f t="shared" si="96"/>
        <v>-62150.2</v>
      </c>
      <c r="N70" s="181"/>
      <c r="O70" s="181"/>
      <c r="P70" s="176">
        <f t="shared" si="49"/>
        <v>170755</v>
      </c>
      <c r="Q70" s="181"/>
      <c r="R70" s="181"/>
      <c r="S70" s="176">
        <f t="shared" si="26"/>
        <v>341210</v>
      </c>
      <c r="T70" s="181"/>
      <c r="U70" s="181"/>
      <c r="V70" s="176">
        <f t="shared" si="27"/>
        <v>25230.8</v>
      </c>
      <c r="W70" s="181"/>
      <c r="X70" s="181"/>
      <c r="Y70" s="176">
        <f t="shared" si="87"/>
        <v>0</v>
      </c>
      <c r="Z70" s="181"/>
      <c r="AA70" s="181"/>
      <c r="AB70" s="176">
        <f t="shared" si="29"/>
        <v>32400</v>
      </c>
      <c r="AC70" s="181"/>
      <c r="AD70" s="181"/>
      <c r="AE70" s="176">
        <f t="shared" si="88"/>
        <v>0</v>
      </c>
      <c r="AF70" s="176"/>
      <c r="AG70" s="176"/>
      <c r="AH70" s="176">
        <f t="shared" si="89"/>
        <v>0</v>
      </c>
      <c r="AI70" s="181"/>
      <c r="AJ70" s="181"/>
      <c r="AK70" s="176">
        <f t="shared" si="90"/>
        <v>0</v>
      </c>
      <c r="AL70" s="181"/>
      <c r="AM70" s="181"/>
      <c r="AN70" s="176">
        <f t="shared" si="91"/>
        <v>0</v>
      </c>
      <c r="AO70" s="181"/>
      <c r="AP70" s="181"/>
    </row>
    <row r="71" ht="12.75" customHeight="1">
      <c r="A71" s="179"/>
      <c r="B71" s="457">
        <v>46078.0</v>
      </c>
      <c r="C71" s="481"/>
      <c r="D71" s="196" t="s">
        <v>41</v>
      </c>
      <c r="E71" s="196" t="s">
        <v>97</v>
      </c>
      <c r="F71" s="180"/>
      <c r="G71" s="191">
        <v>943001.0</v>
      </c>
      <c r="H71" s="559">
        <f t="shared" ref="H71:J71" si="97">sum(K71,N71,Q71,T71,W71,Z71,AC71,AF71,AI71,AL71)</f>
        <v>19240</v>
      </c>
      <c r="I71" s="181">
        <f t="shared" si="97"/>
        <v>0</v>
      </c>
      <c r="J71" s="176">
        <f t="shared" si="97"/>
        <v>488205.6</v>
      </c>
      <c r="K71" s="181"/>
      <c r="L71" s="181"/>
      <c r="M71" s="329">
        <f t="shared" si="96"/>
        <v>-62150.2</v>
      </c>
      <c r="N71" s="197">
        <v>19240.0</v>
      </c>
      <c r="O71" s="181"/>
      <c r="P71" s="176">
        <f t="shared" si="49"/>
        <v>151515</v>
      </c>
      <c r="Q71" s="181"/>
      <c r="R71" s="181"/>
      <c r="S71" s="176">
        <f t="shared" si="26"/>
        <v>341210</v>
      </c>
      <c r="T71" s="181"/>
      <c r="U71" s="181"/>
      <c r="V71" s="176">
        <f t="shared" si="27"/>
        <v>25230.8</v>
      </c>
      <c r="W71" s="181"/>
      <c r="X71" s="181"/>
      <c r="Y71" s="176">
        <f t="shared" si="87"/>
        <v>0</v>
      </c>
      <c r="Z71" s="181"/>
      <c r="AA71" s="181"/>
      <c r="AB71" s="176">
        <f t="shared" si="29"/>
        <v>32400</v>
      </c>
      <c r="AC71" s="181"/>
      <c r="AD71" s="181"/>
      <c r="AE71" s="176">
        <f t="shared" si="88"/>
        <v>0</v>
      </c>
      <c r="AF71" s="176"/>
      <c r="AG71" s="176"/>
      <c r="AH71" s="176">
        <f t="shared" si="89"/>
        <v>0</v>
      </c>
      <c r="AI71" s="181"/>
      <c r="AJ71" s="181"/>
      <c r="AK71" s="176">
        <f t="shared" si="90"/>
        <v>0</v>
      </c>
      <c r="AL71" s="181"/>
      <c r="AM71" s="181"/>
      <c r="AN71" s="176">
        <f t="shared" si="91"/>
        <v>0</v>
      </c>
      <c r="AO71" s="181"/>
      <c r="AP71" s="181"/>
    </row>
    <row r="72" ht="12.75" customHeight="1">
      <c r="A72" s="179"/>
      <c r="B72" s="457">
        <v>46080.0</v>
      </c>
      <c r="C72" s="481"/>
      <c r="D72" s="196" t="s">
        <v>41</v>
      </c>
      <c r="E72" s="196" t="s">
        <v>136</v>
      </c>
      <c r="F72" s="180"/>
      <c r="G72" s="191">
        <v>942973.0</v>
      </c>
      <c r="H72" s="559">
        <f t="shared" ref="H72:J72" si="98">sum(K72,N72,Q72,T72,W72,Z72,AC72,AF72,AI72,AL72)</f>
        <v>16000</v>
      </c>
      <c r="I72" s="181">
        <f t="shared" si="98"/>
        <v>0</v>
      </c>
      <c r="J72" s="176">
        <f t="shared" si="98"/>
        <v>472205.6</v>
      </c>
      <c r="K72" s="181"/>
      <c r="L72" s="181"/>
      <c r="M72" s="329">
        <f t="shared" si="96"/>
        <v>-62150.2</v>
      </c>
      <c r="N72" s="181"/>
      <c r="O72" s="181"/>
      <c r="P72" s="176">
        <f t="shared" si="49"/>
        <v>151515</v>
      </c>
      <c r="Q72" s="181"/>
      <c r="R72" s="181"/>
      <c r="S72" s="176">
        <f t="shared" si="26"/>
        <v>341210</v>
      </c>
      <c r="T72" s="181"/>
      <c r="U72" s="181"/>
      <c r="V72" s="176">
        <f t="shared" si="27"/>
        <v>25230.8</v>
      </c>
      <c r="W72" s="181"/>
      <c r="X72" s="181"/>
      <c r="Y72" s="176">
        <f t="shared" si="87"/>
        <v>0</v>
      </c>
      <c r="Z72" s="197">
        <v>16000.0</v>
      </c>
      <c r="AA72" s="181"/>
      <c r="AB72" s="176">
        <f t="shared" si="29"/>
        <v>16400</v>
      </c>
      <c r="AC72" s="181"/>
      <c r="AD72" s="181"/>
      <c r="AE72" s="176">
        <f t="shared" si="88"/>
        <v>0</v>
      </c>
      <c r="AF72" s="176"/>
      <c r="AG72" s="176"/>
      <c r="AH72" s="176">
        <f t="shared" si="89"/>
        <v>0</v>
      </c>
      <c r="AI72" s="181"/>
      <c r="AJ72" s="181"/>
      <c r="AK72" s="176">
        <f t="shared" si="90"/>
        <v>0</v>
      </c>
      <c r="AL72" s="181"/>
      <c r="AM72" s="181"/>
      <c r="AN72" s="176">
        <f t="shared" si="91"/>
        <v>0</v>
      </c>
      <c r="AO72" s="181"/>
      <c r="AP72" s="181"/>
    </row>
    <row r="73" ht="12.75" customHeight="1">
      <c r="A73" s="179"/>
      <c r="B73" s="457">
        <v>46056.0</v>
      </c>
      <c r="C73" s="481"/>
      <c r="D73" s="196" t="s">
        <v>55</v>
      </c>
      <c r="E73" s="196" t="s">
        <v>341</v>
      </c>
      <c r="F73" s="196" t="s">
        <v>368</v>
      </c>
      <c r="G73" s="460"/>
      <c r="H73" s="181">
        <f t="shared" ref="H73:J73" si="99">sum(K73,N73,Q73,T73,W73,Z73,AC73,AF73,AI73,AL73)</f>
        <v>0</v>
      </c>
      <c r="I73" s="181">
        <f t="shared" si="99"/>
        <v>10500</v>
      </c>
      <c r="J73" s="176">
        <f t="shared" si="99"/>
        <v>482705.6</v>
      </c>
      <c r="K73" s="181"/>
      <c r="L73" s="181"/>
      <c r="M73" s="329">
        <f t="shared" si="96"/>
        <v>-62150.2</v>
      </c>
      <c r="N73" s="181"/>
      <c r="O73" s="181"/>
      <c r="P73" s="176">
        <f t="shared" si="49"/>
        <v>151515</v>
      </c>
      <c r="Q73" s="181"/>
      <c r="R73" s="197">
        <v>10500.0</v>
      </c>
      <c r="S73" s="176">
        <f t="shared" si="26"/>
        <v>351710</v>
      </c>
      <c r="T73" s="181"/>
      <c r="U73" s="181"/>
      <c r="V73" s="176">
        <f t="shared" si="27"/>
        <v>25230.8</v>
      </c>
      <c r="W73" s="181"/>
      <c r="X73" s="181"/>
      <c r="Y73" s="176">
        <f t="shared" si="87"/>
        <v>0</v>
      </c>
      <c r="Z73" s="181"/>
      <c r="AA73" s="181"/>
      <c r="AB73" s="176">
        <f t="shared" si="29"/>
        <v>16400</v>
      </c>
      <c r="AC73" s="181"/>
      <c r="AD73" s="181"/>
      <c r="AE73" s="176">
        <f t="shared" si="88"/>
        <v>0</v>
      </c>
      <c r="AF73" s="176"/>
      <c r="AG73" s="176"/>
      <c r="AH73" s="176">
        <f t="shared" si="89"/>
        <v>0</v>
      </c>
      <c r="AI73" s="181"/>
      <c r="AJ73" s="181"/>
      <c r="AK73" s="176">
        <f t="shared" si="90"/>
        <v>0</v>
      </c>
      <c r="AL73" s="181"/>
      <c r="AM73" s="181"/>
      <c r="AN73" s="176">
        <f t="shared" si="91"/>
        <v>0</v>
      </c>
      <c r="AO73" s="181"/>
      <c r="AP73" s="181"/>
    </row>
    <row r="74" ht="12.75" customHeight="1">
      <c r="A74" s="538"/>
      <c r="B74" s="539">
        <v>46080.0</v>
      </c>
      <c r="C74" s="540"/>
      <c r="D74" s="541" t="s">
        <v>41</v>
      </c>
      <c r="E74" s="541" t="s">
        <v>640</v>
      </c>
      <c r="F74" s="542"/>
      <c r="G74" s="544"/>
      <c r="H74" s="587">
        <f t="shared" ref="H74:J74" si="100">sum(K74,N74,Q74,T74,W74,Z74,AC74,AF74,AI74,AL74)</f>
        <v>20000</v>
      </c>
      <c r="I74" s="545">
        <f t="shared" si="100"/>
        <v>0</v>
      </c>
      <c r="J74" s="546">
        <f t="shared" si="100"/>
        <v>462705.6</v>
      </c>
      <c r="K74" s="548">
        <v>20000.0</v>
      </c>
      <c r="L74" s="545"/>
      <c r="M74" s="547">
        <f t="shared" si="96"/>
        <v>-82150.2</v>
      </c>
      <c r="N74" s="545"/>
      <c r="O74" s="545"/>
      <c r="P74" s="546">
        <f t="shared" si="49"/>
        <v>151515</v>
      </c>
      <c r="Q74" s="545"/>
      <c r="R74" s="545"/>
      <c r="S74" s="546">
        <f t="shared" si="26"/>
        <v>351710</v>
      </c>
      <c r="T74" s="545"/>
      <c r="U74" s="545"/>
      <c r="V74" s="546">
        <f t="shared" si="27"/>
        <v>25230.8</v>
      </c>
      <c r="W74" s="545"/>
      <c r="X74" s="545"/>
      <c r="Y74" s="546">
        <f t="shared" si="87"/>
        <v>0</v>
      </c>
      <c r="Z74" s="545"/>
      <c r="AA74" s="545"/>
      <c r="AB74" s="546">
        <f t="shared" si="29"/>
        <v>16400</v>
      </c>
      <c r="AC74" s="545"/>
      <c r="AD74" s="545"/>
      <c r="AE74" s="546">
        <f t="shared" si="88"/>
        <v>0</v>
      </c>
      <c r="AF74" s="546"/>
      <c r="AG74" s="546"/>
      <c r="AH74" s="546">
        <f t="shared" si="89"/>
        <v>0</v>
      </c>
      <c r="AI74" s="545"/>
      <c r="AJ74" s="545"/>
      <c r="AK74" s="546">
        <f t="shared" si="90"/>
        <v>0</v>
      </c>
      <c r="AL74" s="545"/>
      <c r="AM74" s="545"/>
      <c r="AN74" s="546">
        <f t="shared" si="91"/>
        <v>0</v>
      </c>
      <c r="AO74" s="545"/>
      <c r="AP74" s="545"/>
    </row>
    <row r="75" ht="12.75" customHeight="1">
      <c r="A75" s="179"/>
      <c r="B75" s="457">
        <v>46083.0</v>
      </c>
      <c r="C75" s="481"/>
      <c r="D75" s="196" t="s">
        <v>41</v>
      </c>
      <c r="E75" s="196" t="s">
        <v>128</v>
      </c>
      <c r="F75" s="180"/>
      <c r="G75" s="558" t="s">
        <v>749</v>
      </c>
      <c r="H75" s="181">
        <f t="shared" ref="H75:J75" si="101">sum(K75,N75,Q75,T75,W75,Z75,AC75,AF75,AI75,AL75)</f>
        <v>16926.8</v>
      </c>
      <c r="I75" s="181">
        <f t="shared" si="101"/>
        <v>0</v>
      </c>
      <c r="J75" s="176">
        <f t="shared" si="101"/>
        <v>445778.8</v>
      </c>
      <c r="K75" s="197">
        <v>16926.8</v>
      </c>
      <c r="L75" s="181"/>
      <c r="M75" s="329">
        <f t="shared" si="96"/>
        <v>-99077</v>
      </c>
      <c r="N75" s="181"/>
      <c r="O75" s="181"/>
      <c r="P75" s="176">
        <f t="shared" si="49"/>
        <v>151515</v>
      </c>
      <c r="Q75" s="181"/>
      <c r="R75" s="181"/>
      <c r="S75" s="176">
        <f t="shared" si="26"/>
        <v>351710</v>
      </c>
      <c r="T75" s="181"/>
      <c r="U75" s="181"/>
      <c r="V75" s="176">
        <f t="shared" si="27"/>
        <v>25230.8</v>
      </c>
      <c r="W75" s="181"/>
      <c r="X75" s="181"/>
      <c r="Y75" s="176">
        <f t="shared" si="87"/>
        <v>0</v>
      </c>
      <c r="Z75" s="181"/>
      <c r="AA75" s="181"/>
      <c r="AB75" s="176">
        <f t="shared" si="29"/>
        <v>16400</v>
      </c>
      <c r="AC75" s="181"/>
      <c r="AD75" s="181"/>
      <c r="AE75" s="176">
        <f t="shared" si="88"/>
        <v>0</v>
      </c>
      <c r="AF75" s="176"/>
      <c r="AG75" s="176"/>
      <c r="AH75" s="176">
        <f t="shared" si="89"/>
        <v>0</v>
      </c>
      <c r="AI75" s="181"/>
      <c r="AJ75" s="181"/>
      <c r="AK75" s="176">
        <f t="shared" si="90"/>
        <v>0</v>
      </c>
      <c r="AL75" s="181"/>
      <c r="AM75" s="181"/>
      <c r="AN75" s="176">
        <f t="shared" si="91"/>
        <v>0</v>
      </c>
      <c r="AO75" s="181"/>
      <c r="AP75" s="181"/>
    </row>
    <row r="76" ht="12.75" customHeight="1">
      <c r="A76" s="179"/>
      <c r="B76" s="457">
        <v>46083.0</v>
      </c>
      <c r="C76" s="481"/>
      <c r="D76" s="196" t="s">
        <v>41</v>
      </c>
      <c r="E76" s="196" t="s">
        <v>97</v>
      </c>
      <c r="F76" s="180"/>
      <c r="G76" s="191">
        <v>943002.0</v>
      </c>
      <c r="H76" s="181">
        <f t="shared" ref="H76:J76" si="102">sum(K76,N76,Q76,T76,W76,Z76,AC76,AF76,AI76,AL76)</f>
        <v>9200</v>
      </c>
      <c r="I76" s="181">
        <f t="shared" si="102"/>
        <v>0</v>
      </c>
      <c r="J76" s="176">
        <f t="shared" si="102"/>
        <v>436578.8</v>
      </c>
      <c r="K76" s="181"/>
      <c r="L76" s="181"/>
      <c r="M76" s="329">
        <f t="shared" si="96"/>
        <v>-99077</v>
      </c>
      <c r="N76" s="197">
        <v>9200.0</v>
      </c>
      <c r="O76" s="181"/>
      <c r="P76" s="176">
        <f t="shared" si="49"/>
        <v>142315</v>
      </c>
      <c r="Q76" s="181"/>
      <c r="R76" s="181"/>
      <c r="S76" s="176">
        <f t="shared" si="26"/>
        <v>351710</v>
      </c>
      <c r="T76" s="181"/>
      <c r="U76" s="181"/>
      <c r="V76" s="176">
        <f t="shared" si="27"/>
        <v>25230.8</v>
      </c>
      <c r="W76" s="181"/>
      <c r="X76" s="181"/>
      <c r="Y76" s="176">
        <f t="shared" si="87"/>
        <v>0</v>
      </c>
      <c r="Z76" s="181"/>
      <c r="AA76" s="181"/>
      <c r="AB76" s="176">
        <f t="shared" si="29"/>
        <v>16400</v>
      </c>
      <c r="AC76" s="181"/>
      <c r="AD76" s="181"/>
      <c r="AE76" s="176">
        <f t="shared" si="88"/>
        <v>0</v>
      </c>
      <c r="AF76" s="176"/>
      <c r="AG76" s="176"/>
      <c r="AH76" s="176">
        <f t="shared" si="89"/>
        <v>0</v>
      </c>
      <c r="AI76" s="181"/>
      <c r="AJ76" s="181"/>
      <c r="AK76" s="176">
        <f t="shared" si="90"/>
        <v>0</v>
      </c>
      <c r="AL76" s="181"/>
      <c r="AM76" s="181"/>
      <c r="AN76" s="176">
        <f t="shared" si="91"/>
        <v>0</v>
      </c>
      <c r="AO76" s="181"/>
      <c r="AP76" s="181"/>
    </row>
    <row r="77" ht="12.75" customHeight="1">
      <c r="A77" s="179"/>
      <c r="B77" s="457">
        <v>46085.0</v>
      </c>
      <c r="C77" s="481"/>
      <c r="D77" s="196" t="s">
        <v>41</v>
      </c>
      <c r="E77" s="196" t="s">
        <v>341</v>
      </c>
      <c r="F77" s="180"/>
      <c r="G77" s="191">
        <v>938002.0</v>
      </c>
      <c r="H77" s="181">
        <f t="shared" ref="H77:J77" si="103">sum(K77,N77,Q77,T77,W77,Z77,AC77,AF77,AI77,AL77)</f>
        <v>12150</v>
      </c>
      <c r="I77" s="181">
        <f t="shared" si="103"/>
        <v>0</v>
      </c>
      <c r="J77" s="176">
        <f t="shared" si="103"/>
        <v>424428.8</v>
      </c>
      <c r="K77" s="181"/>
      <c r="L77" s="181"/>
      <c r="M77" s="329">
        <f t="shared" si="96"/>
        <v>-99077</v>
      </c>
      <c r="N77" s="181"/>
      <c r="O77" s="181"/>
      <c r="P77" s="176">
        <f t="shared" si="49"/>
        <v>142315</v>
      </c>
      <c r="Q77" s="197">
        <v>12150.0</v>
      </c>
      <c r="R77" s="181"/>
      <c r="S77" s="176">
        <f t="shared" si="26"/>
        <v>339560</v>
      </c>
      <c r="T77" s="181"/>
      <c r="U77" s="181"/>
      <c r="V77" s="176">
        <f t="shared" si="27"/>
        <v>25230.8</v>
      </c>
      <c r="W77" s="181"/>
      <c r="X77" s="181"/>
      <c r="Y77" s="176">
        <f t="shared" si="87"/>
        <v>0</v>
      </c>
      <c r="Z77" s="181"/>
      <c r="AA77" s="181"/>
      <c r="AB77" s="176">
        <f t="shared" si="29"/>
        <v>16400</v>
      </c>
      <c r="AC77" s="181"/>
      <c r="AD77" s="181"/>
      <c r="AE77" s="176">
        <f t="shared" si="88"/>
        <v>0</v>
      </c>
      <c r="AF77" s="176"/>
      <c r="AG77" s="176"/>
      <c r="AH77" s="176">
        <f t="shared" si="89"/>
        <v>0</v>
      </c>
      <c r="AI77" s="181"/>
      <c r="AJ77" s="181"/>
      <c r="AK77" s="176">
        <f t="shared" si="90"/>
        <v>0</v>
      </c>
      <c r="AL77" s="181"/>
      <c r="AM77" s="181"/>
      <c r="AN77" s="176">
        <f t="shared" si="91"/>
        <v>0</v>
      </c>
      <c r="AO77" s="181"/>
      <c r="AP77" s="181"/>
    </row>
    <row r="78" ht="12.75" customHeight="1">
      <c r="A78" s="179"/>
      <c r="B78" s="457">
        <v>46087.0</v>
      </c>
      <c r="C78" s="481"/>
      <c r="D78" s="196" t="s">
        <v>41</v>
      </c>
      <c r="E78" s="196" t="s">
        <v>97</v>
      </c>
      <c r="F78" s="180"/>
      <c r="G78" s="191">
        <v>943003.0</v>
      </c>
      <c r="H78" s="181">
        <f t="shared" ref="H78:J78" si="104">sum(K78,N78,Q78,T78,W78,Z78,AC78,AF78,AI78,AL78)</f>
        <v>22500</v>
      </c>
      <c r="I78" s="181">
        <f t="shared" si="104"/>
        <v>0</v>
      </c>
      <c r="J78" s="176">
        <f t="shared" si="104"/>
        <v>401928.8</v>
      </c>
      <c r="K78" s="181"/>
      <c r="L78" s="181"/>
      <c r="M78" s="329">
        <f t="shared" si="96"/>
        <v>-99077</v>
      </c>
      <c r="N78" s="197">
        <v>22500.0</v>
      </c>
      <c r="O78" s="181"/>
      <c r="P78" s="176">
        <f t="shared" si="49"/>
        <v>119815</v>
      </c>
      <c r="Q78" s="181"/>
      <c r="R78" s="181"/>
      <c r="S78" s="176">
        <f t="shared" si="26"/>
        <v>339560</v>
      </c>
      <c r="T78" s="181"/>
      <c r="U78" s="181"/>
      <c r="V78" s="176">
        <f t="shared" si="27"/>
        <v>25230.8</v>
      </c>
      <c r="W78" s="181"/>
      <c r="X78" s="181"/>
      <c r="Y78" s="176">
        <f t="shared" si="87"/>
        <v>0</v>
      </c>
      <c r="Z78" s="181"/>
      <c r="AA78" s="181"/>
      <c r="AB78" s="176">
        <f t="shared" si="29"/>
        <v>16400</v>
      </c>
      <c r="AC78" s="181"/>
      <c r="AD78" s="181"/>
      <c r="AE78" s="176">
        <f t="shared" si="88"/>
        <v>0</v>
      </c>
      <c r="AF78" s="176"/>
      <c r="AG78" s="176"/>
      <c r="AH78" s="176">
        <f t="shared" si="89"/>
        <v>0</v>
      </c>
      <c r="AI78" s="181"/>
      <c r="AJ78" s="181"/>
      <c r="AK78" s="176">
        <f t="shared" si="90"/>
        <v>0</v>
      </c>
      <c r="AL78" s="181"/>
      <c r="AM78" s="181"/>
      <c r="AN78" s="176">
        <f t="shared" si="91"/>
        <v>0</v>
      </c>
      <c r="AO78" s="181"/>
      <c r="AP78" s="181"/>
    </row>
    <row r="79" ht="12.75" customHeight="1">
      <c r="A79" s="179"/>
      <c r="B79" s="457">
        <v>46087.0</v>
      </c>
      <c r="C79" s="481"/>
      <c r="D79" s="196" t="s">
        <v>41</v>
      </c>
      <c r="E79" s="196" t="s">
        <v>97</v>
      </c>
      <c r="F79" s="180"/>
      <c r="G79" s="191">
        <v>943005.0</v>
      </c>
      <c r="H79" s="181">
        <f t="shared" ref="H79:J79" si="105">sum(K79,N79,Q79,T79,W79,Z79,AC79,AF79,AI79,AL79)</f>
        <v>6385</v>
      </c>
      <c r="I79" s="181">
        <f t="shared" si="105"/>
        <v>0</v>
      </c>
      <c r="J79" s="176">
        <f t="shared" si="105"/>
        <v>395543.8</v>
      </c>
      <c r="K79" s="181"/>
      <c r="L79" s="181"/>
      <c r="M79" s="329">
        <f t="shared" si="96"/>
        <v>-99077</v>
      </c>
      <c r="N79" s="197">
        <v>6385.0</v>
      </c>
      <c r="O79" s="181"/>
      <c r="P79" s="176">
        <f t="shared" si="49"/>
        <v>113430</v>
      </c>
      <c r="Q79" s="181"/>
      <c r="R79" s="181"/>
      <c r="S79" s="176">
        <f t="shared" si="26"/>
        <v>339560</v>
      </c>
      <c r="T79" s="181"/>
      <c r="U79" s="181"/>
      <c r="V79" s="176">
        <f t="shared" si="27"/>
        <v>25230.8</v>
      </c>
      <c r="W79" s="181"/>
      <c r="X79" s="181"/>
      <c r="Y79" s="176">
        <f t="shared" si="87"/>
        <v>0</v>
      </c>
      <c r="Z79" s="181"/>
      <c r="AA79" s="181"/>
      <c r="AB79" s="176">
        <f t="shared" si="29"/>
        <v>16400</v>
      </c>
      <c r="AC79" s="181"/>
      <c r="AD79" s="181"/>
      <c r="AE79" s="176">
        <f t="shared" si="88"/>
        <v>0</v>
      </c>
      <c r="AF79" s="176"/>
      <c r="AG79" s="176"/>
      <c r="AH79" s="176">
        <f t="shared" si="89"/>
        <v>0</v>
      </c>
      <c r="AI79" s="181"/>
      <c r="AJ79" s="181"/>
      <c r="AK79" s="176">
        <f t="shared" si="90"/>
        <v>0</v>
      </c>
      <c r="AL79" s="181"/>
      <c r="AM79" s="181"/>
      <c r="AN79" s="176">
        <f t="shared" si="91"/>
        <v>0</v>
      </c>
      <c r="AO79" s="181"/>
      <c r="AP79" s="181"/>
    </row>
    <row r="80" ht="12.75" customHeight="1">
      <c r="A80" s="179"/>
      <c r="B80" s="457">
        <v>46091.0</v>
      </c>
      <c r="C80" s="481"/>
      <c r="D80" s="196" t="s">
        <v>41</v>
      </c>
      <c r="E80" s="196" t="s">
        <v>128</v>
      </c>
      <c r="F80" s="180"/>
      <c r="G80" s="558" t="s">
        <v>749</v>
      </c>
      <c r="H80" s="181">
        <f t="shared" ref="H80:J80" si="106">sum(K80,N80,Q80,T80,W80,Z80,AC80,AF80,AI80,AL80)</f>
        <v>35360</v>
      </c>
      <c r="I80" s="181">
        <f t="shared" si="106"/>
        <v>0</v>
      </c>
      <c r="J80" s="176">
        <f t="shared" si="106"/>
        <v>360183.8</v>
      </c>
      <c r="K80" s="197">
        <v>35360.0</v>
      </c>
      <c r="L80" s="181"/>
      <c r="M80" s="329">
        <f t="shared" si="96"/>
        <v>-134437</v>
      </c>
      <c r="N80" s="181"/>
      <c r="O80" s="181"/>
      <c r="P80" s="176">
        <f t="shared" si="49"/>
        <v>113430</v>
      </c>
      <c r="Q80" s="181"/>
      <c r="R80" s="181"/>
      <c r="S80" s="176">
        <f t="shared" si="26"/>
        <v>339560</v>
      </c>
      <c r="T80" s="181"/>
      <c r="U80" s="181"/>
      <c r="V80" s="176">
        <f t="shared" si="27"/>
        <v>25230.8</v>
      </c>
      <c r="W80" s="181"/>
      <c r="X80" s="181"/>
      <c r="Y80" s="176">
        <f t="shared" si="87"/>
        <v>0</v>
      </c>
      <c r="Z80" s="181"/>
      <c r="AA80" s="181"/>
      <c r="AB80" s="176">
        <f t="shared" si="29"/>
        <v>16400</v>
      </c>
      <c r="AC80" s="181"/>
      <c r="AD80" s="181"/>
      <c r="AE80" s="176">
        <f t="shared" si="88"/>
        <v>0</v>
      </c>
      <c r="AF80" s="176"/>
      <c r="AG80" s="176"/>
      <c r="AH80" s="176">
        <f t="shared" si="89"/>
        <v>0</v>
      </c>
      <c r="AI80" s="181"/>
      <c r="AJ80" s="181"/>
      <c r="AK80" s="176">
        <f t="shared" si="90"/>
        <v>0</v>
      </c>
      <c r="AL80" s="181"/>
      <c r="AM80" s="181"/>
      <c r="AN80" s="176">
        <f t="shared" si="91"/>
        <v>0</v>
      </c>
      <c r="AO80" s="181"/>
      <c r="AP80" s="181"/>
    </row>
    <row r="81" ht="12.75" customHeight="1">
      <c r="A81" s="179"/>
      <c r="B81" s="457">
        <v>45728.0</v>
      </c>
      <c r="C81" s="481"/>
      <c r="D81" s="196" t="s">
        <v>41</v>
      </c>
      <c r="E81" s="196" t="s">
        <v>186</v>
      </c>
      <c r="F81" s="180"/>
      <c r="G81" s="558" t="s">
        <v>749</v>
      </c>
      <c r="H81" s="181">
        <f t="shared" ref="H81:J81" si="107">sum(K81,N81,Q81,T81,W81,Z81,AC81,AF81,AI81,AL81)</f>
        <v>25230.8</v>
      </c>
      <c r="I81" s="181">
        <f t="shared" si="107"/>
        <v>0</v>
      </c>
      <c r="J81" s="176">
        <f t="shared" si="107"/>
        <v>334953</v>
      </c>
      <c r="K81" s="181"/>
      <c r="L81" s="181"/>
      <c r="M81" s="329">
        <f t="shared" si="96"/>
        <v>-134437</v>
      </c>
      <c r="N81" s="181"/>
      <c r="O81" s="181"/>
      <c r="P81" s="176">
        <f t="shared" si="49"/>
        <v>113430</v>
      </c>
      <c r="Q81" s="181"/>
      <c r="R81" s="181"/>
      <c r="S81" s="176">
        <f t="shared" si="26"/>
        <v>339560</v>
      </c>
      <c r="T81" s="197">
        <v>25230.8</v>
      </c>
      <c r="U81" s="181"/>
      <c r="V81" s="176">
        <f t="shared" si="27"/>
        <v>0</v>
      </c>
      <c r="W81" s="181"/>
      <c r="X81" s="181"/>
      <c r="Y81" s="176">
        <f t="shared" si="87"/>
        <v>0</v>
      </c>
      <c r="Z81" s="181"/>
      <c r="AA81" s="181"/>
      <c r="AB81" s="176">
        <f t="shared" si="29"/>
        <v>16400</v>
      </c>
      <c r="AC81" s="181"/>
      <c r="AD81" s="181"/>
      <c r="AE81" s="176">
        <f t="shared" si="88"/>
        <v>0</v>
      </c>
      <c r="AF81" s="176"/>
      <c r="AG81" s="176"/>
      <c r="AH81" s="176">
        <f t="shared" si="89"/>
        <v>0</v>
      </c>
      <c r="AI81" s="181"/>
      <c r="AJ81" s="181"/>
      <c r="AK81" s="176">
        <f t="shared" si="90"/>
        <v>0</v>
      </c>
      <c r="AL81" s="181"/>
      <c r="AM81" s="181"/>
      <c r="AN81" s="176">
        <f t="shared" si="91"/>
        <v>0</v>
      </c>
      <c r="AO81" s="181"/>
      <c r="AP81" s="181"/>
    </row>
    <row r="82" ht="12.75" customHeight="1">
      <c r="A82" s="179"/>
      <c r="B82" s="457">
        <v>46099.0</v>
      </c>
      <c r="C82" s="481"/>
      <c r="D82" s="196" t="s">
        <v>41</v>
      </c>
      <c r="E82" s="196" t="s">
        <v>341</v>
      </c>
      <c r="F82" s="180"/>
      <c r="G82" s="191">
        <v>917639.0</v>
      </c>
      <c r="H82" s="181">
        <f t="shared" ref="H82:J82" si="108">sum(K82,N82,Q82,T82,W82,Z82,AC82,AF82,AI82,AL82)</f>
        <v>20660</v>
      </c>
      <c r="I82" s="181">
        <f t="shared" si="108"/>
        <v>0</v>
      </c>
      <c r="J82" s="176">
        <f t="shared" si="108"/>
        <v>314293</v>
      </c>
      <c r="K82" s="181"/>
      <c r="L82" s="181"/>
      <c r="M82" s="329">
        <f t="shared" si="96"/>
        <v>-134437</v>
      </c>
      <c r="N82" s="181"/>
      <c r="O82" s="181"/>
      <c r="P82" s="176">
        <f t="shared" si="49"/>
        <v>113430</v>
      </c>
      <c r="Q82" s="197">
        <v>20660.0</v>
      </c>
      <c r="R82" s="181"/>
      <c r="S82" s="176">
        <f t="shared" si="26"/>
        <v>318900</v>
      </c>
      <c r="T82" s="181"/>
      <c r="U82" s="181"/>
      <c r="V82" s="176">
        <f t="shared" si="27"/>
        <v>0</v>
      </c>
      <c r="W82" s="181"/>
      <c r="X82" s="181"/>
      <c r="Y82" s="176">
        <f t="shared" si="87"/>
        <v>0</v>
      </c>
      <c r="Z82" s="181"/>
      <c r="AA82" s="181"/>
      <c r="AB82" s="176">
        <f t="shared" si="29"/>
        <v>16400</v>
      </c>
      <c r="AC82" s="181"/>
      <c r="AD82" s="181"/>
      <c r="AE82" s="176">
        <f t="shared" si="88"/>
        <v>0</v>
      </c>
      <c r="AF82" s="176"/>
      <c r="AG82" s="176"/>
      <c r="AH82" s="176">
        <f t="shared" si="89"/>
        <v>0</v>
      </c>
      <c r="AI82" s="181"/>
      <c r="AJ82" s="181"/>
      <c r="AK82" s="176">
        <f t="shared" si="90"/>
        <v>0</v>
      </c>
      <c r="AL82" s="181"/>
      <c r="AM82" s="181"/>
      <c r="AN82" s="176">
        <f t="shared" si="91"/>
        <v>0</v>
      </c>
      <c r="AO82" s="181"/>
      <c r="AP82" s="181"/>
    </row>
    <row r="83" ht="12.75" customHeight="1">
      <c r="A83" s="179"/>
      <c r="B83" s="457">
        <v>46099.0</v>
      </c>
      <c r="C83" s="481"/>
      <c r="D83" s="196" t="s">
        <v>41</v>
      </c>
      <c r="E83" s="196" t="s">
        <v>97</v>
      </c>
      <c r="F83" s="180"/>
      <c r="G83" s="191">
        <v>943006.0</v>
      </c>
      <c r="H83" s="181">
        <f t="shared" ref="H83:J83" si="109">sum(K83,N83,Q83,T83,W83,Z83,AC83,AF83,AI83,AL83)</f>
        <v>20730</v>
      </c>
      <c r="I83" s="181">
        <f t="shared" si="109"/>
        <v>0</v>
      </c>
      <c r="J83" s="176">
        <f t="shared" si="109"/>
        <v>293563</v>
      </c>
      <c r="K83" s="181"/>
      <c r="L83" s="181"/>
      <c r="M83" s="329">
        <f t="shared" si="96"/>
        <v>-134437</v>
      </c>
      <c r="N83" s="197">
        <v>20730.0</v>
      </c>
      <c r="O83" s="181"/>
      <c r="P83" s="176">
        <f t="shared" si="49"/>
        <v>92700</v>
      </c>
      <c r="Q83" s="181"/>
      <c r="R83" s="181"/>
      <c r="S83" s="176">
        <f t="shared" si="26"/>
        <v>318900</v>
      </c>
      <c r="T83" s="181"/>
      <c r="U83" s="181"/>
      <c r="V83" s="176">
        <f t="shared" si="27"/>
        <v>0</v>
      </c>
      <c r="W83" s="181"/>
      <c r="X83" s="181"/>
      <c r="Y83" s="176">
        <f t="shared" si="87"/>
        <v>0</v>
      </c>
      <c r="Z83" s="181"/>
      <c r="AA83" s="181"/>
      <c r="AB83" s="176">
        <f t="shared" si="29"/>
        <v>16400</v>
      </c>
      <c r="AC83" s="181"/>
      <c r="AD83" s="181"/>
      <c r="AE83" s="176">
        <f t="shared" si="88"/>
        <v>0</v>
      </c>
      <c r="AF83" s="176"/>
      <c r="AG83" s="176"/>
      <c r="AH83" s="176">
        <f t="shared" si="89"/>
        <v>0</v>
      </c>
      <c r="AI83" s="181"/>
      <c r="AJ83" s="181"/>
      <c r="AK83" s="176">
        <f t="shared" si="90"/>
        <v>0</v>
      </c>
      <c r="AL83" s="181"/>
      <c r="AM83" s="181"/>
      <c r="AN83" s="176">
        <f t="shared" si="91"/>
        <v>0</v>
      </c>
      <c r="AO83" s="181"/>
      <c r="AP83" s="181"/>
    </row>
    <row r="84" ht="12.75" customHeight="1">
      <c r="A84" s="179"/>
      <c r="B84" s="457">
        <v>46099.0</v>
      </c>
      <c r="C84" s="481"/>
      <c r="D84" s="196" t="s">
        <v>41</v>
      </c>
      <c r="E84" s="196" t="s">
        <v>341</v>
      </c>
      <c r="F84" s="180"/>
      <c r="G84" s="191">
        <v>938003.0</v>
      </c>
      <c r="H84" s="181">
        <f t="shared" ref="H84:J84" si="110">sum(K84,N84,Q84,T84,W84,Z84,AC84,AF84,AI84,AL84)</f>
        <v>19680</v>
      </c>
      <c r="I84" s="181">
        <f t="shared" si="110"/>
        <v>0</v>
      </c>
      <c r="J84" s="176">
        <f t="shared" si="110"/>
        <v>273883</v>
      </c>
      <c r="K84" s="181"/>
      <c r="L84" s="181"/>
      <c r="M84" s="329">
        <f t="shared" si="96"/>
        <v>-134437</v>
      </c>
      <c r="N84" s="181"/>
      <c r="O84" s="181"/>
      <c r="P84" s="176">
        <f t="shared" si="49"/>
        <v>92700</v>
      </c>
      <c r="Q84" s="197">
        <v>19680.0</v>
      </c>
      <c r="R84" s="181"/>
      <c r="S84" s="176">
        <f t="shared" si="26"/>
        <v>299220</v>
      </c>
      <c r="T84" s="181"/>
      <c r="U84" s="181"/>
      <c r="V84" s="176">
        <f t="shared" si="27"/>
        <v>0</v>
      </c>
      <c r="W84" s="181"/>
      <c r="X84" s="181"/>
      <c r="Y84" s="176">
        <f t="shared" si="87"/>
        <v>0</v>
      </c>
      <c r="Z84" s="181"/>
      <c r="AA84" s="181"/>
      <c r="AB84" s="176">
        <f t="shared" si="29"/>
        <v>16400</v>
      </c>
      <c r="AC84" s="181"/>
      <c r="AD84" s="181"/>
      <c r="AE84" s="176">
        <f t="shared" si="88"/>
        <v>0</v>
      </c>
      <c r="AF84" s="176"/>
      <c r="AG84" s="176"/>
      <c r="AH84" s="176">
        <f t="shared" si="89"/>
        <v>0</v>
      </c>
      <c r="AI84" s="181"/>
      <c r="AJ84" s="181"/>
      <c r="AK84" s="176">
        <f t="shared" si="90"/>
        <v>0</v>
      </c>
      <c r="AL84" s="181"/>
      <c r="AM84" s="181"/>
      <c r="AN84" s="176">
        <f t="shared" si="91"/>
        <v>0</v>
      </c>
      <c r="AO84" s="181"/>
      <c r="AP84" s="181"/>
    </row>
    <row r="85" ht="12.75" customHeight="1">
      <c r="A85" s="179"/>
      <c r="B85" s="588">
        <v>46102.0</v>
      </c>
      <c r="C85" s="481"/>
      <c r="D85" s="196" t="s">
        <v>41</v>
      </c>
      <c r="E85" s="589" t="s">
        <v>97</v>
      </c>
      <c r="F85" s="180"/>
      <c r="G85" s="191">
        <v>943008.0</v>
      </c>
      <c r="H85" s="181">
        <f t="shared" ref="H85:J85" si="111">sum(K85,N85,Q85,T85,W85,Z85,AC85,AF85,AI85,AL85)</f>
        <v>7530</v>
      </c>
      <c r="I85" s="181">
        <f t="shared" si="111"/>
        <v>0</v>
      </c>
      <c r="J85" s="176">
        <f t="shared" si="111"/>
        <v>266353</v>
      </c>
      <c r="K85" s="181"/>
      <c r="L85" s="181"/>
      <c r="M85" s="329">
        <f t="shared" si="96"/>
        <v>-134437</v>
      </c>
      <c r="N85" s="197">
        <v>7530.0</v>
      </c>
      <c r="O85" s="181"/>
      <c r="P85" s="176">
        <f t="shared" si="49"/>
        <v>85170</v>
      </c>
      <c r="Q85" s="181"/>
      <c r="R85" s="181"/>
      <c r="S85" s="176">
        <f t="shared" si="26"/>
        <v>299220</v>
      </c>
      <c r="T85" s="181"/>
      <c r="U85" s="181"/>
      <c r="V85" s="176">
        <f t="shared" si="27"/>
        <v>0</v>
      </c>
      <c r="W85" s="181"/>
      <c r="X85" s="181"/>
      <c r="Y85" s="176">
        <f t="shared" si="87"/>
        <v>0</v>
      </c>
      <c r="Z85" s="181"/>
      <c r="AA85" s="181"/>
      <c r="AB85" s="176">
        <f t="shared" si="29"/>
        <v>16400</v>
      </c>
      <c r="AC85" s="181"/>
      <c r="AD85" s="181"/>
      <c r="AE85" s="176">
        <f t="shared" si="88"/>
        <v>0</v>
      </c>
      <c r="AF85" s="176"/>
      <c r="AG85" s="176"/>
      <c r="AH85" s="176">
        <f t="shared" si="89"/>
        <v>0</v>
      </c>
      <c r="AI85" s="181"/>
      <c r="AJ85" s="181"/>
      <c r="AK85" s="176">
        <f t="shared" si="90"/>
        <v>0</v>
      </c>
      <c r="AL85" s="181"/>
      <c r="AM85" s="181"/>
      <c r="AN85" s="176">
        <f t="shared" si="91"/>
        <v>0</v>
      </c>
      <c r="AO85" s="181"/>
      <c r="AP85" s="181"/>
    </row>
    <row r="86" ht="12.75" customHeight="1">
      <c r="A86" s="179"/>
      <c r="B86" s="588">
        <v>46099.0</v>
      </c>
      <c r="C86" s="481"/>
      <c r="D86" s="196" t="s">
        <v>41</v>
      </c>
      <c r="E86" s="196" t="s">
        <v>765</v>
      </c>
      <c r="F86" s="180"/>
      <c r="G86" s="191">
        <v>943017.0</v>
      </c>
      <c r="H86" s="181">
        <f t="shared" ref="H86:J86" si="112">sum(K86,N86,Q86,T86,W86,Z86,AC86,AF86,AI86,AL86)</f>
        <v>60000</v>
      </c>
      <c r="I86" s="181">
        <f t="shared" si="112"/>
        <v>0</v>
      </c>
      <c r="J86" s="176">
        <f t="shared" si="112"/>
        <v>206353</v>
      </c>
      <c r="K86" s="181"/>
      <c r="L86" s="181"/>
      <c r="M86" s="329">
        <f t="shared" si="96"/>
        <v>-134437</v>
      </c>
      <c r="N86" s="181"/>
      <c r="O86" s="181"/>
      <c r="P86" s="176">
        <f t="shared" si="49"/>
        <v>85170</v>
      </c>
      <c r="Q86" s="181"/>
      <c r="R86" s="181"/>
      <c r="S86" s="176">
        <f t="shared" si="26"/>
        <v>299220</v>
      </c>
      <c r="T86" s="181"/>
      <c r="U86" s="181"/>
      <c r="V86" s="176">
        <f t="shared" si="27"/>
        <v>0</v>
      </c>
      <c r="W86" s="531">
        <v>60000.0</v>
      </c>
      <c r="X86" s="181"/>
      <c r="Y86" s="176">
        <f t="shared" si="87"/>
        <v>-60000</v>
      </c>
      <c r="Z86" s="181"/>
      <c r="AA86" s="181"/>
      <c r="AB86" s="176">
        <f t="shared" si="29"/>
        <v>16400</v>
      </c>
      <c r="AC86" s="181"/>
      <c r="AD86" s="181"/>
      <c r="AE86" s="176">
        <f t="shared" si="88"/>
        <v>0</v>
      </c>
      <c r="AF86" s="176"/>
      <c r="AG86" s="176"/>
      <c r="AH86" s="176">
        <f t="shared" si="89"/>
        <v>0</v>
      </c>
      <c r="AI86" s="181"/>
      <c r="AJ86" s="181"/>
      <c r="AK86" s="176">
        <f t="shared" si="90"/>
        <v>0</v>
      </c>
      <c r="AL86" s="181"/>
      <c r="AM86" s="181"/>
      <c r="AN86" s="176">
        <f t="shared" si="91"/>
        <v>0</v>
      </c>
      <c r="AO86" s="181"/>
      <c r="AP86" s="181"/>
    </row>
    <row r="87" ht="12.75" customHeight="1">
      <c r="A87" s="179"/>
      <c r="B87" s="588">
        <v>46100.0</v>
      </c>
      <c r="C87" s="481"/>
      <c r="D87" s="196" t="s">
        <v>41</v>
      </c>
      <c r="E87" s="589" t="s">
        <v>136</v>
      </c>
      <c r="F87" s="180"/>
      <c r="G87" s="191" t="s">
        <v>749</v>
      </c>
      <c r="H87" s="181">
        <f t="shared" ref="H87:J87" si="113">sum(K87,N87,Q87,T87,W87,Z87,AC87,AF87,AI87,AL87)</f>
        <v>16400</v>
      </c>
      <c r="I87" s="181">
        <f t="shared" si="113"/>
        <v>0</v>
      </c>
      <c r="J87" s="176">
        <f t="shared" si="113"/>
        <v>189953</v>
      </c>
      <c r="K87" s="197"/>
      <c r="L87" s="181"/>
      <c r="M87" s="329">
        <f t="shared" si="96"/>
        <v>-134437</v>
      </c>
      <c r="N87" s="181"/>
      <c r="O87" s="181"/>
      <c r="P87" s="176">
        <f t="shared" si="49"/>
        <v>85170</v>
      </c>
      <c r="Q87" s="181"/>
      <c r="R87" s="181"/>
      <c r="S87" s="176">
        <f t="shared" si="26"/>
        <v>299220</v>
      </c>
      <c r="T87" s="181"/>
      <c r="U87" s="181"/>
      <c r="V87" s="176">
        <f t="shared" si="27"/>
        <v>0</v>
      </c>
      <c r="W87" s="181"/>
      <c r="X87" s="181"/>
      <c r="Y87" s="176">
        <f t="shared" si="87"/>
        <v>-60000</v>
      </c>
      <c r="Z87" s="197">
        <v>16400.0</v>
      </c>
      <c r="AA87" s="181"/>
      <c r="AB87" s="176">
        <f t="shared" si="29"/>
        <v>0</v>
      </c>
      <c r="AC87" s="181"/>
      <c r="AD87" s="181"/>
      <c r="AE87" s="176">
        <f t="shared" si="88"/>
        <v>0</v>
      </c>
      <c r="AF87" s="176"/>
      <c r="AG87" s="176"/>
      <c r="AH87" s="176">
        <f t="shared" si="89"/>
        <v>0</v>
      </c>
      <c r="AI87" s="181"/>
      <c r="AJ87" s="181"/>
      <c r="AK87" s="176">
        <f t="shared" si="90"/>
        <v>0</v>
      </c>
      <c r="AL87" s="181"/>
      <c r="AM87" s="181"/>
      <c r="AN87" s="176">
        <f t="shared" si="91"/>
        <v>0</v>
      </c>
      <c r="AO87" s="181"/>
      <c r="AP87" s="181"/>
    </row>
    <row r="88" ht="12.75" customHeight="1">
      <c r="A88" s="179"/>
      <c r="B88" s="588">
        <v>46105.0</v>
      </c>
      <c r="C88" s="481"/>
      <c r="D88" s="196" t="s">
        <v>41</v>
      </c>
      <c r="E88" s="589" t="s">
        <v>766</v>
      </c>
      <c r="F88" s="180"/>
      <c r="G88" s="191">
        <v>938019.0</v>
      </c>
      <c r="H88" s="181">
        <f t="shared" ref="H88:J88" si="114">sum(K88,N88,Q88,T88,W88,Z88,AC88,AF88,AI88,AL88)</f>
        <v>20000</v>
      </c>
      <c r="I88" s="181">
        <f t="shared" si="114"/>
        <v>0</v>
      </c>
      <c r="J88" s="176">
        <f t="shared" si="114"/>
        <v>169953</v>
      </c>
      <c r="K88" s="197">
        <v>20000.0</v>
      </c>
      <c r="L88" s="181"/>
      <c r="M88" s="329">
        <f>M86+L88-K88</f>
        <v>-154437</v>
      </c>
      <c r="N88" s="181"/>
      <c r="O88" s="181"/>
      <c r="P88" s="176">
        <f>P86+O88-N88</f>
        <v>85170</v>
      </c>
      <c r="Q88" s="181"/>
      <c r="R88" s="181"/>
      <c r="S88" s="176">
        <f>S86+R88-Q88</f>
        <v>299220</v>
      </c>
      <c r="T88" s="181"/>
      <c r="U88" s="181"/>
      <c r="V88" s="176">
        <f>V86+U88-T88</f>
        <v>0</v>
      </c>
      <c r="W88" s="181"/>
      <c r="X88" s="181"/>
      <c r="Y88" s="176">
        <f t="shared" si="87"/>
        <v>-60000</v>
      </c>
      <c r="Z88" s="181"/>
      <c r="AA88" s="181"/>
      <c r="AB88" s="176">
        <f t="shared" si="29"/>
        <v>0</v>
      </c>
      <c r="AC88" s="181"/>
      <c r="AD88" s="181"/>
      <c r="AE88" s="176">
        <f>AE86+AD88-AC88</f>
        <v>0</v>
      </c>
      <c r="AF88" s="176"/>
      <c r="AG88" s="176"/>
      <c r="AH88" s="176">
        <f>AH86+AG88-AF88</f>
        <v>0</v>
      </c>
      <c r="AI88" s="181"/>
      <c r="AJ88" s="181"/>
      <c r="AK88" s="176">
        <f>AK86+AJ88-AI88</f>
        <v>0</v>
      </c>
      <c r="AL88" s="181"/>
      <c r="AM88" s="181"/>
      <c r="AN88" s="176">
        <f>AN86+AM88-AL88</f>
        <v>0</v>
      </c>
      <c r="AO88" s="181"/>
      <c r="AP88" s="181"/>
    </row>
    <row r="89" ht="12.75" customHeight="1">
      <c r="A89" s="179"/>
      <c r="B89" s="588">
        <v>46108.0</v>
      </c>
      <c r="C89" s="481"/>
      <c r="D89" s="196" t="s">
        <v>41</v>
      </c>
      <c r="E89" s="589" t="s">
        <v>97</v>
      </c>
      <c r="F89" s="180"/>
      <c r="G89" s="191">
        <v>943004.0</v>
      </c>
      <c r="H89" s="181">
        <f t="shared" ref="H89:J89" si="115">sum(K89,N89,Q89,T89,W89,Z89,AC89,AF89,AI89,AL89)</f>
        <v>22500</v>
      </c>
      <c r="I89" s="181">
        <f t="shared" si="115"/>
        <v>0</v>
      </c>
      <c r="J89" s="176">
        <f t="shared" si="115"/>
        <v>147453</v>
      </c>
      <c r="K89" s="181"/>
      <c r="L89" s="181"/>
      <c r="M89" s="329">
        <f t="shared" ref="M89:M308" si="117">M88+L89-K89</f>
        <v>-154437</v>
      </c>
      <c r="N89" s="197">
        <v>22500.0</v>
      </c>
      <c r="O89" s="181"/>
      <c r="P89" s="176">
        <f t="shared" ref="P89:P308" si="118">P88+O89-N89</f>
        <v>62670</v>
      </c>
      <c r="Q89" s="181"/>
      <c r="R89" s="181"/>
      <c r="S89" s="176">
        <f t="shared" ref="S89:S308" si="119">S88+R89-Q89</f>
        <v>299220</v>
      </c>
      <c r="T89" s="181"/>
      <c r="U89" s="181"/>
      <c r="V89" s="176">
        <f t="shared" ref="V89:V308" si="120">V88+U89-T89</f>
        <v>0</v>
      </c>
      <c r="W89" s="181"/>
      <c r="X89" s="181"/>
      <c r="Y89" s="176">
        <f t="shared" si="87"/>
        <v>-60000</v>
      </c>
      <c r="Z89" s="181"/>
      <c r="AA89" s="181"/>
      <c r="AB89" s="176">
        <f t="shared" si="29"/>
        <v>0</v>
      </c>
      <c r="AC89" s="181"/>
      <c r="AD89" s="181"/>
      <c r="AE89" s="176">
        <f t="shared" ref="AE89:AE308" si="121">AE88+AD89-AC89</f>
        <v>0</v>
      </c>
      <c r="AF89" s="176"/>
      <c r="AG89" s="176"/>
      <c r="AH89" s="176">
        <f t="shared" ref="AH89:AH308" si="122">AH88+AG89-AF89</f>
        <v>0</v>
      </c>
      <c r="AI89" s="181"/>
      <c r="AJ89" s="181"/>
      <c r="AK89" s="176">
        <f t="shared" ref="AK89:AK308" si="123">AK88+AJ89-AI89</f>
        <v>0</v>
      </c>
      <c r="AL89" s="181"/>
      <c r="AM89" s="181"/>
      <c r="AN89" s="176">
        <f t="shared" ref="AN89:AN308" si="124">AN88+AM89-AL89</f>
        <v>0</v>
      </c>
      <c r="AO89" s="181"/>
      <c r="AP89" s="181"/>
    </row>
    <row r="90" ht="12.75" customHeight="1">
      <c r="A90" s="179"/>
      <c r="B90" s="588">
        <v>46108.0</v>
      </c>
      <c r="C90" s="481"/>
      <c r="D90" s="196" t="s">
        <v>41</v>
      </c>
      <c r="E90" s="196" t="s">
        <v>341</v>
      </c>
      <c r="F90" s="180"/>
      <c r="G90" s="191">
        <v>938047.0</v>
      </c>
      <c r="H90" s="181">
        <f t="shared" ref="H90:J90" si="116">sum(K90,N90,Q90,T90,W90,Z90,AC90,AF90,AI90,AL90)</f>
        <v>19070</v>
      </c>
      <c r="I90" s="181">
        <f t="shared" si="116"/>
        <v>0</v>
      </c>
      <c r="J90" s="176">
        <f t="shared" si="116"/>
        <v>128383</v>
      </c>
      <c r="K90" s="181"/>
      <c r="L90" s="181"/>
      <c r="M90" s="329">
        <f t="shared" si="117"/>
        <v>-154437</v>
      </c>
      <c r="N90" s="181"/>
      <c r="O90" s="181"/>
      <c r="P90" s="176">
        <f t="shared" si="118"/>
        <v>62670</v>
      </c>
      <c r="Q90" s="197">
        <v>19070.0</v>
      </c>
      <c r="R90" s="181"/>
      <c r="S90" s="176">
        <f t="shared" si="119"/>
        <v>280150</v>
      </c>
      <c r="T90" s="181"/>
      <c r="U90" s="181"/>
      <c r="V90" s="176">
        <f t="shared" si="120"/>
        <v>0</v>
      </c>
      <c r="W90" s="181"/>
      <c r="X90" s="181"/>
      <c r="Y90" s="176">
        <f t="shared" si="87"/>
        <v>-60000</v>
      </c>
      <c r="Z90" s="181"/>
      <c r="AA90" s="181"/>
      <c r="AB90" s="176">
        <f t="shared" si="29"/>
        <v>0</v>
      </c>
      <c r="AC90" s="181"/>
      <c r="AD90" s="181"/>
      <c r="AE90" s="176">
        <f t="shared" si="121"/>
        <v>0</v>
      </c>
      <c r="AF90" s="176"/>
      <c r="AG90" s="176"/>
      <c r="AH90" s="176">
        <f t="shared" si="122"/>
        <v>0</v>
      </c>
      <c r="AI90" s="181"/>
      <c r="AJ90" s="181"/>
      <c r="AK90" s="176">
        <f t="shared" si="123"/>
        <v>0</v>
      </c>
      <c r="AL90" s="181"/>
      <c r="AM90" s="181"/>
      <c r="AN90" s="176">
        <f t="shared" si="124"/>
        <v>0</v>
      </c>
      <c r="AO90" s="181"/>
      <c r="AP90" s="181"/>
    </row>
    <row r="91" ht="12.75" customHeight="1">
      <c r="A91" s="179"/>
      <c r="B91" s="588">
        <v>46108.0</v>
      </c>
      <c r="C91" s="481"/>
      <c r="D91" s="196" t="s">
        <v>41</v>
      </c>
      <c r="E91" s="196" t="s">
        <v>341</v>
      </c>
      <c r="F91" s="180"/>
      <c r="G91" s="191">
        <v>938048.0</v>
      </c>
      <c r="H91" s="181">
        <f t="shared" ref="H91:J91" si="125">sum(K91,N91,Q91,T91,W91,Z91,AC91,AF91,AI91,AL91)</f>
        <v>21250</v>
      </c>
      <c r="I91" s="181">
        <f t="shared" si="125"/>
        <v>0</v>
      </c>
      <c r="J91" s="176">
        <f t="shared" si="125"/>
        <v>107133</v>
      </c>
      <c r="K91" s="181"/>
      <c r="L91" s="181"/>
      <c r="M91" s="329">
        <f t="shared" si="117"/>
        <v>-154437</v>
      </c>
      <c r="N91" s="181"/>
      <c r="O91" s="181"/>
      <c r="P91" s="176">
        <f t="shared" si="118"/>
        <v>62670</v>
      </c>
      <c r="Q91" s="197">
        <v>21250.0</v>
      </c>
      <c r="R91" s="181"/>
      <c r="S91" s="176">
        <f t="shared" si="119"/>
        <v>258900</v>
      </c>
      <c r="T91" s="181"/>
      <c r="U91" s="181"/>
      <c r="V91" s="176">
        <f t="shared" si="120"/>
        <v>0</v>
      </c>
      <c r="W91" s="181"/>
      <c r="X91" s="181"/>
      <c r="Y91" s="176">
        <f t="shared" si="87"/>
        <v>-60000</v>
      </c>
      <c r="Z91" s="181"/>
      <c r="AA91" s="181"/>
      <c r="AB91" s="176">
        <f t="shared" si="29"/>
        <v>0</v>
      </c>
      <c r="AC91" s="181"/>
      <c r="AD91" s="181"/>
      <c r="AE91" s="176">
        <f t="shared" si="121"/>
        <v>0</v>
      </c>
      <c r="AF91" s="176"/>
      <c r="AG91" s="176"/>
      <c r="AH91" s="176">
        <f t="shared" si="122"/>
        <v>0</v>
      </c>
      <c r="AI91" s="181"/>
      <c r="AJ91" s="181"/>
      <c r="AK91" s="176">
        <f t="shared" si="123"/>
        <v>0</v>
      </c>
      <c r="AL91" s="181"/>
      <c r="AM91" s="181"/>
      <c r="AN91" s="176">
        <f t="shared" si="124"/>
        <v>0</v>
      </c>
      <c r="AO91" s="181"/>
      <c r="AP91" s="181"/>
    </row>
    <row r="92" ht="12.75" customHeight="1">
      <c r="A92" s="179"/>
      <c r="B92" s="588">
        <v>46110.0</v>
      </c>
      <c r="C92" s="481"/>
      <c r="D92" s="196" t="s">
        <v>41</v>
      </c>
      <c r="E92" s="599" t="s">
        <v>97</v>
      </c>
      <c r="F92" s="180"/>
      <c r="G92" s="191">
        <v>943009.0</v>
      </c>
      <c r="H92" s="181">
        <f t="shared" ref="H92:J92" si="126">sum(K92,N92,Q92,T92,W92,Z92,AC92,AF92,AI92,AL92)</f>
        <v>17050</v>
      </c>
      <c r="I92" s="181">
        <f t="shared" si="126"/>
        <v>0</v>
      </c>
      <c r="J92" s="176">
        <f t="shared" si="126"/>
        <v>90083</v>
      </c>
      <c r="K92" s="181"/>
      <c r="L92" s="181"/>
      <c r="M92" s="329">
        <f t="shared" si="117"/>
        <v>-154437</v>
      </c>
      <c r="N92" s="197">
        <v>17050.0</v>
      </c>
      <c r="O92" s="181"/>
      <c r="P92" s="176">
        <f t="shared" si="118"/>
        <v>45620</v>
      </c>
      <c r="Q92" s="181"/>
      <c r="R92" s="181"/>
      <c r="S92" s="176">
        <f t="shared" si="119"/>
        <v>258900</v>
      </c>
      <c r="T92" s="181"/>
      <c r="U92" s="181"/>
      <c r="V92" s="176">
        <f t="shared" si="120"/>
        <v>0</v>
      </c>
      <c r="W92" s="181"/>
      <c r="X92" s="181"/>
      <c r="Y92" s="176">
        <f t="shared" si="87"/>
        <v>-60000</v>
      </c>
      <c r="Z92" s="181"/>
      <c r="AA92" s="181"/>
      <c r="AB92" s="176">
        <f t="shared" si="29"/>
        <v>0</v>
      </c>
      <c r="AC92" s="181"/>
      <c r="AD92" s="181"/>
      <c r="AE92" s="176">
        <f t="shared" si="121"/>
        <v>0</v>
      </c>
      <c r="AF92" s="176"/>
      <c r="AG92" s="176"/>
      <c r="AH92" s="176">
        <f t="shared" si="122"/>
        <v>0</v>
      </c>
      <c r="AI92" s="181"/>
      <c r="AJ92" s="181"/>
      <c r="AK92" s="176">
        <f t="shared" si="123"/>
        <v>0</v>
      </c>
      <c r="AL92" s="181"/>
      <c r="AM92" s="181"/>
      <c r="AN92" s="176">
        <f t="shared" si="124"/>
        <v>0</v>
      </c>
      <c r="AO92" s="181"/>
      <c r="AP92" s="181"/>
    </row>
    <row r="93" ht="12.75" customHeight="1">
      <c r="A93" s="179"/>
      <c r="B93" s="588">
        <v>46112.0</v>
      </c>
      <c r="C93" s="481"/>
      <c r="D93" s="196" t="s">
        <v>41</v>
      </c>
      <c r="E93" s="196" t="s">
        <v>765</v>
      </c>
      <c r="F93" s="180"/>
      <c r="G93" s="191">
        <v>943018.0</v>
      </c>
      <c r="H93" s="181">
        <f t="shared" ref="H93:J93" si="127">sum(K93,N93,Q93,T93,W93,Z93,AC93,AF93,AI93,AL93)</f>
        <v>131644.12</v>
      </c>
      <c r="I93" s="181">
        <f t="shared" si="127"/>
        <v>0</v>
      </c>
      <c r="J93" s="176">
        <f t="shared" si="127"/>
        <v>-41561.12</v>
      </c>
      <c r="K93" s="181"/>
      <c r="L93" s="181"/>
      <c r="M93" s="329">
        <f t="shared" si="117"/>
        <v>-154437</v>
      </c>
      <c r="N93" s="181"/>
      <c r="O93" s="181"/>
      <c r="P93" s="176">
        <f t="shared" si="118"/>
        <v>45620</v>
      </c>
      <c r="Q93" s="181"/>
      <c r="R93" s="181"/>
      <c r="S93" s="176">
        <f t="shared" si="119"/>
        <v>258900</v>
      </c>
      <c r="T93" s="181"/>
      <c r="U93" s="181"/>
      <c r="V93" s="176">
        <f t="shared" si="120"/>
        <v>0</v>
      </c>
      <c r="W93" s="531">
        <v>131644.12</v>
      </c>
      <c r="X93" s="181"/>
      <c r="Y93" s="176">
        <f t="shared" si="87"/>
        <v>-191644.12</v>
      </c>
      <c r="Z93" s="181"/>
      <c r="AA93" s="181"/>
      <c r="AB93" s="176">
        <f t="shared" si="29"/>
        <v>0</v>
      </c>
      <c r="AC93" s="181"/>
      <c r="AD93" s="181"/>
      <c r="AE93" s="176">
        <f t="shared" si="121"/>
        <v>0</v>
      </c>
      <c r="AF93" s="176"/>
      <c r="AG93" s="176"/>
      <c r="AH93" s="176">
        <f t="shared" si="122"/>
        <v>0</v>
      </c>
      <c r="AI93" s="181"/>
      <c r="AJ93" s="181"/>
      <c r="AK93" s="176">
        <f t="shared" si="123"/>
        <v>0</v>
      </c>
      <c r="AL93" s="181"/>
      <c r="AM93" s="181"/>
      <c r="AN93" s="176">
        <f t="shared" si="124"/>
        <v>0</v>
      </c>
      <c r="AO93" s="181"/>
      <c r="AP93" s="181"/>
    </row>
    <row r="94" ht="12.75" customHeight="1">
      <c r="A94" s="179"/>
      <c r="B94" s="600">
        <v>46084.0</v>
      </c>
      <c r="C94" s="481"/>
      <c r="D94" s="196" t="s">
        <v>55</v>
      </c>
      <c r="E94" s="126" t="s">
        <v>97</v>
      </c>
      <c r="F94" s="126" t="s">
        <v>382</v>
      </c>
      <c r="G94" s="460"/>
      <c r="H94" s="181">
        <f t="shared" ref="H94:J94" si="128">sum(K94,N94,Q94,T94,W94,Z94,AC94,AF94,AI94,AL94)</f>
        <v>0</v>
      </c>
      <c r="I94" s="181">
        <f t="shared" si="128"/>
        <v>15095</v>
      </c>
      <c r="J94" s="176">
        <f t="shared" si="128"/>
        <v>-26466.12</v>
      </c>
      <c r="K94" s="181"/>
      <c r="L94" s="181"/>
      <c r="M94" s="329">
        <f t="shared" si="117"/>
        <v>-154437</v>
      </c>
      <c r="N94" s="181"/>
      <c r="O94" s="602">
        <v>15095.0</v>
      </c>
      <c r="P94" s="176">
        <f t="shared" si="118"/>
        <v>60715</v>
      </c>
      <c r="Q94" s="181"/>
      <c r="R94" s="181"/>
      <c r="S94" s="176">
        <f t="shared" si="119"/>
        <v>258900</v>
      </c>
      <c r="T94" s="181"/>
      <c r="U94" s="181"/>
      <c r="V94" s="176">
        <f t="shared" si="120"/>
        <v>0</v>
      </c>
      <c r="W94" s="181"/>
      <c r="X94" s="181"/>
      <c r="Y94" s="176">
        <f t="shared" si="87"/>
        <v>-191644.12</v>
      </c>
      <c r="Z94" s="181"/>
      <c r="AA94" s="181"/>
      <c r="AB94" s="176">
        <f t="shared" si="29"/>
        <v>0</v>
      </c>
      <c r="AC94" s="181"/>
      <c r="AD94" s="181"/>
      <c r="AE94" s="176">
        <f t="shared" si="121"/>
        <v>0</v>
      </c>
      <c r="AF94" s="176"/>
      <c r="AG94" s="176"/>
      <c r="AH94" s="176">
        <f t="shared" si="122"/>
        <v>0</v>
      </c>
      <c r="AI94" s="181"/>
      <c r="AJ94" s="181"/>
      <c r="AK94" s="176">
        <f t="shared" si="123"/>
        <v>0</v>
      </c>
      <c r="AL94" s="181"/>
      <c r="AM94" s="181"/>
      <c r="AN94" s="176">
        <f t="shared" si="124"/>
        <v>0</v>
      </c>
      <c r="AO94" s="181"/>
      <c r="AP94" s="181"/>
    </row>
    <row r="95" ht="12.75" customHeight="1">
      <c r="A95" s="179"/>
      <c r="B95" s="600">
        <v>46085.0</v>
      </c>
      <c r="C95" s="481"/>
      <c r="D95" s="196" t="s">
        <v>55</v>
      </c>
      <c r="E95" s="126" t="s">
        <v>97</v>
      </c>
      <c r="F95" s="126" t="s">
        <v>384</v>
      </c>
      <c r="G95" s="460"/>
      <c r="H95" s="181">
        <f t="shared" ref="H95:J95" si="129">sum(K95,N95,Q95,T95,W95,Z95,AC95,AF95,AI95,AL95)</f>
        <v>0</v>
      </c>
      <c r="I95" s="181">
        <f t="shared" si="129"/>
        <v>5600</v>
      </c>
      <c r="J95" s="176">
        <f t="shared" si="129"/>
        <v>-20866.12</v>
      </c>
      <c r="K95" s="181"/>
      <c r="L95" s="181"/>
      <c r="M95" s="329">
        <f t="shared" si="117"/>
        <v>-154437</v>
      </c>
      <c r="N95" s="181"/>
      <c r="O95" s="602">
        <v>5600.0</v>
      </c>
      <c r="P95" s="176">
        <f t="shared" si="118"/>
        <v>66315</v>
      </c>
      <c r="Q95" s="181"/>
      <c r="R95" s="181"/>
      <c r="S95" s="176">
        <f t="shared" si="119"/>
        <v>258900</v>
      </c>
      <c r="T95" s="181"/>
      <c r="U95" s="181"/>
      <c r="V95" s="176">
        <f t="shared" si="120"/>
        <v>0</v>
      </c>
      <c r="W95" s="181"/>
      <c r="X95" s="181"/>
      <c r="Y95" s="176">
        <f t="shared" si="87"/>
        <v>-191644.12</v>
      </c>
      <c r="Z95" s="181"/>
      <c r="AA95" s="181"/>
      <c r="AB95" s="176">
        <f t="shared" si="29"/>
        <v>0</v>
      </c>
      <c r="AC95" s="181"/>
      <c r="AD95" s="181"/>
      <c r="AE95" s="176">
        <f t="shared" si="121"/>
        <v>0</v>
      </c>
      <c r="AF95" s="176"/>
      <c r="AG95" s="176"/>
      <c r="AH95" s="176">
        <f t="shared" si="122"/>
        <v>0</v>
      </c>
      <c r="AI95" s="181"/>
      <c r="AJ95" s="181"/>
      <c r="AK95" s="176">
        <f t="shared" si="123"/>
        <v>0</v>
      </c>
      <c r="AL95" s="181"/>
      <c r="AM95" s="181"/>
      <c r="AN95" s="176">
        <f t="shared" si="124"/>
        <v>0</v>
      </c>
      <c r="AO95" s="181"/>
      <c r="AP95" s="181"/>
    </row>
    <row r="96" ht="12.75" customHeight="1">
      <c r="A96" s="179"/>
      <c r="B96" s="600">
        <v>46086.0</v>
      </c>
      <c r="C96" s="481"/>
      <c r="D96" s="196" t="s">
        <v>55</v>
      </c>
      <c r="E96" s="126" t="s">
        <v>341</v>
      </c>
      <c r="F96" s="126" t="s">
        <v>387</v>
      </c>
      <c r="G96" s="460"/>
      <c r="H96" s="181">
        <f t="shared" ref="H96:J96" si="130">sum(K96,N96,Q96,T96,W96,Z96,AC96,AF96,AI96,AL96)</f>
        <v>0</v>
      </c>
      <c r="I96" s="181">
        <f t="shared" si="130"/>
        <v>20000</v>
      </c>
      <c r="J96" s="176">
        <f t="shared" si="130"/>
        <v>-866.12</v>
      </c>
      <c r="K96" s="181"/>
      <c r="L96" s="181"/>
      <c r="M96" s="329">
        <f t="shared" si="117"/>
        <v>-154437</v>
      </c>
      <c r="N96" s="181"/>
      <c r="O96" s="181"/>
      <c r="P96" s="176">
        <f t="shared" si="118"/>
        <v>66315</v>
      </c>
      <c r="Q96" s="181"/>
      <c r="R96" s="602">
        <v>20000.0</v>
      </c>
      <c r="S96" s="176">
        <f t="shared" si="119"/>
        <v>278900</v>
      </c>
      <c r="T96" s="181"/>
      <c r="U96" s="181"/>
      <c r="V96" s="176">
        <f t="shared" si="120"/>
        <v>0</v>
      </c>
      <c r="W96" s="181"/>
      <c r="X96" s="181"/>
      <c r="Y96" s="176">
        <f t="shared" si="87"/>
        <v>-191644.12</v>
      </c>
      <c r="Z96" s="181"/>
      <c r="AA96" s="181"/>
      <c r="AB96" s="176">
        <f t="shared" si="29"/>
        <v>0</v>
      </c>
      <c r="AC96" s="181"/>
      <c r="AD96" s="181"/>
      <c r="AE96" s="176">
        <f t="shared" si="121"/>
        <v>0</v>
      </c>
      <c r="AF96" s="176"/>
      <c r="AG96" s="176"/>
      <c r="AH96" s="176">
        <f t="shared" si="122"/>
        <v>0</v>
      </c>
      <c r="AI96" s="181"/>
      <c r="AJ96" s="181"/>
      <c r="AK96" s="176">
        <f t="shared" si="123"/>
        <v>0</v>
      </c>
      <c r="AL96" s="181"/>
      <c r="AM96" s="181"/>
      <c r="AN96" s="176">
        <f t="shared" si="124"/>
        <v>0</v>
      </c>
      <c r="AO96" s="181"/>
      <c r="AP96" s="181"/>
    </row>
    <row r="97" ht="12.75" customHeight="1">
      <c r="A97" s="179"/>
      <c r="B97" s="600">
        <v>46092.0</v>
      </c>
      <c r="C97" s="481"/>
      <c r="D97" s="196" t="s">
        <v>55</v>
      </c>
      <c r="E97" s="126" t="s">
        <v>97</v>
      </c>
      <c r="F97" s="126" t="s">
        <v>391</v>
      </c>
      <c r="G97" s="460"/>
      <c r="H97" s="181">
        <f t="shared" ref="H97:J97" si="131">sum(K97,N97,Q97,T97,W97,Z97,AC97,AF97,AI97,AL97)</f>
        <v>0</v>
      </c>
      <c r="I97" s="181">
        <f t="shared" si="131"/>
        <v>38530</v>
      </c>
      <c r="J97" s="176">
        <f t="shared" si="131"/>
        <v>37663.88</v>
      </c>
      <c r="K97" s="181"/>
      <c r="L97" s="181"/>
      <c r="M97" s="329">
        <f t="shared" si="117"/>
        <v>-154437</v>
      </c>
      <c r="N97" s="181"/>
      <c r="O97" s="602">
        <v>38530.0</v>
      </c>
      <c r="P97" s="176">
        <f t="shared" si="118"/>
        <v>104845</v>
      </c>
      <c r="Q97" s="181"/>
      <c r="R97" s="181"/>
      <c r="S97" s="176">
        <f t="shared" si="119"/>
        <v>278900</v>
      </c>
      <c r="T97" s="181"/>
      <c r="U97" s="181"/>
      <c r="V97" s="176">
        <f t="shared" si="120"/>
        <v>0</v>
      </c>
      <c r="W97" s="181"/>
      <c r="X97" s="181"/>
      <c r="Y97" s="176">
        <f t="shared" si="87"/>
        <v>-191644.12</v>
      </c>
      <c r="Z97" s="181"/>
      <c r="AA97" s="181"/>
      <c r="AB97" s="176">
        <f t="shared" si="29"/>
        <v>0</v>
      </c>
      <c r="AC97" s="181"/>
      <c r="AD97" s="181"/>
      <c r="AE97" s="176">
        <f t="shared" si="121"/>
        <v>0</v>
      </c>
      <c r="AF97" s="176"/>
      <c r="AG97" s="176"/>
      <c r="AH97" s="176">
        <f t="shared" si="122"/>
        <v>0</v>
      </c>
      <c r="AI97" s="181"/>
      <c r="AJ97" s="181"/>
      <c r="AK97" s="176">
        <f t="shared" si="123"/>
        <v>0</v>
      </c>
      <c r="AL97" s="181"/>
      <c r="AM97" s="181"/>
      <c r="AN97" s="176">
        <f t="shared" si="124"/>
        <v>0</v>
      </c>
      <c r="AO97" s="181"/>
      <c r="AP97" s="181"/>
    </row>
    <row r="98" ht="12.75" customHeight="1">
      <c r="A98" s="179"/>
      <c r="B98" s="600">
        <v>46092.0</v>
      </c>
      <c r="C98" s="481"/>
      <c r="D98" s="196" t="s">
        <v>55</v>
      </c>
      <c r="E98" s="126" t="s">
        <v>341</v>
      </c>
      <c r="F98" s="126" t="s">
        <v>394</v>
      </c>
      <c r="G98" s="460"/>
      <c r="H98" s="181">
        <f t="shared" ref="H98:J98" si="132">sum(K98,N98,Q98,T98,W98,Z98,AC98,AF98,AI98,AL98)</f>
        <v>0</v>
      </c>
      <c r="I98" s="181">
        <f t="shared" si="132"/>
        <v>20680</v>
      </c>
      <c r="J98" s="176">
        <f t="shared" si="132"/>
        <v>58343.88</v>
      </c>
      <c r="K98" s="181"/>
      <c r="L98" s="181"/>
      <c r="M98" s="329">
        <f t="shared" si="117"/>
        <v>-154437</v>
      </c>
      <c r="N98" s="181"/>
      <c r="O98" s="181"/>
      <c r="P98" s="176">
        <f t="shared" si="118"/>
        <v>104845</v>
      </c>
      <c r="Q98" s="181"/>
      <c r="R98" s="602">
        <v>20680.0</v>
      </c>
      <c r="S98" s="176">
        <f t="shared" si="119"/>
        <v>299580</v>
      </c>
      <c r="T98" s="181"/>
      <c r="U98" s="181"/>
      <c r="V98" s="176">
        <f t="shared" si="120"/>
        <v>0</v>
      </c>
      <c r="W98" s="181"/>
      <c r="X98" s="181"/>
      <c r="Y98" s="176">
        <f t="shared" si="87"/>
        <v>-191644.12</v>
      </c>
      <c r="Z98" s="181"/>
      <c r="AA98" s="181"/>
      <c r="AB98" s="176">
        <f t="shared" si="29"/>
        <v>0</v>
      </c>
      <c r="AC98" s="181"/>
      <c r="AD98" s="181"/>
      <c r="AE98" s="176">
        <f t="shared" si="121"/>
        <v>0</v>
      </c>
      <c r="AF98" s="176"/>
      <c r="AG98" s="176"/>
      <c r="AH98" s="176">
        <f t="shared" si="122"/>
        <v>0</v>
      </c>
      <c r="AI98" s="181"/>
      <c r="AJ98" s="181"/>
      <c r="AK98" s="176">
        <f t="shared" si="123"/>
        <v>0</v>
      </c>
      <c r="AL98" s="181"/>
      <c r="AM98" s="181"/>
      <c r="AN98" s="176">
        <f t="shared" si="124"/>
        <v>0</v>
      </c>
      <c r="AO98" s="181"/>
      <c r="AP98" s="181"/>
    </row>
    <row r="99" ht="12.75" customHeight="1">
      <c r="A99" s="179"/>
      <c r="B99" s="600">
        <v>46097.0</v>
      </c>
      <c r="C99" s="481"/>
      <c r="D99" s="196" t="s">
        <v>55</v>
      </c>
      <c r="E99" s="126" t="s">
        <v>398</v>
      </c>
      <c r="F99" s="126" t="s">
        <v>397</v>
      </c>
      <c r="G99" s="460"/>
      <c r="H99" s="181">
        <f t="shared" ref="H99:J99" si="133">sum(K99,N99,Q99,T99,W99,Z99,AC99,AF99,AI99,AL99)</f>
        <v>0</v>
      </c>
      <c r="I99" s="181">
        <f t="shared" si="133"/>
        <v>191644.12</v>
      </c>
      <c r="J99" s="176">
        <f t="shared" si="133"/>
        <v>249988</v>
      </c>
      <c r="K99" s="181"/>
      <c r="L99" s="181"/>
      <c r="M99" s="329">
        <f t="shared" si="117"/>
        <v>-154437</v>
      </c>
      <c r="N99" s="181"/>
      <c r="O99" s="181"/>
      <c r="P99" s="176">
        <f t="shared" si="118"/>
        <v>104845</v>
      </c>
      <c r="Q99" s="181"/>
      <c r="R99" s="181"/>
      <c r="S99" s="176">
        <f t="shared" si="119"/>
        <v>299580</v>
      </c>
      <c r="T99" s="181"/>
      <c r="U99" s="181"/>
      <c r="V99" s="176">
        <f t="shared" si="120"/>
        <v>0</v>
      </c>
      <c r="W99" s="181"/>
      <c r="X99" s="267">
        <v>191644.12</v>
      </c>
      <c r="Y99" s="176">
        <f t="shared" si="87"/>
        <v>0</v>
      </c>
      <c r="Z99" s="181"/>
      <c r="AA99" s="181"/>
      <c r="AB99" s="176">
        <f t="shared" si="29"/>
        <v>0</v>
      </c>
      <c r="AC99" s="181"/>
      <c r="AD99" s="181"/>
      <c r="AE99" s="176">
        <f t="shared" si="121"/>
        <v>0</v>
      </c>
      <c r="AF99" s="176"/>
      <c r="AG99" s="176"/>
      <c r="AH99" s="176">
        <f t="shared" si="122"/>
        <v>0</v>
      </c>
      <c r="AI99" s="181"/>
      <c r="AJ99" s="181"/>
      <c r="AK99" s="176">
        <f t="shared" si="123"/>
        <v>0</v>
      </c>
      <c r="AL99" s="181"/>
      <c r="AM99" s="181"/>
      <c r="AN99" s="176">
        <f t="shared" si="124"/>
        <v>0</v>
      </c>
      <c r="AO99" s="181"/>
      <c r="AP99" s="181"/>
    </row>
    <row r="100" ht="12.75" customHeight="1">
      <c r="A100" s="179"/>
      <c r="B100" s="600">
        <v>46098.0</v>
      </c>
      <c r="C100" s="481"/>
      <c r="D100" s="196" t="s">
        <v>55</v>
      </c>
      <c r="E100" s="126" t="s">
        <v>97</v>
      </c>
      <c r="F100" s="126" t="s">
        <v>401</v>
      </c>
      <c r="G100" s="460"/>
      <c r="H100" s="181">
        <f t="shared" ref="H100:J100" si="134">sum(K100,N100,Q100,T100,W100,Z100,AC100,AF100,AI100,AL100)</f>
        <v>0</v>
      </c>
      <c r="I100" s="181">
        <f t="shared" si="134"/>
        <v>20380</v>
      </c>
      <c r="J100" s="176">
        <f t="shared" si="134"/>
        <v>270368</v>
      </c>
      <c r="K100" s="181"/>
      <c r="L100" s="181"/>
      <c r="M100" s="329">
        <f t="shared" si="117"/>
        <v>-154437</v>
      </c>
      <c r="N100" s="181"/>
      <c r="O100" s="602">
        <v>20380.0</v>
      </c>
      <c r="P100" s="176">
        <f t="shared" si="118"/>
        <v>125225</v>
      </c>
      <c r="Q100" s="181"/>
      <c r="R100" s="181"/>
      <c r="S100" s="176">
        <f t="shared" si="119"/>
        <v>299580</v>
      </c>
      <c r="T100" s="181"/>
      <c r="U100" s="181"/>
      <c r="V100" s="176">
        <f t="shared" si="120"/>
        <v>0</v>
      </c>
      <c r="W100" s="181"/>
      <c r="X100" s="181"/>
      <c r="Y100" s="176">
        <f t="shared" si="87"/>
        <v>0</v>
      </c>
      <c r="Z100" s="181"/>
      <c r="AA100" s="181"/>
      <c r="AB100" s="176">
        <f t="shared" si="29"/>
        <v>0</v>
      </c>
      <c r="AC100" s="181"/>
      <c r="AD100" s="181"/>
      <c r="AE100" s="176">
        <f t="shared" si="121"/>
        <v>0</v>
      </c>
      <c r="AF100" s="176"/>
      <c r="AG100" s="176"/>
      <c r="AH100" s="176">
        <f t="shared" si="122"/>
        <v>0</v>
      </c>
      <c r="AI100" s="181"/>
      <c r="AJ100" s="181"/>
      <c r="AK100" s="176">
        <f t="shared" si="123"/>
        <v>0</v>
      </c>
      <c r="AL100" s="181"/>
      <c r="AM100" s="181"/>
      <c r="AN100" s="176">
        <f t="shared" si="124"/>
        <v>0</v>
      </c>
      <c r="AO100" s="181"/>
      <c r="AP100" s="181"/>
    </row>
    <row r="101" ht="12.75" customHeight="1">
      <c r="A101" s="179"/>
      <c r="B101" s="600">
        <v>46099.0</v>
      </c>
      <c r="C101" s="481"/>
      <c r="D101" s="196" t="s">
        <v>55</v>
      </c>
      <c r="E101" s="126" t="s">
        <v>341</v>
      </c>
      <c r="F101" s="126" t="s">
        <v>403</v>
      </c>
      <c r="G101" s="460"/>
      <c r="H101" s="181">
        <f t="shared" ref="H101:J101" si="135">sum(K101,N101,Q101,T101,W101,Z101,AC101,AF101,AI101,AL101)</f>
        <v>0</v>
      </c>
      <c r="I101" s="181">
        <f t="shared" si="135"/>
        <v>14300</v>
      </c>
      <c r="J101" s="176">
        <f t="shared" si="135"/>
        <v>284668</v>
      </c>
      <c r="K101" s="181"/>
      <c r="L101" s="181"/>
      <c r="M101" s="329">
        <f t="shared" si="117"/>
        <v>-154437</v>
      </c>
      <c r="N101" s="181"/>
      <c r="O101" s="181"/>
      <c r="P101" s="176">
        <f t="shared" si="118"/>
        <v>125225</v>
      </c>
      <c r="Q101" s="181"/>
      <c r="R101" s="602">
        <v>14300.0</v>
      </c>
      <c r="S101" s="176">
        <f t="shared" si="119"/>
        <v>313880</v>
      </c>
      <c r="T101" s="181"/>
      <c r="U101" s="181"/>
      <c r="V101" s="176">
        <f t="shared" si="120"/>
        <v>0</v>
      </c>
      <c r="W101" s="181"/>
      <c r="X101" s="181"/>
      <c r="Y101" s="176">
        <f t="shared" si="87"/>
        <v>0</v>
      </c>
      <c r="Z101" s="181"/>
      <c r="AA101" s="181"/>
      <c r="AB101" s="176">
        <f t="shared" si="29"/>
        <v>0</v>
      </c>
      <c r="AC101" s="181"/>
      <c r="AD101" s="181"/>
      <c r="AE101" s="176">
        <f t="shared" si="121"/>
        <v>0</v>
      </c>
      <c r="AF101" s="176"/>
      <c r="AG101" s="176"/>
      <c r="AH101" s="176">
        <f t="shared" si="122"/>
        <v>0</v>
      </c>
      <c r="AI101" s="181"/>
      <c r="AJ101" s="181"/>
      <c r="AK101" s="176">
        <f t="shared" si="123"/>
        <v>0</v>
      </c>
      <c r="AL101" s="181"/>
      <c r="AM101" s="181"/>
      <c r="AN101" s="176">
        <f t="shared" si="124"/>
        <v>0</v>
      </c>
      <c r="AO101" s="181"/>
      <c r="AP101" s="181"/>
    </row>
    <row r="102" ht="12.75" customHeight="1">
      <c r="A102" s="179"/>
      <c r="B102" s="600">
        <v>46102.0</v>
      </c>
      <c r="C102" s="481"/>
      <c r="D102" s="196" t="s">
        <v>55</v>
      </c>
      <c r="E102" s="126" t="s">
        <v>405</v>
      </c>
      <c r="F102" s="126" t="s">
        <v>404</v>
      </c>
      <c r="G102" s="460"/>
      <c r="H102" s="181">
        <f t="shared" ref="H102:J102" si="136">sum(K102,N102,Q102,T102,W102,Z102,AC102,AF102,AI102,AL102)</f>
        <v>0</v>
      </c>
      <c r="I102" s="181">
        <f t="shared" si="136"/>
        <v>86031</v>
      </c>
      <c r="J102" s="176">
        <f t="shared" si="136"/>
        <v>370699</v>
      </c>
      <c r="K102" s="181"/>
      <c r="L102" s="181"/>
      <c r="M102" s="329">
        <f t="shared" si="117"/>
        <v>-154437</v>
      </c>
      <c r="N102" s="181"/>
      <c r="O102" s="181"/>
      <c r="P102" s="176">
        <f t="shared" si="118"/>
        <v>125225</v>
      </c>
      <c r="Q102" s="181"/>
      <c r="R102" s="181"/>
      <c r="S102" s="176">
        <f t="shared" si="119"/>
        <v>313880</v>
      </c>
      <c r="T102" s="181"/>
      <c r="U102" s="602">
        <v>86031.0</v>
      </c>
      <c r="V102" s="176">
        <f t="shared" si="120"/>
        <v>86031</v>
      </c>
      <c r="W102" s="181"/>
      <c r="X102" s="181"/>
      <c r="Y102" s="176">
        <f t="shared" si="87"/>
        <v>0</v>
      </c>
      <c r="Z102" s="181"/>
      <c r="AA102" s="181"/>
      <c r="AB102" s="176">
        <f t="shared" si="29"/>
        <v>0</v>
      </c>
      <c r="AC102" s="181"/>
      <c r="AD102" s="181"/>
      <c r="AE102" s="176">
        <f t="shared" si="121"/>
        <v>0</v>
      </c>
      <c r="AF102" s="176"/>
      <c r="AG102" s="176"/>
      <c r="AH102" s="176">
        <f t="shared" si="122"/>
        <v>0</v>
      </c>
      <c r="AI102" s="181"/>
      <c r="AJ102" s="181"/>
      <c r="AK102" s="176">
        <f t="shared" si="123"/>
        <v>0</v>
      </c>
      <c r="AL102" s="181"/>
      <c r="AM102" s="181"/>
      <c r="AN102" s="176">
        <f t="shared" si="124"/>
        <v>0</v>
      </c>
      <c r="AO102" s="181"/>
      <c r="AP102" s="181"/>
    </row>
    <row r="103" ht="12.75" customHeight="1">
      <c r="A103" s="179"/>
      <c r="B103" s="600">
        <v>46106.0</v>
      </c>
      <c r="C103" s="481"/>
      <c r="D103" s="196" t="s">
        <v>55</v>
      </c>
      <c r="E103" s="126" t="s">
        <v>97</v>
      </c>
      <c r="F103" s="126" t="s">
        <v>407</v>
      </c>
      <c r="G103" s="460"/>
      <c r="H103" s="181">
        <f t="shared" ref="H103:J103" si="137">sum(K103,N103,Q103,T103,W103,Z103,AC103,AF103,AI103,AL103)</f>
        <v>0</v>
      </c>
      <c r="I103" s="181">
        <f t="shared" si="137"/>
        <v>42170</v>
      </c>
      <c r="J103" s="176">
        <f t="shared" si="137"/>
        <v>412869</v>
      </c>
      <c r="K103" s="181"/>
      <c r="L103" s="181"/>
      <c r="M103" s="329">
        <f t="shared" si="117"/>
        <v>-154437</v>
      </c>
      <c r="N103" s="181"/>
      <c r="O103" s="602">
        <v>42170.0</v>
      </c>
      <c r="P103" s="176">
        <f t="shared" si="118"/>
        <v>167395</v>
      </c>
      <c r="Q103" s="181"/>
      <c r="R103" s="181"/>
      <c r="S103" s="176">
        <f t="shared" si="119"/>
        <v>313880</v>
      </c>
      <c r="T103" s="181"/>
      <c r="U103" s="181"/>
      <c r="V103" s="176">
        <f t="shared" si="120"/>
        <v>86031</v>
      </c>
      <c r="W103" s="181"/>
      <c r="X103" s="181"/>
      <c r="Y103" s="176">
        <f t="shared" si="87"/>
        <v>0</v>
      </c>
      <c r="Z103" s="181"/>
      <c r="AA103" s="181"/>
      <c r="AB103" s="176">
        <f t="shared" si="29"/>
        <v>0</v>
      </c>
      <c r="AC103" s="181"/>
      <c r="AD103" s="181"/>
      <c r="AE103" s="176">
        <f t="shared" si="121"/>
        <v>0</v>
      </c>
      <c r="AF103" s="176"/>
      <c r="AG103" s="176"/>
      <c r="AH103" s="176">
        <f t="shared" si="122"/>
        <v>0</v>
      </c>
      <c r="AI103" s="181"/>
      <c r="AJ103" s="181"/>
      <c r="AK103" s="176">
        <f t="shared" si="123"/>
        <v>0</v>
      </c>
      <c r="AL103" s="181"/>
      <c r="AM103" s="181"/>
      <c r="AN103" s="176">
        <f t="shared" si="124"/>
        <v>0</v>
      </c>
      <c r="AO103" s="181"/>
      <c r="AP103" s="181"/>
    </row>
    <row r="104" ht="12.75" customHeight="1">
      <c r="A104" s="179"/>
      <c r="B104" s="600">
        <v>46106.0</v>
      </c>
      <c r="C104" s="481"/>
      <c r="D104" s="196" t="s">
        <v>55</v>
      </c>
      <c r="E104" s="126" t="s">
        <v>97</v>
      </c>
      <c r="F104" s="126" t="s">
        <v>409</v>
      </c>
      <c r="G104" s="460"/>
      <c r="H104" s="181">
        <f t="shared" ref="H104:J104" si="138">sum(K104,N104,Q104,T104,W104,Z104,AC104,AF104,AI104,AL104)</f>
        <v>0</v>
      </c>
      <c r="I104" s="181">
        <f t="shared" si="138"/>
        <v>9200</v>
      </c>
      <c r="J104" s="176">
        <f t="shared" si="138"/>
        <v>422069</v>
      </c>
      <c r="K104" s="181"/>
      <c r="L104" s="181"/>
      <c r="M104" s="329">
        <f t="shared" si="117"/>
        <v>-154437</v>
      </c>
      <c r="N104" s="181"/>
      <c r="O104" s="602">
        <v>9200.0</v>
      </c>
      <c r="P104" s="176">
        <f t="shared" si="118"/>
        <v>176595</v>
      </c>
      <c r="Q104" s="181"/>
      <c r="R104" s="181"/>
      <c r="S104" s="176">
        <f t="shared" si="119"/>
        <v>313880</v>
      </c>
      <c r="T104" s="181"/>
      <c r="U104" s="181"/>
      <c r="V104" s="176">
        <f t="shared" si="120"/>
        <v>86031</v>
      </c>
      <c r="W104" s="181"/>
      <c r="X104" s="181"/>
      <c r="Y104" s="176">
        <f t="shared" si="87"/>
        <v>0</v>
      </c>
      <c r="Z104" s="181"/>
      <c r="AA104" s="181"/>
      <c r="AB104" s="176">
        <f t="shared" si="29"/>
        <v>0</v>
      </c>
      <c r="AC104" s="181"/>
      <c r="AD104" s="181"/>
      <c r="AE104" s="176">
        <f t="shared" si="121"/>
        <v>0</v>
      </c>
      <c r="AF104" s="176"/>
      <c r="AG104" s="176"/>
      <c r="AH104" s="176">
        <f t="shared" si="122"/>
        <v>0</v>
      </c>
      <c r="AI104" s="181"/>
      <c r="AJ104" s="181"/>
      <c r="AK104" s="176">
        <f t="shared" si="123"/>
        <v>0</v>
      </c>
      <c r="AL104" s="181"/>
      <c r="AM104" s="181"/>
      <c r="AN104" s="176">
        <f t="shared" si="124"/>
        <v>0</v>
      </c>
      <c r="AO104" s="181"/>
      <c r="AP104" s="181"/>
    </row>
    <row r="105" ht="12.75" customHeight="1">
      <c r="A105" s="179"/>
      <c r="B105" s="600">
        <v>46106.0</v>
      </c>
      <c r="C105" s="481"/>
      <c r="D105" s="196" t="s">
        <v>55</v>
      </c>
      <c r="E105" s="126" t="s">
        <v>97</v>
      </c>
      <c r="F105" s="612" t="s">
        <v>411</v>
      </c>
      <c r="G105" s="460"/>
      <c r="H105" s="181">
        <f t="shared" ref="H105:J105" si="139">sum(K105,N105,Q105,T105,W105,Z105,AC105,AF105,AI105,AL105)</f>
        <v>0</v>
      </c>
      <c r="I105" s="181">
        <f t="shared" si="139"/>
        <v>-1550</v>
      </c>
      <c r="J105" s="176">
        <f t="shared" si="139"/>
        <v>420519</v>
      </c>
      <c r="K105" s="181"/>
      <c r="L105" s="181"/>
      <c r="M105" s="329">
        <f t="shared" si="117"/>
        <v>-154437</v>
      </c>
      <c r="N105" s="181"/>
      <c r="O105" s="602">
        <v>-1550.0</v>
      </c>
      <c r="P105" s="176">
        <f t="shared" si="118"/>
        <v>175045</v>
      </c>
      <c r="Q105" s="181"/>
      <c r="R105" s="181"/>
      <c r="S105" s="176">
        <f t="shared" si="119"/>
        <v>313880</v>
      </c>
      <c r="T105" s="181"/>
      <c r="U105" s="181"/>
      <c r="V105" s="176">
        <f t="shared" si="120"/>
        <v>86031</v>
      </c>
      <c r="W105" s="181"/>
      <c r="X105" s="181"/>
      <c r="Y105" s="176">
        <f t="shared" si="87"/>
        <v>0</v>
      </c>
      <c r="Z105" s="181"/>
      <c r="AA105" s="181"/>
      <c r="AB105" s="176">
        <f t="shared" si="29"/>
        <v>0</v>
      </c>
      <c r="AC105" s="181"/>
      <c r="AD105" s="181"/>
      <c r="AE105" s="176">
        <f t="shared" si="121"/>
        <v>0</v>
      </c>
      <c r="AF105" s="176"/>
      <c r="AG105" s="176"/>
      <c r="AH105" s="176">
        <f t="shared" si="122"/>
        <v>0</v>
      </c>
      <c r="AI105" s="181"/>
      <c r="AJ105" s="181"/>
      <c r="AK105" s="176">
        <f t="shared" si="123"/>
        <v>0</v>
      </c>
      <c r="AL105" s="181"/>
      <c r="AM105" s="181"/>
      <c r="AN105" s="176">
        <f t="shared" si="124"/>
        <v>0</v>
      </c>
      <c r="AO105" s="181"/>
      <c r="AP105" s="181"/>
    </row>
    <row r="106" ht="12.75" customHeight="1">
      <c r="A106" s="179"/>
      <c r="B106" s="600">
        <v>46106.0</v>
      </c>
      <c r="C106" s="481"/>
      <c r="D106" s="196" t="s">
        <v>55</v>
      </c>
      <c r="E106" s="126" t="s">
        <v>341</v>
      </c>
      <c r="F106" s="126" t="s">
        <v>414</v>
      </c>
      <c r="G106" s="460"/>
      <c r="H106" s="181">
        <f t="shared" ref="H106:J106" si="140">sum(K106,N106,Q106,T106,W106,Z106,AC106,AF106,AI106,AL106)</f>
        <v>0</v>
      </c>
      <c r="I106" s="181">
        <f t="shared" si="140"/>
        <v>5250</v>
      </c>
      <c r="J106" s="176">
        <f t="shared" si="140"/>
        <v>425769</v>
      </c>
      <c r="K106" s="181"/>
      <c r="L106" s="181"/>
      <c r="M106" s="329">
        <f t="shared" si="117"/>
        <v>-154437</v>
      </c>
      <c r="N106" s="181"/>
      <c r="O106" s="181"/>
      <c r="P106" s="176">
        <f t="shared" si="118"/>
        <v>175045</v>
      </c>
      <c r="Q106" s="181"/>
      <c r="R106" s="602">
        <v>5250.0</v>
      </c>
      <c r="S106" s="176">
        <f t="shared" si="119"/>
        <v>319130</v>
      </c>
      <c r="T106" s="181"/>
      <c r="U106" s="181"/>
      <c r="V106" s="176">
        <f t="shared" si="120"/>
        <v>86031</v>
      </c>
      <c r="W106" s="181"/>
      <c r="X106" s="181"/>
      <c r="Y106" s="176">
        <f t="shared" si="87"/>
        <v>0</v>
      </c>
      <c r="Z106" s="181"/>
      <c r="AA106" s="181"/>
      <c r="AB106" s="176">
        <f t="shared" si="29"/>
        <v>0</v>
      </c>
      <c r="AC106" s="181"/>
      <c r="AD106" s="181"/>
      <c r="AE106" s="176">
        <f t="shared" si="121"/>
        <v>0</v>
      </c>
      <c r="AF106" s="176"/>
      <c r="AG106" s="176"/>
      <c r="AH106" s="176">
        <f t="shared" si="122"/>
        <v>0</v>
      </c>
      <c r="AI106" s="181"/>
      <c r="AJ106" s="181"/>
      <c r="AK106" s="176">
        <f t="shared" si="123"/>
        <v>0</v>
      </c>
      <c r="AL106" s="181"/>
      <c r="AM106" s="181"/>
      <c r="AN106" s="176">
        <f t="shared" si="124"/>
        <v>0</v>
      </c>
      <c r="AO106" s="181"/>
      <c r="AP106" s="181"/>
    </row>
    <row r="107" ht="12.75" customHeight="1">
      <c r="A107" s="179"/>
      <c r="B107" s="600">
        <v>46107.0</v>
      </c>
      <c r="C107" s="481"/>
      <c r="D107" s="196" t="s">
        <v>55</v>
      </c>
      <c r="E107" s="126" t="s">
        <v>405</v>
      </c>
      <c r="F107" s="126" t="s">
        <v>416</v>
      </c>
      <c r="G107" s="460"/>
      <c r="H107" s="181">
        <f t="shared" ref="H107:J107" si="141">sum(K107,N107,Q107,T107,W107,Z107,AC107,AF107,AI107,AL107)</f>
        <v>0</v>
      </c>
      <c r="I107" s="181">
        <f t="shared" si="141"/>
        <v>16780</v>
      </c>
      <c r="J107" s="176">
        <f t="shared" si="141"/>
        <v>442549</v>
      </c>
      <c r="K107" s="181"/>
      <c r="L107" s="181"/>
      <c r="M107" s="329">
        <f t="shared" si="117"/>
        <v>-154437</v>
      </c>
      <c r="N107" s="181"/>
      <c r="O107" s="181"/>
      <c r="P107" s="176">
        <f t="shared" si="118"/>
        <v>175045</v>
      </c>
      <c r="Q107" s="181"/>
      <c r="R107" s="181"/>
      <c r="S107" s="176">
        <f t="shared" si="119"/>
        <v>319130</v>
      </c>
      <c r="T107" s="181"/>
      <c r="U107" s="602">
        <v>16780.0</v>
      </c>
      <c r="V107" s="176">
        <f t="shared" si="120"/>
        <v>102811</v>
      </c>
      <c r="W107" s="181"/>
      <c r="X107" s="181"/>
      <c r="Y107" s="176">
        <f t="shared" si="87"/>
        <v>0</v>
      </c>
      <c r="Z107" s="181"/>
      <c r="AA107" s="181"/>
      <c r="AB107" s="176">
        <f t="shared" si="29"/>
        <v>0</v>
      </c>
      <c r="AC107" s="181"/>
      <c r="AD107" s="181"/>
      <c r="AE107" s="176">
        <f t="shared" si="121"/>
        <v>0</v>
      </c>
      <c r="AF107" s="176"/>
      <c r="AG107" s="176"/>
      <c r="AH107" s="176">
        <f t="shared" si="122"/>
        <v>0</v>
      </c>
      <c r="AI107" s="181"/>
      <c r="AJ107" s="181"/>
      <c r="AK107" s="176">
        <f t="shared" si="123"/>
        <v>0</v>
      </c>
      <c r="AL107" s="181"/>
      <c r="AM107" s="181"/>
      <c r="AN107" s="176">
        <f t="shared" si="124"/>
        <v>0</v>
      </c>
      <c r="AO107" s="181"/>
      <c r="AP107" s="181"/>
    </row>
    <row r="108" ht="12.75" customHeight="1">
      <c r="A108" s="179"/>
      <c r="B108" s="600">
        <v>46109.0</v>
      </c>
      <c r="C108" s="481"/>
      <c r="D108" s="196" t="s">
        <v>55</v>
      </c>
      <c r="E108" s="126" t="s">
        <v>405</v>
      </c>
      <c r="F108" s="126" t="s">
        <v>417</v>
      </c>
      <c r="G108" s="460"/>
      <c r="H108" s="181">
        <f t="shared" ref="H108:J108" si="142">sum(K108,N108,Q108,T108,W108,Z108,AC108,AF108,AI108,AL108)</f>
        <v>0</v>
      </c>
      <c r="I108" s="181">
        <f t="shared" si="142"/>
        <v>28330</v>
      </c>
      <c r="J108" s="176">
        <f t="shared" si="142"/>
        <v>470879</v>
      </c>
      <c r="K108" s="181"/>
      <c r="L108" s="181"/>
      <c r="M108" s="329">
        <f t="shared" si="117"/>
        <v>-154437</v>
      </c>
      <c r="N108" s="181"/>
      <c r="O108" s="181"/>
      <c r="P108" s="176">
        <f t="shared" si="118"/>
        <v>175045</v>
      </c>
      <c r="Q108" s="181"/>
      <c r="R108" s="181"/>
      <c r="S108" s="176">
        <f t="shared" si="119"/>
        <v>319130</v>
      </c>
      <c r="T108" s="181"/>
      <c r="U108" s="602">
        <v>28330.0</v>
      </c>
      <c r="V108" s="176">
        <f t="shared" si="120"/>
        <v>131141</v>
      </c>
      <c r="W108" s="181"/>
      <c r="X108" s="181"/>
      <c r="Y108" s="176">
        <f t="shared" si="87"/>
        <v>0</v>
      </c>
      <c r="Z108" s="181"/>
      <c r="AA108" s="181"/>
      <c r="AB108" s="176">
        <f t="shared" si="29"/>
        <v>0</v>
      </c>
      <c r="AC108" s="181"/>
      <c r="AD108" s="181"/>
      <c r="AE108" s="176">
        <f t="shared" si="121"/>
        <v>0</v>
      </c>
      <c r="AF108" s="176"/>
      <c r="AG108" s="176"/>
      <c r="AH108" s="176">
        <f t="shared" si="122"/>
        <v>0</v>
      </c>
      <c r="AI108" s="181"/>
      <c r="AJ108" s="181"/>
      <c r="AK108" s="176">
        <f t="shared" si="123"/>
        <v>0</v>
      </c>
      <c r="AL108" s="181"/>
      <c r="AM108" s="181"/>
      <c r="AN108" s="176">
        <f t="shared" si="124"/>
        <v>0</v>
      </c>
      <c r="AO108" s="181"/>
      <c r="AP108" s="181"/>
    </row>
    <row r="109" ht="12.75" customHeight="1">
      <c r="A109" s="179"/>
      <c r="B109" s="600">
        <v>46107.0</v>
      </c>
      <c r="C109" s="481"/>
      <c r="D109" s="196" t="s">
        <v>55</v>
      </c>
      <c r="E109" s="126" t="s">
        <v>369</v>
      </c>
      <c r="F109" s="126"/>
      <c r="G109" s="460"/>
      <c r="H109" s="181">
        <f t="shared" ref="H109:J109" si="143">sum(K109,N109,Q109,T109,W109,Z109,AC109,AF109,AI109,AL109)</f>
        <v>0</v>
      </c>
      <c r="I109" s="181">
        <f t="shared" si="143"/>
        <v>3500</v>
      </c>
      <c r="J109" s="176">
        <f t="shared" si="143"/>
        <v>474379</v>
      </c>
      <c r="K109" s="181"/>
      <c r="L109" s="602">
        <v>3500.0</v>
      </c>
      <c r="M109" s="329">
        <f t="shared" si="117"/>
        <v>-150937</v>
      </c>
      <c r="N109" s="181"/>
      <c r="O109" s="181"/>
      <c r="P109" s="176">
        <f t="shared" si="118"/>
        <v>175045</v>
      </c>
      <c r="Q109" s="181"/>
      <c r="R109" s="181"/>
      <c r="S109" s="176">
        <f t="shared" si="119"/>
        <v>319130</v>
      </c>
      <c r="T109" s="181"/>
      <c r="U109" s="181"/>
      <c r="V109" s="176">
        <f t="shared" si="120"/>
        <v>131141</v>
      </c>
      <c r="W109" s="181"/>
      <c r="X109" s="181"/>
      <c r="Y109" s="176">
        <f t="shared" si="87"/>
        <v>0</v>
      </c>
      <c r="Z109" s="181"/>
      <c r="AA109" s="181"/>
      <c r="AB109" s="176">
        <f t="shared" si="29"/>
        <v>0</v>
      </c>
      <c r="AC109" s="181"/>
      <c r="AD109" s="181"/>
      <c r="AE109" s="176">
        <f t="shared" si="121"/>
        <v>0</v>
      </c>
      <c r="AF109" s="176"/>
      <c r="AG109" s="176"/>
      <c r="AH109" s="176">
        <f t="shared" si="122"/>
        <v>0</v>
      </c>
      <c r="AI109" s="181"/>
      <c r="AJ109" s="181"/>
      <c r="AK109" s="176">
        <f t="shared" si="123"/>
        <v>0</v>
      </c>
      <c r="AL109" s="181"/>
      <c r="AM109" s="181"/>
      <c r="AN109" s="176">
        <f t="shared" si="124"/>
        <v>0</v>
      </c>
      <c r="AO109" s="181"/>
      <c r="AP109" s="181"/>
    </row>
    <row r="110" ht="12.75" customHeight="1">
      <c r="A110" s="179"/>
      <c r="B110" s="600">
        <v>46084.0</v>
      </c>
      <c r="C110" s="481"/>
      <c r="D110" s="196" t="s">
        <v>55</v>
      </c>
      <c r="E110" s="126" t="s">
        <v>369</v>
      </c>
      <c r="F110" s="126"/>
      <c r="G110" s="460"/>
      <c r="H110" s="181">
        <f t="shared" ref="H110:J110" si="144">sum(K110,N110,Q110,T110,W110,Z110,AC110,AF110,AI110,AL110)</f>
        <v>0</v>
      </c>
      <c r="I110" s="181">
        <f t="shared" si="144"/>
        <v>1100</v>
      </c>
      <c r="J110" s="176">
        <f t="shared" si="144"/>
        <v>475479</v>
      </c>
      <c r="K110" s="181"/>
      <c r="L110" s="602">
        <v>1100.0</v>
      </c>
      <c r="M110" s="329">
        <f t="shared" si="117"/>
        <v>-149837</v>
      </c>
      <c r="N110" s="181"/>
      <c r="O110" s="181"/>
      <c r="P110" s="176">
        <f t="shared" si="118"/>
        <v>175045</v>
      </c>
      <c r="Q110" s="181"/>
      <c r="R110" s="181"/>
      <c r="S110" s="176">
        <f t="shared" si="119"/>
        <v>319130</v>
      </c>
      <c r="T110" s="181"/>
      <c r="U110" s="181"/>
      <c r="V110" s="176">
        <f t="shared" si="120"/>
        <v>131141</v>
      </c>
      <c r="W110" s="181"/>
      <c r="X110" s="181"/>
      <c r="Y110" s="176">
        <f t="shared" si="87"/>
        <v>0</v>
      </c>
      <c r="Z110" s="181"/>
      <c r="AA110" s="181"/>
      <c r="AB110" s="176">
        <f t="shared" si="29"/>
        <v>0</v>
      </c>
      <c r="AC110" s="181"/>
      <c r="AD110" s="181"/>
      <c r="AE110" s="176">
        <f t="shared" si="121"/>
        <v>0</v>
      </c>
      <c r="AF110" s="176"/>
      <c r="AG110" s="176"/>
      <c r="AH110" s="176">
        <f t="shared" si="122"/>
        <v>0</v>
      </c>
      <c r="AI110" s="181"/>
      <c r="AJ110" s="181"/>
      <c r="AK110" s="176">
        <f t="shared" si="123"/>
        <v>0</v>
      </c>
      <c r="AL110" s="181"/>
      <c r="AM110" s="181"/>
      <c r="AN110" s="176">
        <f t="shared" si="124"/>
        <v>0</v>
      </c>
      <c r="AO110" s="181"/>
      <c r="AP110" s="181"/>
    </row>
    <row r="111" ht="12.75" customHeight="1">
      <c r="A111" s="179"/>
      <c r="B111" s="600">
        <v>46112.0</v>
      </c>
      <c r="C111" s="481"/>
      <c r="D111" s="196" t="s">
        <v>55</v>
      </c>
      <c r="E111" s="126" t="s">
        <v>341</v>
      </c>
      <c r="F111" s="126" t="s">
        <v>421</v>
      </c>
      <c r="G111" s="460"/>
      <c r="H111" s="181">
        <f t="shared" ref="H111:J111" si="145">sum(K111,N111,Q111,T111,W111,Z111,AC111,AF111,AI111,AL111)</f>
        <v>0</v>
      </c>
      <c r="I111" s="181">
        <f t="shared" si="145"/>
        <v>26500</v>
      </c>
      <c r="J111" s="176">
        <f t="shared" si="145"/>
        <v>501979</v>
      </c>
      <c r="K111" s="181"/>
      <c r="L111" s="181"/>
      <c r="M111" s="329">
        <f t="shared" si="117"/>
        <v>-149837</v>
      </c>
      <c r="N111" s="181"/>
      <c r="O111" s="181"/>
      <c r="P111" s="176">
        <f t="shared" si="118"/>
        <v>175045</v>
      </c>
      <c r="Q111" s="181"/>
      <c r="R111" s="602">
        <v>26500.0</v>
      </c>
      <c r="S111" s="176">
        <f t="shared" si="119"/>
        <v>345630</v>
      </c>
      <c r="T111" s="181"/>
      <c r="U111" s="181"/>
      <c r="V111" s="176">
        <f t="shared" si="120"/>
        <v>131141</v>
      </c>
      <c r="W111" s="181"/>
      <c r="X111" s="181"/>
      <c r="Y111" s="176">
        <f t="shared" si="87"/>
        <v>0</v>
      </c>
      <c r="Z111" s="181"/>
      <c r="AA111" s="181"/>
      <c r="AB111" s="176">
        <f t="shared" si="29"/>
        <v>0</v>
      </c>
      <c r="AC111" s="181"/>
      <c r="AD111" s="181"/>
      <c r="AE111" s="176">
        <f t="shared" si="121"/>
        <v>0</v>
      </c>
      <c r="AF111" s="176"/>
      <c r="AG111" s="176"/>
      <c r="AH111" s="176">
        <f t="shared" si="122"/>
        <v>0</v>
      </c>
      <c r="AI111" s="181"/>
      <c r="AJ111" s="181"/>
      <c r="AK111" s="176">
        <f t="shared" si="123"/>
        <v>0</v>
      </c>
      <c r="AL111" s="181"/>
      <c r="AM111" s="181"/>
      <c r="AN111" s="176">
        <f t="shared" si="124"/>
        <v>0</v>
      </c>
      <c r="AO111" s="181"/>
      <c r="AP111" s="181"/>
    </row>
    <row r="112" ht="12.75" customHeight="1">
      <c r="A112" s="538"/>
      <c r="B112" s="614">
        <v>46112.0</v>
      </c>
      <c r="C112" s="540"/>
      <c r="D112" s="541" t="s">
        <v>55</v>
      </c>
      <c r="E112" s="615" t="s">
        <v>97</v>
      </c>
      <c r="F112" s="615" t="s">
        <v>422</v>
      </c>
      <c r="G112" s="544"/>
      <c r="H112" s="545">
        <f t="shared" ref="H112:J112" si="146">sum(K112,N112,Q112,T112,W112,Z112,AC112,AF112,AI112,AL112)</f>
        <v>0</v>
      </c>
      <c r="I112" s="545">
        <f t="shared" si="146"/>
        <v>4800</v>
      </c>
      <c r="J112" s="546">
        <f t="shared" si="146"/>
        <v>506779</v>
      </c>
      <c r="K112" s="545"/>
      <c r="L112" s="545"/>
      <c r="M112" s="547">
        <f t="shared" si="117"/>
        <v>-149837</v>
      </c>
      <c r="N112" s="545"/>
      <c r="O112" s="283">
        <v>4800.0</v>
      </c>
      <c r="P112" s="546">
        <f t="shared" si="118"/>
        <v>179845</v>
      </c>
      <c r="Q112" s="545"/>
      <c r="R112" s="545"/>
      <c r="S112" s="546">
        <f t="shared" si="119"/>
        <v>345630</v>
      </c>
      <c r="T112" s="545"/>
      <c r="U112" s="545"/>
      <c r="V112" s="546">
        <f t="shared" si="120"/>
        <v>131141</v>
      </c>
      <c r="W112" s="545"/>
      <c r="X112" s="545"/>
      <c r="Y112" s="546">
        <f t="shared" si="87"/>
        <v>0</v>
      </c>
      <c r="Z112" s="545"/>
      <c r="AA112" s="545"/>
      <c r="AB112" s="546">
        <f t="shared" si="29"/>
        <v>0</v>
      </c>
      <c r="AC112" s="545"/>
      <c r="AD112" s="545"/>
      <c r="AE112" s="546">
        <f t="shared" si="121"/>
        <v>0</v>
      </c>
      <c r="AF112" s="546"/>
      <c r="AG112" s="546"/>
      <c r="AH112" s="546">
        <f t="shared" si="122"/>
        <v>0</v>
      </c>
      <c r="AI112" s="545"/>
      <c r="AJ112" s="545"/>
      <c r="AK112" s="546">
        <f t="shared" si="123"/>
        <v>0</v>
      </c>
      <c r="AL112" s="545"/>
      <c r="AM112" s="545"/>
      <c r="AN112" s="546">
        <f t="shared" si="124"/>
        <v>0</v>
      </c>
      <c r="AO112" s="545"/>
      <c r="AP112" s="545"/>
    </row>
    <row r="113" ht="12.75" customHeight="1">
      <c r="A113" s="179"/>
      <c r="B113" s="457">
        <v>46119.0</v>
      </c>
      <c r="C113" s="481"/>
      <c r="D113" s="196" t="s">
        <v>55</v>
      </c>
      <c r="E113" s="196" t="s">
        <v>369</v>
      </c>
      <c r="F113" s="196"/>
      <c r="G113" s="191" t="s">
        <v>423</v>
      </c>
      <c r="H113" s="181">
        <f t="shared" ref="H113:J113" si="147">sum(K113,N113,Q113,T113,W113,Z113,AC113,AF113,AI113,AL113)</f>
        <v>0</v>
      </c>
      <c r="I113" s="181">
        <f t="shared" si="147"/>
        <v>720</v>
      </c>
      <c r="J113" s="176">
        <f t="shared" si="147"/>
        <v>507499</v>
      </c>
      <c r="K113" s="181"/>
      <c r="L113" s="267">
        <v>720.0</v>
      </c>
      <c r="M113" s="329">
        <f t="shared" si="117"/>
        <v>-149117</v>
      </c>
      <c r="N113" s="181"/>
      <c r="O113" s="181"/>
      <c r="P113" s="176">
        <f t="shared" si="118"/>
        <v>179845</v>
      </c>
      <c r="Q113" s="181"/>
      <c r="R113" s="181"/>
      <c r="S113" s="176">
        <f t="shared" si="119"/>
        <v>345630</v>
      </c>
      <c r="T113" s="181"/>
      <c r="U113" s="181"/>
      <c r="V113" s="176">
        <f t="shared" si="120"/>
        <v>131141</v>
      </c>
      <c r="W113" s="181"/>
      <c r="X113" s="181"/>
      <c r="Y113" s="176">
        <f t="shared" si="87"/>
        <v>0</v>
      </c>
      <c r="Z113" s="181"/>
      <c r="AA113" s="181"/>
      <c r="AB113" s="176">
        <f t="shared" si="29"/>
        <v>0</v>
      </c>
      <c r="AC113" s="181"/>
      <c r="AD113" s="181"/>
      <c r="AE113" s="176">
        <f t="shared" si="121"/>
        <v>0</v>
      </c>
      <c r="AF113" s="176"/>
      <c r="AG113" s="176"/>
      <c r="AH113" s="176">
        <f t="shared" si="122"/>
        <v>0</v>
      </c>
      <c r="AI113" s="181"/>
      <c r="AJ113" s="181"/>
      <c r="AK113" s="176">
        <f t="shared" si="123"/>
        <v>0</v>
      </c>
      <c r="AL113" s="181"/>
      <c r="AM113" s="181"/>
      <c r="AN113" s="176">
        <f t="shared" si="124"/>
        <v>0</v>
      </c>
      <c r="AO113" s="181"/>
      <c r="AP113" s="181"/>
    </row>
    <row r="114" ht="12.75" customHeight="1">
      <c r="A114" s="179"/>
      <c r="B114" s="457">
        <v>46119.0</v>
      </c>
      <c r="C114" s="481"/>
      <c r="D114" s="196" t="s">
        <v>55</v>
      </c>
      <c r="E114" s="196" t="s">
        <v>164</v>
      </c>
      <c r="F114" s="196"/>
      <c r="G114" s="191" t="s">
        <v>425</v>
      </c>
      <c r="H114" s="181">
        <f t="shared" ref="H114:J114" si="148">sum(K114,N114,Q114,T114,W114,Z114,AC114,AF114,AI114,AL114)</f>
        <v>0</v>
      </c>
      <c r="I114" s="181">
        <f t="shared" si="148"/>
        <v>46200</v>
      </c>
      <c r="J114" s="176">
        <f t="shared" si="148"/>
        <v>553699</v>
      </c>
      <c r="K114" s="181"/>
      <c r="L114" s="181"/>
      <c r="M114" s="329">
        <f t="shared" si="117"/>
        <v>-149117</v>
      </c>
      <c r="N114" s="181"/>
      <c r="O114" s="181"/>
      <c r="P114" s="176">
        <f t="shared" si="118"/>
        <v>179845</v>
      </c>
      <c r="Q114" s="181"/>
      <c r="R114" s="181"/>
      <c r="S114" s="176">
        <f t="shared" si="119"/>
        <v>345630</v>
      </c>
      <c r="T114" s="181"/>
      <c r="U114" s="181"/>
      <c r="V114" s="176">
        <f t="shared" si="120"/>
        <v>131141</v>
      </c>
      <c r="W114" s="181"/>
      <c r="X114" s="181"/>
      <c r="Y114" s="176">
        <f t="shared" si="87"/>
        <v>0</v>
      </c>
      <c r="Z114" s="181"/>
      <c r="AA114" s="181"/>
      <c r="AB114" s="176">
        <f t="shared" si="29"/>
        <v>0</v>
      </c>
      <c r="AC114" s="181"/>
      <c r="AD114" s="181"/>
      <c r="AE114" s="176">
        <f t="shared" si="121"/>
        <v>0</v>
      </c>
      <c r="AF114" s="176"/>
      <c r="AG114" s="267">
        <v>46200.0</v>
      </c>
      <c r="AH114" s="176">
        <f t="shared" si="122"/>
        <v>46200</v>
      </c>
      <c r="AI114" s="181"/>
      <c r="AJ114" s="181"/>
      <c r="AK114" s="176">
        <f t="shared" si="123"/>
        <v>0</v>
      </c>
      <c r="AL114" s="181"/>
      <c r="AM114" s="181"/>
      <c r="AN114" s="176">
        <f t="shared" si="124"/>
        <v>0</v>
      </c>
      <c r="AO114" s="181"/>
      <c r="AP114" s="181"/>
    </row>
    <row r="115" ht="12.75" customHeight="1">
      <c r="A115" s="179"/>
      <c r="B115" s="457">
        <v>46120.0</v>
      </c>
      <c r="C115" s="481"/>
      <c r="D115" s="196" t="s">
        <v>55</v>
      </c>
      <c r="E115" s="196" t="s">
        <v>97</v>
      </c>
      <c r="F115" s="196" t="s">
        <v>426</v>
      </c>
      <c r="G115" s="191"/>
      <c r="H115" s="181">
        <f t="shared" ref="H115:J115" si="149">sum(K115,N115,Q115,T115,W115,Z115,AC115,AF115,AI115,AL115)</f>
        <v>0</v>
      </c>
      <c r="I115" s="181">
        <f t="shared" si="149"/>
        <v>9500</v>
      </c>
      <c r="J115" s="176">
        <f t="shared" si="149"/>
        <v>563199</v>
      </c>
      <c r="K115" s="181"/>
      <c r="L115" s="181"/>
      <c r="M115" s="329">
        <f t="shared" si="117"/>
        <v>-149117</v>
      </c>
      <c r="N115" s="181"/>
      <c r="O115" s="267">
        <v>9500.0</v>
      </c>
      <c r="P115" s="176">
        <f t="shared" si="118"/>
        <v>189345</v>
      </c>
      <c r="Q115" s="181"/>
      <c r="R115" s="181"/>
      <c r="S115" s="176">
        <f t="shared" si="119"/>
        <v>345630</v>
      </c>
      <c r="T115" s="181"/>
      <c r="U115" s="181"/>
      <c r="V115" s="176">
        <f t="shared" si="120"/>
        <v>131141</v>
      </c>
      <c r="W115" s="181"/>
      <c r="X115" s="181"/>
      <c r="Y115" s="176">
        <f t="shared" si="87"/>
        <v>0</v>
      </c>
      <c r="Z115" s="181"/>
      <c r="AA115" s="181"/>
      <c r="AB115" s="176">
        <f t="shared" si="29"/>
        <v>0</v>
      </c>
      <c r="AC115" s="181"/>
      <c r="AD115" s="181"/>
      <c r="AE115" s="176">
        <f t="shared" si="121"/>
        <v>0</v>
      </c>
      <c r="AF115" s="176"/>
      <c r="AG115" s="176"/>
      <c r="AH115" s="176">
        <f t="shared" si="122"/>
        <v>46200</v>
      </c>
      <c r="AI115" s="181"/>
      <c r="AJ115" s="181"/>
      <c r="AK115" s="176">
        <f t="shared" si="123"/>
        <v>0</v>
      </c>
      <c r="AL115" s="181"/>
      <c r="AM115" s="181"/>
      <c r="AN115" s="176">
        <f t="shared" si="124"/>
        <v>0</v>
      </c>
      <c r="AO115" s="181"/>
      <c r="AP115" s="181"/>
    </row>
    <row r="116" ht="12.75" customHeight="1">
      <c r="A116" s="179"/>
      <c r="B116" s="457">
        <v>46126.0</v>
      </c>
      <c r="C116" s="481"/>
      <c r="D116" s="196" t="s">
        <v>55</v>
      </c>
      <c r="E116" s="196" t="s">
        <v>97</v>
      </c>
      <c r="F116" s="196" t="s">
        <v>427</v>
      </c>
      <c r="G116" s="616"/>
      <c r="H116" s="181">
        <f t="shared" ref="H116:J116" si="150">sum(K116,N116,Q116,T116,W116,Z116,AC116,AF116,AI116,AL116)</f>
        <v>0</v>
      </c>
      <c r="I116" s="181">
        <f t="shared" si="150"/>
        <v>28200</v>
      </c>
      <c r="J116" s="176">
        <f t="shared" si="150"/>
        <v>591399</v>
      </c>
      <c r="K116" s="181"/>
      <c r="L116" s="181"/>
      <c r="M116" s="329">
        <f t="shared" si="117"/>
        <v>-149117</v>
      </c>
      <c r="N116" s="181"/>
      <c r="O116" s="267">
        <v>28200.0</v>
      </c>
      <c r="P116" s="176">
        <f t="shared" si="118"/>
        <v>217545</v>
      </c>
      <c r="Q116" s="181"/>
      <c r="R116" s="181"/>
      <c r="S116" s="176">
        <f t="shared" si="119"/>
        <v>345630</v>
      </c>
      <c r="T116" s="181"/>
      <c r="U116" s="181"/>
      <c r="V116" s="176">
        <f t="shared" si="120"/>
        <v>131141</v>
      </c>
      <c r="W116" s="181"/>
      <c r="X116" s="181"/>
      <c r="Y116" s="176">
        <f t="shared" si="87"/>
        <v>0</v>
      </c>
      <c r="Z116" s="181"/>
      <c r="AA116" s="181"/>
      <c r="AB116" s="176">
        <f t="shared" si="29"/>
        <v>0</v>
      </c>
      <c r="AC116" s="181"/>
      <c r="AD116" s="181"/>
      <c r="AE116" s="176">
        <f t="shared" si="121"/>
        <v>0</v>
      </c>
      <c r="AF116" s="176"/>
      <c r="AG116" s="176"/>
      <c r="AH116" s="176">
        <f t="shared" si="122"/>
        <v>46200</v>
      </c>
      <c r="AI116" s="181"/>
      <c r="AJ116" s="181"/>
      <c r="AK116" s="176">
        <f t="shared" si="123"/>
        <v>0</v>
      </c>
      <c r="AL116" s="181"/>
      <c r="AM116" s="181"/>
      <c r="AN116" s="176">
        <f t="shared" si="124"/>
        <v>0</v>
      </c>
      <c r="AO116" s="181"/>
      <c r="AP116" s="181"/>
    </row>
    <row r="117" ht="12.75" customHeight="1">
      <c r="A117" s="179"/>
      <c r="B117" s="457">
        <v>46126.0</v>
      </c>
      <c r="C117" s="481"/>
      <c r="D117" s="196" t="s">
        <v>55</v>
      </c>
      <c r="E117" s="196" t="s">
        <v>164</v>
      </c>
      <c r="F117" s="196" t="s">
        <v>428</v>
      </c>
      <c r="G117" s="191" t="s">
        <v>749</v>
      </c>
      <c r="H117" s="181">
        <f t="shared" ref="H117:J117" si="151">sum(K117,N117,Q117,T117,W117,Z117,AC117,AF117,AI117,AL117)</f>
        <v>0</v>
      </c>
      <c r="I117" s="181">
        <f t="shared" si="151"/>
        <v>23100</v>
      </c>
      <c r="J117" s="176">
        <f t="shared" si="151"/>
        <v>614499</v>
      </c>
      <c r="K117" s="181"/>
      <c r="L117" s="181"/>
      <c r="M117" s="329">
        <f t="shared" si="117"/>
        <v>-149117</v>
      </c>
      <c r="N117" s="181"/>
      <c r="O117" s="181"/>
      <c r="P117" s="176">
        <f t="shared" si="118"/>
        <v>217545</v>
      </c>
      <c r="Q117" s="181"/>
      <c r="R117" s="181"/>
      <c r="S117" s="176">
        <f t="shared" si="119"/>
        <v>345630</v>
      </c>
      <c r="T117" s="181"/>
      <c r="U117" s="181"/>
      <c r="V117" s="176">
        <f t="shared" si="120"/>
        <v>131141</v>
      </c>
      <c r="W117" s="181"/>
      <c r="X117" s="181"/>
      <c r="Y117" s="176">
        <f t="shared" si="87"/>
        <v>0</v>
      </c>
      <c r="Z117" s="181"/>
      <c r="AA117" s="181"/>
      <c r="AB117" s="176">
        <f t="shared" si="29"/>
        <v>0</v>
      </c>
      <c r="AC117" s="181"/>
      <c r="AD117" s="181"/>
      <c r="AE117" s="176">
        <f t="shared" si="121"/>
        <v>0</v>
      </c>
      <c r="AF117" s="176"/>
      <c r="AG117" s="267">
        <v>23100.0</v>
      </c>
      <c r="AH117" s="176">
        <f t="shared" si="122"/>
        <v>69300</v>
      </c>
      <c r="AI117" s="181"/>
      <c r="AJ117" s="181"/>
      <c r="AK117" s="176">
        <f t="shared" si="123"/>
        <v>0</v>
      </c>
      <c r="AL117" s="181"/>
      <c r="AM117" s="181"/>
      <c r="AN117" s="176">
        <f t="shared" si="124"/>
        <v>0</v>
      </c>
      <c r="AO117" s="181"/>
      <c r="AP117" s="181"/>
    </row>
    <row r="118" ht="12.75" customHeight="1">
      <c r="A118" s="179"/>
      <c r="B118" s="457">
        <v>46118.0</v>
      </c>
      <c r="C118" s="481"/>
      <c r="D118" s="196" t="s">
        <v>55</v>
      </c>
      <c r="E118" s="196" t="s">
        <v>405</v>
      </c>
      <c r="F118" s="196" t="s">
        <v>430</v>
      </c>
      <c r="G118" s="616"/>
      <c r="H118" s="181">
        <f t="shared" ref="H118:J118" si="152">sum(K118,N118,Q118,T118,W118,Z118,AC118,AF118,AI118,AL118)</f>
        <v>0</v>
      </c>
      <c r="I118" s="181">
        <f t="shared" si="152"/>
        <v>108810</v>
      </c>
      <c r="J118" s="176">
        <f t="shared" si="152"/>
        <v>723309</v>
      </c>
      <c r="K118" s="181"/>
      <c r="L118" s="181"/>
      <c r="M118" s="329">
        <f t="shared" si="117"/>
        <v>-149117</v>
      </c>
      <c r="N118" s="181"/>
      <c r="O118" s="181"/>
      <c r="P118" s="176">
        <f t="shared" si="118"/>
        <v>217545</v>
      </c>
      <c r="Q118" s="181"/>
      <c r="R118" s="181"/>
      <c r="S118" s="176">
        <f t="shared" si="119"/>
        <v>345630</v>
      </c>
      <c r="T118" s="181"/>
      <c r="U118" s="267">
        <v>108810.0</v>
      </c>
      <c r="V118" s="176">
        <f t="shared" si="120"/>
        <v>239951</v>
      </c>
      <c r="W118" s="181"/>
      <c r="X118" s="181"/>
      <c r="Y118" s="176">
        <f t="shared" si="87"/>
        <v>0</v>
      </c>
      <c r="Z118" s="181"/>
      <c r="AA118" s="181"/>
      <c r="AB118" s="176">
        <f t="shared" si="29"/>
        <v>0</v>
      </c>
      <c r="AC118" s="181"/>
      <c r="AD118" s="181"/>
      <c r="AE118" s="176">
        <f t="shared" si="121"/>
        <v>0</v>
      </c>
      <c r="AF118" s="176"/>
      <c r="AG118" s="176"/>
      <c r="AH118" s="176">
        <f t="shared" si="122"/>
        <v>69300</v>
      </c>
      <c r="AI118" s="181"/>
      <c r="AJ118" s="181"/>
      <c r="AK118" s="176">
        <f t="shared" si="123"/>
        <v>0</v>
      </c>
      <c r="AL118" s="181"/>
      <c r="AM118" s="181"/>
      <c r="AN118" s="176">
        <f t="shared" si="124"/>
        <v>0</v>
      </c>
      <c r="AO118" s="181"/>
      <c r="AP118" s="181"/>
    </row>
    <row r="119" ht="12.75" customHeight="1">
      <c r="A119" s="179"/>
      <c r="B119" s="457">
        <v>46129.0</v>
      </c>
      <c r="C119" s="481"/>
      <c r="D119" s="196" t="s">
        <v>55</v>
      </c>
      <c r="E119" s="196" t="s">
        <v>405</v>
      </c>
      <c r="F119" s="196" t="s">
        <v>432</v>
      </c>
      <c r="G119" s="616"/>
      <c r="H119" s="181">
        <f t="shared" ref="H119:J119" si="153">sum(K119,N119,Q119,T119,W119,Z119,AC119,AF119,AI119,AL119)</f>
        <v>0</v>
      </c>
      <c r="I119" s="181">
        <f t="shared" si="153"/>
        <v>59463.12</v>
      </c>
      <c r="J119" s="176">
        <f t="shared" si="153"/>
        <v>782772.12</v>
      </c>
      <c r="K119" s="181"/>
      <c r="L119" s="181"/>
      <c r="M119" s="329">
        <f t="shared" si="117"/>
        <v>-149117</v>
      </c>
      <c r="N119" s="181"/>
      <c r="O119" s="181"/>
      <c r="P119" s="176">
        <f t="shared" si="118"/>
        <v>217545</v>
      </c>
      <c r="Q119" s="181"/>
      <c r="R119" s="181"/>
      <c r="S119" s="176">
        <f t="shared" si="119"/>
        <v>345630</v>
      </c>
      <c r="T119" s="181"/>
      <c r="U119" s="267">
        <v>59463.12</v>
      </c>
      <c r="V119" s="176">
        <f t="shared" si="120"/>
        <v>299414.12</v>
      </c>
      <c r="W119" s="181"/>
      <c r="X119" s="181"/>
      <c r="Y119" s="176">
        <f t="shared" si="87"/>
        <v>0</v>
      </c>
      <c r="Z119" s="181"/>
      <c r="AA119" s="181"/>
      <c r="AB119" s="176">
        <f t="shared" si="29"/>
        <v>0</v>
      </c>
      <c r="AC119" s="181"/>
      <c r="AD119" s="181"/>
      <c r="AE119" s="176">
        <f t="shared" si="121"/>
        <v>0</v>
      </c>
      <c r="AF119" s="176"/>
      <c r="AG119" s="176"/>
      <c r="AH119" s="176">
        <f t="shared" si="122"/>
        <v>69300</v>
      </c>
      <c r="AI119" s="181"/>
      <c r="AJ119" s="181"/>
      <c r="AK119" s="176">
        <f t="shared" si="123"/>
        <v>0</v>
      </c>
      <c r="AL119" s="181"/>
      <c r="AM119" s="181"/>
      <c r="AN119" s="176">
        <f t="shared" si="124"/>
        <v>0</v>
      </c>
      <c r="AO119" s="181"/>
      <c r="AP119" s="181"/>
    </row>
    <row r="120" ht="12.75" customHeight="1">
      <c r="A120" s="179"/>
      <c r="B120" s="457">
        <v>46127.0</v>
      </c>
      <c r="C120" s="481"/>
      <c r="D120" s="196" t="s">
        <v>55</v>
      </c>
      <c r="E120" s="196" t="s">
        <v>341</v>
      </c>
      <c r="F120" s="196" t="s">
        <v>434</v>
      </c>
      <c r="G120" s="179"/>
      <c r="H120" s="181">
        <f t="shared" ref="H120:J120" si="154">sum(K120,N120,Q120,T120,W120,Z120,AC120,AF120,AI120,AL120)</f>
        <v>0</v>
      </c>
      <c r="I120" s="181">
        <f t="shared" si="154"/>
        <v>14550</v>
      </c>
      <c r="J120" s="176">
        <f t="shared" si="154"/>
        <v>797322.12</v>
      </c>
      <c r="K120" s="181"/>
      <c r="L120" s="181"/>
      <c r="M120" s="329">
        <f t="shared" si="117"/>
        <v>-149117</v>
      </c>
      <c r="N120" s="181"/>
      <c r="O120" s="181"/>
      <c r="P120" s="176">
        <f t="shared" si="118"/>
        <v>217545</v>
      </c>
      <c r="Q120" s="181"/>
      <c r="R120" s="267">
        <v>14550.0</v>
      </c>
      <c r="S120" s="176">
        <f t="shared" si="119"/>
        <v>360180</v>
      </c>
      <c r="T120" s="181"/>
      <c r="U120" s="181"/>
      <c r="V120" s="176">
        <f t="shared" si="120"/>
        <v>299414.12</v>
      </c>
      <c r="W120" s="181"/>
      <c r="X120" s="181"/>
      <c r="Y120" s="176">
        <f t="shared" si="87"/>
        <v>0</v>
      </c>
      <c r="Z120" s="181"/>
      <c r="AA120" s="181"/>
      <c r="AB120" s="176">
        <f t="shared" si="29"/>
        <v>0</v>
      </c>
      <c r="AC120" s="181"/>
      <c r="AD120" s="181"/>
      <c r="AE120" s="176">
        <f t="shared" si="121"/>
        <v>0</v>
      </c>
      <c r="AF120" s="176"/>
      <c r="AG120" s="176"/>
      <c r="AH120" s="176">
        <f t="shared" si="122"/>
        <v>69300</v>
      </c>
      <c r="AI120" s="181"/>
      <c r="AJ120" s="181"/>
      <c r="AK120" s="176">
        <f t="shared" si="123"/>
        <v>0</v>
      </c>
      <c r="AL120" s="181"/>
      <c r="AM120" s="181"/>
      <c r="AN120" s="176">
        <f t="shared" si="124"/>
        <v>0</v>
      </c>
      <c r="AO120" s="181"/>
      <c r="AP120" s="181"/>
    </row>
    <row r="121" ht="12.75" customHeight="1">
      <c r="A121" s="179"/>
      <c r="B121" s="457">
        <v>46134.0</v>
      </c>
      <c r="C121" s="481"/>
      <c r="D121" s="196" t="s">
        <v>55</v>
      </c>
      <c r="E121" s="196" t="s">
        <v>97</v>
      </c>
      <c r="F121" s="196" t="s">
        <v>435</v>
      </c>
      <c r="G121" s="191">
        <v>943047.0</v>
      </c>
      <c r="H121" s="181">
        <f t="shared" ref="H121:J121" si="155">sum(K121,N121,Q121,T121,W121,Z121,AC121,AF121,AI121,AL121)</f>
        <v>0</v>
      </c>
      <c r="I121" s="181">
        <f t="shared" si="155"/>
        <v>5325</v>
      </c>
      <c r="J121" s="176">
        <f t="shared" si="155"/>
        <v>802647.12</v>
      </c>
      <c r="K121" s="181"/>
      <c r="L121" s="181"/>
      <c r="M121" s="329">
        <f t="shared" si="117"/>
        <v>-149117</v>
      </c>
      <c r="N121" s="181"/>
      <c r="O121" s="267">
        <v>5325.0</v>
      </c>
      <c r="P121" s="176">
        <f t="shared" si="118"/>
        <v>222870</v>
      </c>
      <c r="Q121" s="181"/>
      <c r="R121" s="181"/>
      <c r="S121" s="176">
        <f t="shared" si="119"/>
        <v>360180</v>
      </c>
      <c r="T121" s="181"/>
      <c r="U121" s="181"/>
      <c r="V121" s="176">
        <f t="shared" si="120"/>
        <v>299414.12</v>
      </c>
      <c r="W121" s="181"/>
      <c r="X121" s="181"/>
      <c r="Y121" s="176">
        <f t="shared" si="87"/>
        <v>0</v>
      </c>
      <c r="Z121" s="181"/>
      <c r="AA121" s="181"/>
      <c r="AB121" s="176">
        <f t="shared" si="29"/>
        <v>0</v>
      </c>
      <c r="AC121" s="181"/>
      <c r="AD121" s="181"/>
      <c r="AE121" s="176">
        <f t="shared" si="121"/>
        <v>0</v>
      </c>
      <c r="AF121" s="176"/>
      <c r="AG121" s="176"/>
      <c r="AH121" s="176">
        <f t="shared" si="122"/>
        <v>69300</v>
      </c>
      <c r="AI121" s="181"/>
      <c r="AJ121" s="181"/>
      <c r="AK121" s="176">
        <f t="shared" si="123"/>
        <v>0</v>
      </c>
      <c r="AL121" s="181"/>
      <c r="AM121" s="181"/>
      <c r="AN121" s="176">
        <f t="shared" si="124"/>
        <v>0</v>
      </c>
      <c r="AO121" s="181"/>
      <c r="AP121" s="181"/>
    </row>
    <row r="122" ht="12.75" customHeight="1">
      <c r="A122" s="179"/>
      <c r="B122" s="457">
        <v>46134.0</v>
      </c>
      <c r="C122" s="481"/>
      <c r="D122" s="196" t="s">
        <v>55</v>
      </c>
      <c r="E122" s="196" t="s">
        <v>97</v>
      </c>
      <c r="F122" s="196" t="s">
        <v>436</v>
      </c>
      <c r="G122" s="191">
        <v>943048.0</v>
      </c>
      <c r="H122" s="181">
        <f t="shared" ref="H122:J122" si="156">sum(K122,N122,Q122,T122,W122,Z122,AC122,AF122,AI122,AL122)</f>
        <v>0</v>
      </c>
      <c r="I122" s="181">
        <f t="shared" si="156"/>
        <v>25920</v>
      </c>
      <c r="J122" s="176">
        <f t="shared" si="156"/>
        <v>828567.12</v>
      </c>
      <c r="K122" s="181"/>
      <c r="L122" s="181"/>
      <c r="M122" s="329">
        <f t="shared" si="117"/>
        <v>-149117</v>
      </c>
      <c r="N122" s="181"/>
      <c r="O122" s="267">
        <f>27470-1550</f>
        <v>25920</v>
      </c>
      <c r="P122" s="176">
        <f t="shared" si="118"/>
        <v>248790</v>
      </c>
      <c r="Q122" s="181"/>
      <c r="R122" s="181"/>
      <c r="S122" s="176">
        <f t="shared" si="119"/>
        <v>360180</v>
      </c>
      <c r="T122" s="181"/>
      <c r="U122" s="181"/>
      <c r="V122" s="176">
        <f t="shared" si="120"/>
        <v>299414.12</v>
      </c>
      <c r="W122" s="181"/>
      <c r="X122" s="181"/>
      <c r="Y122" s="176">
        <f t="shared" si="87"/>
        <v>0</v>
      </c>
      <c r="Z122" s="181"/>
      <c r="AA122" s="181"/>
      <c r="AB122" s="176">
        <f t="shared" si="29"/>
        <v>0</v>
      </c>
      <c r="AC122" s="181"/>
      <c r="AD122" s="181"/>
      <c r="AE122" s="176">
        <f t="shared" si="121"/>
        <v>0</v>
      </c>
      <c r="AF122" s="176"/>
      <c r="AG122" s="176"/>
      <c r="AH122" s="176">
        <f t="shared" si="122"/>
        <v>69300</v>
      </c>
      <c r="AI122" s="181"/>
      <c r="AJ122" s="181"/>
      <c r="AK122" s="176">
        <f t="shared" si="123"/>
        <v>0</v>
      </c>
      <c r="AL122" s="181"/>
      <c r="AM122" s="181"/>
      <c r="AN122" s="176">
        <f t="shared" si="124"/>
        <v>0</v>
      </c>
      <c r="AO122" s="181"/>
      <c r="AP122" s="181"/>
    </row>
    <row r="123" ht="12.75" customHeight="1">
      <c r="A123" s="179"/>
      <c r="B123" s="457">
        <v>46134.0</v>
      </c>
      <c r="C123" s="481"/>
      <c r="D123" s="196" t="s">
        <v>55</v>
      </c>
      <c r="E123" s="196" t="s">
        <v>439</v>
      </c>
      <c r="F123" s="196" t="s">
        <v>438</v>
      </c>
      <c r="G123" s="191" t="s">
        <v>749</v>
      </c>
      <c r="H123" s="181">
        <f t="shared" ref="H123:J123" si="157">sum(K123,N123,Q123,T123,W123,Z123,AC123,AF123,AI123,AL123)</f>
        <v>14389</v>
      </c>
      <c r="I123" s="181">
        <f t="shared" si="157"/>
        <v>14389</v>
      </c>
      <c r="J123" s="176">
        <f t="shared" si="157"/>
        <v>828567.12</v>
      </c>
      <c r="K123" s="181"/>
      <c r="L123" s="181"/>
      <c r="M123" s="329">
        <f t="shared" si="117"/>
        <v>-149117</v>
      </c>
      <c r="N123" s="181"/>
      <c r="O123" s="181"/>
      <c r="P123" s="176">
        <f t="shared" si="118"/>
        <v>248790</v>
      </c>
      <c r="Q123" s="181"/>
      <c r="R123" s="181"/>
      <c r="S123" s="176">
        <f t="shared" si="119"/>
        <v>360180</v>
      </c>
      <c r="T123" s="181"/>
      <c r="U123" s="181"/>
      <c r="V123" s="176">
        <f t="shared" si="120"/>
        <v>299414.12</v>
      </c>
      <c r="W123" s="197">
        <v>14389.0</v>
      </c>
      <c r="X123" s="267">
        <v>14389.0</v>
      </c>
      <c r="Y123" s="176">
        <f t="shared" si="87"/>
        <v>0</v>
      </c>
      <c r="Z123" s="181"/>
      <c r="AA123" s="181"/>
      <c r="AB123" s="176">
        <f t="shared" si="29"/>
        <v>0</v>
      </c>
      <c r="AC123" s="181"/>
      <c r="AD123" s="181"/>
      <c r="AE123" s="176">
        <f t="shared" si="121"/>
        <v>0</v>
      </c>
      <c r="AF123" s="176"/>
      <c r="AG123" s="176"/>
      <c r="AH123" s="176">
        <f t="shared" si="122"/>
        <v>69300</v>
      </c>
      <c r="AI123" s="181"/>
      <c r="AJ123" s="181"/>
      <c r="AK123" s="176">
        <f t="shared" si="123"/>
        <v>0</v>
      </c>
      <c r="AL123" s="181"/>
      <c r="AM123" s="181"/>
      <c r="AN123" s="176">
        <f t="shared" si="124"/>
        <v>0</v>
      </c>
      <c r="AO123" s="181"/>
      <c r="AP123" s="181"/>
    </row>
    <row r="124" ht="12.75" customHeight="1">
      <c r="A124" s="179"/>
      <c r="B124" s="457">
        <v>46132.0</v>
      </c>
      <c r="C124" s="481"/>
      <c r="D124" s="196" t="s">
        <v>55</v>
      </c>
      <c r="E124" s="196" t="s">
        <v>164</v>
      </c>
      <c r="F124" s="196" t="s">
        <v>442</v>
      </c>
      <c r="G124" s="191" t="s">
        <v>749</v>
      </c>
      <c r="H124" s="181">
        <f t="shared" ref="H124:J124" si="158">sum(K124,N124,Q124,T124,W124,Z124,AC124,AF124,AI124,AL124)</f>
        <v>0</v>
      </c>
      <c r="I124" s="181">
        <f t="shared" si="158"/>
        <v>46200</v>
      </c>
      <c r="J124" s="176">
        <f t="shared" si="158"/>
        <v>874767.12</v>
      </c>
      <c r="K124" s="181"/>
      <c r="L124" s="181"/>
      <c r="M124" s="329">
        <f t="shared" si="117"/>
        <v>-149117</v>
      </c>
      <c r="N124" s="181"/>
      <c r="O124" s="181"/>
      <c r="P124" s="176">
        <f t="shared" si="118"/>
        <v>248790</v>
      </c>
      <c r="Q124" s="181"/>
      <c r="R124" s="181"/>
      <c r="S124" s="176">
        <f t="shared" si="119"/>
        <v>360180</v>
      </c>
      <c r="T124" s="181"/>
      <c r="U124" s="181"/>
      <c r="V124" s="176">
        <f t="shared" si="120"/>
        <v>299414.12</v>
      </c>
      <c r="W124" s="181"/>
      <c r="X124" s="181"/>
      <c r="Y124" s="176">
        <f t="shared" si="87"/>
        <v>0</v>
      </c>
      <c r="Z124" s="181"/>
      <c r="AA124" s="181"/>
      <c r="AB124" s="176">
        <f t="shared" si="29"/>
        <v>0</v>
      </c>
      <c r="AC124" s="181"/>
      <c r="AD124" s="181"/>
      <c r="AE124" s="176">
        <f t="shared" si="121"/>
        <v>0</v>
      </c>
      <c r="AF124" s="176"/>
      <c r="AG124" s="267">
        <v>46200.0</v>
      </c>
      <c r="AH124" s="176">
        <f t="shared" si="122"/>
        <v>115500</v>
      </c>
      <c r="AI124" s="181"/>
      <c r="AJ124" s="181"/>
      <c r="AK124" s="176">
        <f t="shared" si="123"/>
        <v>0</v>
      </c>
      <c r="AL124" s="181"/>
      <c r="AM124" s="181"/>
      <c r="AN124" s="176">
        <f t="shared" si="124"/>
        <v>0</v>
      </c>
      <c r="AO124" s="181"/>
      <c r="AP124" s="181"/>
    </row>
    <row r="125" ht="12.75" customHeight="1">
      <c r="A125" s="179"/>
      <c r="B125" s="457">
        <v>46138.0</v>
      </c>
      <c r="C125" s="481"/>
      <c r="D125" s="196" t="s">
        <v>55</v>
      </c>
      <c r="E125" s="196" t="s">
        <v>164</v>
      </c>
      <c r="F125" s="196" t="s">
        <v>444</v>
      </c>
      <c r="G125" s="191" t="s">
        <v>749</v>
      </c>
      <c r="H125" s="181">
        <f t="shared" ref="H125:J125" si="159">sum(K125,N125,Q125,T125,W125,Z125,AC125,AF125,AI125,AL125)</f>
        <v>0</v>
      </c>
      <c r="I125" s="181">
        <f t="shared" si="159"/>
        <v>30800</v>
      </c>
      <c r="J125" s="176">
        <f t="shared" si="159"/>
        <v>905567.12</v>
      </c>
      <c r="K125" s="181"/>
      <c r="L125" s="181"/>
      <c r="M125" s="329">
        <f t="shared" si="117"/>
        <v>-149117</v>
      </c>
      <c r="N125" s="181"/>
      <c r="O125" s="181"/>
      <c r="P125" s="176">
        <f t="shared" si="118"/>
        <v>248790</v>
      </c>
      <c r="Q125" s="181"/>
      <c r="R125" s="181"/>
      <c r="S125" s="176">
        <f t="shared" si="119"/>
        <v>360180</v>
      </c>
      <c r="T125" s="181"/>
      <c r="U125" s="181"/>
      <c r="V125" s="176">
        <f t="shared" si="120"/>
        <v>299414.12</v>
      </c>
      <c r="W125" s="181"/>
      <c r="X125" s="181"/>
      <c r="Y125" s="176">
        <f t="shared" si="87"/>
        <v>0</v>
      </c>
      <c r="Z125" s="181"/>
      <c r="AA125" s="181"/>
      <c r="AB125" s="176">
        <f t="shared" si="29"/>
        <v>0</v>
      </c>
      <c r="AC125" s="181"/>
      <c r="AD125" s="181"/>
      <c r="AE125" s="176">
        <f t="shared" si="121"/>
        <v>0</v>
      </c>
      <c r="AF125" s="176"/>
      <c r="AG125" s="267">
        <v>30800.0</v>
      </c>
      <c r="AH125" s="176">
        <f t="shared" si="122"/>
        <v>146300</v>
      </c>
      <c r="AI125" s="181"/>
      <c r="AJ125" s="181"/>
      <c r="AK125" s="176">
        <f t="shared" si="123"/>
        <v>0</v>
      </c>
      <c r="AL125" s="181"/>
      <c r="AM125" s="181"/>
      <c r="AN125" s="176">
        <f t="shared" si="124"/>
        <v>0</v>
      </c>
      <c r="AO125" s="181"/>
      <c r="AP125" s="181"/>
    </row>
    <row r="126" ht="12.75" customHeight="1">
      <c r="A126" s="179"/>
      <c r="B126" s="457">
        <v>46140.0</v>
      </c>
      <c r="C126" s="481"/>
      <c r="D126" s="196" t="s">
        <v>55</v>
      </c>
      <c r="E126" s="196" t="s">
        <v>341</v>
      </c>
      <c r="F126" s="196" t="s">
        <v>445</v>
      </c>
      <c r="G126" s="191">
        <v>943049.0</v>
      </c>
      <c r="H126" s="181">
        <f t="shared" ref="H126:J126" si="160">sum(K126,N126,Q126,T126,W126,Z126,AC126,AF126,AI126,AL126)</f>
        <v>0</v>
      </c>
      <c r="I126" s="181">
        <f t="shared" si="160"/>
        <v>34720</v>
      </c>
      <c r="J126" s="176">
        <f t="shared" si="160"/>
        <v>940287.12</v>
      </c>
      <c r="K126" s="181"/>
      <c r="L126" s="181"/>
      <c r="M126" s="329">
        <f t="shared" si="117"/>
        <v>-149117</v>
      </c>
      <c r="N126" s="181"/>
      <c r="O126" s="181"/>
      <c r="P126" s="176">
        <f t="shared" si="118"/>
        <v>248790</v>
      </c>
      <c r="Q126" s="181"/>
      <c r="R126" s="267">
        <v>34720.0</v>
      </c>
      <c r="S126" s="176">
        <f t="shared" si="119"/>
        <v>394900</v>
      </c>
      <c r="T126" s="181"/>
      <c r="U126" s="181"/>
      <c r="V126" s="176">
        <f t="shared" si="120"/>
        <v>299414.12</v>
      </c>
      <c r="W126" s="181"/>
      <c r="X126" s="181"/>
      <c r="Y126" s="176">
        <f t="shared" si="87"/>
        <v>0</v>
      </c>
      <c r="Z126" s="181"/>
      <c r="AA126" s="181"/>
      <c r="AB126" s="176">
        <f t="shared" si="29"/>
        <v>0</v>
      </c>
      <c r="AC126" s="181"/>
      <c r="AD126" s="181"/>
      <c r="AE126" s="176">
        <f t="shared" si="121"/>
        <v>0</v>
      </c>
      <c r="AF126" s="176"/>
      <c r="AG126" s="176"/>
      <c r="AH126" s="176">
        <f t="shared" si="122"/>
        <v>146300</v>
      </c>
      <c r="AI126" s="181"/>
      <c r="AJ126" s="181"/>
      <c r="AK126" s="176">
        <f t="shared" si="123"/>
        <v>0</v>
      </c>
      <c r="AL126" s="181"/>
      <c r="AM126" s="181"/>
      <c r="AN126" s="176">
        <f t="shared" si="124"/>
        <v>0</v>
      </c>
      <c r="AO126" s="181"/>
      <c r="AP126" s="181"/>
    </row>
    <row r="127" ht="12.75" customHeight="1">
      <c r="A127" s="179"/>
      <c r="B127" s="457">
        <v>46140.0</v>
      </c>
      <c r="C127" s="481"/>
      <c r="D127" s="196" t="s">
        <v>55</v>
      </c>
      <c r="E127" s="196" t="s">
        <v>97</v>
      </c>
      <c r="F127" s="196" t="s">
        <v>446</v>
      </c>
      <c r="G127" s="191">
        <v>943050.0</v>
      </c>
      <c r="H127" s="181">
        <f t="shared" ref="H127:J127" si="161">sum(K127,N127,Q127,T127,W127,Z127,AC127,AF127,AI127,AL127)</f>
        <v>0</v>
      </c>
      <c r="I127" s="181">
        <f t="shared" si="161"/>
        <v>17225</v>
      </c>
      <c r="J127" s="176">
        <f t="shared" si="161"/>
        <v>957512.12</v>
      </c>
      <c r="K127" s="181"/>
      <c r="L127" s="181"/>
      <c r="M127" s="329">
        <f t="shared" si="117"/>
        <v>-149117</v>
      </c>
      <c r="N127" s="181"/>
      <c r="O127" s="318">
        <v>17225.0</v>
      </c>
      <c r="P127" s="176">
        <f t="shared" si="118"/>
        <v>266015</v>
      </c>
      <c r="Q127" s="181"/>
      <c r="R127" s="181"/>
      <c r="S127" s="176">
        <f t="shared" si="119"/>
        <v>394900</v>
      </c>
      <c r="T127" s="181"/>
      <c r="U127" s="181"/>
      <c r="V127" s="176">
        <f t="shared" si="120"/>
        <v>299414.12</v>
      </c>
      <c r="W127" s="181"/>
      <c r="X127" s="181"/>
      <c r="Y127" s="176">
        <f t="shared" si="87"/>
        <v>0</v>
      </c>
      <c r="Z127" s="181"/>
      <c r="AA127" s="181"/>
      <c r="AB127" s="176">
        <f t="shared" si="29"/>
        <v>0</v>
      </c>
      <c r="AC127" s="181"/>
      <c r="AD127" s="181"/>
      <c r="AE127" s="176">
        <f t="shared" si="121"/>
        <v>0</v>
      </c>
      <c r="AF127" s="176"/>
      <c r="AG127" s="176"/>
      <c r="AH127" s="176">
        <f t="shared" si="122"/>
        <v>146300</v>
      </c>
      <c r="AI127" s="181"/>
      <c r="AJ127" s="181"/>
      <c r="AK127" s="176">
        <f t="shared" si="123"/>
        <v>0</v>
      </c>
      <c r="AL127" s="181"/>
      <c r="AM127" s="181"/>
      <c r="AN127" s="176">
        <f t="shared" si="124"/>
        <v>0</v>
      </c>
      <c r="AO127" s="181"/>
      <c r="AP127" s="181"/>
    </row>
    <row r="128" ht="12.75" customHeight="1">
      <c r="A128" s="179"/>
      <c r="B128" s="457">
        <v>46140.0</v>
      </c>
      <c r="C128" s="481"/>
      <c r="D128" s="196" t="s">
        <v>55</v>
      </c>
      <c r="E128" s="196" t="s">
        <v>97</v>
      </c>
      <c r="F128" s="196" t="s">
        <v>449</v>
      </c>
      <c r="G128" s="191">
        <v>956451.0</v>
      </c>
      <c r="H128" s="181">
        <f t="shared" ref="H128:J128" si="162">sum(K128,N128,Q128,T128,W128,Z128,AC128,AF128,AI128,AL128)</f>
        <v>0</v>
      </c>
      <c r="I128" s="181">
        <f t="shared" si="162"/>
        <v>24760</v>
      </c>
      <c r="J128" s="176">
        <f t="shared" si="162"/>
        <v>982272.12</v>
      </c>
      <c r="K128" s="181"/>
      <c r="L128" s="181"/>
      <c r="M128" s="329">
        <f t="shared" si="117"/>
        <v>-149117</v>
      </c>
      <c r="N128" s="181"/>
      <c r="O128" s="267">
        <v>24760.0</v>
      </c>
      <c r="P128" s="176">
        <f t="shared" si="118"/>
        <v>290775</v>
      </c>
      <c r="Q128" s="181"/>
      <c r="R128" s="181"/>
      <c r="S128" s="176">
        <f t="shared" si="119"/>
        <v>394900</v>
      </c>
      <c r="T128" s="181"/>
      <c r="U128" s="181"/>
      <c r="V128" s="176">
        <f t="shared" si="120"/>
        <v>299414.12</v>
      </c>
      <c r="W128" s="181"/>
      <c r="X128" s="181"/>
      <c r="Y128" s="176">
        <f t="shared" si="87"/>
        <v>0</v>
      </c>
      <c r="Z128" s="181"/>
      <c r="AA128" s="181"/>
      <c r="AB128" s="176">
        <f t="shared" si="29"/>
        <v>0</v>
      </c>
      <c r="AC128" s="181"/>
      <c r="AD128" s="181"/>
      <c r="AE128" s="176">
        <f t="shared" si="121"/>
        <v>0</v>
      </c>
      <c r="AF128" s="176"/>
      <c r="AG128" s="176"/>
      <c r="AH128" s="176">
        <f t="shared" si="122"/>
        <v>146300</v>
      </c>
      <c r="AI128" s="181"/>
      <c r="AJ128" s="181"/>
      <c r="AK128" s="176">
        <f t="shared" si="123"/>
        <v>0</v>
      </c>
      <c r="AL128" s="181"/>
      <c r="AM128" s="181"/>
      <c r="AN128" s="176">
        <f t="shared" si="124"/>
        <v>0</v>
      </c>
      <c r="AO128" s="181"/>
      <c r="AP128" s="181"/>
    </row>
    <row r="129" ht="12.75" customHeight="1">
      <c r="A129" s="179"/>
      <c r="B129" s="457">
        <v>46132.0</v>
      </c>
      <c r="C129" s="481"/>
      <c r="D129" s="196" t="s">
        <v>55</v>
      </c>
      <c r="E129" s="196" t="s">
        <v>405</v>
      </c>
      <c r="F129" s="196" t="s">
        <v>450</v>
      </c>
      <c r="G129" s="191">
        <v>956452.0</v>
      </c>
      <c r="H129" s="181">
        <f t="shared" ref="H129:J129" si="163">sum(K129,N129,Q129,T129,W129,Z129,AC129,AF129,AI129,AL129)</f>
        <v>0</v>
      </c>
      <c r="I129" s="181">
        <f t="shared" si="163"/>
        <v>7360</v>
      </c>
      <c r="J129" s="176">
        <f t="shared" si="163"/>
        <v>989632.12</v>
      </c>
      <c r="K129" s="181"/>
      <c r="L129" s="181"/>
      <c r="M129" s="329">
        <f t="shared" si="117"/>
        <v>-149117</v>
      </c>
      <c r="N129" s="181"/>
      <c r="O129" s="181"/>
      <c r="P129" s="176">
        <f t="shared" si="118"/>
        <v>290775</v>
      </c>
      <c r="Q129" s="181"/>
      <c r="R129" s="181"/>
      <c r="S129" s="176">
        <f t="shared" si="119"/>
        <v>394900</v>
      </c>
      <c r="T129" s="181"/>
      <c r="U129" s="267">
        <v>7360.0</v>
      </c>
      <c r="V129" s="176">
        <f t="shared" si="120"/>
        <v>306774.12</v>
      </c>
      <c r="W129" s="181"/>
      <c r="X129" s="181"/>
      <c r="Y129" s="176">
        <f t="shared" si="87"/>
        <v>0</v>
      </c>
      <c r="Z129" s="181"/>
      <c r="AA129" s="181"/>
      <c r="AB129" s="176">
        <f t="shared" si="29"/>
        <v>0</v>
      </c>
      <c r="AC129" s="181"/>
      <c r="AD129" s="181"/>
      <c r="AE129" s="176">
        <f t="shared" si="121"/>
        <v>0</v>
      </c>
      <c r="AF129" s="176"/>
      <c r="AG129" s="176"/>
      <c r="AH129" s="176">
        <f t="shared" si="122"/>
        <v>146300</v>
      </c>
      <c r="AI129" s="181"/>
      <c r="AJ129" s="181"/>
      <c r="AK129" s="176">
        <f t="shared" si="123"/>
        <v>0</v>
      </c>
      <c r="AL129" s="181"/>
      <c r="AM129" s="181"/>
      <c r="AN129" s="176">
        <f t="shared" si="124"/>
        <v>0</v>
      </c>
      <c r="AO129" s="181"/>
      <c r="AP129" s="181"/>
    </row>
    <row r="130" ht="12.75" customHeight="1">
      <c r="A130" s="179"/>
      <c r="B130" s="457">
        <v>46116.0</v>
      </c>
      <c r="C130" s="481"/>
      <c r="D130" s="196" t="s">
        <v>41</v>
      </c>
      <c r="E130" s="196" t="s">
        <v>97</v>
      </c>
      <c r="F130" s="180"/>
      <c r="G130" s="191">
        <v>943010.0</v>
      </c>
      <c r="H130" s="181">
        <f t="shared" ref="H130:J130" si="164">sum(K130,N130,Q130,T130,W130,Z130,AC130,AF130,AI130,AL130)</f>
        <v>18090</v>
      </c>
      <c r="I130" s="181">
        <f t="shared" si="164"/>
        <v>0</v>
      </c>
      <c r="J130" s="176">
        <f t="shared" si="164"/>
        <v>971542.12</v>
      </c>
      <c r="K130" s="181"/>
      <c r="L130" s="181"/>
      <c r="M130" s="329">
        <f t="shared" si="117"/>
        <v>-149117</v>
      </c>
      <c r="N130" s="197">
        <v>18090.0</v>
      </c>
      <c r="O130" s="181"/>
      <c r="P130" s="176">
        <f t="shared" si="118"/>
        <v>272685</v>
      </c>
      <c r="Q130" s="181"/>
      <c r="R130" s="181"/>
      <c r="S130" s="176">
        <f t="shared" si="119"/>
        <v>394900</v>
      </c>
      <c r="T130" s="181"/>
      <c r="U130" s="181"/>
      <c r="V130" s="176">
        <f t="shared" si="120"/>
        <v>306774.12</v>
      </c>
      <c r="W130" s="181"/>
      <c r="X130" s="181"/>
      <c r="Y130" s="176">
        <f t="shared" si="87"/>
        <v>0</v>
      </c>
      <c r="Z130" s="181"/>
      <c r="AA130" s="181"/>
      <c r="AB130" s="176">
        <f t="shared" si="29"/>
        <v>0</v>
      </c>
      <c r="AC130" s="181"/>
      <c r="AD130" s="181"/>
      <c r="AE130" s="176">
        <f t="shared" si="121"/>
        <v>0</v>
      </c>
      <c r="AF130" s="176"/>
      <c r="AG130" s="176"/>
      <c r="AH130" s="176">
        <f t="shared" si="122"/>
        <v>146300</v>
      </c>
      <c r="AI130" s="181"/>
      <c r="AJ130" s="181"/>
      <c r="AK130" s="176">
        <f t="shared" si="123"/>
        <v>0</v>
      </c>
      <c r="AL130" s="181"/>
      <c r="AM130" s="181"/>
      <c r="AN130" s="176">
        <f t="shared" si="124"/>
        <v>0</v>
      </c>
      <c r="AO130" s="181"/>
      <c r="AP130" s="181"/>
    </row>
    <row r="131" ht="12.75" customHeight="1">
      <c r="A131" s="179"/>
      <c r="B131" s="457">
        <v>46122.0</v>
      </c>
      <c r="C131" s="481"/>
      <c r="D131" s="196" t="s">
        <v>41</v>
      </c>
      <c r="E131" s="196" t="s">
        <v>97</v>
      </c>
      <c r="F131" s="180"/>
      <c r="G131" s="191">
        <v>943011.0</v>
      </c>
      <c r="H131" s="181">
        <f t="shared" ref="H131:J131" si="165">sum(K131,N131,Q131,T131,W131,Z131,AC131,AF131,AI131,AL131)</f>
        <v>7840</v>
      </c>
      <c r="I131" s="181">
        <f t="shared" si="165"/>
        <v>0</v>
      </c>
      <c r="J131" s="176">
        <f t="shared" si="165"/>
        <v>963702.12</v>
      </c>
      <c r="K131" s="181"/>
      <c r="L131" s="181"/>
      <c r="M131" s="329">
        <f t="shared" si="117"/>
        <v>-149117</v>
      </c>
      <c r="N131" s="197">
        <v>7840.0</v>
      </c>
      <c r="O131" s="181"/>
      <c r="P131" s="176">
        <f t="shared" si="118"/>
        <v>264845</v>
      </c>
      <c r="Q131" s="181"/>
      <c r="R131" s="181"/>
      <c r="S131" s="176">
        <f t="shared" si="119"/>
        <v>394900</v>
      </c>
      <c r="T131" s="181"/>
      <c r="U131" s="181"/>
      <c r="V131" s="176">
        <f t="shared" si="120"/>
        <v>306774.12</v>
      </c>
      <c r="W131" s="181"/>
      <c r="X131" s="181"/>
      <c r="Y131" s="176">
        <f t="shared" si="87"/>
        <v>0</v>
      </c>
      <c r="Z131" s="181"/>
      <c r="AA131" s="181"/>
      <c r="AB131" s="176">
        <f t="shared" si="29"/>
        <v>0</v>
      </c>
      <c r="AC131" s="181"/>
      <c r="AD131" s="181"/>
      <c r="AE131" s="176">
        <f t="shared" si="121"/>
        <v>0</v>
      </c>
      <c r="AF131" s="176"/>
      <c r="AG131" s="176"/>
      <c r="AH131" s="176">
        <f t="shared" si="122"/>
        <v>146300</v>
      </c>
      <c r="AI131" s="181"/>
      <c r="AJ131" s="181"/>
      <c r="AK131" s="176">
        <f t="shared" si="123"/>
        <v>0</v>
      </c>
      <c r="AL131" s="181"/>
      <c r="AM131" s="181"/>
      <c r="AN131" s="176">
        <f t="shared" si="124"/>
        <v>0</v>
      </c>
      <c r="AO131" s="181"/>
      <c r="AP131" s="181"/>
    </row>
    <row r="132" ht="12.75" customHeight="1">
      <c r="A132" s="179"/>
      <c r="B132" s="457">
        <v>46122.0</v>
      </c>
      <c r="C132" s="481"/>
      <c r="D132" s="196" t="s">
        <v>41</v>
      </c>
      <c r="E132" s="196" t="s">
        <v>160</v>
      </c>
      <c r="F132" s="180"/>
      <c r="G132" s="191">
        <v>942966.0</v>
      </c>
      <c r="H132" s="181">
        <f t="shared" ref="H132:J132" si="166">sum(K132,N132,Q132,T132,W132,Z132,AC132,AF132,AI132,AL132)</f>
        <v>20250</v>
      </c>
      <c r="I132" s="181">
        <f t="shared" si="166"/>
        <v>0</v>
      </c>
      <c r="J132" s="176">
        <f t="shared" si="166"/>
        <v>943452.12</v>
      </c>
      <c r="K132" s="181"/>
      <c r="L132" s="181"/>
      <c r="M132" s="329">
        <f t="shared" si="117"/>
        <v>-149117</v>
      </c>
      <c r="N132" s="181"/>
      <c r="O132" s="181"/>
      <c r="P132" s="176">
        <f t="shared" si="118"/>
        <v>264845</v>
      </c>
      <c r="Q132" s="197">
        <v>20250.0</v>
      </c>
      <c r="R132" s="181"/>
      <c r="S132" s="176">
        <f t="shared" si="119"/>
        <v>374650</v>
      </c>
      <c r="T132" s="181"/>
      <c r="U132" s="181"/>
      <c r="V132" s="176">
        <f t="shared" si="120"/>
        <v>306774.12</v>
      </c>
      <c r="W132" s="181"/>
      <c r="X132" s="181"/>
      <c r="Y132" s="176">
        <f t="shared" si="87"/>
        <v>0</v>
      </c>
      <c r="Z132" s="181"/>
      <c r="AA132" s="181"/>
      <c r="AB132" s="176">
        <f t="shared" si="29"/>
        <v>0</v>
      </c>
      <c r="AC132" s="181"/>
      <c r="AD132" s="181"/>
      <c r="AE132" s="176">
        <f t="shared" si="121"/>
        <v>0</v>
      </c>
      <c r="AF132" s="176"/>
      <c r="AG132" s="176"/>
      <c r="AH132" s="176">
        <f t="shared" si="122"/>
        <v>146300</v>
      </c>
      <c r="AI132" s="181"/>
      <c r="AJ132" s="181"/>
      <c r="AK132" s="176">
        <f t="shared" si="123"/>
        <v>0</v>
      </c>
      <c r="AL132" s="181"/>
      <c r="AM132" s="181"/>
      <c r="AN132" s="176">
        <f t="shared" si="124"/>
        <v>0</v>
      </c>
      <c r="AO132" s="181"/>
      <c r="AP132" s="181"/>
    </row>
    <row r="133" ht="12.75" customHeight="1">
      <c r="A133" s="179"/>
      <c r="B133" s="457">
        <v>46122.0</v>
      </c>
      <c r="C133" s="481"/>
      <c r="D133" s="196" t="s">
        <v>41</v>
      </c>
      <c r="E133" s="196" t="s">
        <v>162</v>
      </c>
      <c r="F133" s="180"/>
      <c r="G133" s="191">
        <v>942967.0</v>
      </c>
      <c r="H133" s="181">
        <f t="shared" ref="H133:J133" si="167">sum(K133,N133,Q133,T133,W133,Z133,AC133,AF133,AI133,AL133)</f>
        <v>3900</v>
      </c>
      <c r="I133" s="181">
        <f t="shared" si="167"/>
        <v>0</v>
      </c>
      <c r="J133" s="176">
        <f t="shared" si="167"/>
        <v>939552.12</v>
      </c>
      <c r="K133" s="181"/>
      <c r="L133" s="181"/>
      <c r="M133" s="329">
        <f t="shared" si="117"/>
        <v>-149117</v>
      </c>
      <c r="N133" s="181"/>
      <c r="O133" s="181"/>
      <c r="P133" s="176">
        <f t="shared" si="118"/>
        <v>264845</v>
      </c>
      <c r="Q133" s="197">
        <v>3900.0</v>
      </c>
      <c r="R133" s="181"/>
      <c r="S133" s="176">
        <f t="shared" si="119"/>
        <v>370750</v>
      </c>
      <c r="T133" s="181"/>
      <c r="U133" s="181"/>
      <c r="V133" s="176">
        <f t="shared" si="120"/>
        <v>306774.12</v>
      </c>
      <c r="W133" s="181"/>
      <c r="X133" s="181"/>
      <c r="Y133" s="176">
        <f t="shared" si="87"/>
        <v>0</v>
      </c>
      <c r="Z133" s="181"/>
      <c r="AA133" s="181"/>
      <c r="AB133" s="176">
        <f t="shared" si="29"/>
        <v>0</v>
      </c>
      <c r="AC133" s="181"/>
      <c r="AD133" s="181"/>
      <c r="AE133" s="176">
        <f t="shared" si="121"/>
        <v>0</v>
      </c>
      <c r="AF133" s="176"/>
      <c r="AG133" s="176"/>
      <c r="AH133" s="176">
        <f t="shared" si="122"/>
        <v>146300</v>
      </c>
      <c r="AI133" s="181"/>
      <c r="AJ133" s="181"/>
      <c r="AK133" s="176">
        <f t="shared" si="123"/>
        <v>0</v>
      </c>
      <c r="AL133" s="181"/>
      <c r="AM133" s="181"/>
      <c r="AN133" s="176">
        <f t="shared" si="124"/>
        <v>0</v>
      </c>
      <c r="AO133" s="181"/>
      <c r="AP133" s="181"/>
    </row>
    <row r="134" ht="12.75" customHeight="1">
      <c r="A134" s="179"/>
      <c r="B134" s="457">
        <v>46127.0</v>
      </c>
      <c r="C134" s="481"/>
      <c r="D134" s="196" t="s">
        <v>41</v>
      </c>
      <c r="E134" s="196" t="s">
        <v>164</v>
      </c>
      <c r="F134" s="180"/>
      <c r="G134" s="191" t="s">
        <v>749</v>
      </c>
      <c r="H134" s="181">
        <f t="shared" ref="H134:J134" si="168">sum(K134,N134,Q134,T134,W134,Z134,AC134,AF134,AI134,AL134)</f>
        <v>46200</v>
      </c>
      <c r="I134" s="181">
        <f t="shared" si="168"/>
        <v>0</v>
      </c>
      <c r="J134" s="176">
        <f t="shared" si="168"/>
        <v>893352.12</v>
      </c>
      <c r="K134" s="181"/>
      <c r="L134" s="181"/>
      <c r="M134" s="329">
        <f t="shared" si="117"/>
        <v>-149117</v>
      </c>
      <c r="N134" s="181"/>
      <c r="O134" s="181"/>
      <c r="P134" s="176">
        <f t="shared" si="118"/>
        <v>264845</v>
      </c>
      <c r="Q134" s="181"/>
      <c r="R134" s="181"/>
      <c r="S134" s="176">
        <f t="shared" si="119"/>
        <v>370750</v>
      </c>
      <c r="T134" s="181"/>
      <c r="U134" s="181"/>
      <c r="V134" s="176">
        <f t="shared" si="120"/>
        <v>306774.12</v>
      </c>
      <c r="W134" s="181"/>
      <c r="X134" s="181"/>
      <c r="Y134" s="176">
        <f t="shared" si="87"/>
        <v>0</v>
      </c>
      <c r="Z134" s="181"/>
      <c r="AA134" s="181"/>
      <c r="AB134" s="176">
        <f t="shared" si="29"/>
        <v>0</v>
      </c>
      <c r="AC134" s="181"/>
      <c r="AD134" s="181"/>
      <c r="AE134" s="176">
        <f t="shared" si="121"/>
        <v>0</v>
      </c>
      <c r="AF134" s="531">
        <v>46200.0</v>
      </c>
      <c r="AG134" s="176"/>
      <c r="AH134" s="176">
        <f t="shared" si="122"/>
        <v>100100</v>
      </c>
      <c r="AI134" s="181"/>
      <c r="AJ134" s="181"/>
      <c r="AK134" s="176">
        <f t="shared" si="123"/>
        <v>0</v>
      </c>
      <c r="AL134" s="181"/>
      <c r="AM134" s="181"/>
      <c r="AN134" s="176">
        <f t="shared" si="124"/>
        <v>0</v>
      </c>
      <c r="AO134" s="181"/>
      <c r="AP134" s="181"/>
    </row>
    <row r="135" ht="12.75" customHeight="1">
      <c r="A135" s="179"/>
      <c r="B135" s="457">
        <v>46129.0</v>
      </c>
      <c r="C135" s="481"/>
      <c r="D135" s="196" t="s">
        <v>41</v>
      </c>
      <c r="E135" s="196" t="s">
        <v>775</v>
      </c>
      <c r="F135" s="180"/>
      <c r="G135" s="191">
        <v>938049.0</v>
      </c>
      <c r="H135" s="181">
        <f t="shared" ref="H135:J135" si="169">sum(K135,N135,Q135,T135,W135,Z135,AC135,AF135,AI135,AL135)</f>
        <v>25400</v>
      </c>
      <c r="I135" s="181">
        <f t="shared" si="169"/>
        <v>0</v>
      </c>
      <c r="J135" s="176">
        <f t="shared" si="169"/>
        <v>867952.12</v>
      </c>
      <c r="K135" s="181"/>
      <c r="L135" s="181"/>
      <c r="M135" s="329">
        <f t="shared" si="117"/>
        <v>-149117</v>
      </c>
      <c r="N135" s="181"/>
      <c r="O135" s="181"/>
      <c r="P135" s="176">
        <f t="shared" si="118"/>
        <v>264845</v>
      </c>
      <c r="Q135" s="197">
        <v>25400.0</v>
      </c>
      <c r="R135" s="181"/>
      <c r="S135" s="176">
        <f t="shared" si="119"/>
        <v>345350</v>
      </c>
      <c r="T135" s="181"/>
      <c r="U135" s="181"/>
      <c r="V135" s="176">
        <f t="shared" si="120"/>
        <v>306774.12</v>
      </c>
      <c r="W135" s="181"/>
      <c r="X135" s="181"/>
      <c r="Y135" s="176">
        <f t="shared" si="87"/>
        <v>0</v>
      </c>
      <c r="Z135" s="181"/>
      <c r="AA135" s="181"/>
      <c r="AB135" s="176">
        <f t="shared" si="29"/>
        <v>0</v>
      </c>
      <c r="AC135" s="181"/>
      <c r="AD135" s="181"/>
      <c r="AE135" s="176">
        <f t="shared" si="121"/>
        <v>0</v>
      </c>
      <c r="AF135" s="176"/>
      <c r="AG135" s="176"/>
      <c r="AH135" s="176">
        <f t="shared" si="122"/>
        <v>100100</v>
      </c>
      <c r="AI135" s="181"/>
      <c r="AJ135" s="181"/>
      <c r="AK135" s="176">
        <f t="shared" si="123"/>
        <v>0</v>
      </c>
      <c r="AL135" s="181"/>
      <c r="AM135" s="181"/>
      <c r="AN135" s="176">
        <f t="shared" si="124"/>
        <v>0</v>
      </c>
      <c r="AO135" s="181"/>
      <c r="AP135" s="181"/>
    </row>
    <row r="136" ht="12.75" customHeight="1">
      <c r="A136" s="179"/>
      <c r="B136" s="457">
        <v>46129.0</v>
      </c>
      <c r="C136" s="481"/>
      <c r="D136" s="196" t="s">
        <v>41</v>
      </c>
      <c r="E136" s="196" t="s">
        <v>776</v>
      </c>
      <c r="F136" s="180"/>
      <c r="G136" s="191">
        <v>942968.0</v>
      </c>
      <c r="H136" s="181">
        <f t="shared" ref="H136:J136" si="170">sum(K136,N136,Q136,T136,W136,Z136,AC136,AF136,AI136,AL136)</f>
        <v>12600</v>
      </c>
      <c r="I136" s="181">
        <f t="shared" si="170"/>
        <v>0</v>
      </c>
      <c r="J136" s="176">
        <f t="shared" si="170"/>
        <v>855352.12</v>
      </c>
      <c r="K136" s="181"/>
      <c r="L136" s="181"/>
      <c r="M136" s="329">
        <f t="shared" si="117"/>
        <v>-149117</v>
      </c>
      <c r="N136" s="181"/>
      <c r="O136" s="181"/>
      <c r="P136" s="176">
        <f t="shared" si="118"/>
        <v>264845</v>
      </c>
      <c r="Q136" s="197">
        <v>12600.0</v>
      </c>
      <c r="R136" s="181"/>
      <c r="S136" s="176">
        <f t="shared" si="119"/>
        <v>332750</v>
      </c>
      <c r="T136" s="181"/>
      <c r="U136" s="181"/>
      <c r="V136" s="176">
        <f t="shared" si="120"/>
        <v>306774.12</v>
      </c>
      <c r="W136" s="181"/>
      <c r="X136" s="181"/>
      <c r="Y136" s="176">
        <f t="shared" si="87"/>
        <v>0</v>
      </c>
      <c r="Z136" s="181"/>
      <c r="AA136" s="181"/>
      <c r="AB136" s="176">
        <f t="shared" si="29"/>
        <v>0</v>
      </c>
      <c r="AC136" s="181"/>
      <c r="AD136" s="181"/>
      <c r="AE136" s="176">
        <f t="shared" si="121"/>
        <v>0</v>
      </c>
      <c r="AF136" s="176"/>
      <c r="AG136" s="176"/>
      <c r="AH136" s="176">
        <f t="shared" si="122"/>
        <v>100100</v>
      </c>
      <c r="AI136" s="181"/>
      <c r="AJ136" s="181"/>
      <c r="AK136" s="176">
        <f t="shared" si="123"/>
        <v>0</v>
      </c>
      <c r="AL136" s="181"/>
      <c r="AM136" s="181"/>
      <c r="AN136" s="176">
        <f t="shared" si="124"/>
        <v>0</v>
      </c>
      <c r="AO136" s="181"/>
      <c r="AP136" s="181"/>
    </row>
    <row r="137" ht="12.75" customHeight="1">
      <c r="A137" s="179"/>
      <c r="B137" s="457">
        <v>46133.0</v>
      </c>
      <c r="C137" s="481"/>
      <c r="D137" s="196" t="s">
        <v>41</v>
      </c>
      <c r="E137" s="196" t="s">
        <v>164</v>
      </c>
      <c r="F137" s="180"/>
      <c r="G137" s="191" t="s">
        <v>749</v>
      </c>
      <c r="H137" s="181">
        <f t="shared" ref="H137:J137" si="171">sum(K137,N137,Q137,T137,W137,Z137,AC137,AF137,AI137,AL137)</f>
        <v>23100</v>
      </c>
      <c r="I137" s="181">
        <f t="shared" si="171"/>
        <v>0</v>
      </c>
      <c r="J137" s="176">
        <f t="shared" si="171"/>
        <v>832252.12</v>
      </c>
      <c r="K137" s="181"/>
      <c r="L137" s="181"/>
      <c r="M137" s="329">
        <f t="shared" si="117"/>
        <v>-149117</v>
      </c>
      <c r="N137" s="181"/>
      <c r="O137" s="181"/>
      <c r="P137" s="176">
        <f t="shared" si="118"/>
        <v>264845</v>
      </c>
      <c r="Q137" s="181"/>
      <c r="R137" s="181"/>
      <c r="S137" s="176">
        <f t="shared" si="119"/>
        <v>332750</v>
      </c>
      <c r="T137" s="181"/>
      <c r="U137" s="181"/>
      <c r="V137" s="176">
        <f t="shared" si="120"/>
        <v>306774.12</v>
      </c>
      <c r="W137" s="181"/>
      <c r="X137" s="181"/>
      <c r="Y137" s="176">
        <f t="shared" si="87"/>
        <v>0</v>
      </c>
      <c r="Z137" s="181"/>
      <c r="AA137" s="181"/>
      <c r="AB137" s="176">
        <f t="shared" si="29"/>
        <v>0</v>
      </c>
      <c r="AC137" s="181"/>
      <c r="AD137" s="181"/>
      <c r="AE137" s="176">
        <f t="shared" si="121"/>
        <v>0</v>
      </c>
      <c r="AF137" s="531">
        <v>23100.0</v>
      </c>
      <c r="AG137" s="176"/>
      <c r="AH137" s="176">
        <f t="shared" si="122"/>
        <v>77000</v>
      </c>
      <c r="AI137" s="181"/>
      <c r="AJ137" s="181"/>
      <c r="AK137" s="176">
        <f t="shared" si="123"/>
        <v>0</v>
      </c>
      <c r="AL137" s="181"/>
      <c r="AM137" s="181"/>
      <c r="AN137" s="176">
        <f t="shared" si="124"/>
        <v>0</v>
      </c>
      <c r="AO137" s="181"/>
      <c r="AP137" s="181"/>
    </row>
    <row r="138" ht="12.75" customHeight="1">
      <c r="A138" s="179"/>
      <c r="B138" s="457">
        <v>46132.0</v>
      </c>
      <c r="C138" s="481"/>
      <c r="D138" s="196" t="s">
        <v>41</v>
      </c>
      <c r="E138" s="196" t="s">
        <v>145</v>
      </c>
      <c r="F138" s="180"/>
      <c r="G138" s="191">
        <v>938021.0</v>
      </c>
      <c r="H138" s="181">
        <f t="shared" ref="H138:J138" si="172">sum(K138,N138,Q138,T138,W138,Z138,AC138,AF138,AI138,AL138)</f>
        <v>20000</v>
      </c>
      <c r="I138" s="181">
        <f t="shared" si="172"/>
        <v>0</v>
      </c>
      <c r="J138" s="176">
        <f t="shared" si="172"/>
        <v>812252.12</v>
      </c>
      <c r="K138" s="197">
        <v>20000.0</v>
      </c>
      <c r="L138" s="197"/>
      <c r="M138" s="329">
        <f t="shared" si="117"/>
        <v>-169117</v>
      </c>
      <c r="N138" s="181"/>
      <c r="O138" s="181"/>
      <c r="P138" s="176">
        <f t="shared" si="118"/>
        <v>264845</v>
      </c>
      <c r="Q138" s="181"/>
      <c r="R138" s="181"/>
      <c r="S138" s="176">
        <f t="shared" si="119"/>
        <v>332750</v>
      </c>
      <c r="T138" s="181"/>
      <c r="U138" s="181"/>
      <c r="V138" s="176">
        <f t="shared" si="120"/>
        <v>306774.12</v>
      </c>
      <c r="W138" s="181"/>
      <c r="X138" s="181"/>
      <c r="Y138" s="176">
        <f t="shared" si="87"/>
        <v>0</v>
      </c>
      <c r="Z138" s="181"/>
      <c r="AA138" s="181"/>
      <c r="AB138" s="176">
        <f t="shared" si="29"/>
        <v>0</v>
      </c>
      <c r="AC138" s="181"/>
      <c r="AD138" s="181"/>
      <c r="AE138" s="176">
        <f t="shared" si="121"/>
        <v>0</v>
      </c>
      <c r="AF138" s="176"/>
      <c r="AG138" s="176"/>
      <c r="AH138" s="176">
        <f t="shared" si="122"/>
        <v>77000</v>
      </c>
      <c r="AI138" s="181"/>
      <c r="AJ138" s="181"/>
      <c r="AK138" s="176">
        <f t="shared" si="123"/>
        <v>0</v>
      </c>
      <c r="AL138" s="181"/>
      <c r="AM138" s="181"/>
      <c r="AN138" s="176">
        <f t="shared" si="124"/>
        <v>0</v>
      </c>
      <c r="AO138" s="181"/>
      <c r="AP138" s="181"/>
    </row>
    <row r="139" ht="12.75" customHeight="1">
      <c r="A139" s="179"/>
      <c r="B139" s="457">
        <v>46129.0</v>
      </c>
      <c r="C139" s="481"/>
      <c r="D139" s="196" t="s">
        <v>41</v>
      </c>
      <c r="E139" s="196" t="s">
        <v>97</v>
      </c>
      <c r="F139" s="180"/>
      <c r="G139" s="191">
        <v>943020.0</v>
      </c>
      <c r="H139" s="181">
        <f t="shared" ref="H139:J139" si="173">sum(K139,N139,Q139,T139,W139,Z139,AC139,AF139,AI139,AL139)</f>
        <v>20695</v>
      </c>
      <c r="I139" s="181">
        <f t="shared" si="173"/>
        <v>0</v>
      </c>
      <c r="J139" s="176">
        <f t="shared" si="173"/>
        <v>791557.12</v>
      </c>
      <c r="K139" s="181"/>
      <c r="L139" s="181"/>
      <c r="M139" s="329">
        <f t="shared" si="117"/>
        <v>-169117</v>
      </c>
      <c r="N139" s="531">
        <v>20695.0</v>
      </c>
      <c r="O139" s="181"/>
      <c r="P139" s="176">
        <f t="shared" si="118"/>
        <v>244150</v>
      </c>
      <c r="Q139" s="181"/>
      <c r="R139" s="181"/>
      <c r="S139" s="176">
        <f t="shared" si="119"/>
        <v>332750</v>
      </c>
      <c r="T139" s="181"/>
      <c r="U139" s="181"/>
      <c r="V139" s="176">
        <f t="shared" si="120"/>
        <v>306774.12</v>
      </c>
      <c r="W139" s="181"/>
      <c r="X139" s="181"/>
      <c r="Y139" s="176">
        <f t="shared" si="87"/>
        <v>0</v>
      </c>
      <c r="Z139" s="181"/>
      <c r="AA139" s="181"/>
      <c r="AB139" s="176">
        <f t="shared" si="29"/>
        <v>0</v>
      </c>
      <c r="AC139" s="181"/>
      <c r="AD139" s="181"/>
      <c r="AE139" s="176">
        <f t="shared" si="121"/>
        <v>0</v>
      </c>
      <c r="AF139" s="176"/>
      <c r="AG139" s="176"/>
      <c r="AH139" s="176">
        <f t="shared" si="122"/>
        <v>77000</v>
      </c>
      <c r="AI139" s="181"/>
      <c r="AJ139" s="181"/>
      <c r="AK139" s="176">
        <f t="shared" si="123"/>
        <v>0</v>
      </c>
      <c r="AL139" s="181"/>
      <c r="AM139" s="181"/>
      <c r="AN139" s="176">
        <f t="shared" si="124"/>
        <v>0</v>
      </c>
      <c r="AO139" s="181"/>
      <c r="AP139" s="181"/>
    </row>
    <row r="140" ht="12.75" customHeight="1">
      <c r="A140" s="179"/>
      <c r="B140" s="457">
        <v>46129.0</v>
      </c>
      <c r="C140" s="481"/>
      <c r="D140" s="196" t="s">
        <v>41</v>
      </c>
      <c r="E140" s="196" t="s">
        <v>97</v>
      </c>
      <c r="F140" s="180"/>
      <c r="G140" s="191">
        <v>943022.0</v>
      </c>
      <c r="H140" s="181">
        <f t="shared" ref="H140:J140" si="174">sum(K140,N140,Q140,T140,W140,Z140,AC140,AF140,AI140,AL140)</f>
        <v>38530</v>
      </c>
      <c r="I140" s="181">
        <f t="shared" si="174"/>
        <v>0</v>
      </c>
      <c r="J140" s="176">
        <f t="shared" si="174"/>
        <v>753027.12</v>
      </c>
      <c r="K140" s="181"/>
      <c r="L140" s="181"/>
      <c r="M140" s="329">
        <f t="shared" si="117"/>
        <v>-169117</v>
      </c>
      <c r="N140" s="531">
        <v>38530.0</v>
      </c>
      <c r="O140" s="181"/>
      <c r="P140" s="176">
        <f t="shared" si="118"/>
        <v>205620</v>
      </c>
      <c r="Q140" s="181"/>
      <c r="R140" s="181"/>
      <c r="S140" s="176">
        <f t="shared" si="119"/>
        <v>332750</v>
      </c>
      <c r="T140" s="181"/>
      <c r="U140" s="181"/>
      <c r="V140" s="176">
        <f t="shared" si="120"/>
        <v>306774.12</v>
      </c>
      <c r="W140" s="181"/>
      <c r="X140" s="181"/>
      <c r="Y140" s="176">
        <f t="shared" si="87"/>
        <v>0</v>
      </c>
      <c r="Z140" s="181"/>
      <c r="AA140" s="181"/>
      <c r="AB140" s="176">
        <f t="shared" si="29"/>
        <v>0</v>
      </c>
      <c r="AC140" s="181"/>
      <c r="AD140" s="181"/>
      <c r="AE140" s="176">
        <f t="shared" si="121"/>
        <v>0</v>
      </c>
      <c r="AF140" s="176"/>
      <c r="AG140" s="176"/>
      <c r="AH140" s="176">
        <f t="shared" si="122"/>
        <v>77000</v>
      </c>
      <c r="AI140" s="181"/>
      <c r="AJ140" s="181"/>
      <c r="AK140" s="176">
        <f t="shared" si="123"/>
        <v>0</v>
      </c>
      <c r="AL140" s="181"/>
      <c r="AM140" s="181"/>
      <c r="AN140" s="176">
        <f t="shared" si="124"/>
        <v>0</v>
      </c>
      <c r="AO140" s="181"/>
      <c r="AP140" s="181"/>
    </row>
    <row r="141" ht="12.75" customHeight="1">
      <c r="A141" s="179"/>
      <c r="B141" s="457">
        <v>46136.0</v>
      </c>
      <c r="C141" s="481"/>
      <c r="D141" s="196" t="s">
        <v>41</v>
      </c>
      <c r="E141" s="196" t="s">
        <v>183</v>
      </c>
      <c r="F141" s="180"/>
      <c r="G141" s="191">
        <v>938050.0</v>
      </c>
      <c r="H141" s="181">
        <f t="shared" ref="H141:J141" si="175">sum(K141,N141,Q141,T141,W141,Z141,AC141,AF141,AI141,AL141)</f>
        <v>31300</v>
      </c>
      <c r="I141" s="181">
        <f t="shared" si="175"/>
        <v>0</v>
      </c>
      <c r="J141" s="176">
        <f t="shared" si="175"/>
        <v>721727.12</v>
      </c>
      <c r="K141" s="181"/>
      <c r="L141" s="181"/>
      <c r="M141" s="329">
        <f t="shared" si="117"/>
        <v>-169117</v>
      </c>
      <c r="N141" s="181"/>
      <c r="O141" s="181"/>
      <c r="P141" s="176">
        <f t="shared" si="118"/>
        <v>205620</v>
      </c>
      <c r="Q141" s="197">
        <v>31300.0</v>
      </c>
      <c r="R141" s="181"/>
      <c r="S141" s="176">
        <f t="shared" si="119"/>
        <v>301450</v>
      </c>
      <c r="T141" s="181"/>
      <c r="U141" s="181"/>
      <c r="V141" s="176">
        <f t="shared" si="120"/>
        <v>306774.12</v>
      </c>
      <c r="W141" s="181"/>
      <c r="X141" s="181"/>
      <c r="Y141" s="176">
        <f t="shared" si="87"/>
        <v>0</v>
      </c>
      <c r="Z141" s="181"/>
      <c r="AA141" s="181"/>
      <c r="AB141" s="176">
        <f t="shared" si="29"/>
        <v>0</v>
      </c>
      <c r="AC141" s="181"/>
      <c r="AD141" s="181"/>
      <c r="AE141" s="176">
        <f t="shared" si="121"/>
        <v>0</v>
      </c>
      <c r="AF141" s="176"/>
      <c r="AG141" s="176"/>
      <c r="AH141" s="176">
        <f t="shared" si="122"/>
        <v>77000</v>
      </c>
      <c r="AI141" s="181"/>
      <c r="AJ141" s="181"/>
      <c r="AK141" s="176">
        <f t="shared" si="123"/>
        <v>0</v>
      </c>
      <c r="AL141" s="181"/>
      <c r="AM141" s="181"/>
      <c r="AN141" s="176">
        <f t="shared" si="124"/>
        <v>0</v>
      </c>
      <c r="AO141" s="181"/>
      <c r="AP141" s="181"/>
    </row>
    <row r="142" ht="12.75" customHeight="1">
      <c r="A142" s="179"/>
      <c r="B142" s="457">
        <v>46136.0</v>
      </c>
      <c r="C142" s="481"/>
      <c r="D142" s="196" t="s">
        <v>41</v>
      </c>
      <c r="E142" s="196" t="s">
        <v>97</v>
      </c>
      <c r="F142" s="180"/>
      <c r="G142" s="191">
        <v>943024.0</v>
      </c>
      <c r="H142" s="181">
        <f t="shared" ref="H142:J142" si="176">sum(K142,N142,Q142,T142,W142,Z142,AC142,AF142,AI142,AL142)</f>
        <v>18080</v>
      </c>
      <c r="I142" s="181">
        <f t="shared" si="176"/>
        <v>0</v>
      </c>
      <c r="J142" s="176">
        <f t="shared" si="176"/>
        <v>703647.12</v>
      </c>
      <c r="K142" s="181"/>
      <c r="L142" s="181"/>
      <c r="M142" s="329">
        <f t="shared" si="117"/>
        <v>-169117</v>
      </c>
      <c r="N142" s="531">
        <v>18080.0</v>
      </c>
      <c r="O142" s="181"/>
      <c r="P142" s="176">
        <f t="shared" si="118"/>
        <v>187540</v>
      </c>
      <c r="Q142" s="181"/>
      <c r="R142" s="181"/>
      <c r="S142" s="176">
        <f t="shared" si="119"/>
        <v>301450</v>
      </c>
      <c r="T142" s="181"/>
      <c r="U142" s="181"/>
      <c r="V142" s="176">
        <f t="shared" si="120"/>
        <v>306774.12</v>
      </c>
      <c r="W142" s="181"/>
      <c r="X142" s="181"/>
      <c r="Y142" s="176">
        <f t="shared" si="87"/>
        <v>0</v>
      </c>
      <c r="Z142" s="181"/>
      <c r="AA142" s="181"/>
      <c r="AB142" s="176">
        <f t="shared" si="29"/>
        <v>0</v>
      </c>
      <c r="AC142" s="181"/>
      <c r="AD142" s="181"/>
      <c r="AE142" s="176">
        <f t="shared" si="121"/>
        <v>0</v>
      </c>
      <c r="AF142" s="176"/>
      <c r="AG142" s="176"/>
      <c r="AH142" s="176">
        <f t="shared" si="122"/>
        <v>77000</v>
      </c>
      <c r="AI142" s="181"/>
      <c r="AJ142" s="181"/>
      <c r="AK142" s="176">
        <f t="shared" si="123"/>
        <v>0</v>
      </c>
      <c r="AL142" s="181"/>
      <c r="AM142" s="181"/>
      <c r="AN142" s="176">
        <f t="shared" si="124"/>
        <v>0</v>
      </c>
      <c r="AO142" s="181"/>
      <c r="AP142" s="181"/>
    </row>
    <row r="143" ht="12.75" customHeight="1">
      <c r="A143" s="538"/>
      <c r="B143" s="539">
        <v>46136.0</v>
      </c>
      <c r="C143" s="540"/>
      <c r="D143" s="541" t="s">
        <v>41</v>
      </c>
      <c r="E143" s="541" t="s">
        <v>186</v>
      </c>
      <c r="F143" s="542"/>
      <c r="G143" s="617">
        <v>943027.0</v>
      </c>
      <c r="H143" s="545">
        <f t="shared" ref="H143:J143" si="177">sum(K143,N143,Q143,T143,W143,Z143,AC143,AF143,AI143,AL143)</f>
        <v>25000</v>
      </c>
      <c r="I143" s="545">
        <f t="shared" si="177"/>
        <v>0</v>
      </c>
      <c r="J143" s="546">
        <f t="shared" si="177"/>
        <v>678647.12</v>
      </c>
      <c r="K143" s="545"/>
      <c r="L143" s="545"/>
      <c r="M143" s="547">
        <f t="shared" si="117"/>
        <v>-169117</v>
      </c>
      <c r="N143" s="545"/>
      <c r="O143" s="545"/>
      <c r="P143" s="546">
        <f t="shared" si="118"/>
        <v>187540</v>
      </c>
      <c r="Q143" s="545"/>
      <c r="R143" s="545"/>
      <c r="S143" s="546">
        <f t="shared" si="119"/>
        <v>301450</v>
      </c>
      <c r="T143" s="625">
        <v>25000.0</v>
      </c>
      <c r="U143" s="545"/>
      <c r="V143" s="546">
        <f t="shared" si="120"/>
        <v>281774.12</v>
      </c>
      <c r="W143" s="545"/>
      <c r="X143" s="545"/>
      <c r="Y143" s="546">
        <f t="shared" si="87"/>
        <v>0</v>
      </c>
      <c r="Z143" s="545"/>
      <c r="AA143" s="545"/>
      <c r="AB143" s="546">
        <f t="shared" si="29"/>
        <v>0</v>
      </c>
      <c r="AC143" s="545"/>
      <c r="AD143" s="545"/>
      <c r="AE143" s="546">
        <f t="shared" si="121"/>
        <v>0</v>
      </c>
      <c r="AF143" s="546"/>
      <c r="AG143" s="546"/>
      <c r="AH143" s="546">
        <f t="shared" si="122"/>
        <v>77000</v>
      </c>
      <c r="AI143" s="545"/>
      <c r="AJ143" s="545"/>
      <c r="AK143" s="546">
        <f t="shared" si="123"/>
        <v>0</v>
      </c>
      <c r="AL143" s="545"/>
      <c r="AM143" s="545"/>
      <c r="AN143" s="546">
        <f t="shared" si="124"/>
        <v>0</v>
      </c>
      <c r="AO143" s="545"/>
      <c r="AP143" s="545"/>
    </row>
    <row r="144" ht="12.75" customHeight="1">
      <c r="A144" s="179"/>
      <c r="B144" s="457">
        <v>46147.0</v>
      </c>
      <c r="C144" s="481"/>
      <c r="D144" s="196" t="s">
        <v>55</v>
      </c>
      <c r="E144" s="196" t="s">
        <v>97</v>
      </c>
      <c r="F144" s="196" t="s">
        <v>452</v>
      </c>
      <c r="G144" s="460"/>
      <c r="H144" s="181">
        <f t="shared" ref="H144:J144" si="178">sum(K144,N144,Q144,T144,W144,Z144,AC144,AF144,AI144,AL144)</f>
        <v>0</v>
      </c>
      <c r="I144" s="181">
        <f t="shared" si="178"/>
        <v>15170</v>
      </c>
      <c r="J144" s="176">
        <f t="shared" si="178"/>
        <v>693817.12</v>
      </c>
      <c r="K144" s="181"/>
      <c r="L144" s="181"/>
      <c r="M144" s="329">
        <f t="shared" si="117"/>
        <v>-169117</v>
      </c>
      <c r="N144" s="181"/>
      <c r="O144" s="531">
        <v>15170.0</v>
      </c>
      <c r="P144" s="176">
        <f t="shared" si="118"/>
        <v>202710</v>
      </c>
      <c r="Q144" s="181"/>
      <c r="R144" s="181"/>
      <c r="S144" s="176">
        <f t="shared" si="119"/>
        <v>301450</v>
      </c>
      <c r="T144" s="181"/>
      <c r="U144" s="181"/>
      <c r="V144" s="176">
        <f t="shared" si="120"/>
        <v>281774.12</v>
      </c>
      <c r="W144" s="181"/>
      <c r="X144" s="181"/>
      <c r="Y144" s="176">
        <f t="shared" si="87"/>
        <v>0</v>
      </c>
      <c r="Z144" s="181"/>
      <c r="AA144" s="181"/>
      <c r="AB144" s="176">
        <f t="shared" si="29"/>
        <v>0</v>
      </c>
      <c r="AC144" s="181"/>
      <c r="AD144" s="181"/>
      <c r="AE144" s="176">
        <f t="shared" si="121"/>
        <v>0</v>
      </c>
      <c r="AF144" s="176"/>
      <c r="AG144" s="176"/>
      <c r="AH144" s="176">
        <f t="shared" si="122"/>
        <v>77000</v>
      </c>
      <c r="AI144" s="181"/>
      <c r="AJ144" s="181"/>
      <c r="AK144" s="176">
        <f t="shared" si="123"/>
        <v>0</v>
      </c>
      <c r="AL144" s="181"/>
      <c r="AM144" s="181"/>
      <c r="AN144" s="176">
        <f t="shared" si="124"/>
        <v>0</v>
      </c>
      <c r="AO144" s="181"/>
      <c r="AP144" s="181"/>
    </row>
    <row r="145" ht="12.75" customHeight="1">
      <c r="A145" s="179"/>
      <c r="B145" s="457">
        <v>46149.0</v>
      </c>
      <c r="C145" s="481"/>
      <c r="D145" s="196" t="s">
        <v>55</v>
      </c>
      <c r="E145" s="196" t="s">
        <v>97</v>
      </c>
      <c r="F145" s="196" t="s">
        <v>453</v>
      </c>
      <c r="G145" s="460"/>
      <c r="H145" s="181">
        <f t="shared" ref="H145:J145" si="179">sum(K145,N145,Q145,T145,W145,Z145,AC145,AF145,AI145,AL145)</f>
        <v>0</v>
      </c>
      <c r="I145" s="181">
        <f t="shared" si="179"/>
        <v>5200</v>
      </c>
      <c r="J145" s="176">
        <f t="shared" si="179"/>
        <v>699017.12</v>
      </c>
      <c r="K145" s="181"/>
      <c r="L145" s="181"/>
      <c r="M145" s="329">
        <f t="shared" si="117"/>
        <v>-169117</v>
      </c>
      <c r="N145" s="181"/>
      <c r="O145" s="531">
        <v>5200.0</v>
      </c>
      <c r="P145" s="176">
        <f t="shared" si="118"/>
        <v>207910</v>
      </c>
      <c r="Q145" s="181"/>
      <c r="R145" s="181"/>
      <c r="S145" s="176">
        <f t="shared" si="119"/>
        <v>301450</v>
      </c>
      <c r="T145" s="181"/>
      <c r="U145" s="181"/>
      <c r="V145" s="176">
        <f t="shared" si="120"/>
        <v>281774.12</v>
      </c>
      <c r="W145" s="181"/>
      <c r="X145" s="181"/>
      <c r="Y145" s="176">
        <f t="shared" si="87"/>
        <v>0</v>
      </c>
      <c r="Z145" s="181"/>
      <c r="AA145" s="181"/>
      <c r="AB145" s="176">
        <f t="shared" si="29"/>
        <v>0</v>
      </c>
      <c r="AC145" s="181"/>
      <c r="AD145" s="181"/>
      <c r="AE145" s="176">
        <f t="shared" si="121"/>
        <v>0</v>
      </c>
      <c r="AF145" s="176"/>
      <c r="AG145" s="176"/>
      <c r="AH145" s="176">
        <f t="shared" si="122"/>
        <v>77000</v>
      </c>
      <c r="AI145" s="181"/>
      <c r="AJ145" s="181"/>
      <c r="AK145" s="176">
        <f t="shared" si="123"/>
        <v>0</v>
      </c>
      <c r="AL145" s="181"/>
      <c r="AM145" s="181"/>
      <c r="AN145" s="176">
        <f t="shared" si="124"/>
        <v>0</v>
      </c>
      <c r="AO145" s="181"/>
      <c r="AP145" s="181"/>
    </row>
    <row r="146" ht="12.75" customHeight="1">
      <c r="A146" s="179"/>
      <c r="B146" s="457">
        <v>46149.0</v>
      </c>
      <c r="C146" s="481"/>
      <c r="D146" s="196" t="s">
        <v>55</v>
      </c>
      <c r="E146" s="196" t="s">
        <v>341</v>
      </c>
      <c r="F146" s="196" t="s">
        <v>455</v>
      </c>
      <c r="G146" s="460"/>
      <c r="H146" s="181">
        <f t="shared" ref="H146:J146" si="180">sum(K146,N146,Q146,T146,W146,Z146,AC146,AF146,AI146,AL146)</f>
        <v>0</v>
      </c>
      <c r="I146" s="181">
        <f t="shared" si="180"/>
        <v>7500</v>
      </c>
      <c r="J146" s="176">
        <f t="shared" si="180"/>
        <v>706517.12</v>
      </c>
      <c r="K146" s="181"/>
      <c r="L146" s="181"/>
      <c r="M146" s="329">
        <f t="shared" si="117"/>
        <v>-169117</v>
      </c>
      <c r="N146" s="181"/>
      <c r="O146" s="181"/>
      <c r="P146" s="176">
        <f t="shared" si="118"/>
        <v>207910</v>
      </c>
      <c r="Q146" s="181"/>
      <c r="R146" s="531">
        <v>7500.0</v>
      </c>
      <c r="S146" s="176">
        <f t="shared" si="119"/>
        <v>308950</v>
      </c>
      <c r="T146" s="181"/>
      <c r="U146" s="181"/>
      <c r="V146" s="176">
        <f t="shared" si="120"/>
        <v>281774.12</v>
      </c>
      <c r="W146" s="181"/>
      <c r="X146" s="181"/>
      <c r="Y146" s="176">
        <f t="shared" si="87"/>
        <v>0</v>
      </c>
      <c r="Z146" s="181"/>
      <c r="AA146" s="181"/>
      <c r="AB146" s="176">
        <f t="shared" si="29"/>
        <v>0</v>
      </c>
      <c r="AC146" s="181"/>
      <c r="AD146" s="181"/>
      <c r="AE146" s="176">
        <f t="shared" si="121"/>
        <v>0</v>
      </c>
      <c r="AF146" s="176"/>
      <c r="AG146" s="176"/>
      <c r="AH146" s="176">
        <f t="shared" si="122"/>
        <v>77000</v>
      </c>
      <c r="AI146" s="181"/>
      <c r="AJ146" s="181"/>
      <c r="AK146" s="176">
        <f t="shared" si="123"/>
        <v>0</v>
      </c>
      <c r="AL146" s="181"/>
      <c r="AM146" s="181"/>
      <c r="AN146" s="176">
        <f t="shared" si="124"/>
        <v>0</v>
      </c>
      <c r="AO146" s="181"/>
      <c r="AP146" s="181"/>
    </row>
    <row r="147" ht="12.75" customHeight="1">
      <c r="A147" s="179"/>
      <c r="B147" s="457">
        <v>46155.0</v>
      </c>
      <c r="C147" s="481"/>
      <c r="D147" s="196" t="s">
        <v>55</v>
      </c>
      <c r="E147" s="196" t="s">
        <v>97</v>
      </c>
      <c r="F147" s="196" t="s">
        <v>457</v>
      </c>
      <c r="G147" s="460"/>
      <c r="H147" s="181">
        <f t="shared" ref="H147:J147" si="181">sum(K147,N147,Q147,T147,W147,Z147,AC147,AF147,AI147,AL147)</f>
        <v>0</v>
      </c>
      <c r="I147" s="181">
        <f t="shared" si="181"/>
        <v>36595</v>
      </c>
      <c r="J147" s="176">
        <f t="shared" si="181"/>
        <v>743112.12</v>
      </c>
      <c r="K147" s="181"/>
      <c r="L147" s="181"/>
      <c r="M147" s="329">
        <f t="shared" si="117"/>
        <v>-169117</v>
      </c>
      <c r="N147" s="181"/>
      <c r="O147" s="531">
        <v>36595.0</v>
      </c>
      <c r="P147" s="176">
        <f t="shared" si="118"/>
        <v>244505</v>
      </c>
      <c r="Q147" s="181"/>
      <c r="R147" s="181"/>
      <c r="S147" s="176">
        <f t="shared" si="119"/>
        <v>308950</v>
      </c>
      <c r="T147" s="181"/>
      <c r="U147" s="181"/>
      <c r="V147" s="176">
        <f t="shared" si="120"/>
        <v>281774.12</v>
      </c>
      <c r="W147" s="181"/>
      <c r="X147" s="181"/>
      <c r="Y147" s="176">
        <f t="shared" si="87"/>
        <v>0</v>
      </c>
      <c r="Z147" s="181"/>
      <c r="AA147" s="181"/>
      <c r="AB147" s="176">
        <f t="shared" si="29"/>
        <v>0</v>
      </c>
      <c r="AC147" s="181"/>
      <c r="AD147" s="181"/>
      <c r="AE147" s="176">
        <f t="shared" si="121"/>
        <v>0</v>
      </c>
      <c r="AF147" s="176"/>
      <c r="AG147" s="176"/>
      <c r="AH147" s="176">
        <f t="shared" si="122"/>
        <v>77000</v>
      </c>
      <c r="AI147" s="181"/>
      <c r="AJ147" s="181"/>
      <c r="AK147" s="176">
        <f t="shared" si="123"/>
        <v>0</v>
      </c>
      <c r="AL147" s="181"/>
      <c r="AM147" s="181"/>
      <c r="AN147" s="176">
        <f t="shared" si="124"/>
        <v>0</v>
      </c>
      <c r="AO147" s="181"/>
      <c r="AP147" s="181"/>
    </row>
    <row r="148" ht="12.75" customHeight="1">
      <c r="A148" s="179"/>
      <c r="B148" s="457">
        <v>46162.0</v>
      </c>
      <c r="C148" s="481"/>
      <c r="D148" s="196" t="s">
        <v>55</v>
      </c>
      <c r="E148" s="196" t="s">
        <v>97</v>
      </c>
      <c r="F148" s="196" t="s">
        <v>461</v>
      </c>
      <c r="G148" s="460"/>
      <c r="H148" s="181">
        <f t="shared" ref="H148:J148" si="182">sum(K148,N148,Q148,T148,W148,Z148,AC148,AF148,AI148,AL148)</f>
        <v>0</v>
      </c>
      <c r="I148" s="181">
        <f t="shared" si="182"/>
        <v>48685</v>
      </c>
      <c r="J148" s="176">
        <f t="shared" si="182"/>
        <v>791797.12</v>
      </c>
      <c r="K148" s="181"/>
      <c r="L148" s="181"/>
      <c r="M148" s="329">
        <f t="shared" si="117"/>
        <v>-169117</v>
      </c>
      <c r="N148" s="181"/>
      <c r="O148" s="531">
        <v>48685.0</v>
      </c>
      <c r="P148" s="176">
        <f t="shared" si="118"/>
        <v>293190</v>
      </c>
      <c r="Q148" s="181"/>
      <c r="R148" s="181"/>
      <c r="S148" s="176">
        <f t="shared" si="119"/>
        <v>308950</v>
      </c>
      <c r="T148" s="181"/>
      <c r="U148" s="181"/>
      <c r="V148" s="176">
        <f t="shared" si="120"/>
        <v>281774.12</v>
      </c>
      <c r="W148" s="181"/>
      <c r="X148" s="181"/>
      <c r="Y148" s="176">
        <f t="shared" si="87"/>
        <v>0</v>
      </c>
      <c r="Z148" s="181"/>
      <c r="AA148" s="181"/>
      <c r="AB148" s="176">
        <f t="shared" si="29"/>
        <v>0</v>
      </c>
      <c r="AC148" s="181"/>
      <c r="AD148" s="181"/>
      <c r="AE148" s="176">
        <f t="shared" si="121"/>
        <v>0</v>
      </c>
      <c r="AF148" s="176"/>
      <c r="AG148" s="176"/>
      <c r="AH148" s="176">
        <f t="shared" si="122"/>
        <v>77000</v>
      </c>
      <c r="AI148" s="181"/>
      <c r="AJ148" s="181"/>
      <c r="AK148" s="176">
        <f t="shared" si="123"/>
        <v>0</v>
      </c>
      <c r="AL148" s="181"/>
      <c r="AM148" s="181"/>
      <c r="AN148" s="176">
        <f t="shared" si="124"/>
        <v>0</v>
      </c>
      <c r="AO148" s="181"/>
      <c r="AP148" s="181"/>
    </row>
    <row r="149" ht="12.75" customHeight="1">
      <c r="A149" s="179"/>
      <c r="B149" s="457">
        <v>46155.0</v>
      </c>
      <c r="C149" s="481"/>
      <c r="D149" s="196" t="s">
        <v>55</v>
      </c>
      <c r="E149" s="196" t="s">
        <v>341</v>
      </c>
      <c r="F149" s="196" t="s">
        <v>465</v>
      </c>
      <c r="G149" s="460"/>
      <c r="H149" s="181">
        <f t="shared" ref="H149:J149" si="183">sum(K149,N149,Q149,T149,W149,Z149,AC149,AF149,AI149,AL149)</f>
        <v>0</v>
      </c>
      <c r="I149" s="181">
        <f t="shared" si="183"/>
        <v>53890</v>
      </c>
      <c r="J149" s="176">
        <f t="shared" si="183"/>
        <v>845687.12</v>
      </c>
      <c r="K149" s="181"/>
      <c r="L149" s="181"/>
      <c r="M149" s="329">
        <f t="shared" si="117"/>
        <v>-169117</v>
      </c>
      <c r="N149" s="181"/>
      <c r="O149" s="181"/>
      <c r="P149" s="176">
        <f t="shared" si="118"/>
        <v>293190</v>
      </c>
      <c r="Q149" s="181"/>
      <c r="R149" s="531">
        <v>53890.0</v>
      </c>
      <c r="S149" s="176">
        <f t="shared" si="119"/>
        <v>362840</v>
      </c>
      <c r="T149" s="181"/>
      <c r="U149" s="181"/>
      <c r="V149" s="176">
        <f t="shared" si="120"/>
        <v>281774.12</v>
      </c>
      <c r="W149" s="181"/>
      <c r="X149" s="181"/>
      <c r="Y149" s="176">
        <f t="shared" si="87"/>
        <v>0</v>
      </c>
      <c r="Z149" s="181"/>
      <c r="AA149" s="181"/>
      <c r="AB149" s="176">
        <f t="shared" si="29"/>
        <v>0</v>
      </c>
      <c r="AC149" s="181"/>
      <c r="AD149" s="181"/>
      <c r="AE149" s="176">
        <f t="shared" si="121"/>
        <v>0</v>
      </c>
      <c r="AF149" s="176"/>
      <c r="AG149" s="176"/>
      <c r="AH149" s="176">
        <f t="shared" si="122"/>
        <v>77000</v>
      </c>
      <c r="AI149" s="181"/>
      <c r="AJ149" s="181"/>
      <c r="AK149" s="176">
        <f t="shared" si="123"/>
        <v>0</v>
      </c>
      <c r="AL149" s="181"/>
      <c r="AM149" s="181"/>
      <c r="AN149" s="176">
        <f t="shared" si="124"/>
        <v>0</v>
      </c>
      <c r="AO149" s="181"/>
      <c r="AP149" s="181"/>
    </row>
    <row r="150" ht="12.75" customHeight="1">
      <c r="A150" s="179"/>
      <c r="B150" s="457">
        <v>46102.0</v>
      </c>
      <c r="C150" s="481"/>
      <c r="D150" s="196" t="s">
        <v>55</v>
      </c>
      <c r="E150" s="196" t="s">
        <v>469</v>
      </c>
      <c r="F150" s="196" t="s">
        <v>404</v>
      </c>
      <c r="G150" s="460"/>
      <c r="H150" s="181">
        <f t="shared" ref="H150:J150" si="184">sum(K150,N150,Q150,T150,W150,Z150,AC150,AF150,AI150,AL150)</f>
        <v>0</v>
      </c>
      <c r="I150" s="181">
        <f t="shared" si="184"/>
        <v>675</v>
      </c>
      <c r="J150" s="176">
        <f t="shared" si="184"/>
        <v>846362.12</v>
      </c>
      <c r="K150" s="181"/>
      <c r="L150" s="181"/>
      <c r="M150" s="329">
        <f t="shared" si="117"/>
        <v>-169117</v>
      </c>
      <c r="N150" s="181"/>
      <c r="O150" s="181"/>
      <c r="P150" s="176">
        <f t="shared" si="118"/>
        <v>293190</v>
      </c>
      <c r="Q150" s="181"/>
      <c r="R150" s="181"/>
      <c r="S150" s="176">
        <f t="shared" si="119"/>
        <v>362840</v>
      </c>
      <c r="T150" s="181"/>
      <c r="U150" s="531">
        <v>675.0</v>
      </c>
      <c r="V150" s="176">
        <f t="shared" si="120"/>
        <v>282449.12</v>
      </c>
      <c r="W150" s="181"/>
      <c r="X150" s="181"/>
      <c r="Y150" s="176">
        <f t="shared" si="87"/>
        <v>0</v>
      </c>
      <c r="Z150" s="181"/>
      <c r="AA150" s="181"/>
      <c r="AB150" s="176">
        <f t="shared" si="29"/>
        <v>0</v>
      </c>
      <c r="AC150" s="181"/>
      <c r="AD150" s="181"/>
      <c r="AE150" s="176">
        <f t="shared" si="121"/>
        <v>0</v>
      </c>
      <c r="AF150" s="176"/>
      <c r="AG150" s="176"/>
      <c r="AH150" s="176">
        <f t="shared" si="122"/>
        <v>77000</v>
      </c>
      <c r="AI150" s="181"/>
      <c r="AJ150" s="181"/>
      <c r="AK150" s="176">
        <f t="shared" si="123"/>
        <v>0</v>
      </c>
      <c r="AL150" s="181"/>
      <c r="AM150" s="181"/>
      <c r="AN150" s="176">
        <f t="shared" si="124"/>
        <v>0</v>
      </c>
      <c r="AO150" s="181"/>
      <c r="AP150" s="181"/>
    </row>
    <row r="151" ht="12.75" customHeight="1">
      <c r="A151" s="179"/>
      <c r="B151" s="457">
        <v>46164.0</v>
      </c>
      <c r="C151" s="481"/>
      <c r="D151" s="196" t="s">
        <v>55</v>
      </c>
      <c r="E151" s="196" t="s">
        <v>439</v>
      </c>
      <c r="F151" s="196" t="s">
        <v>475</v>
      </c>
      <c r="G151" s="460"/>
      <c r="H151" s="181">
        <f t="shared" ref="H151:J151" si="185">sum(K151,N151,Q151,T151,W151,Z151,AC151,AF151,AI151,AL151)</f>
        <v>15675</v>
      </c>
      <c r="I151" s="181">
        <f t="shared" si="185"/>
        <v>15675</v>
      </c>
      <c r="J151" s="176">
        <f t="shared" si="185"/>
        <v>846362.12</v>
      </c>
      <c r="K151" s="181"/>
      <c r="L151" s="181"/>
      <c r="M151" s="329">
        <f t="shared" si="117"/>
        <v>-169117</v>
      </c>
      <c r="N151" s="181"/>
      <c r="O151" s="181"/>
      <c r="P151" s="176">
        <f t="shared" si="118"/>
        <v>293190</v>
      </c>
      <c r="Q151" s="181"/>
      <c r="R151" s="181"/>
      <c r="S151" s="176">
        <f t="shared" si="119"/>
        <v>362840</v>
      </c>
      <c r="T151" s="181"/>
      <c r="U151" s="181"/>
      <c r="V151" s="176">
        <f t="shared" si="120"/>
        <v>282449.12</v>
      </c>
      <c r="W151" s="197">
        <v>15675.0</v>
      </c>
      <c r="X151" s="531">
        <v>15675.0</v>
      </c>
      <c r="Y151" s="176">
        <f t="shared" si="87"/>
        <v>0</v>
      </c>
      <c r="Z151" s="181"/>
      <c r="AA151" s="181"/>
      <c r="AB151" s="176">
        <f t="shared" si="29"/>
        <v>0</v>
      </c>
      <c r="AC151" s="181"/>
      <c r="AD151" s="181"/>
      <c r="AE151" s="176">
        <f t="shared" si="121"/>
        <v>0</v>
      </c>
      <c r="AF151" s="176"/>
      <c r="AG151" s="176"/>
      <c r="AH151" s="176">
        <f t="shared" si="122"/>
        <v>77000</v>
      </c>
      <c r="AI151" s="181"/>
      <c r="AJ151" s="181"/>
      <c r="AK151" s="176">
        <f t="shared" si="123"/>
        <v>0</v>
      </c>
      <c r="AL151" s="181"/>
      <c r="AM151" s="181"/>
      <c r="AN151" s="176">
        <f t="shared" si="124"/>
        <v>0</v>
      </c>
      <c r="AO151" s="181"/>
      <c r="AP151" s="181"/>
    </row>
    <row r="152" ht="12.75" customHeight="1">
      <c r="A152" s="179"/>
      <c r="B152" s="457">
        <v>46170.0</v>
      </c>
      <c r="C152" s="481"/>
      <c r="D152" s="196" t="s">
        <v>55</v>
      </c>
      <c r="E152" s="196" t="s">
        <v>341</v>
      </c>
      <c r="F152" s="196" t="s">
        <v>476</v>
      </c>
      <c r="G152" s="460"/>
      <c r="H152" s="181">
        <f t="shared" ref="H152:J152" si="186">sum(K152,N152,Q152,T152,W152,Z152,AC152,AF152,AI152,AL152)</f>
        <v>0</v>
      </c>
      <c r="I152" s="181">
        <f t="shared" si="186"/>
        <v>12000</v>
      </c>
      <c r="J152" s="176">
        <f t="shared" si="186"/>
        <v>858362.12</v>
      </c>
      <c r="K152" s="181"/>
      <c r="L152" s="181"/>
      <c r="M152" s="329">
        <f t="shared" si="117"/>
        <v>-169117</v>
      </c>
      <c r="N152" s="181"/>
      <c r="O152" s="181"/>
      <c r="P152" s="176">
        <f t="shared" si="118"/>
        <v>293190</v>
      </c>
      <c r="Q152" s="181"/>
      <c r="R152" s="531">
        <v>12000.0</v>
      </c>
      <c r="S152" s="176">
        <f t="shared" si="119"/>
        <v>374840</v>
      </c>
      <c r="T152" s="181"/>
      <c r="U152" s="181"/>
      <c r="V152" s="176">
        <f t="shared" si="120"/>
        <v>282449.12</v>
      </c>
      <c r="W152" s="181"/>
      <c r="X152" s="181"/>
      <c r="Y152" s="176">
        <f t="shared" si="87"/>
        <v>0</v>
      </c>
      <c r="Z152" s="181"/>
      <c r="AA152" s="181"/>
      <c r="AB152" s="176">
        <f t="shared" si="29"/>
        <v>0</v>
      </c>
      <c r="AC152" s="181"/>
      <c r="AD152" s="181"/>
      <c r="AE152" s="176">
        <f t="shared" si="121"/>
        <v>0</v>
      </c>
      <c r="AF152" s="176"/>
      <c r="AG152" s="176"/>
      <c r="AH152" s="176">
        <f t="shared" si="122"/>
        <v>77000</v>
      </c>
      <c r="AI152" s="181"/>
      <c r="AJ152" s="181"/>
      <c r="AK152" s="176">
        <f t="shared" si="123"/>
        <v>0</v>
      </c>
      <c r="AL152" s="181"/>
      <c r="AM152" s="181"/>
      <c r="AN152" s="176">
        <f t="shared" si="124"/>
        <v>0</v>
      </c>
      <c r="AO152" s="181"/>
      <c r="AP152" s="181"/>
    </row>
    <row r="153" ht="12.75" customHeight="1">
      <c r="A153" s="179"/>
      <c r="B153" s="457">
        <v>46170.0</v>
      </c>
      <c r="C153" s="481"/>
      <c r="D153" s="196" t="s">
        <v>55</v>
      </c>
      <c r="E153" s="196" t="s">
        <v>97</v>
      </c>
      <c r="F153" s="196" t="s">
        <v>477</v>
      </c>
      <c r="G153" s="460"/>
      <c r="H153" s="181">
        <f t="shared" ref="H153:J153" si="187">sum(K153,N153,Q153,T153,W153,Z153,AC153,AF153,AI153,AL153)</f>
        <v>0</v>
      </c>
      <c r="I153" s="181">
        <f t="shared" si="187"/>
        <v>22580</v>
      </c>
      <c r="J153" s="176">
        <f t="shared" si="187"/>
        <v>880942.12</v>
      </c>
      <c r="K153" s="181"/>
      <c r="L153" s="181"/>
      <c r="M153" s="329">
        <f t="shared" si="117"/>
        <v>-169117</v>
      </c>
      <c r="N153" s="181"/>
      <c r="O153" s="531">
        <v>22580.0</v>
      </c>
      <c r="P153" s="176">
        <f t="shared" si="118"/>
        <v>315770</v>
      </c>
      <c r="Q153" s="181"/>
      <c r="R153" s="181"/>
      <c r="S153" s="176">
        <f t="shared" si="119"/>
        <v>374840</v>
      </c>
      <c r="T153" s="181"/>
      <c r="U153" s="181"/>
      <c r="V153" s="176">
        <f t="shared" si="120"/>
        <v>282449.12</v>
      </c>
      <c r="W153" s="181"/>
      <c r="X153" s="181"/>
      <c r="Y153" s="176">
        <f t="shared" si="87"/>
        <v>0</v>
      </c>
      <c r="Z153" s="181"/>
      <c r="AA153" s="181"/>
      <c r="AB153" s="176">
        <f t="shared" si="29"/>
        <v>0</v>
      </c>
      <c r="AC153" s="181"/>
      <c r="AD153" s="181"/>
      <c r="AE153" s="176">
        <f t="shared" si="121"/>
        <v>0</v>
      </c>
      <c r="AF153" s="176"/>
      <c r="AG153" s="176"/>
      <c r="AH153" s="176">
        <f t="shared" si="122"/>
        <v>77000</v>
      </c>
      <c r="AI153" s="181"/>
      <c r="AJ153" s="181"/>
      <c r="AK153" s="176">
        <f t="shared" si="123"/>
        <v>0</v>
      </c>
      <c r="AL153" s="181"/>
      <c r="AM153" s="181"/>
      <c r="AN153" s="176">
        <f t="shared" si="124"/>
        <v>0</v>
      </c>
      <c r="AO153" s="181"/>
      <c r="AP153" s="181"/>
    </row>
    <row r="154" ht="12.75" customHeight="1">
      <c r="A154" s="179"/>
      <c r="B154" s="654">
        <v>46150.0</v>
      </c>
      <c r="D154" s="196" t="s">
        <v>41</v>
      </c>
      <c r="E154" s="151" t="s">
        <v>186</v>
      </c>
      <c r="G154" s="191">
        <v>943028.0</v>
      </c>
      <c r="H154" s="181">
        <f t="shared" ref="H154:J154" si="188">sum(K154,N154,Q154,T154,W154,Z154,AC154,AF154,AI154,AL154)</f>
        <v>25000</v>
      </c>
      <c r="I154" s="181">
        <f t="shared" si="188"/>
        <v>0</v>
      </c>
      <c r="J154" s="176">
        <f t="shared" si="188"/>
        <v>855942.12</v>
      </c>
      <c r="K154" s="181"/>
      <c r="L154" s="181"/>
      <c r="M154" s="329">
        <f t="shared" si="117"/>
        <v>-169117</v>
      </c>
      <c r="N154" s="181"/>
      <c r="O154" s="181"/>
      <c r="P154" s="176">
        <f t="shared" si="118"/>
        <v>315770</v>
      </c>
      <c r="Q154" s="181"/>
      <c r="R154" s="181"/>
      <c r="S154" s="176">
        <f t="shared" si="119"/>
        <v>374840</v>
      </c>
      <c r="T154" s="531">
        <v>25000.0</v>
      </c>
      <c r="U154" s="181"/>
      <c r="V154" s="176">
        <f t="shared" si="120"/>
        <v>257449.12</v>
      </c>
      <c r="W154" s="181"/>
      <c r="X154" s="181"/>
      <c r="Y154" s="176">
        <f t="shared" si="87"/>
        <v>0</v>
      </c>
      <c r="Z154" s="181"/>
      <c r="AA154" s="181"/>
      <c r="AB154" s="176">
        <f t="shared" si="29"/>
        <v>0</v>
      </c>
      <c r="AC154" s="181"/>
      <c r="AD154" s="181"/>
      <c r="AE154" s="176">
        <f t="shared" si="121"/>
        <v>0</v>
      </c>
      <c r="AF154" s="176"/>
      <c r="AG154" s="176"/>
      <c r="AH154" s="176">
        <f t="shared" si="122"/>
        <v>77000</v>
      </c>
      <c r="AI154" s="181"/>
      <c r="AJ154" s="181"/>
      <c r="AK154" s="176">
        <f t="shared" si="123"/>
        <v>0</v>
      </c>
      <c r="AL154" s="181"/>
      <c r="AM154" s="181"/>
      <c r="AN154" s="176">
        <f t="shared" si="124"/>
        <v>0</v>
      </c>
      <c r="AO154" s="181"/>
      <c r="AP154" s="181"/>
    </row>
    <row r="155" ht="12.75" customHeight="1">
      <c r="A155" s="179"/>
      <c r="B155" s="457">
        <v>46157.0</v>
      </c>
      <c r="C155" s="481"/>
      <c r="D155" s="196" t="s">
        <v>41</v>
      </c>
      <c r="E155" s="196" t="s">
        <v>97</v>
      </c>
      <c r="F155" s="180"/>
      <c r="G155" s="191">
        <v>943030.0</v>
      </c>
      <c r="H155" s="181">
        <f t="shared" ref="H155:J155" si="189">sum(K155,N155,Q155,T155,W155,Z155,AC155,AF155,AI155,AL155)</f>
        <v>20000</v>
      </c>
      <c r="I155" s="181">
        <f t="shared" si="189"/>
        <v>0</v>
      </c>
      <c r="J155" s="176">
        <f t="shared" si="189"/>
        <v>835942.12</v>
      </c>
      <c r="K155" s="181"/>
      <c r="L155" s="181"/>
      <c r="M155" s="329">
        <f t="shared" si="117"/>
        <v>-169117</v>
      </c>
      <c r="N155" s="531">
        <v>20000.0</v>
      </c>
      <c r="O155" s="181"/>
      <c r="P155" s="176">
        <f t="shared" si="118"/>
        <v>295770</v>
      </c>
      <c r="Q155" s="181"/>
      <c r="R155" s="181"/>
      <c r="S155" s="176">
        <f t="shared" si="119"/>
        <v>374840</v>
      </c>
      <c r="T155" s="181"/>
      <c r="U155" s="181"/>
      <c r="V155" s="176">
        <f t="shared" si="120"/>
        <v>257449.12</v>
      </c>
      <c r="W155" s="181"/>
      <c r="X155" s="181"/>
      <c r="Y155" s="176">
        <f t="shared" si="87"/>
        <v>0</v>
      </c>
      <c r="Z155" s="181"/>
      <c r="AA155" s="181"/>
      <c r="AB155" s="176">
        <f t="shared" si="29"/>
        <v>0</v>
      </c>
      <c r="AC155" s="181"/>
      <c r="AD155" s="181"/>
      <c r="AE155" s="176">
        <f t="shared" si="121"/>
        <v>0</v>
      </c>
      <c r="AF155" s="176"/>
      <c r="AG155" s="176"/>
      <c r="AH155" s="176">
        <f t="shared" si="122"/>
        <v>77000</v>
      </c>
      <c r="AI155" s="181"/>
      <c r="AJ155" s="181"/>
      <c r="AK155" s="176">
        <f t="shared" si="123"/>
        <v>0</v>
      </c>
      <c r="AL155" s="181"/>
      <c r="AM155" s="181"/>
      <c r="AN155" s="176">
        <f t="shared" si="124"/>
        <v>0</v>
      </c>
      <c r="AO155" s="181"/>
      <c r="AP155" s="181"/>
    </row>
    <row r="156" ht="12.75" customHeight="1">
      <c r="A156" s="179"/>
      <c r="B156" s="457">
        <v>46157.0</v>
      </c>
      <c r="C156" s="481"/>
      <c r="D156" s="196" t="s">
        <v>41</v>
      </c>
      <c r="E156" s="196" t="s">
        <v>97</v>
      </c>
      <c r="F156" s="180"/>
      <c r="G156" s="191">
        <v>943032.0</v>
      </c>
      <c r="H156" s="181">
        <f t="shared" ref="H156:J156" si="190">sum(K156,N156,Q156,T156,W156,Z156,AC156,AF156,AI156,AL156)</f>
        <v>4800</v>
      </c>
      <c r="I156" s="181">
        <f t="shared" si="190"/>
        <v>0</v>
      </c>
      <c r="J156" s="176">
        <f t="shared" si="190"/>
        <v>831142.12</v>
      </c>
      <c r="K156" s="181"/>
      <c r="L156" s="181"/>
      <c r="M156" s="329">
        <f t="shared" si="117"/>
        <v>-169117</v>
      </c>
      <c r="N156" s="531">
        <v>4800.0</v>
      </c>
      <c r="O156" s="181"/>
      <c r="P156" s="176">
        <f t="shared" si="118"/>
        <v>290970</v>
      </c>
      <c r="Q156" s="181"/>
      <c r="R156" s="181"/>
      <c r="S156" s="176">
        <f t="shared" si="119"/>
        <v>374840</v>
      </c>
      <c r="T156" s="181"/>
      <c r="U156" s="181"/>
      <c r="V156" s="176">
        <f t="shared" si="120"/>
        <v>257449.12</v>
      </c>
      <c r="W156" s="181"/>
      <c r="X156" s="181"/>
      <c r="Y156" s="176">
        <f t="shared" si="87"/>
        <v>0</v>
      </c>
      <c r="Z156" s="181"/>
      <c r="AA156" s="181"/>
      <c r="AB156" s="176">
        <f t="shared" si="29"/>
        <v>0</v>
      </c>
      <c r="AC156" s="181"/>
      <c r="AD156" s="181"/>
      <c r="AE156" s="176">
        <f t="shared" si="121"/>
        <v>0</v>
      </c>
      <c r="AF156" s="176"/>
      <c r="AG156" s="176"/>
      <c r="AH156" s="176">
        <f t="shared" si="122"/>
        <v>77000</v>
      </c>
      <c r="AI156" s="181"/>
      <c r="AJ156" s="181"/>
      <c r="AK156" s="176">
        <f t="shared" si="123"/>
        <v>0</v>
      </c>
      <c r="AL156" s="181"/>
      <c r="AM156" s="181"/>
      <c r="AN156" s="176">
        <f t="shared" si="124"/>
        <v>0</v>
      </c>
      <c r="AO156" s="181"/>
      <c r="AP156" s="181"/>
    </row>
    <row r="157" ht="12.75" customHeight="1">
      <c r="A157" s="179"/>
      <c r="B157" s="457">
        <v>46162.0</v>
      </c>
      <c r="C157" s="481"/>
      <c r="D157" s="196" t="s">
        <v>41</v>
      </c>
      <c r="E157" s="196" t="s">
        <v>145</v>
      </c>
      <c r="F157" s="180"/>
      <c r="G157" s="191">
        <v>938022.0</v>
      </c>
      <c r="H157" s="181">
        <f t="shared" ref="H157:J157" si="191">sum(K157,N157,Q157,T157,W157,Z157,AC157,AF157,AI157,AL157)</f>
        <v>20000</v>
      </c>
      <c r="I157" s="181">
        <f t="shared" si="191"/>
        <v>0</v>
      </c>
      <c r="J157" s="176">
        <f t="shared" si="191"/>
        <v>811142.12</v>
      </c>
      <c r="K157" s="197">
        <v>20000.0</v>
      </c>
      <c r="L157" s="181"/>
      <c r="M157" s="329">
        <f t="shared" si="117"/>
        <v>-189117</v>
      </c>
      <c r="N157" s="181"/>
      <c r="O157" s="181"/>
      <c r="P157" s="176">
        <f t="shared" si="118"/>
        <v>290970</v>
      </c>
      <c r="Q157" s="181"/>
      <c r="R157" s="181"/>
      <c r="S157" s="176">
        <f t="shared" si="119"/>
        <v>374840</v>
      </c>
      <c r="T157" s="181"/>
      <c r="U157" s="181"/>
      <c r="V157" s="176">
        <f t="shared" si="120"/>
        <v>257449.12</v>
      </c>
      <c r="W157" s="181"/>
      <c r="X157" s="181"/>
      <c r="Y157" s="176">
        <f t="shared" si="87"/>
        <v>0</v>
      </c>
      <c r="Z157" s="181"/>
      <c r="AA157" s="181"/>
      <c r="AB157" s="176">
        <f t="shared" si="29"/>
        <v>0</v>
      </c>
      <c r="AC157" s="181"/>
      <c r="AD157" s="181"/>
      <c r="AE157" s="176">
        <f t="shared" si="121"/>
        <v>0</v>
      </c>
      <c r="AF157" s="176"/>
      <c r="AG157" s="176"/>
      <c r="AH157" s="176">
        <f t="shared" si="122"/>
        <v>77000</v>
      </c>
      <c r="AI157" s="181"/>
      <c r="AJ157" s="181"/>
      <c r="AK157" s="176">
        <f t="shared" si="123"/>
        <v>0</v>
      </c>
      <c r="AL157" s="181"/>
      <c r="AM157" s="181"/>
      <c r="AN157" s="176">
        <f t="shared" si="124"/>
        <v>0</v>
      </c>
      <c r="AO157" s="181"/>
      <c r="AP157" s="181"/>
    </row>
    <row r="158" ht="12.75" customHeight="1">
      <c r="A158" s="179"/>
      <c r="B158" s="457">
        <v>46166.0</v>
      </c>
      <c r="C158" s="481"/>
      <c r="D158" s="196" t="s">
        <v>41</v>
      </c>
      <c r="E158" s="196" t="s">
        <v>97</v>
      </c>
      <c r="F158" s="180"/>
      <c r="G158" s="191">
        <v>943034.0</v>
      </c>
      <c r="H158" s="181">
        <f t="shared" ref="H158:J158" si="192">sum(K158,N158,Q158,T158,W158,Z158,AC158,AF158,AI158,AL158)</f>
        <v>28200</v>
      </c>
      <c r="I158" s="181">
        <f t="shared" si="192"/>
        <v>0</v>
      </c>
      <c r="J158" s="176">
        <f t="shared" si="192"/>
        <v>782942.12</v>
      </c>
      <c r="K158" s="181"/>
      <c r="L158" s="181"/>
      <c r="M158" s="329">
        <f t="shared" si="117"/>
        <v>-189117</v>
      </c>
      <c r="N158" s="531">
        <v>28200.0</v>
      </c>
      <c r="O158" s="181"/>
      <c r="P158" s="176">
        <f t="shared" si="118"/>
        <v>262770</v>
      </c>
      <c r="Q158" s="181"/>
      <c r="R158" s="181"/>
      <c r="S158" s="176">
        <f t="shared" si="119"/>
        <v>374840</v>
      </c>
      <c r="T158" s="181"/>
      <c r="U158" s="181"/>
      <c r="V158" s="176">
        <f t="shared" si="120"/>
        <v>257449.12</v>
      </c>
      <c r="W158" s="181"/>
      <c r="X158" s="181"/>
      <c r="Y158" s="176">
        <f t="shared" si="87"/>
        <v>0</v>
      </c>
      <c r="Z158" s="181"/>
      <c r="AA158" s="181"/>
      <c r="AB158" s="176">
        <f t="shared" si="29"/>
        <v>0</v>
      </c>
      <c r="AC158" s="181"/>
      <c r="AD158" s="181"/>
      <c r="AE158" s="176">
        <f t="shared" si="121"/>
        <v>0</v>
      </c>
      <c r="AF158" s="176"/>
      <c r="AG158" s="176"/>
      <c r="AH158" s="176">
        <f t="shared" si="122"/>
        <v>77000</v>
      </c>
      <c r="AI158" s="181"/>
      <c r="AJ158" s="181"/>
      <c r="AK158" s="176">
        <f t="shared" si="123"/>
        <v>0</v>
      </c>
      <c r="AL158" s="181"/>
      <c r="AM158" s="181"/>
      <c r="AN158" s="176">
        <f t="shared" si="124"/>
        <v>0</v>
      </c>
      <c r="AO158" s="181"/>
      <c r="AP158" s="181"/>
    </row>
    <row r="159" ht="12.75" customHeight="1">
      <c r="A159" s="538"/>
      <c r="B159" s="656">
        <v>46171.0</v>
      </c>
      <c r="C159" s="540"/>
      <c r="D159" s="541" t="s">
        <v>41</v>
      </c>
      <c r="E159" s="541" t="s">
        <v>97</v>
      </c>
      <c r="F159" s="542"/>
      <c r="G159" s="617">
        <v>943048.0</v>
      </c>
      <c r="H159" s="545">
        <f t="shared" ref="H159:J159" si="193">sum(K159,N159,Q159,T159,W159,Z159,AC159,AF159,AI159,AL159)</f>
        <v>25920</v>
      </c>
      <c r="I159" s="545">
        <f t="shared" si="193"/>
        <v>0</v>
      </c>
      <c r="J159" s="546">
        <f t="shared" si="193"/>
        <v>757022.12</v>
      </c>
      <c r="K159" s="545"/>
      <c r="L159" s="545"/>
      <c r="M159" s="547">
        <f t="shared" si="117"/>
        <v>-189117</v>
      </c>
      <c r="N159" s="625">
        <v>25920.0</v>
      </c>
      <c r="O159" s="545"/>
      <c r="P159" s="546">
        <f t="shared" si="118"/>
        <v>236850</v>
      </c>
      <c r="Q159" s="545"/>
      <c r="R159" s="545"/>
      <c r="S159" s="546">
        <f t="shared" si="119"/>
        <v>374840</v>
      </c>
      <c r="T159" s="545"/>
      <c r="U159" s="545"/>
      <c r="V159" s="546">
        <f t="shared" si="120"/>
        <v>257449.12</v>
      </c>
      <c r="W159" s="545"/>
      <c r="X159" s="545"/>
      <c r="Y159" s="546">
        <f t="shared" si="87"/>
        <v>0</v>
      </c>
      <c r="Z159" s="545"/>
      <c r="AA159" s="545"/>
      <c r="AB159" s="546">
        <f t="shared" si="29"/>
        <v>0</v>
      </c>
      <c r="AC159" s="545"/>
      <c r="AD159" s="545"/>
      <c r="AE159" s="546">
        <f t="shared" si="121"/>
        <v>0</v>
      </c>
      <c r="AF159" s="546"/>
      <c r="AG159" s="546"/>
      <c r="AH159" s="546">
        <f t="shared" si="122"/>
        <v>77000</v>
      </c>
      <c r="AI159" s="545"/>
      <c r="AJ159" s="545"/>
      <c r="AK159" s="546">
        <f t="shared" si="123"/>
        <v>0</v>
      </c>
      <c r="AL159" s="545"/>
      <c r="AM159" s="545"/>
      <c r="AN159" s="546">
        <f t="shared" si="124"/>
        <v>0</v>
      </c>
      <c r="AO159" s="545"/>
      <c r="AP159" s="545"/>
    </row>
    <row r="160" ht="12.75" customHeight="1">
      <c r="A160" s="179"/>
      <c r="B160" s="457">
        <v>46174.0</v>
      </c>
      <c r="C160" s="481"/>
      <c r="D160" s="196" t="s">
        <v>55</v>
      </c>
      <c r="E160" s="196" t="s">
        <v>97</v>
      </c>
      <c r="F160" s="196" t="s">
        <v>478</v>
      </c>
      <c r="G160" s="460"/>
      <c r="H160" s="181">
        <f t="shared" ref="H160:J160" si="194">sum(K160,N160,Q160,T160,W160,Z160,AC160,AF160,AI160,AL160)</f>
        <v>0</v>
      </c>
      <c r="I160" s="181">
        <f t="shared" si="194"/>
        <v>34950</v>
      </c>
      <c r="J160" s="176">
        <f t="shared" si="194"/>
        <v>791972.12</v>
      </c>
      <c r="K160" s="181"/>
      <c r="L160" s="531"/>
      <c r="M160" s="329">
        <f t="shared" si="117"/>
        <v>-189117</v>
      </c>
      <c r="N160" s="181"/>
      <c r="O160" s="531">
        <v>34950.0</v>
      </c>
      <c r="P160" s="176">
        <f t="shared" si="118"/>
        <v>271800</v>
      </c>
      <c r="Q160" s="181"/>
      <c r="R160" s="181"/>
      <c r="S160" s="176">
        <f t="shared" si="119"/>
        <v>374840</v>
      </c>
      <c r="T160" s="181"/>
      <c r="U160" s="181"/>
      <c r="V160" s="176">
        <f t="shared" si="120"/>
        <v>257449.12</v>
      </c>
      <c r="W160" s="181"/>
      <c r="X160" s="181"/>
      <c r="Y160" s="176">
        <f t="shared" si="87"/>
        <v>0</v>
      </c>
      <c r="Z160" s="181"/>
      <c r="AA160" s="181"/>
      <c r="AB160" s="176">
        <f t="shared" si="29"/>
        <v>0</v>
      </c>
      <c r="AC160" s="181"/>
      <c r="AD160" s="181"/>
      <c r="AE160" s="176">
        <f t="shared" si="121"/>
        <v>0</v>
      </c>
      <c r="AF160" s="176"/>
      <c r="AG160" s="176"/>
      <c r="AH160" s="176">
        <f t="shared" si="122"/>
        <v>77000</v>
      </c>
      <c r="AI160" s="181"/>
      <c r="AJ160" s="181"/>
      <c r="AK160" s="176">
        <f t="shared" si="123"/>
        <v>0</v>
      </c>
      <c r="AL160" s="181"/>
      <c r="AM160" s="181"/>
      <c r="AN160" s="176">
        <f t="shared" si="124"/>
        <v>0</v>
      </c>
      <c r="AO160" s="181"/>
      <c r="AP160" s="181"/>
    </row>
    <row r="161" ht="12.75" customHeight="1">
      <c r="A161" s="179"/>
      <c r="B161" s="457">
        <v>46174.0</v>
      </c>
      <c r="C161" s="481"/>
      <c r="D161" s="196" t="s">
        <v>55</v>
      </c>
      <c r="E161" s="196" t="s">
        <v>97</v>
      </c>
      <c r="F161" s="196" t="s">
        <v>479</v>
      </c>
      <c r="G161" s="460"/>
      <c r="H161" s="181">
        <f t="shared" ref="H161:J161" si="195">sum(K161,N161,Q161,T161,W161,Z161,AC161,AF161,AI161,AL161)</f>
        <v>0</v>
      </c>
      <c r="I161" s="181">
        <f t="shared" si="195"/>
        <v>4150</v>
      </c>
      <c r="J161" s="176">
        <f t="shared" si="195"/>
        <v>796122.12</v>
      </c>
      <c r="K161" s="181"/>
      <c r="L161" s="531"/>
      <c r="M161" s="329">
        <f t="shared" si="117"/>
        <v>-189117</v>
      </c>
      <c r="N161" s="181"/>
      <c r="O161" s="531">
        <v>4150.0</v>
      </c>
      <c r="P161" s="176">
        <f t="shared" si="118"/>
        <v>275950</v>
      </c>
      <c r="Q161" s="181"/>
      <c r="R161" s="181"/>
      <c r="S161" s="176">
        <f t="shared" si="119"/>
        <v>374840</v>
      </c>
      <c r="T161" s="181"/>
      <c r="U161" s="181"/>
      <c r="V161" s="176">
        <f t="shared" si="120"/>
        <v>257449.12</v>
      </c>
      <c r="W161" s="181"/>
      <c r="X161" s="181"/>
      <c r="Y161" s="176">
        <f t="shared" si="87"/>
        <v>0</v>
      </c>
      <c r="Z161" s="181"/>
      <c r="AA161" s="181"/>
      <c r="AB161" s="176">
        <f t="shared" si="29"/>
        <v>0</v>
      </c>
      <c r="AC161" s="181"/>
      <c r="AD161" s="181"/>
      <c r="AE161" s="176">
        <f t="shared" si="121"/>
        <v>0</v>
      </c>
      <c r="AF161" s="176"/>
      <c r="AG161" s="176"/>
      <c r="AH161" s="176">
        <f t="shared" si="122"/>
        <v>77000</v>
      </c>
      <c r="AI161" s="181"/>
      <c r="AJ161" s="181"/>
      <c r="AK161" s="176">
        <f t="shared" si="123"/>
        <v>0</v>
      </c>
      <c r="AL161" s="181"/>
      <c r="AM161" s="181"/>
      <c r="AN161" s="176">
        <f t="shared" si="124"/>
        <v>0</v>
      </c>
      <c r="AO161" s="181"/>
      <c r="AP161" s="181"/>
    </row>
    <row r="162" ht="12.75" customHeight="1">
      <c r="A162" s="179"/>
      <c r="B162" s="457">
        <v>46175.0</v>
      </c>
      <c r="C162" s="481"/>
      <c r="D162" s="196" t="s">
        <v>55</v>
      </c>
      <c r="E162" s="196" t="s">
        <v>341</v>
      </c>
      <c r="F162" s="196" t="s">
        <v>480</v>
      </c>
      <c r="G162" s="460"/>
      <c r="H162" s="181">
        <f t="shared" ref="H162:J162" si="196">sum(K162,N162,Q162,T162,W162,Z162,AC162,AF162,AI162,AL162)</f>
        <v>0</v>
      </c>
      <c r="I162" s="181">
        <f t="shared" si="196"/>
        <v>17260</v>
      </c>
      <c r="J162" s="176">
        <f t="shared" si="196"/>
        <v>813382.12</v>
      </c>
      <c r="K162" s="181"/>
      <c r="L162" s="181"/>
      <c r="M162" s="329">
        <f t="shared" si="117"/>
        <v>-189117</v>
      </c>
      <c r="N162" s="181"/>
      <c r="O162" s="181"/>
      <c r="P162" s="176">
        <f t="shared" si="118"/>
        <v>275950</v>
      </c>
      <c r="Q162" s="181"/>
      <c r="R162" s="531">
        <v>17260.0</v>
      </c>
      <c r="S162" s="176">
        <f t="shared" si="119"/>
        <v>392100</v>
      </c>
      <c r="T162" s="181"/>
      <c r="U162" s="181"/>
      <c r="V162" s="176">
        <f t="shared" si="120"/>
        <v>257449.12</v>
      </c>
      <c r="W162" s="181"/>
      <c r="X162" s="181"/>
      <c r="Y162" s="176">
        <f t="shared" si="87"/>
        <v>0</v>
      </c>
      <c r="Z162" s="181"/>
      <c r="AA162" s="181"/>
      <c r="AB162" s="176">
        <f t="shared" si="29"/>
        <v>0</v>
      </c>
      <c r="AC162" s="181"/>
      <c r="AD162" s="181"/>
      <c r="AE162" s="176">
        <f t="shared" si="121"/>
        <v>0</v>
      </c>
      <c r="AF162" s="176"/>
      <c r="AG162" s="176"/>
      <c r="AH162" s="176">
        <f t="shared" si="122"/>
        <v>77000</v>
      </c>
      <c r="AI162" s="181"/>
      <c r="AJ162" s="181"/>
      <c r="AK162" s="176">
        <f t="shared" si="123"/>
        <v>0</v>
      </c>
      <c r="AL162" s="181"/>
      <c r="AM162" s="181"/>
      <c r="AN162" s="176">
        <f t="shared" si="124"/>
        <v>0</v>
      </c>
      <c r="AO162" s="181"/>
      <c r="AP162" s="181"/>
    </row>
    <row r="163" ht="12.75" customHeight="1">
      <c r="A163" s="179"/>
      <c r="B163" s="457">
        <v>46179.0</v>
      </c>
      <c r="C163" s="481"/>
      <c r="D163" s="196" t="s">
        <v>55</v>
      </c>
      <c r="E163" s="196" t="s">
        <v>97</v>
      </c>
      <c r="F163" s="196" t="s">
        <v>481</v>
      </c>
      <c r="G163" s="460"/>
      <c r="H163" s="181">
        <f t="shared" ref="H163:J163" si="197">sum(K163,N163,Q163,T163,W163,Z163,AC163,AF163,AI163,AL163)</f>
        <v>0</v>
      </c>
      <c r="I163" s="181">
        <f t="shared" si="197"/>
        <v>17350</v>
      </c>
      <c r="J163" s="176">
        <f t="shared" si="197"/>
        <v>830732.12</v>
      </c>
      <c r="K163" s="181"/>
      <c r="L163" s="531"/>
      <c r="M163" s="329">
        <f t="shared" si="117"/>
        <v>-189117</v>
      </c>
      <c r="N163" s="181"/>
      <c r="O163" s="531">
        <v>17350.0</v>
      </c>
      <c r="P163" s="176">
        <f t="shared" si="118"/>
        <v>293300</v>
      </c>
      <c r="Q163" s="181"/>
      <c r="R163" s="181"/>
      <c r="S163" s="176">
        <f t="shared" si="119"/>
        <v>392100</v>
      </c>
      <c r="T163" s="181"/>
      <c r="U163" s="181"/>
      <c r="V163" s="176">
        <f t="shared" si="120"/>
        <v>257449.12</v>
      </c>
      <c r="W163" s="181"/>
      <c r="X163" s="181"/>
      <c r="Y163" s="176">
        <f t="shared" si="87"/>
        <v>0</v>
      </c>
      <c r="Z163" s="181"/>
      <c r="AA163" s="181"/>
      <c r="AB163" s="176">
        <f t="shared" si="29"/>
        <v>0</v>
      </c>
      <c r="AC163" s="181"/>
      <c r="AD163" s="181"/>
      <c r="AE163" s="176">
        <f t="shared" si="121"/>
        <v>0</v>
      </c>
      <c r="AF163" s="176"/>
      <c r="AG163" s="176"/>
      <c r="AH163" s="176">
        <f t="shared" si="122"/>
        <v>77000</v>
      </c>
      <c r="AI163" s="181"/>
      <c r="AJ163" s="181"/>
      <c r="AK163" s="176">
        <f t="shared" si="123"/>
        <v>0</v>
      </c>
      <c r="AL163" s="181"/>
      <c r="AM163" s="181"/>
      <c r="AN163" s="176">
        <f t="shared" si="124"/>
        <v>0</v>
      </c>
      <c r="AO163" s="181"/>
      <c r="AP163" s="181"/>
    </row>
    <row r="164" ht="12.75" customHeight="1">
      <c r="A164" s="179"/>
      <c r="B164" s="457">
        <v>46182.0</v>
      </c>
      <c r="C164" s="481"/>
      <c r="D164" s="196" t="s">
        <v>55</v>
      </c>
      <c r="E164" s="196" t="s">
        <v>341</v>
      </c>
      <c r="F164" s="196" t="s">
        <v>482</v>
      </c>
      <c r="G164" s="460"/>
      <c r="H164" s="181">
        <f t="shared" ref="H164:J164" si="198">sum(K164,N164,Q164,T164,W164,Z164,AC164,AF164,AI164,AL164)</f>
        <v>0</v>
      </c>
      <c r="I164" s="181">
        <f t="shared" si="198"/>
        <v>7950</v>
      </c>
      <c r="J164" s="176">
        <f t="shared" si="198"/>
        <v>838682.12</v>
      </c>
      <c r="K164" s="181"/>
      <c r="L164" s="181"/>
      <c r="M164" s="329">
        <f t="shared" si="117"/>
        <v>-189117</v>
      </c>
      <c r="N164" s="181"/>
      <c r="O164" s="181"/>
      <c r="P164" s="176">
        <f t="shared" si="118"/>
        <v>293300</v>
      </c>
      <c r="Q164" s="181"/>
      <c r="R164" s="531">
        <v>7950.0</v>
      </c>
      <c r="S164" s="176">
        <f t="shared" si="119"/>
        <v>400050</v>
      </c>
      <c r="T164" s="181"/>
      <c r="U164" s="181"/>
      <c r="V164" s="176">
        <f t="shared" si="120"/>
        <v>257449.12</v>
      </c>
      <c r="W164" s="181"/>
      <c r="X164" s="181"/>
      <c r="Y164" s="176">
        <f t="shared" si="87"/>
        <v>0</v>
      </c>
      <c r="Z164" s="181"/>
      <c r="AA164" s="181"/>
      <c r="AB164" s="176">
        <f t="shared" si="29"/>
        <v>0</v>
      </c>
      <c r="AC164" s="181"/>
      <c r="AD164" s="181"/>
      <c r="AE164" s="176">
        <f t="shared" si="121"/>
        <v>0</v>
      </c>
      <c r="AF164" s="176"/>
      <c r="AG164" s="176"/>
      <c r="AH164" s="176">
        <f t="shared" si="122"/>
        <v>77000</v>
      </c>
      <c r="AI164" s="181"/>
      <c r="AJ164" s="181"/>
      <c r="AK164" s="176">
        <f t="shared" si="123"/>
        <v>0</v>
      </c>
      <c r="AL164" s="181"/>
      <c r="AM164" s="181"/>
      <c r="AN164" s="176">
        <f t="shared" si="124"/>
        <v>0</v>
      </c>
      <c r="AO164" s="181"/>
      <c r="AP164" s="181"/>
    </row>
    <row r="165" ht="12.75" customHeight="1">
      <c r="A165" s="179"/>
      <c r="B165" s="457">
        <v>46182.0</v>
      </c>
      <c r="C165" s="481"/>
      <c r="D165" s="196" t="s">
        <v>55</v>
      </c>
      <c r="E165" s="196" t="s">
        <v>97</v>
      </c>
      <c r="F165" s="196" t="s">
        <v>483</v>
      </c>
      <c r="G165" s="460"/>
      <c r="H165" s="181">
        <f t="shared" ref="H165:J165" si="199">sum(K165,N165,Q165,T165,W165,Z165,AC165,AF165,AI165,AL165)</f>
        <v>0</v>
      </c>
      <c r="I165" s="181">
        <f t="shared" si="199"/>
        <v>29350</v>
      </c>
      <c r="J165" s="176">
        <f t="shared" si="199"/>
        <v>868032.12</v>
      </c>
      <c r="K165" s="181"/>
      <c r="L165" s="531"/>
      <c r="M165" s="329">
        <f t="shared" si="117"/>
        <v>-189117</v>
      </c>
      <c r="N165" s="181"/>
      <c r="O165" s="531">
        <v>29350.0</v>
      </c>
      <c r="P165" s="176">
        <f t="shared" si="118"/>
        <v>322650</v>
      </c>
      <c r="Q165" s="181"/>
      <c r="R165" s="181"/>
      <c r="S165" s="176">
        <f t="shared" si="119"/>
        <v>400050</v>
      </c>
      <c r="T165" s="181"/>
      <c r="U165" s="181"/>
      <c r="V165" s="176">
        <f t="shared" si="120"/>
        <v>257449.12</v>
      </c>
      <c r="W165" s="181"/>
      <c r="X165" s="181"/>
      <c r="Y165" s="176">
        <f t="shared" si="87"/>
        <v>0</v>
      </c>
      <c r="Z165" s="181"/>
      <c r="AA165" s="181"/>
      <c r="AB165" s="176">
        <f t="shared" si="29"/>
        <v>0</v>
      </c>
      <c r="AC165" s="181"/>
      <c r="AD165" s="181"/>
      <c r="AE165" s="176">
        <f t="shared" si="121"/>
        <v>0</v>
      </c>
      <c r="AF165" s="176"/>
      <c r="AG165" s="176"/>
      <c r="AH165" s="176">
        <f t="shared" si="122"/>
        <v>77000</v>
      </c>
      <c r="AI165" s="181"/>
      <c r="AJ165" s="181"/>
      <c r="AK165" s="176">
        <f t="shared" si="123"/>
        <v>0</v>
      </c>
      <c r="AL165" s="181"/>
      <c r="AM165" s="181"/>
      <c r="AN165" s="176">
        <f t="shared" si="124"/>
        <v>0</v>
      </c>
      <c r="AO165" s="181"/>
      <c r="AP165" s="181"/>
    </row>
    <row r="166" ht="12.75" customHeight="1">
      <c r="A166" s="179"/>
      <c r="B166" s="457">
        <v>46190.0</v>
      </c>
      <c r="C166" s="481"/>
      <c r="D166" s="196" t="s">
        <v>55</v>
      </c>
      <c r="E166" s="196" t="s">
        <v>341</v>
      </c>
      <c r="F166" s="196" t="s">
        <v>485</v>
      </c>
      <c r="G166" s="460"/>
      <c r="H166" s="181">
        <f t="shared" ref="H166:J166" si="200">sum(K166,N166,Q166,T166,W166,Z166,AC166,AF166,AI166,AL166)</f>
        <v>0</v>
      </c>
      <c r="I166" s="181">
        <f t="shared" si="200"/>
        <v>12840</v>
      </c>
      <c r="J166" s="176">
        <f t="shared" si="200"/>
        <v>880872.12</v>
      </c>
      <c r="K166" s="181"/>
      <c r="L166" s="181"/>
      <c r="M166" s="329">
        <f t="shared" si="117"/>
        <v>-189117</v>
      </c>
      <c r="N166" s="181"/>
      <c r="O166" s="181"/>
      <c r="P166" s="176">
        <f t="shared" si="118"/>
        <v>322650</v>
      </c>
      <c r="Q166" s="181"/>
      <c r="R166" s="531">
        <v>12840.0</v>
      </c>
      <c r="S166" s="176">
        <f t="shared" si="119"/>
        <v>412890</v>
      </c>
      <c r="T166" s="181"/>
      <c r="U166" s="181"/>
      <c r="V166" s="176">
        <f t="shared" si="120"/>
        <v>257449.12</v>
      </c>
      <c r="W166" s="181"/>
      <c r="X166" s="181"/>
      <c r="Y166" s="176">
        <f t="shared" si="87"/>
        <v>0</v>
      </c>
      <c r="Z166" s="181"/>
      <c r="AA166" s="181"/>
      <c r="AB166" s="176">
        <f t="shared" si="29"/>
        <v>0</v>
      </c>
      <c r="AC166" s="181"/>
      <c r="AD166" s="181"/>
      <c r="AE166" s="176">
        <f t="shared" si="121"/>
        <v>0</v>
      </c>
      <c r="AF166" s="176"/>
      <c r="AG166" s="176"/>
      <c r="AH166" s="176">
        <f t="shared" si="122"/>
        <v>77000</v>
      </c>
      <c r="AI166" s="181"/>
      <c r="AJ166" s="181"/>
      <c r="AK166" s="176">
        <f t="shared" si="123"/>
        <v>0</v>
      </c>
      <c r="AL166" s="181"/>
      <c r="AM166" s="181"/>
      <c r="AN166" s="176">
        <f t="shared" si="124"/>
        <v>0</v>
      </c>
      <c r="AO166" s="181"/>
      <c r="AP166" s="181"/>
    </row>
    <row r="167" ht="12.75" customHeight="1">
      <c r="A167" s="179"/>
      <c r="B167" s="457">
        <v>46190.0</v>
      </c>
      <c r="C167" s="481"/>
      <c r="D167" s="196" t="s">
        <v>55</v>
      </c>
      <c r="E167" s="196" t="s">
        <v>341</v>
      </c>
      <c r="F167" s="196" t="s">
        <v>486</v>
      </c>
      <c r="G167" s="460"/>
      <c r="H167" s="181">
        <f t="shared" ref="H167:J167" si="201">sum(K167,N167,Q167,T167,W167,Z167,AC167,AF167,AI167,AL167)</f>
        <v>0</v>
      </c>
      <c r="I167" s="181">
        <f t="shared" si="201"/>
        <v>3600</v>
      </c>
      <c r="J167" s="176">
        <f t="shared" si="201"/>
        <v>884472.12</v>
      </c>
      <c r="K167" s="181"/>
      <c r="L167" s="181"/>
      <c r="M167" s="329">
        <f t="shared" si="117"/>
        <v>-189117</v>
      </c>
      <c r="N167" s="181"/>
      <c r="O167" s="181"/>
      <c r="P167" s="176">
        <f t="shared" si="118"/>
        <v>322650</v>
      </c>
      <c r="Q167" s="181"/>
      <c r="R167" s="531">
        <v>3600.0</v>
      </c>
      <c r="S167" s="176">
        <f t="shared" si="119"/>
        <v>416490</v>
      </c>
      <c r="T167" s="181"/>
      <c r="U167" s="181"/>
      <c r="V167" s="176">
        <f t="shared" si="120"/>
        <v>257449.12</v>
      </c>
      <c r="W167" s="181"/>
      <c r="X167" s="181"/>
      <c r="Y167" s="176">
        <f t="shared" si="87"/>
        <v>0</v>
      </c>
      <c r="Z167" s="181"/>
      <c r="AA167" s="181"/>
      <c r="AB167" s="176">
        <f t="shared" si="29"/>
        <v>0</v>
      </c>
      <c r="AC167" s="181"/>
      <c r="AD167" s="181"/>
      <c r="AE167" s="176">
        <f t="shared" si="121"/>
        <v>0</v>
      </c>
      <c r="AF167" s="176"/>
      <c r="AG167" s="176"/>
      <c r="AH167" s="176">
        <f t="shared" si="122"/>
        <v>77000</v>
      </c>
      <c r="AI167" s="181"/>
      <c r="AJ167" s="181"/>
      <c r="AK167" s="176">
        <f t="shared" si="123"/>
        <v>0</v>
      </c>
      <c r="AL167" s="181"/>
      <c r="AM167" s="181"/>
      <c r="AN167" s="176">
        <f t="shared" si="124"/>
        <v>0</v>
      </c>
      <c r="AO167" s="181"/>
      <c r="AP167" s="181"/>
    </row>
    <row r="168" ht="12.75" customHeight="1">
      <c r="A168" s="179"/>
      <c r="B168" s="457">
        <v>46190.0</v>
      </c>
      <c r="C168" s="481"/>
      <c r="D168" s="196" t="s">
        <v>55</v>
      </c>
      <c r="E168" s="196" t="s">
        <v>369</v>
      </c>
      <c r="F168" s="196" t="s">
        <v>487</v>
      </c>
      <c r="G168" s="460"/>
      <c r="H168" s="181">
        <f t="shared" ref="H168:J168" si="202">sum(K168,N168,Q168,T168,W168,Z168,AC168,AF168,AI168,AL168)</f>
        <v>0</v>
      </c>
      <c r="I168" s="181">
        <f t="shared" si="202"/>
        <v>5570</v>
      </c>
      <c r="J168" s="176">
        <f t="shared" si="202"/>
        <v>890042.12</v>
      </c>
      <c r="K168" s="181"/>
      <c r="L168" s="531">
        <v>5570.0</v>
      </c>
      <c r="M168" s="329">
        <f t="shared" si="117"/>
        <v>-183547</v>
      </c>
      <c r="N168" s="181"/>
      <c r="O168" s="181"/>
      <c r="P168" s="176">
        <f t="shared" si="118"/>
        <v>322650</v>
      </c>
      <c r="Q168" s="181"/>
      <c r="R168" s="181"/>
      <c r="S168" s="176">
        <f t="shared" si="119"/>
        <v>416490</v>
      </c>
      <c r="T168" s="181"/>
      <c r="U168" s="181"/>
      <c r="V168" s="176">
        <f t="shared" si="120"/>
        <v>257449.12</v>
      </c>
      <c r="W168" s="181"/>
      <c r="X168" s="181"/>
      <c r="Y168" s="176">
        <f t="shared" si="87"/>
        <v>0</v>
      </c>
      <c r="Z168" s="181"/>
      <c r="AA168" s="181"/>
      <c r="AB168" s="176">
        <f t="shared" si="29"/>
        <v>0</v>
      </c>
      <c r="AC168" s="181"/>
      <c r="AD168" s="181"/>
      <c r="AE168" s="176">
        <f t="shared" si="121"/>
        <v>0</v>
      </c>
      <c r="AF168" s="176"/>
      <c r="AG168" s="176"/>
      <c r="AH168" s="176">
        <f t="shared" si="122"/>
        <v>77000</v>
      </c>
      <c r="AI168" s="181"/>
      <c r="AJ168" s="181"/>
      <c r="AK168" s="176">
        <f t="shared" si="123"/>
        <v>0</v>
      </c>
      <c r="AL168" s="181"/>
      <c r="AM168" s="181"/>
      <c r="AN168" s="176">
        <f t="shared" si="124"/>
        <v>0</v>
      </c>
      <c r="AO168" s="181"/>
      <c r="AP168" s="181"/>
    </row>
    <row r="169" ht="12.75" customHeight="1">
      <c r="A169" s="179"/>
      <c r="B169" s="457">
        <v>46190.0</v>
      </c>
      <c r="C169" s="481"/>
      <c r="D169" s="196" t="s">
        <v>55</v>
      </c>
      <c r="E169" s="196" t="s">
        <v>369</v>
      </c>
      <c r="F169" s="196"/>
      <c r="G169" s="460"/>
      <c r="H169" s="181">
        <f t="shared" ref="H169:J169" si="203">sum(K169,N169,Q169,T169,W169,Z169,AC169,AF169,AI169,AL169)</f>
        <v>0</v>
      </c>
      <c r="I169" s="181">
        <f t="shared" si="203"/>
        <v>4284.8</v>
      </c>
      <c r="J169" s="176">
        <f t="shared" si="203"/>
        <v>894326.92</v>
      </c>
      <c r="K169" s="181"/>
      <c r="L169" s="531">
        <v>4284.8</v>
      </c>
      <c r="M169" s="329">
        <f t="shared" si="117"/>
        <v>-179262.2</v>
      </c>
      <c r="N169" s="181"/>
      <c r="O169" s="181"/>
      <c r="P169" s="176">
        <f t="shared" si="118"/>
        <v>322650</v>
      </c>
      <c r="Q169" s="181"/>
      <c r="R169" s="181"/>
      <c r="S169" s="176">
        <f t="shared" si="119"/>
        <v>416490</v>
      </c>
      <c r="T169" s="181"/>
      <c r="U169" s="181"/>
      <c r="V169" s="176">
        <f t="shared" si="120"/>
        <v>257449.12</v>
      </c>
      <c r="W169" s="181"/>
      <c r="X169" s="181"/>
      <c r="Y169" s="176">
        <f t="shared" si="87"/>
        <v>0</v>
      </c>
      <c r="Z169" s="181"/>
      <c r="AA169" s="181"/>
      <c r="AB169" s="176">
        <f t="shared" si="29"/>
        <v>0</v>
      </c>
      <c r="AC169" s="181"/>
      <c r="AD169" s="181"/>
      <c r="AE169" s="176">
        <f t="shared" si="121"/>
        <v>0</v>
      </c>
      <c r="AF169" s="176"/>
      <c r="AG169" s="176"/>
      <c r="AH169" s="176">
        <f t="shared" si="122"/>
        <v>77000</v>
      </c>
      <c r="AI169" s="181"/>
      <c r="AJ169" s="181"/>
      <c r="AK169" s="176">
        <f t="shared" si="123"/>
        <v>0</v>
      </c>
      <c r="AL169" s="181"/>
      <c r="AM169" s="181"/>
      <c r="AN169" s="176">
        <f t="shared" si="124"/>
        <v>0</v>
      </c>
      <c r="AO169" s="181"/>
      <c r="AP169" s="181"/>
    </row>
    <row r="170" ht="12.75" customHeight="1">
      <c r="A170" s="179"/>
      <c r="B170" s="457">
        <v>46192.0</v>
      </c>
      <c r="C170" s="481"/>
      <c r="D170" s="196" t="s">
        <v>55</v>
      </c>
      <c r="E170" s="196" t="s">
        <v>164</v>
      </c>
      <c r="F170" s="196" t="s">
        <v>489</v>
      </c>
      <c r="G170" s="460"/>
      <c r="H170" s="181">
        <f t="shared" ref="H170:J170" si="204">sum(K170,N170,Q170,T170,W170,Z170,AC170,AF170,AI170,AL170)</f>
        <v>0</v>
      </c>
      <c r="I170" s="181">
        <f t="shared" si="204"/>
        <v>63200</v>
      </c>
      <c r="J170" s="176">
        <f t="shared" si="204"/>
        <v>957526.92</v>
      </c>
      <c r="K170" s="181"/>
      <c r="L170" s="181"/>
      <c r="M170" s="329">
        <f t="shared" si="117"/>
        <v>-179262.2</v>
      </c>
      <c r="N170" s="181"/>
      <c r="O170" s="181"/>
      <c r="P170" s="176">
        <f t="shared" si="118"/>
        <v>322650</v>
      </c>
      <c r="Q170" s="181"/>
      <c r="R170" s="181"/>
      <c r="S170" s="176">
        <f t="shared" si="119"/>
        <v>416490</v>
      </c>
      <c r="T170" s="181"/>
      <c r="U170" s="181"/>
      <c r="V170" s="176">
        <f t="shared" si="120"/>
        <v>257449.12</v>
      </c>
      <c r="W170" s="181"/>
      <c r="X170" s="181"/>
      <c r="Y170" s="176">
        <f t="shared" si="87"/>
        <v>0</v>
      </c>
      <c r="Z170" s="181"/>
      <c r="AA170" s="181"/>
      <c r="AB170" s="176">
        <f t="shared" si="29"/>
        <v>0</v>
      </c>
      <c r="AC170" s="181"/>
      <c r="AD170" s="181"/>
      <c r="AE170" s="176">
        <f t="shared" si="121"/>
        <v>0</v>
      </c>
      <c r="AF170" s="176"/>
      <c r="AG170" s="657">
        <v>63200.0</v>
      </c>
      <c r="AH170" s="176">
        <f t="shared" si="122"/>
        <v>140200</v>
      </c>
      <c r="AI170" s="181"/>
      <c r="AJ170" s="181"/>
      <c r="AK170" s="176">
        <f t="shared" si="123"/>
        <v>0</v>
      </c>
      <c r="AL170" s="181"/>
      <c r="AM170" s="181"/>
      <c r="AN170" s="176">
        <f t="shared" si="124"/>
        <v>0</v>
      </c>
      <c r="AO170" s="181"/>
      <c r="AP170" s="181"/>
    </row>
    <row r="171" ht="12.75" customHeight="1">
      <c r="A171" s="179"/>
      <c r="B171" s="457">
        <v>45831.0</v>
      </c>
      <c r="C171" s="481"/>
      <c r="D171" s="196" t="s">
        <v>55</v>
      </c>
      <c r="E171" s="196" t="s">
        <v>97</v>
      </c>
      <c r="F171" s="196" t="s">
        <v>491</v>
      </c>
      <c r="G171" s="460"/>
      <c r="H171" s="181">
        <f t="shared" ref="H171:J171" si="205">sum(K171,N171,Q171,T171,W171,Z171,AC171,AF171,AI171,AL171)</f>
        <v>0</v>
      </c>
      <c r="I171" s="181">
        <f t="shared" si="205"/>
        <v>28360</v>
      </c>
      <c r="J171" s="176">
        <f t="shared" si="205"/>
        <v>985886.92</v>
      </c>
      <c r="K171" s="181"/>
      <c r="L171" s="181"/>
      <c r="M171" s="329">
        <f t="shared" si="117"/>
        <v>-179262.2</v>
      </c>
      <c r="N171" s="181"/>
      <c r="O171" s="531">
        <v>28360.0</v>
      </c>
      <c r="P171" s="176">
        <f t="shared" si="118"/>
        <v>351010</v>
      </c>
      <c r="Q171" s="181"/>
      <c r="R171" s="181"/>
      <c r="S171" s="176">
        <f t="shared" si="119"/>
        <v>416490</v>
      </c>
      <c r="T171" s="181"/>
      <c r="U171" s="181"/>
      <c r="V171" s="176">
        <f t="shared" si="120"/>
        <v>257449.12</v>
      </c>
      <c r="W171" s="181"/>
      <c r="X171" s="181"/>
      <c r="Y171" s="176">
        <f t="shared" si="87"/>
        <v>0</v>
      </c>
      <c r="Z171" s="181"/>
      <c r="AA171" s="181"/>
      <c r="AB171" s="176">
        <f t="shared" si="29"/>
        <v>0</v>
      </c>
      <c r="AC171" s="181"/>
      <c r="AD171" s="181"/>
      <c r="AE171" s="176">
        <f t="shared" si="121"/>
        <v>0</v>
      </c>
      <c r="AF171" s="176"/>
      <c r="AG171" s="176"/>
      <c r="AH171" s="176">
        <f t="shared" si="122"/>
        <v>140200</v>
      </c>
      <c r="AI171" s="181"/>
      <c r="AJ171" s="181"/>
      <c r="AK171" s="176">
        <f t="shared" si="123"/>
        <v>0</v>
      </c>
      <c r="AL171" s="181"/>
      <c r="AM171" s="181"/>
      <c r="AN171" s="176">
        <f t="shared" si="124"/>
        <v>0</v>
      </c>
      <c r="AO171" s="181"/>
      <c r="AP171" s="181"/>
    </row>
    <row r="172" ht="12.75" customHeight="1">
      <c r="A172" s="179"/>
      <c r="B172" s="457">
        <v>46197.0</v>
      </c>
      <c r="C172" s="481"/>
      <c r="D172" s="196" t="s">
        <v>55</v>
      </c>
      <c r="E172" s="196" t="s">
        <v>341</v>
      </c>
      <c r="F172" s="196" t="s">
        <v>493</v>
      </c>
      <c r="G172" s="460"/>
      <c r="H172" s="181">
        <f t="shared" ref="H172:J172" si="206">sum(K172,N172,Q172,T172,W172,Z172,AC172,AF172,AI172,AL172)</f>
        <v>0</v>
      </c>
      <c r="I172" s="181">
        <f t="shared" si="206"/>
        <v>8500</v>
      </c>
      <c r="J172" s="176">
        <f t="shared" si="206"/>
        <v>994386.92</v>
      </c>
      <c r="K172" s="181"/>
      <c r="L172" s="181"/>
      <c r="M172" s="329">
        <f t="shared" si="117"/>
        <v>-179262.2</v>
      </c>
      <c r="N172" s="181"/>
      <c r="O172" s="181"/>
      <c r="P172" s="176">
        <f t="shared" si="118"/>
        <v>351010</v>
      </c>
      <c r="Q172" s="181"/>
      <c r="R172" s="531">
        <v>8500.0</v>
      </c>
      <c r="S172" s="176">
        <f t="shared" si="119"/>
        <v>424990</v>
      </c>
      <c r="T172" s="181"/>
      <c r="U172" s="181"/>
      <c r="V172" s="176">
        <f t="shared" si="120"/>
        <v>257449.12</v>
      </c>
      <c r="W172" s="181"/>
      <c r="X172" s="181"/>
      <c r="Y172" s="176">
        <f t="shared" si="87"/>
        <v>0</v>
      </c>
      <c r="Z172" s="181"/>
      <c r="AA172" s="181"/>
      <c r="AB172" s="176">
        <f t="shared" si="29"/>
        <v>0</v>
      </c>
      <c r="AC172" s="181"/>
      <c r="AD172" s="181"/>
      <c r="AE172" s="176">
        <f t="shared" si="121"/>
        <v>0</v>
      </c>
      <c r="AF172" s="176"/>
      <c r="AG172" s="176"/>
      <c r="AH172" s="176">
        <f t="shared" si="122"/>
        <v>140200</v>
      </c>
      <c r="AI172" s="181"/>
      <c r="AJ172" s="181"/>
      <c r="AK172" s="176">
        <f t="shared" si="123"/>
        <v>0</v>
      </c>
      <c r="AL172" s="181"/>
      <c r="AM172" s="181"/>
      <c r="AN172" s="176">
        <f t="shared" si="124"/>
        <v>0</v>
      </c>
      <c r="AO172" s="181"/>
      <c r="AP172" s="181"/>
    </row>
    <row r="173" ht="12.75" customHeight="1">
      <c r="A173" s="179"/>
      <c r="B173" s="457">
        <v>46197.0</v>
      </c>
      <c r="C173" s="481"/>
      <c r="D173" s="196" t="s">
        <v>55</v>
      </c>
      <c r="E173" s="196" t="s">
        <v>341</v>
      </c>
      <c r="F173" s="196" t="s">
        <v>485</v>
      </c>
      <c r="G173" s="460"/>
      <c r="H173" s="181">
        <f t="shared" ref="H173:J173" si="207">sum(K173,N173,Q173,T173,W173,Z173,AC173,AF173,AI173,AL173)</f>
        <v>0</v>
      </c>
      <c r="I173" s="181">
        <f t="shared" si="207"/>
        <v>8500</v>
      </c>
      <c r="J173" s="176">
        <f t="shared" si="207"/>
        <v>1002886.92</v>
      </c>
      <c r="K173" s="181"/>
      <c r="L173" s="181"/>
      <c r="M173" s="329">
        <f t="shared" si="117"/>
        <v>-179262.2</v>
      </c>
      <c r="N173" s="181"/>
      <c r="O173" s="181"/>
      <c r="P173" s="176">
        <f t="shared" si="118"/>
        <v>351010</v>
      </c>
      <c r="Q173" s="181"/>
      <c r="R173" s="531">
        <v>8500.0</v>
      </c>
      <c r="S173" s="176">
        <f t="shared" si="119"/>
        <v>433490</v>
      </c>
      <c r="T173" s="181"/>
      <c r="U173" s="181"/>
      <c r="V173" s="176">
        <f t="shared" si="120"/>
        <v>257449.12</v>
      </c>
      <c r="W173" s="181"/>
      <c r="X173" s="181"/>
      <c r="Y173" s="176">
        <f t="shared" si="87"/>
        <v>0</v>
      </c>
      <c r="Z173" s="181"/>
      <c r="AA173" s="181"/>
      <c r="AB173" s="176">
        <f t="shared" si="29"/>
        <v>0</v>
      </c>
      <c r="AC173" s="181"/>
      <c r="AD173" s="181"/>
      <c r="AE173" s="176">
        <f t="shared" si="121"/>
        <v>0</v>
      </c>
      <c r="AF173" s="176"/>
      <c r="AG173" s="176"/>
      <c r="AH173" s="176">
        <f t="shared" si="122"/>
        <v>140200</v>
      </c>
      <c r="AI173" s="181"/>
      <c r="AJ173" s="181"/>
      <c r="AK173" s="176">
        <f t="shared" si="123"/>
        <v>0</v>
      </c>
      <c r="AL173" s="181"/>
      <c r="AM173" s="181"/>
      <c r="AN173" s="176">
        <f t="shared" si="124"/>
        <v>0</v>
      </c>
      <c r="AO173" s="181"/>
      <c r="AP173" s="181"/>
    </row>
    <row r="174" ht="12.75" customHeight="1">
      <c r="A174" s="179"/>
      <c r="B174" s="457">
        <v>46197.0</v>
      </c>
      <c r="C174" s="481"/>
      <c r="D174" s="196" t="s">
        <v>55</v>
      </c>
      <c r="E174" s="196" t="s">
        <v>369</v>
      </c>
      <c r="F174" s="196"/>
      <c r="G174" s="460"/>
      <c r="H174" s="181">
        <f t="shared" ref="H174:J174" si="208">sum(K174,N174,Q174,T174,W174,Z174,AC174,AF174,AI174,AL174)</f>
        <v>0</v>
      </c>
      <c r="I174" s="181">
        <f t="shared" si="208"/>
        <v>65154.8</v>
      </c>
      <c r="J174" s="176">
        <f t="shared" si="208"/>
        <v>1068041.72</v>
      </c>
      <c r="K174" s="181"/>
      <c r="L174" s="531">
        <v>65154.8</v>
      </c>
      <c r="M174" s="329">
        <f t="shared" si="117"/>
        <v>-114107.4</v>
      </c>
      <c r="N174" s="181"/>
      <c r="O174" s="181"/>
      <c r="P174" s="176">
        <f t="shared" si="118"/>
        <v>351010</v>
      </c>
      <c r="Q174" s="181"/>
      <c r="R174" s="181"/>
      <c r="S174" s="176">
        <f t="shared" si="119"/>
        <v>433490</v>
      </c>
      <c r="T174" s="181"/>
      <c r="U174" s="181"/>
      <c r="V174" s="176">
        <f t="shared" si="120"/>
        <v>257449.12</v>
      </c>
      <c r="W174" s="181"/>
      <c r="X174" s="181"/>
      <c r="Y174" s="176">
        <f t="shared" si="87"/>
        <v>0</v>
      </c>
      <c r="Z174" s="181"/>
      <c r="AA174" s="181"/>
      <c r="AB174" s="176">
        <f t="shared" si="29"/>
        <v>0</v>
      </c>
      <c r="AC174" s="181"/>
      <c r="AD174" s="181"/>
      <c r="AE174" s="176">
        <f t="shared" si="121"/>
        <v>0</v>
      </c>
      <c r="AF174" s="176"/>
      <c r="AG174" s="176"/>
      <c r="AH174" s="176">
        <f t="shared" si="122"/>
        <v>140200</v>
      </c>
      <c r="AI174" s="181"/>
      <c r="AJ174" s="181"/>
      <c r="AK174" s="176">
        <f t="shared" si="123"/>
        <v>0</v>
      </c>
      <c r="AL174" s="181"/>
      <c r="AM174" s="181"/>
      <c r="AN174" s="176">
        <f t="shared" si="124"/>
        <v>0</v>
      </c>
      <c r="AO174" s="181"/>
      <c r="AP174" s="181"/>
    </row>
    <row r="175" ht="12.75" customHeight="1">
      <c r="A175" s="179"/>
      <c r="B175" s="457">
        <v>46198.0</v>
      </c>
      <c r="C175" s="481"/>
      <c r="D175" s="196" t="s">
        <v>55</v>
      </c>
      <c r="E175" s="196" t="s">
        <v>97</v>
      </c>
      <c r="F175" s="196" t="s">
        <v>495</v>
      </c>
      <c r="G175" s="460"/>
      <c r="H175" s="181">
        <f t="shared" ref="H175:J175" si="209">sum(K175,N175,Q175,T175,W175,Z175,AC175,AF175,AI175,AL175)</f>
        <v>0</v>
      </c>
      <c r="I175" s="181">
        <f t="shared" si="209"/>
        <v>17500</v>
      </c>
      <c r="J175" s="176">
        <f t="shared" si="209"/>
        <v>1085541.72</v>
      </c>
      <c r="K175" s="181"/>
      <c r="L175" s="181"/>
      <c r="M175" s="329">
        <f t="shared" si="117"/>
        <v>-114107.4</v>
      </c>
      <c r="N175" s="181"/>
      <c r="O175" s="531">
        <v>17500.0</v>
      </c>
      <c r="P175" s="176">
        <f t="shared" si="118"/>
        <v>368510</v>
      </c>
      <c r="Q175" s="181"/>
      <c r="R175" s="181"/>
      <c r="S175" s="176">
        <f t="shared" si="119"/>
        <v>433490</v>
      </c>
      <c r="T175" s="181"/>
      <c r="U175" s="181"/>
      <c r="V175" s="176">
        <f t="shared" si="120"/>
        <v>257449.12</v>
      </c>
      <c r="W175" s="181"/>
      <c r="X175" s="181"/>
      <c r="Y175" s="176">
        <f t="shared" si="87"/>
        <v>0</v>
      </c>
      <c r="Z175" s="181"/>
      <c r="AA175" s="181"/>
      <c r="AB175" s="176">
        <f t="shared" si="29"/>
        <v>0</v>
      </c>
      <c r="AC175" s="181"/>
      <c r="AD175" s="181"/>
      <c r="AE175" s="176">
        <f t="shared" si="121"/>
        <v>0</v>
      </c>
      <c r="AF175" s="176"/>
      <c r="AG175" s="176"/>
      <c r="AH175" s="176">
        <f t="shared" si="122"/>
        <v>140200</v>
      </c>
      <c r="AI175" s="181"/>
      <c r="AJ175" s="181"/>
      <c r="AK175" s="176">
        <f t="shared" si="123"/>
        <v>0</v>
      </c>
      <c r="AL175" s="181"/>
      <c r="AM175" s="181"/>
      <c r="AN175" s="176">
        <f t="shared" si="124"/>
        <v>0</v>
      </c>
      <c r="AO175" s="181"/>
      <c r="AP175" s="181"/>
    </row>
    <row r="176" ht="12.75" customHeight="1">
      <c r="A176" s="179"/>
      <c r="B176" s="457">
        <v>46198.0</v>
      </c>
      <c r="C176" s="481"/>
      <c r="D176" s="196" t="s">
        <v>55</v>
      </c>
      <c r="E176" s="196" t="s">
        <v>439</v>
      </c>
      <c r="F176" s="196" t="s">
        <v>500</v>
      </c>
      <c r="G176" s="460"/>
      <c r="H176" s="181">
        <f t="shared" ref="H176:J176" si="210">sum(K176,N176,Q176,T176,W176,Z176,AC176,AF176,AI176,AL176)</f>
        <v>13354.8</v>
      </c>
      <c r="I176" s="181">
        <f t="shared" si="210"/>
        <v>13354.8</v>
      </c>
      <c r="J176" s="176">
        <f t="shared" si="210"/>
        <v>1085541.72</v>
      </c>
      <c r="K176" s="181"/>
      <c r="L176" s="181"/>
      <c r="M176" s="329">
        <f t="shared" si="117"/>
        <v>-114107.4</v>
      </c>
      <c r="N176" s="181"/>
      <c r="O176" s="181"/>
      <c r="P176" s="176">
        <f t="shared" si="118"/>
        <v>368510</v>
      </c>
      <c r="Q176" s="181"/>
      <c r="R176" s="181"/>
      <c r="S176" s="176">
        <f t="shared" si="119"/>
        <v>433490</v>
      </c>
      <c r="T176" s="181"/>
      <c r="U176" s="181"/>
      <c r="V176" s="176">
        <f t="shared" si="120"/>
        <v>257449.12</v>
      </c>
      <c r="W176" s="531">
        <v>13354.8</v>
      </c>
      <c r="X176" s="531">
        <v>13354.8</v>
      </c>
      <c r="Y176" s="176">
        <f t="shared" si="87"/>
        <v>0</v>
      </c>
      <c r="Z176" s="181"/>
      <c r="AA176" s="181"/>
      <c r="AB176" s="176">
        <f t="shared" si="29"/>
        <v>0</v>
      </c>
      <c r="AC176" s="181"/>
      <c r="AD176" s="181"/>
      <c r="AE176" s="176">
        <f t="shared" si="121"/>
        <v>0</v>
      </c>
      <c r="AF176" s="176"/>
      <c r="AG176" s="176"/>
      <c r="AH176" s="176">
        <f t="shared" si="122"/>
        <v>140200</v>
      </c>
      <c r="AI176" s="181"/>
      <c r="AJ176" s="181"/>
      <c r="AK176" s="176">
        <f t="shared" si="123"/>
        <v>0</v>
      </c>
      <c r="AL176" s="181"/>
      <c r="AM176" s="181"/>
      <c r="AN176" s="176">
        <f t="shared" si="124"/>
        <v>0</v>
      </c>
      <c r="AO176" s="181"/>
      <c r="AP176" s="181"/>
    </row>
    <row r="177" ht="12.75" customHeight="1">
      <c r="A177" s="179"/>
      <c r="B177" s="457">
        <v>46203.0</v>
      </c>
      <c r="C177" s="481"/>
      <c r="D177" s="196" t="s">
        <v>55</v>
      </c>
      <c r="E177" s="196" t="s">
        <v>439</v>
      </c>
      <c r="F177" s="196" t="s">
        <v>503</v>
      </c>
      <c r="G177" s="460"/>
      <c r="H177" s="181">
        <f t="shared" ref="H177:J177" si="211">sum(K177,N177,Q177,T177,W177,Z177,AC177,AF177,AI177,AL177)</f>
        <v>11604.8</v>
      </c>
      <c r="I177" s="181">
        <f t="shared" si="211"/>
        <v>11604.8</v>
      </c>
      <c r="J177" s="176">
        <f t="shared" si="211"/>
        <v>1085541.72</v>
      </c>
      <c r="K177" s="181"/>
      <c r="L177" s="181"/>
      <c r="M177" s="329">
        <f t="shared" si="117"/>
        <v>-114107.4</v>
      </c>
      <c r="N177" s="181"/>
      <c r="O177" s="181"/>
      <c r="P177" s="176">
        <f t="shared" si="118"/>
        <v>368510</v>
      </c>
      <c r="Q177" s="181"/>
      <c r="R177" s="181"/>
      <c r="S177" s="176">
        <f t="shared" si="119"/>
        <v>433490</v>
      </c>
      <c r="T177" s="181"/>
      <c r="U177" s="181"/>
      <c r="V177" s="176">
        <f t="shared" si="120"/>
        <v>257449.12</v>
      </c>
      <c r="W177" s="531">
        <v>11604.8</v>
      </c>
      <c r="X177" s="531">
        <v>11604.8</v>
      </c>
      <c r="Y177" s="176">
        <f t="shared" si="87"/>
        <v>0</v>
      </c>
      <c r="Z177" s="181"/>
      <c r="AA177" s="181"/>
      <c r="AB177" s="176">
        <f t="shared" si="29"/>
        <v>0</v>
      </c>
      <c r="AC177" s="181"/>
      <c r="AD177" s="181"/>
      <c r="AE177" s="176">
        <f t="shared" si="121"/>
        <v>0</v>
      </c>
      <c r="AF177" s="176"/>
      <c r="AG177" s="176"/>
      <c r="AH177" s="176">
        <f t="shared" si="122"/>
        <v>140200</v>
      </c>
      <c r="AI177" s="181"/>
      <c r="AJ177" s="181"/>
      <c r="AK177" s="176">
        <f t="shared" si="123"/>
        <v>0</v>
      </c>
      <c r="AL177" s="181"/>
      <c r="AM177" s="181"/>
      <c r="AN177" s="176">
        <f t="shared" si="124"/>
        <v>0</v>
      </c>
      <c r="AO177" s="181"/>
      <c r="AP177" s="181"/>
    </row>
    <row r="178" ht="12.75" customHeight="1">
      <c r="A178" s="179"/>
      <c r="B178" s="457">
        <v>46178.0</v>
      </c>
      <c r="C178" s="481"/>
      <c r="D178" s="196" t="s">
        <v>41</v>
      </c>
      <c r="E178" s="196" t="s">
        <v>405</v>
      </c>
      <c r="F178" s="180"/>
      <c r="G178" s="191">
        <v>943038.0</v>
      </c>
      <c r="H178" s="181">
        <f t="shared" ref="H178:J178" si="212">sum(K178,N178,Q178,T178,W178,Z178,AC178,AF178,AI178,AL178)</f>
        <v>27202.5</v>
      </c>
      <c r="I178" s="181">
        <f t="shared" si="212"/>
        <v>0</v>
      </c>
      <c r="J178" s="176">
        <f t="shared" si="212"/>
        <v>1058339.22</v>
      </c>
      <c r="K178" s="181"/>
      <c r="L178" s="181"/>
      <c r="M178" s="329">
        <f t="shared" si="117"/>
        <v>-114107.4</v>
      </c>
      <c r="N178" s="181"/>
      <c r="O178" s="181"/>
      <c r="P178" s="176">
        <f t="shared" si="118"/>
        <v>368510</v>
      </c>
      <c r="Q178" s="181"/>
      <c r="R178" s="181"/>
      <c r="S178" s="176">
        <f t="shared" si="119"/>
        <v>433490</v>
      </c>
      <c r="T178" s="531">
        <v>27202.5</v>
      </c>
      <c r="U178" s="181"/>
      <c r="V178" s="176">
        <f t="shared" si="120"/>
        <v>230246.62</v>
      </c>
      <c r="W178" s="181"/>
      <c r="X178" s="181"/>
      <c r="Y178" s="176">
        <f t="shared" si="87"/>
        <v>0</v>
      </c>
      <c r="Z178" s="181"/>
      <c r="AA178" s="181"/>
      <c r="AB178" s="176">
        <f t="shared" si="29"/>
        <v>0</v>
      </c>
      <c r="AC178" s="181"/>
      <c r="AD178" s="181"/>
      <c r="AE178" s="176">
        <f t="shared" si="121"/>
        <v>0</v>
      </c>
      <c r="AF178" s="176"/>
      <c r="AG178" s="176"/>
      <c r="AH178" s="176">
        <f t="shared" si="122"/>
        <v>140200</v>
      </c>
      <c r="AI178" s="181"/>
      <c r="AJ178" s="181"/>
      <c r="AK178" s="176">
        <f t="shared" si="123"/>
        <v>0</v>
      </c>
      <c r="AL178" s="181"/>
      <c r="AM178" s="181"/>
      <c r="AN178" s="176">
        <f t="shared" si="124"/>
        <v>0</v>
      </c>
      <c r="AO178" s="181"/>
      <c r="AP178" s="181"/>
    </row>
    <row r="179" ht="12.75" customHeight="1">
      <c r="A179" s="179"/>
      <c r="B179" s="459">
        <v>46178.0</v>
      </c>
      <c r="C179" s="481"/>
      <c r="D179" s="196" t="s">
        <v>41</v>
      </c>
      <c r="E179" s="196" t="s">
        <v>97</v>
      </c>
      <c r="F179" s="180"/>
      <c r="G179" s="191">
        <v>943050.0</v>
      </c>
      <c r="H179" s="181">
        <f t="shared" ref="H179:J179" si="213">sum(K179,N179,Q179,T179,W179,Z179,AC179,AF179,AI179,AL179)</f>
        <v>17225</v>
      </c>
      <c r="I179" s="181">
        <f t="shared" si="213"/>
        <v>0</v>
      </c>
      <c r="J179" s="176">
        <f t="shared" si="213"/>
        <v>1041114.22</v>
      </c>
      <c r="K179" s="181"/>
      <c r="L179" s="181"/>
      <c r="M179" s="329">
        <f t="shared" si="117"/>
        <v>-114107.4</v>
      </c>
      <c r="N179" s="531">
        <v>17225.0</v>
      </c>
      <c r="O179" s="181"/>
      <c r="P179" s="176">
        <f t="shared" si="118"/>
        <v>351285</v>
      </c>
      <c r="Q179" s="181"/>
      <c r="R179" s="181"/>
      <c r="S179" s="176">
        <f t="shared" si="119"/>
        <v>433490</v>
      </c>
      <c r="T179" s="181"/>
      <c r="U179" s="181"/>
      <c r="V179" s="176">
        <f t="shared" si="120"/>
        <v>230246.62</v>
      </c>
      <c r="W179" s="181"/>
      <c r="X179" s="181"/>
      <c r="Y179" s="176">
        <f t="shared" si="87"/>
        <v>0</v>
      </c>
      <c r="Z179" s="181"/>
      <c r="AA179" s="181"/>
      <c r="AB179" s="176">
        <f t="shared" si="29"/>
        <v>0</v>
      </c>
      <c r="AC179" s="181"/>
      <c r="AD179" s="181"/>
      <c r="AE179" s="176">
        <f t="shared" si="121"/>
        <v>0</v>
      </c>
      <c r="AF179" s="176"/>
      <c r="AG179" s="176"/>
      <c r="AH179" s="176">
        <f t="shared" si="122"/>
        <v>140200</v>
      </c>
      <c r="AI179" s="181"/>
      <c r="AJ179" s="181"/>
      <c r="AK179" s="176">
        <f t="shared" si="123"/>
        <v>0</v>
      </c>
      <c r="AL179" s="181"/>
      <c r="AM179" s="181"/>
      <c r="AN179" s="176">
        <f t="shared" si="124"/>
        <v>0</v>
      </c>
      <c r="AO179" s="181"/>
      <c r="AP179" s="181"/>
    </row>
    <row r="180" ht="12.75" customHeight="1">
      <c r="A180" s="179"/>
      <c r="B180" s="459">
        <v>46183.0</v>
      </c>
      <c r="C180" s="481"/>
      <c r="D180" s="196" t="s">
        <v>41</v>
      </c>
      <c r="E180" s="196" t="s">
        <v>97</v>
      </c>
      <c r="F180" s="180"/>
      <c r="G180" s="191">
        <v>943047.0</v>
      </c>
      <c r="H180" s="181">
        <f t="shared" ref="H180:J180" si="214">sum(K180,N180,Q180,T180,W180,Z180,AC180,AF180,AI180,AL180)</f>
        <v>5325</v>
      </c>
      <c r="I180" s="181">
        <f t="shared" si="214"/>
        <v>0</v>
      </c>
      <c r="J180" s="176">
        <f t="shared" si="214"/>
        <v>1035789.22</v>
      </c>
      <c r="K180" s="181"/>
      <c r="L180" s="181"/>
      <c r="M180" s="329">
        <f t="shared" si="117"/>
        <v>-114107.4</v>
      </c>
      <c r="N180" s="531">
        <v>5325.0</v>
      </c>
      <c r="O180" s="181"/>
      <c r="P180" s="176">
        <f t="shared" si="118"/>
        <v>345960</v>
      </c>
      <c r="Q180" s="181"/>
      <c r="R180" s="181"/>
      <c r="S180" s="176">
        <f t="shared" si="119"/>
        <v>433490</v>
      </c>
      <c r="T180" s="181"/>
      <c r="U180" s="181"/>
      <c r="V180" s="176">
        <f t="shared" si="120"/>
        <v>230246.62</v>
      </c>
      <c r="W180" s="181"/>
      <c r="X180" s="181"/>
      <c r="Y180" s="176">
        <f t="shared" si="87"/>
        <v>0</v>
      </c>
      <c r="Z180" s="181"/>
      <c r="AA180" s="181"/>
      <c r="AB180" s="176">
        <f t="shared" si="29"/>
        <v>0</v>
      </c>
      <c r="AC180" s="181"/>
      <c r="AD180" s="181"/>
      <c r="AE180" s="176">
        <f t="shared" si="121"/>
        <v>0</v>
      </c>
      <c r="AF180" s="176"/>
      <c r="AG180" s="176"/>
      <c r="AH180" s="176">
        <f t="shared" si="122"/>
        <v>140200</v>
      </c>
      <c r="AI180" s="181"/>
      <c r="AJ180" s="181"/>
      <c r="AK180" s="176">
        <f t="shared" si="123"/>
        <v>0</v>
      </c>
      <c r="AL180" s="181"/>
      <c r="AM180" s="181"/>
      <c r="AN180" s="176">
        <f t="shared" si="124"/>
        <v>0</v>
      </c>
      <c r="AO180" s="181"/>
      <c r="AP180" s="181"/>
    </row>
    <row r="181" ht="12.75" customHeight="1">
      <c r="A181" s="179"/>
      <c r="B181" s="459">
        <v>46185.0</v>
      </c>
      <c r="C181" s="481"/>
      <c r="D181" s="196" t="s">
        <v>41</v>
      </c>
      <c r="E181" s="196" t="s">
        <v>97</v>
      </c>
      <c r="F181" s="180"/>
      <c r="G181" s="191">
        <v>956451.0</v>
      </c>
      <c r="H181" s="181">
        <f t="shared" ref="H181:J181" si="215">sum(K181,N181,Q181,T181,W181,Z181,AC181,AF181,AI181,AL181)</f>
        <v>24760</v>
      </c>
      <c r="I181" s="181">
        <f t="shared" si="215"/>
        <v>0</v>
      </c>
      <c r="J181" s="176">
        <f t="shared" si="215"/>
        <v>1011029.22</v>
      </c>
      <c r="K181" s="181"/>
      <c r="L181" s="181"/>
      <c r="M181" s="329">
        <f t="shared" si="117"/>
        <v>-114107.4</v>
      </c>
      <c r="N181" s="531">
        <v>24760.0</v>
      </c>
      <c r="O181" s="181"/>
      <c r="P181" s="176">
        <f t="shared" si="118"/>
        <v>321200</v>
      </c>
      <c r="Q181" s="181"/>
      <c r="R181" s="181"/>
      <c r="S181" s="176">
        <f t="shared" si="119"/>
        <v>433490</v>
      </c>
      <c r="T181" s="181"/>
      <c r="U181" s="181"/>
      <c r="V181" s="176">
        <f t="shared" si="120"/>
        <v>230246.62</v>
      </c>
      <c r="W181" s="181"/>
      <c r="X181" s="181"/>
      <c r="Y181" s="176">
        <f t="shared" si="87"/>
        <v>0</v>
      </c>
      <c r="Z181" s="181"/>
      <c r="AA181" s="181"/>
      <c r="AB181" s="176">
        <f t="shared" si="29"/>
        <v>0</v>
      </c>
      <c r="AC181" s="181"/>
      <c r="AD181" s="181"/>
      <c r="AE181" s="176">
        <f t="shared" si="121"/>
        <v>0</v>
      </c>
      <c r="AF181" s="176"/>
      <c r="AG181" s="176"/>
      <c r="AH181" s="176">
        <f t="shared" si="122"/>
        <v>140200</v>
      </c>
      <c r="AI181" s="181"/>
      <c r="AJ181" s="181"/>
      <c r="AK181" s="176">
        <f t="shared" si="123"/>
        <v>0</v>
      </c>
      <c r="AL181" s="181"/>
      <c r="AM181" s="181"/>
      <c r="AN181" s="176">
        <f t="shared" si="124"/>
        <v>0</v>
      </c>
      <c r="AO181" s="181"/>
      <c r="AP181" s="181"/>
    </row>
    <row r="182" ht="12.75" customHeight="1">
      <c r="A182" s="179"/>
      <c r="B182" s="457">
        <v>46185.0</v>
      </c>
      <c r="C182" s="481"/>
      <c r="D182" s="196" t="s">
        <v>41</v>
      </c>
      <c r="E182" s="196" t="s">
        <v>405</v>
      </c>
      <c r="F182" s="180"/>
      <c r="G182" s="191">
        <v>943039.0</v>
      </c>
      <c r="H182" s="181">
        <f t="shared" ref="H182:J182" si="216">sum(K182,N182,Q182,T182,W182,Z182,AC182,AF182,AI182,AL182)</f>
        <v>27202.5</v>
      </c>
      <c r="I182" s="181">
        <f t="shared" si="216"/>
        <v>0</v>
      </c>
      <c r="J182" s="176">
        <f t="shared" si="216"/>
        <v>983826.72</v>
      </c>
      <c r="K182" s="181"/>
      <c r="L182" s="181"/>
      <c r="M182" s="329">
        <f t="shared" si="117"/>
        <v>-114107.4</v>
      </c>
      <c r="N182" s="181"/>
      <c r="O182" s="181"/>
      <c r="P182" s="176">
        <f t="shared" si="118"/>
        <v>321200</v>
      </c>
      <c r="Q182" s="181"/>
      <c r="R182" s="181"/>
      <c r="S182" s="176">
        <f t="shared" si="119"/>
        <v>433490</v>
      </c>
      <c r="T182" s="531">
        <v>27202.5</v>
      </c>
      <c r="U182" s="181"/>
      <c r="V182" s="176">
        <f t="shared" si="120"/>
        <v>203044.12</v>
      </c>
      <c r="W182" s="181"/>
      <c r="X182" s="181"/>
      <c r="Y182" s="176">
        <f t="shared" si="87"/>
        <v>0</v>
      </c>
      <c r="Z182" s="181"/>
      <c r="AA182" s="181"/>
      <c r="AB182" s="176">
        <f t="shared" si="29"/>
        <v>0</v>
      </c>
      <c r="AC182" s="181"/>
      <c r="AD182" s="181"/>
      <c r="AE182" s="176">
        <f t="shared" si="121"/>
        <v>0</v>
      </c>
      <c r="AF182" s="176"/>
      <c r="AG182" s="176"/>
      <c r="AH182" s="176">
        <f t="shared" si="122"/>
        <v>140200</v>
      </c>
      <c r="AI182" s="181"/>
      <c r="AJ182" s="181"/>
      <c r="AK182" s="176">
        <f t="shared" si="123"/>
        <v>0</v>
      </c>
      <c r="AL182" s="181"/>
      <c r="AM182" s="181"/>
      <c r="AN182" s="176">
        <f t="shared" si="124"/>
        <v>0</v>
      </c>
      <c r="AO182" s="181"/>
      <c r="AP182" s="181"/>
    </row>
    <row r="183" ht="12.75" customHeight="1">
      <c r="A183" s="179"/>
      <c r="B183" s="457">
        <v>46170.0</v>
      </c>
      <c r="C183" s="481"/>
      <c r="D183" s="196" t="s">
        <v>41</v>
      </c>
      <c r="E183" s="196" t="s">
        <v>684</v>
      </c>
      <c r="F183" s="180"/>
      <c r="G183" s="191">
        <v>956463.0</v>
      </c>
      <c r="H183" s="181">
        <f t="shared" ref="H183:J183" si="217">sum(K183,N183,Q183,T183,W183,Z183,AC183,AF183,AI183,AL183)</f>
        <v>4750</v>
      </c>
      <c r="I183" s="181">
        <f t="shared" si="217"/>
        <v>0</v>
      </c>
      <c r="J183" s="176">
        <f t="shared" si="217"/>
        <v>979076.72</v>
      </c>
      <c r="K183" s="181"/>
      <c r="L183" s="181"/>
      <c r="M183" s="329">
        <f t="shared" si="117"/>
        <v>-114107.4</v>
      </c>
      <c r="N183" s="181"/>
      <c r="O183" s="181"/>
      <c r="P183" s="176">
        <f t="shared" si="118"/>
        <v>321200</v>
      </c>
      <c r="Q183" s="531">
        <v>4750.0</v>
      </c>
      <c r="R183" s="181"/>
      <c r="S183" s="176">
        <f t="shared" si="119"/>
        <v>428740</v>
      </c>
      <c r="T183" s="181"/>
      <c r="U183" s="181"/>
      <c r="V183" s="176">
        <f t="shared" si="120"/>
        <v>203044.12</v>
      </c>
      <c r="W183" s="181"/>
      <c r="X183" s="181"/>
      <c r="Y183" s="176">
        <f t="shared" si="87"/>
        <v>0</v>
      </c>
      <c r="Z183" s="181"/>
      <c r="AA183" s="181"/>
      <c r="AB183" s="176">
        <f t="shared" si="29"/>
        <v>0</v>
      </c>
      <c r="AC183" s="181"/>
      <c r="AD183" s="181"/>
      <c r="AE183" s="176">
        <f t="shared" si="121"/>
        <v>0</v>
      </c>
      <c r="AF183" s="176"/>
      <c r="AG183" s="176"/>
      <c r="AH183" s="176">
        <f t="shared" si="122"/>
        <v>140200</v>
      </c>
      <c r="AI183" s="181"/>
      <c r="AJ183" s="181"/>
      <c r="AK183" s="176">
        <f t="shared" si="123"/>
        <v>0</v>
      </c>
      <c r="AL183" s="181"/>
      <c r="AM183" s="181"/>
      <c r="AN183" s="176">
        <f t="shared" si="124"/>
        <v>0</v>
      </c>
      <c r="AO183" s="181"/>
      <c r="AP183" s="181"/>
    </row>
    <row r="184" ht="12.75" customHeight="1">
      <c r="A184" s="179"/>
      <c r="B184" s="457">
        <v>46134.0</v>
      </c>
      <c r="C184" s="481"/>
      <c r="D184" s="196" t="s">
        <v>41</v>
      </c>
      <c r="E184" s="196" t="s">
        <v>183</v>
      </c>
      <c r="F184" s="180"/>
      <c r="G184" s="191">
        <v>942997.0</v>
      </c>
      <c r="H184" s="181">
        <f t="shared" ref="H184:J184" si="218">sum(K184,N184,Q184,T184,W184,Z184,AC184,AF184,AI184,AL184)</f>
        <v>5650</v>
      </c>
      <c r="I184" s="181">
        <f t="shared" si="218"/>
        <v>0</v>
      </c>
      <c r="J184" s="176">
        <f t="shared" si="218"/>
        <v>973426.72</v>
      </c>
      <c r="K184" s="181"/>
      <c r="L184" s="181"/>
      <c r="M184" s="329">
        <f t="shared" si="117"/>
        <v>-114107.4</v>
      </c>
      <c r="N184" s="181"/>
      <c r="O184" s="181"/>
      <c r="P184" s="176">
        <f t="shared" si="118"/>
        <v>321200</v>
      </c>
      <c r="Q184" s="197">
        <v>5650.0</v>
      </c>
      <c r="R184" s="181"/>
      <c r="S184" s="176">
        <f t="shared" si="119"/>
        <v>423090</v>
      </c>
      <c r="T184" s="181"/>
      <c r="U184" s="181"/>
      <c r="V184" s="176">
        <f t="shared" si="120"/>
        <v>203044.12</v>
      </c>
      <c r="W184" s="181"/>
      <c r="X184" s="181"/>
      <c r="Y184" s="176">
        <f t="shared" si="87"/>
        <v>0</v>
      </c>
      <c r="Z184" s="181"/>
      <c r="AA184" s="181"/>
      <c r="AB184" s="176">
        <f t="shared" si="29"/>
        <v>0</v>
      </c>
      <c r="AC184" s="181"/>
      <c r="AD184" s="181"/>
      <c r="AE184" s="176">
        <f t="shared" si="121"/>
        <v>0</v>
      </c>
      <c r="AF184" s="176"/>
      <c r="AG184" s="176"/>
      <c r="AH184" s="176">
        <f t="shared" si="122"/>
        <v>140200</v>
      </c>
      <c r="AI184" s="181"/>
      <c r="AJ184" s="181"/>
      <c r="AK184" s="176">
        <f t="shared" si="123"/>
        <v>0</v>
      </c>
      <c r="AL184" s="181"/>
      <c r="AM184" s="181"/>
      <c r="AN184" s="176">
        <f t="shared" si="124"/>
        <v>0</v>
      </c>
      <c r="AO184" s="181"/>
      <c r="AP184" s="181"/>
    </row>
    <row r="185" ht="12.75" customHeight="1">
      <c r="A185" s="179"/>
      <c r="B185" s="457">
        <v>46126.0</v>
      </c>
      <c r="C185" s="481"/>
      <c r="D185" s="196" t="s">
        <v>41</v>
      </c>
      <c r="E185" s="196" t="s">
        <v>183</v>
      </c>
      <c r="F185" s="180"/>
      <c r="G185" s="191">
        <v>942978.0</v>
      </c>
      <c r="H185" s="181">
        <f t="shared" ref="H185:J185" si="219">sum(K185,N185,Q185,T185,W185,Z185,AC185,AF185,AI185,AL185)</f>
        <v>14550</v>
      </c>
      <c r="I185" s="181">
        <f t="shared" si="219"/>
        <v>0</v>
      </c>
      <c r="J185" s="176">
        <f t="shared" si="219"/>
        <v>958876.72</v>
      </c>
      <c r="K185" s="181"/>
      <c r="L185" s="181"/>
      <c r="M185" s="329">
        <f t="shared" si="117"/>
        <v>-114107.4</v>
      </c>
      <c r="N185" s="181"/>
      <c r="O185" s="181"/>
      <c r="P185" s="176">
        <f t="shared" si="118"/>
        <v>321200</v>
      </c>
      <c r="Q185" s="197">
        <v>14550.0</v>
      </c>
      <c r="R185" s="181"/>
      <c r="S185" s="176">
        <f t="shared" si="119"/>
        <v>408540</v>
      </c>
      <c r="T185" s="181"/>
      <c r="U185" s="181"/>
      <c r="V185" s="176">
        <f t="shared" si="120"/>
        <v>203044.12</v>
      </c>
      <c r="W185" s="181"/>
      <c r="X185" s="181"/>
      <c r="Y185" s="176">
        <f t="shared" si="87"/>
        <v>0</v>
      </c>
      <c r="Z185" s="181"/>
      <c r="AA185" s="181"/>
      <c r="AB185" s="176">
        <f t="shared" si="29"/>
        <v>0</v>
      </c>
      <c r="AC185" s="181"/>
      <c r="AD185" s="181"/>
      <c r="AE185" s="176">
        <f t="shared" si="121"/>
        <v>0</v>
      </c>
      <c r="AF185" s="176"/>
      <c r="AG185" s="176"/>
      <c r="AH185" s="176">
        <f t="shared" si="122"/>
        <v>140200</v>
      </c>
      <c r="AI185" s="181"/>
      <c r="AJ185" s="181"/>
      <c r="AK185" s="176">
        <f t="shared" si="123"/>
        <v>0</v>
      </c>
      <c r="AL185" s="181"/>
      <c r="AM185" s="181"/>
      <c r="AN185" s="176">
        <f t="shared" si="124"/>
        <v>0</v>
      </c>
      <c r="AO185" s="181"/>
      <c r="AP185" s="181"/>
    </row>
    <row r="186" ht="12.75" customHeight="1">
      <c r="A186" s="179"/>
      <c r="B186" s="457">
        <v>46133.0</v>
      </c>
      <c r="C186" s="481"/>
      <c r="D186" s="196" t="s">
        <v>41</v>
      </c>
      <c r="E186" s="196" t="s">
        <v>183</v>
      </c>
      <c r="F186" s="180"/>
      <c r="G186" s="191">
        <v>942996.0</v>
      </c>
      <c r="H186" s="181">
        <f t="shared" ref="H186:J186" si="220">sum(K186,N186,Q186,T186,W186,Z186,AC186,AF186,AI186,AL186)</f>
        <v>6750</v>
      </c>
      <c r="I186" s="181">
        <f t="shared" si="220"/>
        <v>0</v>
      </c>
      <c r="J186" s="176">
        <f t="shared" si="220"/>
        <v>952126.72</v>
      </c>
      <c r="K186" s="181"/>
      <c r="L186" s="181"/>
      <c r="M186" s="329">
        <f t="shared" si="117"/>
        <v>-114107.4</v>
      </c>
      <c r="N186" s="181"/>
      <c r="O186" s="181"/>
      <c r="P186" s="176">
        <f t="shared" si="118"/>
        <v>321200</v>
      </c>
      <c r="Q186" s="197">
        <v>6750.0</v>
      </c>
      <c r="R186" s="181"/>
      <c r="S186" s="176">
        <f t="shared" si="119"/>
        <v>401790</v>
      </c>
      <c r="T186" s="181"/>
      <c r="U186" s="181"/>
      <c r="V186" s="176">
        <f t="shared" si="120"/>
        <v>203044.12</v>
      </c>
      <c r="W186" s="181"/>
      <c r="X186" s="181"/>
      <c r="Y186" s="176">
        <f t="shared" si="87"/>
        <v>0</v>
      </c>
      <c r="Z186" s="181"/>
      <c r="AA186" s="181"/>
      <c r="AB186" s="176">
        <f t="shared" si="29"/>
        <v>0</v>
      </c>
      <c r="AC186" s="181"/>
      <c r="AD186" s="181"/>
      <c r="AE186" s="176">
        <f t="shared" si="121"/>
        <v>0</v>
      </c>
      <c r="AF186" s="176"/>
      <c r="AG186" s="176"/>
      <c r="AH186" s="176">
        <f t="shared" si="122"/>
        <v>140200</v>
      </c>
      <c r="AI186" s="181"/>
      <c r="AJ186" s="181"/>
      <c r="AK186" s="176">
        <f t="shared" si="123"/>
        <v>0</v>
      </c>
      <c r="AL186" s="181"/>
      <c r="AM186" s="181"/>
      <c r="AN186" s="176">
        <f t="shared" si="124"/>
        <v>0</v>
      </c>
      <c r="AO186" s="181"/>
      <c r="AP186" s="181"/>
    </row>
    <row r="187" ht="12.75" customHeight="1">
      <c r="A187" s="179"/>
      <c r="B187" s="457">
        <v>46192.0</v>
      </c>
      <c r="C187" s="481"/>
      <c r="D187" s="196" t="s">
        <v>41</v>
      </c>
      <c r="E187" s="196" t="s">
        <v>405</v>
      </c>
      <c r="F187" s="180"/>
      <c r="G187" s="191">
        <v>943042.0</v>
      </c>
      <c r="H187" s="181">
        <f t="shared" ref="H187:J187" si="221">sum(K187,N187,Q187,T187,W187,Z187,AC187,AF187,AI187,AL187)</f>
        <v>19463.12</v>
      </c>
      <c r="I187" s="181">
        <f t="shared" si="221"/>
        <v>0</v>
      </c>
      <c r="J187" s="176">
        <f t="shared" si="221"/>
        <v>932663.6</v>
      </c>
      <c r="K187" s="181"/>
      <c r="L187" s="181"/>
      <c r="M187" s="329">
        <f t="shared" si="117"/>
        <v>-114107.4</v>
      </c>
      <c r="N187" s="181"/>
      <c r="O187" s="181"/>
      <c r="P187" s="176">
        <f t="shared" si="118"/>
        <v>321200</v>
      </c>
      <c r="Q187" s="181"/>
      <c r="R187" s="181"/>
      <c r="S187" s="176">
        <f t="shared" si="119"/>
        <v>401790</v>
      </c>
      <c r="T187" s="531">
        <v>19463.12</v>
      </c>
      <c r="U187" s="181"/>
      <c r="V187" s="176">
        <f t="shared" si="120"/>
        <v>183581</v>
      </c>
      <c r="W187" s="181"/>
      <c r="X187" s="181"/>
      <c r="Y187" s="176">
        <f t="shared" si="87"/>
        <v>0</v>
      </c>
      <c r="Z187" s="181"/>
      <c r="AA187" s="181"/>
      <c r="AB187" s="176">
        <f t="shared" si="29"/>
        <v>0</v>
      </c>
      <c r="AC187" s="181"/>
      <c r="AD187" s="181"/>
      <c r="AE187" s="176">
        <f t="shared" si="121"/>
        <v>0</v>
      </c>
      <c r="AF187" s="176"/>
      <c r="AG187" s="176"/>
      <c r="AH187" s="176">
        <f t="shared" si="122"/>
        <v>140200</v>
      </c>
      <c r="AI187" s="181"/>
      <c r="AJ187" s="181"/>
      <c r="AK187" s="176">
        <f t="shared" si="123"/>
        <v>0</v>
      </c>
      <c r="AL187" s="181"/>
      <c r="AM187" s="181"/>
      <c r="AN187" s="176">
        <f t="shared" si="124"/>
        <v>0</v>
      </c>
      <c r="AO187" s="181"/>
      <c r="AP187" s="181"/>
    </row>
    <row r="188" ht="12.75" customHeight="1">
      <c r="A188" s="179"/>
      <c r="B188" s="457">
        <v>46192.0</v>
      </c>
      <c r="C188" s="481"/>
      <c r="D188" s="196" t="s">
        <v>41</v>
      </c>
      <c r="E188" s="196" t="s">
        <v>405</v>
      </c>
      <c r="F188" s="180"/>
      <c r="G188" s="191">
        <v>943040.0</v>
      </c>
      <c r="H188" s="181">
        <f t="shared" ref="H188:J188" si="222">sum(K188,N188,Q188,T188,W188,Z188,AC188,AF188,AI188,AL188)</f>
        <v>27202.5</v>
      </c>
      <c r="I188" s="181">
        <f t="shared" si="222"/>
        <v>0</v>
      </c>
      <c r="J188" s="176">
        <f t="shared" si="222"/>
        <v>905461.1</v>
      </c>
      <c r="K188" s="181"/>
      <c r="L188" s="181"/>
      <c r="M188" s="329">
        <f t="shared" si="117"/>
        <v>-114107.4</v>
      </c>
      <c r="N188" s="181"/>
      <c r="O188" s="181"/>
      <c r="P188" s="176">
        <f t="shared" si="118"/>
        <v>321200</v>
      </c>
      <c r="Q188" s="181"/>
      <c r="R188" s="181"/>
      <c r="S188" s="176">
        <f t="shared" si="119"/>
        <v>401790</v>
      </c>
      <c r="T188" s="531">
        <v>27202.5</v>
      </c>
      <c r="U188" s="181"/>
      <c r="V188" s="176">
        <f t="shared" si="120"/>
        <v>156378.5</v>
      </c>
      <c r="W188" s="181"/>
      <c r="X188" s="181"/>
      <c r="Y188" s="176">
        <f t="shared" si="87"/>
        <v>0</v>
      </c>
      <c r="Z188" s="181"/>
      <c r="AA188" s="181"/>
      <c r="AB188" s="176">
        <f t="shared" si="29"/>
        <v>0</v>
      </c>
      <c r="AC188" s="181"/>
      <c r="AD188" s="181"/>
      <c r="AE188" s="176">
        <f t="shared" si="121"/>
        <v>0</v>
      </c>
      <c r="AF188" s="176"/>
      <c r="AG188" s="176"/>
      <c r="AH188" s="176">
        <f t="shared" si="122"/>
        <v>140200</v>
      </c>
      <c r="AI188" s="181"/>
      <c r="AJ188" s="181"/>
      <c r="AK188" s="176">
        <f t="shared" si="123"/>
        <v>0</v>
      </c>
      <c r="AL188" s="181"/>
      <c r="AM188" s="181"/>
      <c r="AN188" s="176">
        <f t="shared" si="124"/>
        <v>0</v>
      </c>
      <c r="AO188" s="181"/>
      <c r="AP188" s="181"/>
    </row>
    <row r="189" ht="12.75" customHeight="1">
      <c r="A189" s="179"/>
      <c r="B189" s="457">
        <v>46194.0</v>
      </c>
      <c r="C189" s="481"/>
      <c r="D189" s="196" t="s">
        <v>41</v>
      </c>
      <c r="E189" s="196" t="s">
        <v>97</v>
      </c>
      <c r="F189" s="180"/>
      <c r="G189" s="191">
        <v>956454.0</v>
      </c>
      <c r="H189" s="181">
        <f t="shared" ref="H189:J189" si="223">sum(K189,N189,Q189,T189,W189,Z189,AC189,AF189,AI189,AL189)</f>
        <v>5200</v>
      </c>
      <c r="I189" s="181">
        <f t="shared" si="223"/>
        <v>0</v>
      </c>
      <c r="J189" s="176">
        <f t="shared" si="223"/>
        <v>900261.1</v>
      </c>
      <c r="K189" s="181"/>
      <c r="L189" s="181"/>
      <c r="M189" s="329">
        <f t="shared" si="117"/>
        <v>-114107.4</v>
      </c>
      <c r="N189" s="531">
        <v>5200.0</v>
      </c>
      <c r="O189" s="181"/>
      <c r="P189" s="176">
        <f t="shared" si="118"/>
        <v>316000</v>
      </c>
      <c r="Q189" s="181"/>
      <c r="R189" s="181"/>
      <c r="S189" s="176">
        <f t="shared" si="119"/>
        <v>401790</v>
      </c>
      <c r="T189" s="181"/>
      <c r="U189" s="181"/>
      <c r="V189" s="176">
        <f t="shared" si="120"/>
        <v>156378.5</v>
      </c>
      <c r="W189" s="181"/>
      <c r="X189" s="181"/>
      <c r="Y189" s="176">
        <f t="shared" si="87"/>
        <v>0</v>
      </c>
      <c r="Z189" s="181"/>
      <c r="AA189" s="181"/>
      <c r="AB189" s="176">
        <f t="shared" si="29"/>
        <v>0</v>
      </c>
      <c r="AC189" s="181"/>
      <c r="AD189" s="181"/>
      <c r="AE189" s="176">
        <f t="shared" si="121"/>
        <v>0</v>
      </c>
      <c r="AF189" s="176"/>
      <c r="AG189" s="176"/>
      <c r="AH189" s="176">
        <f t="shared" si="122"/>
        <v>140200</v>
      </c>
      <c r="AI189" s="181"/>
      <c r="AJ189" s="181"/>
      <c r="AK189" s="176">
        <f t="shared" si="123"/>
        <v>0</v>
      </c>
      <c r="AL189" s="181"/>
      <c r="AM189" s="181"/>
      <c r="AN189" s="176">
        <f t="shared" si="124"/>
        <v>0</v>
      </c>
      <c r="AO189" s="181"/>
      <c r="AP189" s="181"/>
    </row>
    <row r="190" ht="12.75" customHeight="1">
      <c r="A190" s="179"/>
      <c r="B190" s="457">
        <v>46193.0</v>
      </c>
      <c r="C190" s="481"/>
      <c r="D190" s="196" t="s">
        <v>41</v>
      </c>
      <c r="E190" s="196" t="s">
        <v>145</v>
      </c>
      <c r="F190" s="180"/>
      <c r="G190" s="191">
        <v>938023.0</v>
      </c>
      <c r="H190" s="181">
        <f t="shared" ref="H190:J190" si="224">sum(K190,N190,Q190,T190,W190,Z190,AC190,AF190,AI190,AL190)</f>
        <v>20000</v>
      </c>
      <c r="I190" s="181">
        <f t="shared" si="224"/>
        <v>0</v>
      </c>
      <c r="J190" s="176">
        <f t="shared" si="224"/>
        <v>880261.1</v>
      </c>
      <c r="K190" s="197">
        <v>20000.0</v>
      </c>
      <c r="L190" s="181"/>
      <c r="M190" s="329">
        <f t="shared" si="117"/>
        <v>-134107.4</v>
      </c>
      <c r="N190" s="181"/>
      <c r="O190" s="181"/>
      <c r="P190" s="176">
        <f t="shared" si="118"/>
        <v>316000</v>
      </c>
      <c r="Q190" s="181"/>
      <c r="R190" s="181"/>
      <c r="S190" s="176">
        <f t="shared" si="119"/>
        <v>401790</v>
      </c>
      <c r="T190" s="181"/>
      <c r="U190" s="181"/>
      <c r="V190" s="176">
        <f t="shared" si="120"/>
        <v>156378.5</v>
      </c>
      <c r="W190" s="181"/>
      <c r="X190" s="181"/>
      <c r="Y190" s="176">
        <f t="shared" si="87"/>
        <v>0</v>
      </c>
      <c r="Z190" s="181"/>
      <c r="AA190" s="181"/>
      <c r="AB190" s="176">
        <f t="shared" si="29"/>
        <v>0</v>
      </c>
      <c r="AC190" s="181"/>
      <c r="AD190" s="181"/>
      <c r="AE190" s="176">
        <f t="shared" si="121"/>
        <v>0</v>
      </c>
      <c r="AF190" s="176"/>
      <c r="AG190" s="176"/>
      <c r="AH190" s="176">
        <f t="shared" si="122"/>
        <v>140200</v>
      </c>
      <c r="AI190" s="181"/>
      <c r="AJ190" s="181"/>
      <c r="AK190" s="176">
        <f t="shared" si="123"/>
        <v>0</v>
      </c>
      <c r="AL190" s="181"/>
      <c r="AM190" s="181"/>
      <c r="AN190" s="176">
        <f t="shared" si="124"/>
        <v>0</v>
      </c>
      <c r="AO190" s="181"/>
      <c r="AP190" s="181"/>
    </row>
    <row r="191" ht="12.75" customHeight="1">
      <c r="A191" s="179"/>
      <c r="B191" s="457">
        <v>46139.0</v>
      </c>
      <c r="C191" s="481"/>
      <c r="D191" s="196" t="s">
        <v>41</v>
      </c>
      <c r="E191" s="196" t="s">
        <v>183</v>
      </c>
      <c r="F191" s="180"/>
      <c r="G191" s="191">
        <v>942998.0</v>
      </c>
      <c r="H191" s="181">
        <f t="shared" ref="H191:J191" si="225">sum(K191,N191,Q191,T191,W191,Z191,AC191,AF191,AI191,AL191)</f>
        <v>10800</v>
      </c>
      <c r="I191" s="181">
        <f t="shared" si="225"/>
        <v>0</v>
      </c>
      <c r="J191" s="176">
        <f t="shared" si="225"/>
        <v>869461.1</v>
      </c>
      <c r="K191" s="181"/>
      <c r="L191" s="181"/>
      <c r="M191" s="329">
        <f t="shared" si="117"/>
        <v>-134107.4</v>
      </c>
      <c r="N191" s="181"/>
      <c r="O191" s="181"/>
      <c r="P191" s="176">
        <f t="shared" si="118"/>
        <v>316000</v>
      </c>
      <c r="Q191" s="197">
        <v>10800.0</v>
      </c>
      <c r="R191" s="181"/>
      <c r="S191" s="176">
        <f t="shared" si="119"/>
        <v>390990</v>
      </c>
      <c r="T191" s="181"/>
      <c r="U191" s="181"/>
      <c r="V191" s="176">
        <f t="shared" si="120"/>
        <v>156378.5</v>
      </c>
      <c r="W191" s="181"/>
      <c r="X191" s="181"/>
      <c r="Y191" s="176">
        <f t="shared" si="87"/>
        <v>0</v>
      </c>
      <c r="Z191" s="181"/>
      <c r="AA191" s="181"/>
      <c r="AB191" s="176">
        <f t="shared" si="29"/>
        <v>0</v>
      </c>
      <c r="AC191" s="181"/>
      <c r="AD191" s="181"/>
      <c r="AE191" s="176">
        <f t="shared" si="121"/>
        <v>0</v>
      </c>
      <c r="AF191" s="176"/>
      <c r="AG191" s="176"/>
      <c r="AH191" s="176">
        <f t="shared" si="122"/>
        <v>140200</v>
      </c>
      <c r="AI191" s="181"/>
      <c r="AJ191" s="181"/>
      <c r="AK191" s="176">
        <f t="shared" si="123"/>
        <v>0</v>
      </c>
      <c r="AL191" s="181"/>
      <c r="AM191" s="181"/>
      <c r="AN191" s="176">
        <f t="shared" si="124"/>
        <v>0</v>
      </c>
      <c r="AO191" s="181"/>
      <c r="AP191" s="181"/>
    </row>
    <row r="192" ht="12.75" customHeight="1">
      <c r="A192" s="179"/>
      <c r="B192" s="457">
        <v>46141.0</v>
      </c>
      <c r="C192" s="481"/>
      <c r="D192" s="196" t="s">
        <v>41</v>
      </c>
      <c r="E192" s="196" t="s">
        <v>183</v>
      </c>
      <c r="F192" s="180"/>
      <c r="G192" s="191">
        <v>943012.0</v>
      </c>
      <c r="H192" s="181">
        <f t="shared" ref="H192:J192" si="226">sum(K192,N192,Q192,T192,W192,Z192,AC192,AF192,AI192,AL192)</f>
        <v>8500</v>
      </c>
      <c r="I192" s="181">
        <f t="shared" si="226"/>
        <v>0</v>
      </c>
      <c r="J192" s="176">
        <f t="shared" si="226"/>
        <v>860961.1</v>
      </c>
      <c r="K192" s="181"/>
      <c r="L192" s="181"/>
      <c r="M192" s="329">
        <f t="shared" si="117"/>
        <v>-134107.4</v>
      </c>
      <c r="N192" s="181"/>
      <c r="O192" s="181"/>
      <c r="P192" s="176">
        <f t="shared" si="118"/>
        <v>316000</v>
      </c>
      <c r="Q192" s="197">
        <v>8500.0</v>
      </c>
      <c r="R192" s="181"/>
      <c r="S192" s="176">
        <f t="shared" si="119"/>
        <v>382490</v>
      </c>
      <c r="T192" s="181"/>
      <c r="U192" s="181"/>
      <c r="V192" s="176">
        <f t="shared" si="120"/>
        <v>156378.5</v>
      </c>
      <c r="W192" s="181"/>
      <c r="X192" s="181"/>
      <c r="Y192" s="176">
        <f t="shared" si="87"/>
        <v>0</v>
      </c>
      <c r="Z192" s="181"/>
      <c r="AA192" s="181"/>
      <c r="AB192" s="176">
        <f t="shared" si="29"/>
        <v>0</v>
      </c>
      <c r="AC192" s="181"/>
      <c r="AD192" s="181"/>
      <c r="AE192" s="176">
        <f t="shared" si="121"/>
        <v>0</v>
      </c>
      <c r="AF192" s="176"/>
      <c r="AG192" s="176"/>
      <c r="AH192" s="176">
        <f t="shared" si="122"/>
        <v>140200</v>
      </c>
      <c r="AI192" s="181"/>
      <c r="AJ192" s="181"/>
      <c r="AK192" s="176">
        <f t="shared" si="123"/>
        <v>0</v>
      </c>
      <c r="AL192" s="181"/>
      <c r="AM192" s="181"/>
      <c r="AN192" s="176">
        <f t="shared" si="124"/>
        <v>0</v>
      </c>
      <c r="AO192" s="181"/>
      <c r="AP192" s="181"/>
    </row>
    <row r="193" ht="12.75" customHeight="1">
      <c r="A193" s="179"/>
      <c r="B193" s="457">
        <v>46199.0</v>
      </c>
      <c r="C193" s="481"/>
      <c r="D193" s="196" t="s">
        <v>41</v>
      </c>
      <c r="E193" s="196" t="s">
        <v>97</v>
      </c>
      <c r="F193" s="180"/>
      <c r="G193" s="191">
        <v>956453.0</v>
      </c>
      <c r="H193" s="181">
        <f t="shared" ref="H193:J193" si="227">sum(K193,N193,Q193,T193,W193,Z193,AC193,AF193,AI193,AL193)</f>
        <v>15170</v>
      </c>
      <c r="I193" s="181">
        <f t="shared" si="227"/>
        <v>0</v>
      </c>
      <c r="J193" s="176">
        <f t="shared" si="227"/>
        <v>845791.1</v>
      </c>
      <c r="K193" s="181"/>
      <c r="L193" s="181"/>
      <c r="M193" s="329">
        <f t="shared" si="117"/>
        <v>-134107.4</v>
      </c>
      <c r="N193" s="531">
        <v>15170.0</v>
      </c>
      <c r="O193" s="181"/>
      <c r="P193" s="176">
        <f t="shared" si="118"/>
        <v>300830</v>
      </c>
      <c r="Q193" s="181"/>
      <c r="R193" s="181"/>
      <c r="S193" s="176">
        <f t="shared" si="119"/>
        <v>382490</v>
      </c>
      <c r="T193" s="181"/>
      <c r="U193" s="181"/>
      <c r="V193" s="176">
        <f t="shared" si="120"/>
        <v>156378.5</v>
      </c>
      <c r="W193" s="181"/>
      <c r="X193" s="181"/>
      <c r="Y193" s="176">
        <f t="shared" si="87"/>
        <v>0</v>
      </c>
      <c r="Z193" s="181"/>
      <c r="AA193" s="181"/>
      <c r="AB193" s="176">
        <f t="shared" si="29"/>
        <v>0</v>
      </c>
      <c r="AC193" s="181"/>
      <c r="AD193" s="181"/>
      <c r="AE193" s="176">
        <f t="shared" si="121"/>
        <v>0</v>
      </c>
      <c r="AF193" s="176"/>
      <c r="AG193" s="176"/>
      <c r="AH193" s="176">
        <f t="shared" si="122"/>
        <v>140200</v>
      </c>
      <c r="AI193" s="181"/>
      <c r="AJ193" s="181"/>
      <c r="AK193" s="176">
        <f t="shared" si="123"/>
        <v>0</v>
      </c>
      <c r="AL193" s="181"/>
      <c r="AM193" s="181"/>
      <c r="AN193" s="176">
        <f t="shared" si="124"/>
        <v>0</v>
      </c>
      <c r="AO193" s="181"/>
      <c r="AP193" s="181"/>
    </row>
    <row r="194" ht="12.75" customHeight="1">
      <c r="A194" s="179"/>
      <c r="B194" s="457">
        <v>46199.0</v>
      </c>
      <c r="C194" s="481"/>
      <c r="D194" s="196" t="s">
        <v>41</v>
      </c>
      <c r="E194" s="196" t="s">
        <v>97</v>
      </c>
      <c r="F194" s="180"/>
      <c r="G194" s="191">
        <v>956455.0</v>
      </c>
      <c r="H194" s="181">
        <f t="shared" ref="H194:J194" si="228">sum(K194,N194,Q194,T194,W194,Z194,AC194,AF194,AI194,AL194)</f>
        <v>16595</v>
      </c>
      <c r="I194" s="181">
        <f t="shared" si="228"/>
        <v>0</v>
      </c>
      <c r="J194" s="176">
        <f t="shared" si="228"/>
        <v>829196.1</v>
      </c>
      <c r="K194" s="181"/>
      <c r="L194" s="181"/>
      <c r="M194" s="329">
        <f t="shared" si="117"/>
        <v>-134107.4</v>
      </c>
      <c r="N194" s="531">
        <v>16595.0</v>
      </c>
      <c r="O194" s="181"/>
      <c r="P194" s="176">
        <f t="shared" si="118"/>
        <v>284235</v>
      </c>
      <c r="Q194" s="181"/>
      <c r="R194" s="181"/>
      <c r="S194" s="176">
        <f t="shared" si="119"/>
        <v>382490</v>
      </c>
      <c r="T194" s="181"/>
      <c r="U194" s="181"/>
      <c r="V194" s="176">
        <f t="shared" si="120"/>
        <v>156378.5</v>
      </c>
      <c r="W194" s="181"/>
      <c r="X194" s="181"/>
      <c r="Y194" s="176">
        <f t="shared" si="87"/>
        <v>0</v>
      </c>
      <c r="Z194" s="181"/>
      <c r="AA194" s="181"/>
      <c r="AB194" s="176">
        <f t="shared" si="29"/>
        <v>0</v>
      </c>
      <c r="AC194" s="181"/>
      <c r="AD194" s="181"/>
      <c r="AE194" s="176">
        <f t="shared" si="121"/>
        <v>0</v>
      </c>
      <c r="AF194" s="176"/>
      <c r="AG194" s="176"/>
      <c r="AH194" s="176">
        <f t="shared" si="122"/>
        <v>140200</v>
      </c>
      <c r="AI194" s="181"/>
      <c r="AJ194" s="181"/>
      <c r="AK194" s="176">
        <f t="shared" si="123"/>
        <v>0</v>
      </c>
      <c r="AL194" s="181"/>
      <c r="AM194" s="181"/>
      <c r="AN194" s="176">
        <f t="shared" si="124"/>
        <v>0</v>
      </c>
      <c r="AO194" s="181"/>
      <c r="AP194" s="181"/>
    </row>
    <row r="195" ht="12.75" customHeight="1">
      <c r="A195" s="179"/>
      <c r="B195" s="457">
        <v>46199.0</v>
      </c>
      <c r="C195" s="481"/>
      <c r="D195" s="196" t="s">
        <v>41</v>
      </c>
      <c r="E195" s="196" t="s">
        <v>405</v>
      </c>
      <c r="F195" s="180"/>
      <c r="G195" s="191">
        <v>943041.0</v>
      </c>
      <c r="H195" s="181">
        <f t="shared" ref="H195:J195" si="229">sum(K195,N195,Q195,T195,W195,Z195,AC195,AF195,AI195,AL195)</f>
        <v>27202.5</v>
      </c>
      <c r="I195" s="181">
        <f t="shared" si="229"/>
        <v>0</v>
      </c>
      <c r="J195" s="176">
        <f t="shared" si="229"/>
        <v>801993.6</v>
      </c>
      <c r="K195" s="181"/>
      <c r="L195" s="181"/>
      <c r="M195" s="329">
        <f t="shared" si="117"/>
        <v>-134107.4</v>
      </c>
      <c r="N195" s="181"/>
      <c r="O195" s="181"/>
      <c r="P195" s="176">
        <f t="shared" si="118"/>
        <v>284235</v>
      </c>
      <c r="Q195" s="181"/>
      <c r="R195" s="181"/>
      <c r="S195" s="176">
        <f t="shared" si="119"/>
        <v>382490</v>
      </c>
      <c r="T195" s="531">
        <v>27202.5</v>
      </c>
      <c r="U195" s="181"/>
      <c r="V195" s="176">
        <f t="shared" si="120"/>
        <v>129176</v>
      </c>
      <c r="W195" s="181"/>
      <c r="X195" s="181"/>
      <c r="Y195" s="176">
        <f t="shared" si="87"/>
        <v>0</v>
      </c>
      <c r="Z195" s="181"/>
      <c r="AA195" s="181"/>
      <c r="AB195" s="176">
        <f t="shared" si="29"/>
        <v>0</v>
      </c>
      <c r="AC195" s="181"/>
      <c r="AD195" s="181"/>
      <c r="AE195" s="176">
        <f t="shared" si="121"/>
        <v>0</v>
      </c>
      <c r="AF195" s="176"/>
      <c r="AG195" s="176"/>
      <c r="AH195" s="176">
        <f t="shared" si="122"/>
        <v>140200</v>
      </c>
      <c r="AI195" s="181"/>
      <c r="AJ195" s="181"/>
      <c r="AK195" s="176">
        <f t="shared" si="123"/>
        <v>0</v>
      </c>
      <c r="AL195" s="181"/>
      <c r="AM195" s="181"/>
      <c r="AN195" s="176">
        <f t="shared" si="124"/>
        <v>0</v>
      </c>
      <c r="AO195" s="181"/>
      <c r="AP195" s="181"/>
    </row>
    <row r="196" ht="12.75" customHeight="1">
      <c r="A196" s="538"/>
      <c r="B196" s="539">
        <v>46199.0</v>
      </c>
      <c r="C196" s="540"/>
      <c r="D196" s="541" t="s">
        <v>41</v>
      </c>
      <c r="E196" s="541" t="s">
        <v>405</v>
      </c>
      <c r="F196" s="542"/>
      <c r="G196" s="617">
        <v>943045.0</v>
      </c>
      <c r="H196" s="545">
        <f t="shared" ref="H196:J196" si="230">sum(K196,N196,Q196,T196,W196,Z196,AC196,AF196,AI196,AL196)</f>
        <v>16780</v>
      </c>
      <c r="I196" s="545">
        <f t="shared" si="230"/>
        <v>0</v>
      </c>
      <c r="J196" s="546">
        <f t="shared" si="230"/>
        <v>785213.6</v>
      </c>
      <c r="K196" s="545"/>
      <c r="L196" s="545"/>
      <c r="M196" s="547">
        <f t="shared" si="117"/>
        <v>-134107.4</v>
      </c>
      <c r="N196" s="545"/>
      <c r="O196" s="545"/>
      <c r="P196" s="546">
        <f t="shared" si="118"/>
        <v>284235</v>
      </c>
      <c r="Q196" s="545"/>
      <c r="R196" s="545"/>
      <c r="S196" s="546">
        <f t="shared" si="119"/>
        <v>382490</v>
      </c>
      <c r="T196" s="625">
        <v>16780.0</v>
      </c>
      <c r="U196" s="545"/>
      <c r="V196" s="546">
        <f t="shared" si="120"/>
        <v>112396</v>
      </c>
      <c r="W196" s="545"/>
      <c r="X196" s="545"/>
      <c r="Y196" s="546">
        <f t="shared" si="87"/>
        <v>0</v>
      </c>
      <c r="Z196" s="545"/>
      <c r="AA196" s="545"/>
      <c r="AB196" s="546">
        <f t="shared" si="29"/>
        <v>0</v>
      </c>
      <c r="AC196" s="545"/>
      <c r="AD196" s="545"/>
      <c r="AE196" s="546">
        <f t="shared" si="121"/>
        <v>0</v>
      </c>
      <c r="AF196" s="546"/>
      <c r="AG196" s="546"/>
      <c r="AH196" s="546">
        <f t="shared" si="122"/>
        <v>140200</v>
      </c>
      <c r="AI196" s="545"/>
      <c r="AJ196" s="545"/>
      <c r="AK196" s="546">
        <f t="shared" si="123"/>
        <v>0</v>
      </c>
      <c r="AL196" s="545"/>
      <c r="AM196" s="545"/>
      <c r="AN196" s="546">
        <f t="shared" si="124"/>
        <v>0</v>
      </c>
      <c r="AO196" s="545"/>
      <c r="AP196" s="545"/>
    </row>
    <row r="197" ht="12.75" customHeight="1">
      <c r="A197" s="179"/>
      <c r="H197" s="181">
        <f t="shared" ref="H197:J197" si="231">sum(K197,N197,Q197,T197,W197,Z197,AC197,AF197,AI197,AL197)</f>
        <v>0</v>
      </c>
      <c r="I197" s="181">
        <f t="shared" si="231"/>
        <v>0</v>
      </c>
      <c r="J197" s="176">
        <f t="shared" si="231"/>
        <v>785213.6</v>
      </c>
      <c r="K197" s="181"/>
      <c r="L197" s="181"/>
      <c r="M197" s="329">
        <f t="shared" si="117"/>
        <v>-134107.4</v>
      </c>
      <c r="N197" s="181"/>
      <c r="O197" s="181"/>
      <c r="P197" s="176">
        <f t="shared" si="118"/>
        <v>284235</v>
      </c>
      <c r="Q197" s="181"/>
      <c r="R197" s="181"/>
      <c r="S197" s="176">
        <f t="shared" si="119"/>
        <v>382490</v>
      </c>
      <c r="T197" s="181"/>
      <c r="U197" s="181"/>
      <c r="V197" s="176">
        <f t="shared" si="120"/>
        <v>112396</v>
      </c>
      <c r="W197" s="181"/>
      <c r="X197" s="181"/>
      <c r="Y197" s="176">
        <f t="shared" si="87"/>
        <v>0</v>
      </c>
      <c r="Z197" s="181"/>
      <c r="AA197" s="181"/>
      <c r="AB197" s="176">
        <f t="shared" si="29"/>
        <v>0</v>
      </c>
      <c r="AC197" s="181"/>
      <c r="AD197" s="181"/>
      <c r="AE197" s="176">
        <f t="shared" si="121"/>
        <v>0</v>
      </c>
      <c r="AF197" s="176"/>
      <c r="AG197" s="176"/>
      <c r="AH197" s="176">
        <f t="shared" si="122"/>
        <v>140200</v>
      </c>
      <c r="AI197" s="181"/>
      <c r="AJ197" s="181"/>
      <c r="AK197" s="176">
        <f t="shared" si="123"/>
        <v>0</v>
      </c>
      <c r="AL197" s="181"/>
      <c r="AM197" s="181"/>
      <c r="AN197" s="176">
        <f t="shared" si="124"/>
        <v>0</v>
      </c>
      <c r="AO197" s="181"/>
      <c r="AP197" s="181"/>
    </row>
    <row r="198" ht="12.75" customHeight="1">
      <c r="A198" s="179"/>
      <c r="B198" s="459"/>
      <c r="C198" s="481"/>
      <c r="D198" s="180"/>
      <c r="E198" s="180"/>
      <c r="F198" s="180"/>
      <c r="G198" s="460"/>
      <c r="H198" s="181">
        <f t="shared" ref="H198:J198" si="232">sum(K198,N198,Q198,T198,W198,Z198,AC198,AF198,AI198,AL198)</f>
        <v>0</v>
      </c>
      <c r="I198" s="181">
        <f t="shared" si="232"/>
        <v>0</v>
      </c>
      <c r="J198" s="176">
        <f t="shared" si="232"/>
        <v>785213.6</v>
      </c>
      <c r="K198" s="181"/>
      <c r="L198" s="181"/>
      <c r="M198" s="329">
        <f t="shared" si="117"/>
        <v>-134107.4</v>
      </c>
      <c r="N198" s="181"/>
      <c r="O198" s="181"/>
      <c r="P198" s="176">
        <f t="shared" si="118"/>
        <v>284235</v>
      </c>
      <c r="Q198" s="181"/>
      <c r="R198" s="181"/>
      <c r="S198" s="176">
        <f t="shared" si="119"/>
        <v>382490</v>
      </c>
      <c r="T198" s="181"/>
      <c r="U198" s="181"/>
      <c r="V198" s="176">
        <f t="shared" si="120"/>
        <v>112396</v>
      </c>
      <c r="W198" s="181"/>
      <c r="X198" s="181"/>
      <c r="Y198" s="176">
        <f t="shared" si="87"/>
        <v>0</v>
      </c>
      <c r="Z198" s="181"/>
      <c r="AA198" s="181"/>
      <c r="AB198" s="176">
        <f t="shared" si="29"/>
        <v>0</v>
      </c>
      <c r="AC198" s="181"/>
      <c r="AD198" s="181"/>
      <c r="AE198" s="176">
        <f t="shared" si="121"/>
        <v>0</v>
      </c>
      <c r="AF198" s="176"/>
      <c r="AG198" s="176"/>
      <c r="AH198" s="176">
        <f t="shared" si="122"/>
        <v>140200</v>
      </c>
      <c r="AI198" s="181"/>
      <c r="AJ198" s="181"/>
      <c r="AK198" s="176">
        <f t="shared" si="123"/>
        <v>0</v>
      </c>
      <c r="AL198" s="181"/>
      <c r="AM198" s="181"/>
      <c r="AN198" s="176">
        <f t="shared" si="124"/>
        <v>0</v>
      </c>
      <c r="AO198" s="181"/>
      <c r="AP198" s="181"/>
    </row>
    <row r="199" ht="12.75" customHeight="1">
      <c r="A199" s="179"/>
      <c r="B199" s="459"/>
      <c r="C199" s="481"/>
      <c r="D199" s="180"/>
      <c r="E199" s="180"/>
      <c r="F199" s="180"/>
      <c r="G199" s="460"/>
      <c r="H199" s="181">
        <f t="shared" ref="H199:J199" si="233">sum(K199,N199,Q199,T199,W199,Z199,AC199,AF199,AI199,AL199)</f>
        <v>0</v>
      </c>
      <c r="I199" s="181">
        <f t="shared" si="233"/>
        <v>0</v>
      </c>
      <c r="J199" s="176">
        <f t="shared" si="233"/>
        <v>785213.6</v>
      </c>
      <c r="K199" s="181"/>
      <c r="L199" s="181"/>
      <c r="M199" s="329">
        <f t="shared" si="117"/>
        <v>-134107.4</v>
      </c>
      <c r="N199" s="181"/>
      <c r="O199" s="181"/>
      <c r="P199" s="176">
        <f t="shared" si="118"/>
        <v>284235</v>
      </c>
      <c r="Q199" s="181"/>
      <c r="R199" s="181"/>
      <c r="S199" s="176">
        <f t="shared" si="119"/>
        <v>382490</v>
      </c>
      <c r="T199" s="181"/>
      <c r="U199" s="181"/>
      <c r="V199" s="176">
        <f t="shared" si="120"/>
        <v>112396</v>
      </c>
      <c r="W199" s="181"/>
      <c r="X199" s="181"/>
      <c r="Y199" s="176">
        <f t="shared" si="87"/>
        <v>0</v>
      </c>
      <c r="Z199" s="181"/>
      <c r="AA199" s="181"/>
      <c r="AB199" s="176">
        <f t="shared" si="29"/>
        <v>0</v>
      </c>
      <c r="AC199" s="181"/>
      <c r="AD199" s="181"/>
      <c r="AE199" s="176">
        <f t="shared" si="121"/>
        <v>0</v>
      </c>
      <c r="AF199" s="176"/>
      <c r="AG199" s="176"/>
      <c r="AH199" s="176">
        <f t="shared" si="122"/>
        <v>140200</v>
      </c>
      <c r="AI199" s="181"/>
      <c r="AJ199" s="181"/>
      <c r="AK199" s="176">
        <f t="shared" si="123"/>
        <v>0</v>
      </c>
      <c r="AL199" s="181"/>
      <c r="AM199" s="181"/>
      <c r="AN199" s="176">
        <f t="shared" si="124"/>
        <v>0</v>
      </c>
      <c r="AO199" s="181"/>
      <c r="AP199" s="181"/>
    </row>
    <row r="200" ht="12.75" customHeight="1">
      <c r="A200" s="179"/>
      <c r="B200" s="459"/>
      <c r="C200" s="481"/>
      <c r="D200" s="180"/>
      <c r="E200" s="180"/>
      <c r="F200" s="180"/>
      <c r="G200" s="460"/>
      <c r="H200" s="181">
        <f t="shared" ref="H200:J200" si="234">sum(K200,N200,Q200,T200,W200,Z200,AC200,AF200,AI200,AL200)</f>
        <v>0</v>
      </c>
      <c r="I200" s="181">
        <f t="shared" si="234"/>
        <v>0</v>
      </c>
      <c r="J200" s="176">
        <f t="shared" si="234"/>
        <v>785213.6</v>
      </c>
      <c r="K200" s="181"/>
      <c r="L200" s="181"/>
      <c r="M200" s="329">
        <f t="shared" si="117"/>
        <v>-134107.4</v>
      </c>
      <c r="N200" s="181"/>
      <c r="O200" s="181"/>
      <c r="P200" s="176">
        <f t="shared" si="118"/>
        <v>284235</v>
      </c>
      <c r="Q200" s="181"/>
      <c r="R200" s="181"/>
      <c r="S200" s="176">
        <f t="shared" si="119"/>
        <v>382490</v>
      </c>
      <c r="T200" s="181"/>
      <c r="U200" s="181"/>
      <c r="V200" s="176">
        <f t="shared" si="120"/>
        <v>112396</v>
      </c>
      <c r="W200" s="181"/>
      <c r="X200" s="181"/>
      <c r="Y200" s="176">
        <f t="shared" si="87"/>
        <v>0</v>
      </c>
      <c r="Z200" s="181"/>
      <c r="AA200" s="181"/>
      <c r="AB200" s="176">
        <f t="shared" si="29"/>
        <v>0</v>
      </c>
      <c r="AC200" s="181"/>
      <c r="AD200" s="181"/>
      <c r="AE200" s="176">
        <f t="shared" si="121"/>
        <v>0</v>
      </c>
      <c r="AF200" s="176"/>
      <c r="AG200" s="176"/>
      <c r="AH200" s="176">
        <f t="shared" si="122"/>
        <v>140200</v>
      </c>
      <c r="AI200" s="181"/>
      <c r="AJ200" s="181"/>
      <c r="AK200" s="176">
        <f t="shared" si="123"/>
        <v>0</v>
      </c>
      <c r="AL200" s="181"/>
      <c r="AM200" s="181"/>
      <c r="AN200" s="176">
        <f t="shared" si="124"/>
        <v>0</v>
      </c>
      <c r="AO200" s="181"/>
      <c r="AP200" s="181"/>
    </row>
    <row r="201" ht="12.75" customHeight="1">
      <c r="A201" s="179"/>
      <c r="B201" s="459"/>
      <c r="C201" s="481"/>
      <c r="D201" s="180"/>
      <c r="E201" s="180"/>
      <c r="F201" s="180"/>
      <c r="G201" s="460"/>
      <c r="H201" s="181">
        <f t="shared" ref="H201:J201" si="235">sum(K201,N201,Q201,T201,W201,Z201,AC201,AF201,AI201,AL201)</f>
        <v>0</v>
      </c>
      <c r="I201" s="181">
        <f t="shared" si="235"/>
        <v>0</v>
      </c>
      <c r="J201" s="176">
        <f t="shared" si="235"/>
        <v>785213.6</v>
      </c>
      <c r="K201" s="181"/>
      <c r="L201" s="181"/>
      <c r="M201" s="329">
        <f t="shared" si="117"/>
        <v>-134107.4</v>
      </c>
      <c r="N201" s="181"/>
      <c r="O201" s="181"/>
      <c r="P201" s="176">
        <f t="shared" si="118"/>
        <v>284235</v>
      </c>
      <c r="Q201" s="181"/>
      <c r="R201" s="181"/>
      <c r="S201" s="176">
        <f t="shared" si="119"/>
        <v>382490</v>
      </c>
      <c r="T201" s="181"/>
      <c r="U201" s="181"/>
      <c r="V201" s="176">
        <f t="shared" si="120"/>
        <v>112396</v>
      </c>
      <c r="W201" s="181"/>
      <c r="X201" s="181"/>
      <c r="Y201" s="176">
        <f t="shared" si="87"/>
        <v>0</v>
      </c>
      <c r="Z201" s="181"/>
      <c r="AA201" s="181"/>
      <c r="AB201" s="176">
        <f t="shared" si="29"/>
        <v>0</v>
      </c>
      <c r="AC201" s="181"/>
      <c r="AD201" s="181"/>
      <c r="AE201" s="176">
        <f t="shared" si="121"/>
        <v>0</v>
      </c>
      <c r="AF201" s="176"/>
      <c r="AG201" s="176"/>
      <c r="AH201" s="176">
        <f t="shared" si="122"/>
        <v>140200</v>
      </c>
      <c r="AI201" s="181"/>
      <c r="AJ201" s="181"/>
      <c r="AK201" s="176">
        <f t="shared" si="123"/>
        <v>0</v>
      </c>
      <c r="AL201" s="181"/>
      <c r="AM201" s="181"/>
      <c r="AN201" s="176">
        <f t="shared" si="124"/>
        <v>0</v>
      </c>
      <c r="AO201" s="181"/>
      <c r="AP201" s="181"/>
    </row>
    <row r="202" ht="12.75" customHeight="1">
      <c r="A202" s="179"/>
      <c r="B202" s="459"/>
      <c r="C202" s="481"/>
      <c r="D202" s="180"/>
      <c r="E202" s="180"/>
      <c r="F202" s="180"/>
      <c r="G202" s="460"/>
      <c r="H202" s="181">
        <f t="shared" ref="H202:J202" si="236">sum(K202,N202,Q202,T202,W202,Z202,AC202,AF202,AI202,AL202)</f>
        <v>0</v>
      </c>
      <c r="I202" s="181">
        <f t="shared" si="236"/>
        <v>0</v>
      </c>
      <c r="J202" s="176">
        <f t="shared" si="236"/>
        <v>785213.6</v>
      </c>
      <c r="K202" s="181"/>
      <c r="L202" s="181"/>
      <c r="M202" s="329">
        <f t="shared" si="117"/>
        <v>-134107.4</v>
      </c>
      <c r="N202" s="181"/>
      <c r="O202" s="181"/>
      <c r="P202" s="176">
        <f t="shared" si="118"/>
        <v>284235</v>
      </c>
      <c r="Q202" s="181"/>
      <c r="R202" s="181"/>
      <c r="S202" s="176">
        <f t="shared" si="119"/>
        <v>382490</v>
      </c>
      <c r="T202" s="181"/>
      <c r="U202" s="181"/>
      <c r="V202" s="176">
        <f t="shared" si="120"/>
        <v>112396</v>
      </c>
      <c r="W202" s="181"/>
      <c r="X202" s="181"/>
      <c r="Y202" s="176">
        <f t="shared" si="87"/>
        <v>0</v>
      </c>
      <c r="Z202" s="181"/>
      <c r="AA202" s="181"/>
      <c r="AB202" s="176">
        <f t="shared" si="29"/>
        <v>0</v>
      </c>
      <c r="AC202" s="181"/>
      <c r="AD202" s="181"/>
      <c r="AE202" s="176">
        <f t="shared" si="121"/>
        <v>0</v>
      </c>
      <c r="AF202" s="176"/>
      <c r="AG202" s="176"/>
      <c r="AH202" s="176">
        <f t="shared" si="122"/>
        <v>140200</v>
      </c>
      <c r="AI202" s="181"/>
      <c r="AJ202" s="181"/>
      <c r="AK202" s="176">
        <f t="shared" si="123"/>
        <v>0</v>
      </c>
      <c r="AL202" s="181"/>
      <c r="AM202" s="181"/>
      <c r="AN202" s="176">
        <f t="shared" si="124"/>
        <v>0</v>
      </c>
      <c r="AO202" s="181"/>
      <c r="AP202" s="181"/>
    </row>
    <row r="203" ht="12.75" customHeight="1">
      <c r="A203" s="179"/>
      <c r="B203" s="459"/>
      <c r="C203" s="481"/>
      <c r="D203" s="180"/>
      <c r="E203" s="180"/>
      <c r="F203" s="180"/>
      <c r="G203" s="460"/>
      <c r="H203" s="181">
        <f t="shared" ref="H203:J203" si="237">sum(K203,N203,Q203,T203,W203,Z203,AC203,AF203,AI203,AL203)</f>
        <v>0</v>
      </c>
      <c r="I203" s="181">
        <f t="shared" si="237"/>
        <v>0</v>
      </c>
      <c r="J203" s="176">
        <f t="shared" si="237"/>
        <v>785213.6</v>
      </c>
      <c r="K203" s="181"/>
      <c r="L203" s="181"/>
      <c r="M203" s="329">
        <f t="shared" si="117"/>
        <v>-134107.4</v>
      </c>
      <c r="N203" s="181"/>
      <c r="O203" s="181"/>
      <c r="P203" s="176">
        <f t="shared" si="118"/>
        <v>284235</v>
      </c>
      <c r="Q203" s="181"/>
      <c r="R203" s="181"/>
      <c r="S203" s="176">
        <f t="shared" si="119"/>
        <v>382490</v>
      </c>
      <c r="T203" s="181"/>
      <c r="U203" s="181"/>
      <c r="V203" s="176">
        <f t="shared" si="120"/>
        <v>112396</v>
      </c>
      <c r="W203" s="181"/>
      <c r="X203" s="181"/>
      <c r="Y203" s="176">
        <f t="shared" si="87"/>
        <v>0</v>
      </c>
      <c r="Z203" s="181"/>
      <c r="AA203" s="181"/>
      <c r="AB203" s="176">
        <f t="shared" si="29"/>
        <v>0</v>
      </c>
      <c r="AC203" s="181"/>
      <c r="AD203" s="181"/>
      <c r="AE203" s="176">
        <f t="shared" si="121"/>
        <v>0</v>
      </c>
      <c r="AF203" s="176"/>
      <c r="AG203" s="176"/>
      <c r="AH203" s="176">
        <f t="shared" si="122"/>
        <v>140200</v>
      </c>
      <c r="AI203" s="181"/>
      <c r="AJ203" s="181"/>
      <c r="AK203" s="176">
        <f t="shared" si="123"/>
        <v>0</v>
      </c>
      <c r="AL203" s="181"/>
      <c r="AM203" s="181"/>
      <c r="AN203" s="176">
        <f t="shared" si="124"/>
        <v>0</v>
      </c>
      <c r="AO203" s="181"/>
      <c r="AP203" s="181"/>
    </row>
    <row r="204" ht="12.75" customHeight="1">
      <c r="A204" s="179"/>
      <c r="B204" s="459"/>
      <c r="C204" s="481"/>
      <c r="D204" s="180"/>
      <c r="E204" s="180"/>
      <c r="F204" s="180"/>
      <c r="G204" s="460"/>
      <c r="H204" s="181">
        <f t="shared" ref="H204:J204" si="238">sum(K204,N204,Q204,T204,W204,Z204,AC204,AF204,AI204,AL204)</f>
        <v>0</v>
      </c>
      <c r="I204" s="181">
        <f t="shared" si="238"/>
        <v>0</v>
      </c>
      <c r="J204" s="176">
        <f t="shared" si="238"/>
        <v>785213.6</v>
      </c>
      <c r="K204" s="181"/>
      <c r="L204" s="181"/>
      <c r="M204" s="329">
        <f t="shared" si="117"/>
        <v>-134107.4</v>
      </c>
      <c r="N204" s="181"/>
      <c r="O204" s="181"/>
      <c r="P204" s="176">
        <f t="shared" si="118"/>
        <v>284235</v>
      </c>
      <c r="Q204" s="181"/>
      <c r="R204" s="181"/>
      <c r="S204" s="176">
        <f t="shared" si="119"/>
        <v>382490</v>
      </c>
      <c r="T204" s="181"/>
      <c r="U204" s="181"/>
      <c r="V204" s="176">
        <f t="shared" si="120"/>
        <v>112396</v>
      </c>
      <c r="W204" s="181"/>
      <c r="X204" s="181"/>
      <c r="Y204" s="176">
        <f t="shared" si="87"/>
        <v>0</v>
      </c>
      <c r="Z204" s="181"/>
      <c r="AA204" s="181"/>
      <c r="AB204" s="176">
        <f t="shared" si="29"/>
        <v>0</v>
      </c>
      <c r="AC204" s="181"/>
      <c r="AD204" s="181"/>
      <c r="AE204" s="176">
        <f t="shared" si="121"/>
        <v>0</v>
      </c>
      <c r="AF204" s="176"/>
      <c r="AG204" s="176"/>
      <c r="AH204" s="176">
        <f t="shared" si="122"/>
        <v>140200</v>
      </c>
      <c r="AI204" s="181"/>
      <c r="AJ204" s="181"/>
      <c r="AK204" s="176">
        <f t="shared" si="123"/>
        <v>0</v>
      </c>
      <c r="AL204" s="181"/>
      <c r="AM204" s="181"/>
      <c r="AN204" s="176">
        <f t="shared" si="124"/>
        <v>0</v>
      </c>
      <c r="AO204" s="181"/>
      <c r="AP204" s="181"/>
    </row>
    <row r="205" ht="12.75" customHeight="1">
      <c r="A205" s="179"/>
      <c r="B205" s="459"/>
      <c r="C205" s="481"/>
      <c r="D205" s="180"/>
      <c r="E205" s="180"/>
      <c r="F205" s="180"/>
      <c r="G205" s="460"/>
      <c r="H205" s="181">
        <f t="shared" ref="H205:J205" si="239">sum(K205,N205,Q205,T205,W205,Z205,AC205,AF205,AI205,AL205)</f>
        <v>0</v>
      </c>
      <c r="I205" s="181">
        <f t="shared" si="239"/>
        <v>0</v>
      </c>
      <c r="J205" s="176">
        <f t="shared" si="239"/>
        <v>785213.6</v>
      </c>
      <c r="K205" s="181"/>
      <c r="L205" s="181"/>
      <c r="M205" s="329">
        <f t="shared" si="117"/>
        <v>-134107.4</v>
      </c>
      <c r="N205" s="181"/>
      <c r="O205" s="181"/>
      <c r="P205" s="176">
        <f t="shared" si="118"/>
        <v>284235</v>
      </c>
      <c r="Q205" s="181"/>
      <c r="R205" s="181"/>
      <c r="S205" s="176">
        <f t="shared" si="119"/>
        <v>382490</v>
      </c>
      <c r="T205" s="181"/>
      <c r="U205" s="181"/>
      <c r="V205" s="176">
        <f t="shared" si="120"/>
        <v>112396</v>
      </c>
      <c r="W205" s="181"/>
      <c r="X205" s="181"/>
      <c r="Y205" s="176">
        <f t="shared" si="87"/>
        <v>0</v>
      </c>
      <c r="Z205" s="181"/>
      <c r="AA205" s="181"/>
      <c r="AB205" s="176">
        <f t="shared" si="29"/>
        <v>0</v>
      </c>
      <c r="AC205" s="181"/>
      <c r="AD205" s="181"/>
      <c r="AE205" s="176">
        <f t="shared" si="121"/>
        <v>0</v>
      </c>
      <c r="AF205" s="176"/>
      <c r="AG205" s="176"/>
      <c r="AH205" s="176">
        <f t="shared" si="122"/>
        <v>140200</v>
      </c>
      <c r="AI205" s="181"/>
      <c r="AJ205" s="181"/>
      <c r="AK205" s="176">
        <f t="shared" si="123"/>
        <v>0</v>
      </c>
      <c r="AL205" s="181"/>
      <c r="AM205" s="181"/>
      <c r="AN205" s="176">
        <f t="shared" si="124"/>
        <v>0</v>
      </c>
      <c r="AO205" s="181"/>
      <c r="AP205" s="181"/>
    </row>
    <row r="206" ht="12.75" customHeight="1">
      <c r="A206" s="179"/>
      <c r="B206" s="459"/>
      <c r="C206" s="481"/>
      <c r="D206" s="180"/>
      <c r="E206" s="180"/>
      <c r="F206" s="180"/>
      <c r="G206" s="460"/>
      <c r="H206" s="181">
        <f t="shared" ref="H206:J206" si="240">sum(K206,N206,Q206,T206,W206,Z206,AC206,AF206,AI206,AL206)</f>
        <v>0</v>
      </c>
      <c r="I206" s="181">
        <f t="shared" si="240"/>
        <v>0</v>
      </c>
      <c r="J206" s="176">
        <f t="shared" si="240"/>
        <v>785213.6</v>
      </c>
      <c r="K206" s="181"/>
      <c r="L206" s="181"/>
      <c r="M206" s="329">
        <f t="shared" si="117"/>
        <v>-134107.4</v>
      </c>
      <c r="N206" s="181"/>
      <c r="O206" s="181"/>
      <c r="P206" s="176">
        <f t="shared" si="118"/>
        <v>284235</v>
      </c>
      <c r="Q206" s="181"/>
      <c r="R206" s="181"/>
      <c r="S206" s="176">
        <f t="shared" si="119"/>
        <v>382490</v>
      </c>
      <c r="T206" s="181"/>
      <c r="U206" s="181"/>
      <c r="V206" s="176">
        <f t="shared" si="120"/>
        <v>112396</v>
      </c>
      <c r="W206" s="181"/>
      <c r="X206" s="181"/>
      <c r="Y206" s="176">
        <f t="shared" si="87"/>
        <v>0</v>
      </c>
      <c r="Z206" s="181"/>
      <c r="AA206" s="181"/>
      <c r="AB206" s="176">
        <f t="shared" si="29"/>
        <v>0</v>
      </c>
      <c r="AC206" s="181"/>
      <c r="AD206" s="181"/>
      <c r="AE206" s="176">
        <f t="shared" si="121"/>
        <v>0</v>
      </c>
      <c r="AF206" s="176"/>
      <c r="AG206" s="176"/>
      <c r="AH206" s="176">
        <f t="shared" si="122"/>
        <v>140200</v>
      </c>
      <c r="AI206" s="181"/>
      <c r="AJ206" s="181"/>
      <c r="AK206" s="176">
        <f t="shared" si="123"/>
        <v>0</v>
      </c>
      <c r="AL206" s="181"/>
      <c r="AM206" s="181"/>
      <c r="AN206" s="176">
        <f t="shared" si="124"/>
        <v>0</v>
      </c>
      <c r="AO206" s="181"/>
      <c r="AP206" s="181"/>
    </row>
    <row r="207" ht="12.75" customHeight="1">
      <c r="A207" s="179"/>
      <c r="B207" s="459"/>
      <c r="C207" s="481"/>
      <c r="D207" s="180"/>
      <c r="E207" s="180"/>
      <c r="F207" s="180"/>
      <c r="G207" s="460"/>
      <c r="H207" s="181">
        <f t="shared" ref="H207:J207" si="241">sum(K207,N207,Q207,T207,W207,Z207,AC207,AF207,AI207,AL207)</f>
        <v>0</v>
      </c>
      <c r="I207" s="181">
        <f t="shared" si="241"/>
        <v>0</v>
      </c>
      <c r="J207" s="176">
        <f t="shared" si="241"/>
        <v>785213.6</v>
      </c>
      <c r="K207" s="181"/>
      <c r="L207" s="181"/>
      <c r="M207" s="329">
        <f t="shared" si="117"/>
        <v>-134107.4</v>
      </c>
      <c r="N207" s="181"/>
      <c r="O207" s="181"/>
      <c r="P207" s="176">
        <f t="shared" si="118"/>
        <v>284235</v>
      </c>
      <c r="Q207" s="181"/>
      <c r="R207" s="181"/>
      <c r="S207" s="176">
        <f t="shared" si="119"/>
        <v>382490</v>
      </c>
      <c r="T207" s="181"/>
      <c r="U207" s="181"/>
      <c r="V207" s="176">
        <f t="shared" si="120"/>
        <v>112396</v>
      </c>
      <c r="W207" s="181"/>
      <c r="X207" s="181"/>
      <c r="Y207" s="176">
        <f t="shared" si="87"/>
        <v>0</v>
      </c>
      <c r="Z207" s="181"/>
      <c r="AA207" s="181"/>
      <c r="AB207" s="176">
        <f t="shared" si="29"/>
        <v>0</v>
      </c>
      <c r="AC207" s="181"/>
      <c r="AD207" s="181"/>
      <c r="AE207" s="176">
        <f t="shared" si="121"/>
        <v>0</v>
      </c>
      <c r="AF207" s="176"/>
      <c r="AG207" s="176"/>
      <c r="AH207" s="176">
        <f t="shared" si="122"/>
        <v>140200</v>
      </c>
      <c r="AI207" s="181"/>
      <c r="AJ207" s="181"/>
      <c r="AK207" s="176">
        <f t="shared" si="123"/>
        <v>0</v>
      </c>
      <c r="AL207" s="181"/>
      <c r="AM207" s="181"/>
      <c r="AN207" s="176">
        <f t="shared" si="124"/>
        <v>0</v>
      </c>
      <c r="AO207" s="181"/>
      <c r="AP207" s="181"/>
    </row>
    <row r="208" ht="12.75" customHeight="1">
      <c r="A208" s="179"/>
      <c r="B208" s="459"/>
      <c r="C208" s="481"/>
      <c r="D208" s="180"/>
      <c r="E208" s="180"/>
      <c r="F208" s="180"/>
      <c r="G208" s="460"/>
      <c r="H208" s="181">
        <f t="shared" ref="H208:J208" si="242">sum(K208,N208,Q208,T208,W208,Z208,AC208,AF208,AI208,AL208)</f>
        <v>0</v>
      </c>
      <c r="I208" s="181">
        <f t="shared" si="242"/>
        <v>0</v>
      </c>
      <c r="J208" s="176">
        <f t="shared" si="242"/>
        <v>785213.6</v>
      </c>
      <c r="K208" s="181"/>
      <c r="L208" s="181"/>
      <c r="M208" s="329">
        <f t="shared" si="117"/>
        <v>-134107.4</v>
      </c>
      <c r="N208" s="181"/>
      <c r="O208" s="181"/>
      <c r="P208" s="176">
        <f t="shared" si="118"/>
        <v>284235</v>
      </c>
      <c r="Q208" s="181"/>
      <c r="R208" s="181"/>
      <c r="S208" s="176">
        <f t="shared" si="119"/>
        <v>382490</v>
      </c>
      <c r="T208" s="181"/>
      <c r="U208" s="181"/>
      <c r="V208" s="176">
        <f t="shared" si="120"/>
        <v>112396</v>
      </c>
      <c r="W208" s="181"/>
      <c r="X208" s="181"/>
      <c r="Y208" s="176">
        <f t="shared" si="87"/>
        <v>0</v>
      </c>
      <c r="Z208" s="181"/>
      <c r="AA208" s="181"/>
      <c r="AB208" s="176">
        <f t="shared" si="29"/>
        <v>0</v>
      </c>
      <c r="AC208" s="181"/>
      <c r="AD208" s="181"/>
      <c r="AE208" s="176">
        <f t="shared" si="121"/>
        <v>0</v>
      </c>
      <c r="AF208" s="176"/>
      <c r="AG208" s="176"/>
      <c r="AH208" s="176">
        <f t="shared" si="122"/>
        <v>140200</v>
      </c>
      <c r="AI208" s="181"/>
      <c r="AJ208" s="181"/>
      <c r="AK208" s="176">
        <f t="shared" si="123"/>
        <v>0</v>
      </c>
      <c r="AL208" s="181"/>
      <c r="AM208" s="181"/>
      <c r="AN208" s="176">
        <f t="shared" si="124"/>
        <v>0</v>
      </c>
      <c r="AO208" s="181"/>
      <c r="AP208" s="181"/>
    </row>
    <row r="209" ht="12.75" customHeight="1">
      <c r="A209" s="179"/>
      <c r="B209" s="459"/>
      <c r="C209" s="481"/>
      <c r="D209" s="180"/>
      <c r="E209" s="180"/>
      <c r="F209" s="180"/>
      <c r="G209" s="460"/>
      <c r="H209" s="181">
        <f t="shared" ref="H209:J209" si="243">sum(K209,N209,Q209,T209,W209,Z209,AC209,AF209,AI209,AL209)</f>
        <v>0</v>
      </c>
      <c r="I209" s="181">
        <f t="shared" si="243"/>
        <v>0</v>
      </c>
      <c r="J209" s="176">
        <f t="shared" si="243"/>
        <v>785213.6</v>
      </c>
      <c r="K209" s="181"/>
      <c r="L209" s="181"/>
      <c r="M209" s="329">
        <f t="shared" si="117"/>
        <v>-134107.4</v>
      </c>
      <c r="N209" s="181"/>
      <c r="O209" s="181"/>
      <c r="P209" s="176">
        <f t="shared" si="118"/>
        <v>284235</v>
      </c>
      <c r="Q209" s="181"/>
      <c r="R209" s="181"/>
      <c r="S209" s="176">
        <f t="shared" si="119"/>
        <v>382490</v>
      </c>
      <c r="T209" s="181"/>
      <c r="U209" s="181"/>
      <c r="V209" s="176">
        <f t="shared" si="120"/>
        <v>112396</v>
      </c>
      <c r="W209" s="181"/>
      <c r="X209" s="181"/>
      <c r="Y209" s="176">
        <f t="shared" si="87"/>
        <v>0</v>
      </c>
      <c r="Z209" s="181"/>
      <c r="AA209" s="181"/>
      <c r="AB209" s="176">
        <f t="shared" si="29"/>
        <v>0</v>
      </c>
      <c r="AC209" s="181"/>
      <c r="AD209" s="181"/>
      <c r="AE209" s="176">
        <f t="shared" si="121"/>
        <v>0</v>
      </c>
      <c r="AF209" s="176"/>
      <c r="AG209" s="176"/>
      <c r="AH209" s="176">
        <f t="shared" si="122"/>
        <v>140200</v>
      </c>
      <c r="AI209" s="181"/>
      <c r="AJ209" s="181"/>
      <c r="AK209" s="176">
        <f t="shared" si="123"/>
        <v>0</v>
      </c>
      <c r="AL209" s="181"/>
      <c r="AM209" s="181"/>
      <c r="AN209" s="176">
        <f t="shared" si="124"/>
        <v>0</v>
      </c>
      <c r="AO209" s="181"/>
      <c r="AP209" s="181"/>
    </row>
    <row r="210" ht="12.75" customHeight="1">
      <c r="A210" s="179"/>
      <c r="B210" s="459"/>
      <c r="C210" s="481"/>
      <c r="D210" s="180"/>
      <c r="E210" s="180"/>
      <c r="F210" s="180"/>
      <c r="G210" s="460"/>
      <c r="H210" s="181"/>
      <c r="I210" s="181"/>
      <c r="J210" s="181"/>
      <c r="K210" s="181"/>
      <c r="L210" s="181"/>
      <c r="M210" s="329">
        <f t="shared" si="117"/>
        <v>-134107.4</v>
      </c>
      <c r="N210" s="181"/>
      <c r="O210" s="181"/>
      <c r="P210" s="176">
        <f t="shared" si="118"/>
        <v>284235</v>
      </c>
      <c r="Q210" s="181"/>
      <c r="R210" s="181"/>
      <c r="S210" s="176">
        <f t="shared" si="119"/>
        <v>382490</v>
      </c>
      <c r="T210" s="181"/>
      <c r="U210" s="181"/>
      <c r="V210" s="176">
        <f t="shared" si="120"/>
        <v>112396</v>
      </c>
      <c r="W210" s="181"/>
      <c r="X210" s="181"/>
      <c r="Y210" s="176">
        <f t="shared" si="87"/>
        <v>0</v>
      </c>
      <c r="Z210" s="181"/>
      <c r="AA210" s="181"/>
      <c r="AB210" s="176">
        <f t="shared" si="29"/>
        <v>0</v>
      </c>
      <c r="AC210" s="181"/>
      <c r="AD210" s="181"/>
      <c r="AE210" s="176">
        <f t="shared" si="121"/>
        <v>0</v>
      </c>
      <c r="AF210" s="176"/>
      <c r="AG210" s="176"/>
      <c r="AH210" s="176">
        <f t="shared" si="122"/>
        <v>140200</v>
      </c>
      <c r="AI210" s="181"/>
      <c r="AJ210" s="181"/>
      <c r="AK210" s="176">
        <f t="shared" si="123"/>
        <v>0</v>
      </c>
      <c r="AL210" s="181"/>
      <c r="AM210" s="181"/>
      <c r="AN210" s="176">
        <f t="shared" si="124"/>
        <v>0</v>
      </c>
      <c r="AO210" s="181"/>
      <c r="AP210" s="181"/>
    </row>
    <row r="211" ht="12.75" customHeight="1">
      <c r="A211" s="179"/>
      <c r="B211" s="459"/>
      <c r="C211" s="481"/>
      <c r="D211" s="180"/>
      <c r="E211" s="180"/>
      <c r="F211" s="180"/>
      <c r="G211" s="460"/>
      <c r="H211" s="181"/>
      <c r="I211" s="181"/>
      <c r="J211" s="181"/>
      <c r="K211" s="181"/>
      <c r="L211" s="181"/>
      <c r="M211" s="329">
        <f t="shared" si="117"/>
        <v>-134107.4</v>
      </c>
      <c r="N211" s="181"/>
      <c r="O211" s="181"/>
      <c r="P211" s="176">
        <f t="shared" si="118"/>
        <v>284235</v>
      </c>
      <c r="Q211" s="181"/>
      <c r="R211" s="181"/>
      <c r="S211" s="176">
        <f t="shared" si="119"/>
        <v>382490</v>
      </c>
      <c r="T211" s="181"/>
      <c r="U211" s="181"/>
      <c r="V211" s="176">
        <f t="shared" si="120"/>
        <v>112396</v>
      </c>
      <c r="W211" s="181"/>
      <c r="X211" s="181"/>
      <c r="Y211" s="176">
        <f t="shared" si="87"/>
        <v>0</v>
      </c>
      <c r="Z211" s="181"/>
      <c r="AA211" s="181"/>
      <c r="AB211" s="176">
        <f t="shared" si="29"/>
        <v>0</v>
      </c>
      <c r="AC211" s="181"/>
      <c r="AD211" s="181"/>
      <c r="AE211" s="176">
        <f t="shared" si="121"/>
        <v>0</v>
      </c>
      <c r="AF211" s="176"/>
      <c r="AG211" s="176"/>
      <c r="AH211" s="176">
        <f t="shared" si="122"/>
        <v>140200</v>
      </c>
      <c r="AI211" s="181"/>
      <c r="AJ211" s="181"/>
      <c r="AK211" s="176">
        <f t="shared" si="123"/>
        <v>0</v>
      </c>
      <c r="AL211" s="181"/>
      <c r="AM211" s="181"/>
      <c r="AN211" s="176">
        <f t="shared" si="124"/>
        <v>0</v>
      </c>
      <c r="AO211" s="181"/>
      <c r="AP211" s="181"/>
    </row>
    <row r="212" ht="12.75" customHeight="1">
      <c r="A212" s="179"/>
      <c r="B212" s="459"/>
      <c r="C212" s="481"/>
      <c r="D212" s="180"/>
      <c r="E212" s="180"/>
      <c r="F212" s="180"/>
      <c r="G212" s="460"/>
      <c r="H212" s="181"/>
      <c r="I212" s="181"/>
      <c r="J212" s="181"/>
      <c r="K212" s="181"/>
      <c r="L212" s="181"/>
      <c r="M212" s="329">
        <f t="shared" si="117"/>
        <v>-134107.4</v>
      </c>
      <c r="N212" s="181"/>
      <c r="O212" s="181"/>
      <c r="P212" s="176">
        <f t="shared" si="118"/>
        <v>284235</v>
      </c>
      <c r="Q212" s="181"/>
      <c r="R212" s="181"/>
      <c r="S212" s="176">
        <f t="shared" si="119"/>
        <v>382490</v>
      </c>
      <c r="T212" s="181"/>
      <c r="U212" s="181"/>
      <c r="V212" s="176">
        <f t="shared" si="120"/>
        <v>112396</v>
      </c>
      <c r="W212" s="181"/>
      <c r="X212" s="181"/>
      <c r="Y212" s="176">
        <f t="shared" si="87"/>
        <v>0</v>
      </c>
      <c r="Z212" s="181"/>
      <c r="AA212" s="181"/>
      <c r="AB212" s="176">
        <f t="shared" si="29"/>
        <v>0</v>
      </c>
      <c r="AC212" s="181"/>
      <c r="AD212" s="181"/>
      <c r="AE212" s="176">
        <f t="shared" si="121"/>
        <v>0</v>
      </c>
      <c r="AF212" s="176"/>
      <c r="AG212" s="176"/>
      <c r="AH212" s="176">
        <f t="shared" si="122"/>
        <v>140200</v>
      </c>
      <c r="AI212" s="181"/>
      <c r="AJ212" s="181"/>
      <c r="AK212" s="176">
        <f t="shared" si="123"/>
        <v>0</v>
      </c>
      <c r="AL212" s="181"/>
      <c r="AM212" s="181"/>
      <c r="AN212" s="176">
        <f t="shared" si="124"/>
        <v>0</v>
      </c>
      <c r="AO212" s="181"/>
      <c r="AP212" s="181"/>
    </row>
    <row r="213" ht="12.75" customHeight="1">
      <c r="A213" s="179"/>
      <c r="B213" s="459"/>
      <c r="C213" s="481"/>
      <c r="D213" s="180"/>
      <c r="E213" s="180"/>
      <c r="F213" s="180"/>
      <c r="G213" s="460"/>
      <c r="H213" s="181"/>
      <c r="I213" s="181"/>
      <c r="J213" s="181"/>
      <c r="K213" s="181"/>
      <c r="L213" s="181"/>
      <c r="M213" s="329">
        <f t="shared" si="117"/>
        <v>-134107.4</v>
      </c>
      <c r="N213" s="181"/>
      <c r="O213" s="181"/>
      <c r="P213" s="176">
        <f t="shared" si="118"/>
        <v>284235</v>
      </c>
      <c r="Q213" s="181"/>
      <c r="R213" s="181"/>
      <c r="S213" s="176">
        <f t="shared" si="119"/>
        <v>382490</v>
      </c>
      <c r="T213" s="181"/>
      <c r="U213" s="181"/>
      <c r="V213" s="176">
        <f t="shared" si="120"/>
        <v>112396</v>
      </c>
      <c r="W213" s="181"/>
      <c r="X213" s="181"/>
      <c r="Y213" s="176">
        <f t="shared" si="87"/>
        <v>0</v>
      </c>
      <c r="Z213" s="181"/>
      <c r="AA213" s="181"/>
      <c r="AB213" s="176">
        <f t="shared" si="29"/>
        <v>0</v>
      </c>
      <c r="AC213" s="181"/>
      <c r="AD213" s="181"/>
      <c r="AE213" s="176">
        <f t="shared" si="121"/>
        <v>0</v>
      </c>
      <c r="AF213" s="176"/>
      <c r="AG213" s="176"/>
      <c r="AH213" s="176">
        <f t="shared" si="122"/>
        <v>140200</v>
      </c>
      <c r="AI213" s="181"/>
      <c r="AJ213" s="181"/>
      <c r="AK213" s="176">
        <f t="shared" si="123"/>
        <v>0</v>
      </c>
      <c r="AL213" s="181"/>
      <c r="AM213" s="181"/>
      <c r="AN213" s="176">
        <f t="shared" si="124"/>
        <v>0</v>
      </c>
      <c r="AO213" s="181"/>
      <c r="AP213" s="181"/>
    </row>
    <row r="214" ht="12.75" customHeight="1">
      <c r="A214" s="179"/>
      <c r="B214" s="459"/>
      <c r="C214" s="481"/>
      <c r="D214" s="180"/>
      <c r="E214" s="180"/>
      <c r="F214" s="180"/>
      <c r="G214" s="460"/>
      <c r="H214" s="181"/>
      <c r="I214" s="181"/>
      <c r="J214" s="181"/>
      <c r="K214" s="181"/>
      <c r="L214" s="181"/>
      <c r="M214" s="329">
        <f t="shared" si="117"/>
        <v>-134107.4</v>
      </c>
      <c r="N214" s="181"/>
      <c r="O214" s="181"/>
      <c r="P214" s="176">
        <f t="shared" si="118"/>
        <v>284235</v>
      </c>
      <c r="Q214" s="181"/>
      <c r="R214" s="181"/>
      <c r="S214" s="176">
        <f t="shared" si="119"/>
        <v>382490</v>
      </c>
      <c r="T214" s="181"/>
      <c r="U214" s="181"/>
      <c r="V214" s="176">
        <f t="shared" si="120"/>
        <v>112396</v>
      </c>
      <c r="W214" s="181"/>
      <c r="X214" s="181"/>
      <c r="Y214" s="176">
        <f t="shared" si="87"/>
        <v>0</v>
      </c>
      <c r="Z214" s="181"/>
      <c r="AA214" s="181"/>
      <c r="AB214" s="176">
        <f t="shared" si="29"/>
        <v>0</v>
      </c>
      <c r="AC214" s="181"/>
      <c r="AD214" s="181"/>
      <c r="AE214" s="176">
        <f t="shared" si="121"/>
        <v>0</v>
      </c>
      <c r="AF214" s="176"/>
      <c r="AG214" s="176"/>
      <c r="AH214" s="176">
        <f t="shared" si="122"/>
        <v>140200</v>
      </c>
      <c r="AI214" s="181"/>
      <c r="AJ214" s="181"/>
      <c r="AK214" s="176">
        <f t="shared" si="123"/>
        <v>0</v>
      </c>
      <c r="AL214" s="181"/>
      <c r="AM214" s="181"/>
      <c r="AN214" s="176">
        <f t="shared" si="124"/>
        <v>0</v>
      </c>
      <c r="AO214" s="181"/>
      <c r="AP214" s="181"/>
    </row>
    <row r="215" ht="12.75" customHeight="1">
      <c r="A215" s="179"/>
      <c r="B215" s="459"/>
      <c r="C215" s="481"/>
      <c r="D215" s="180"/>
      <c r="E215" s="180"/>
      <c r="F215" s="180"/>
      <c r="G215" s="460"/>
      <c r="H215" s="181"/>
      <c r="I215" s="181"/>
      <c r="J215" s="181"/>
      <c r="K215" s="181"/>
      <c r="L215" s="181"/>
      <c r="M215" s="329">
        <f t="shared" si="117"/>
        <v>-134107.4</v>
      </c>
      <c r="N215" s="181"/>
      <c r="O215" s="181"/>
      <c r="P215" s="176">
        <f t="shared" si="118"/>
        <v>284235</v>
      </c>
      <c r="Q215" s="181"/>
      <c r="R215" s="181"/>
      <c r="S215" s="176">
        <f t="shared" si="119"/>
        <v>382490</v>
      </c>
      <c r="T215" s="181"/>
      <c r="U215" s="181"/>
      <c r="V215" s="176">
        <f t="shared" si="120"/>
        <v>112396</v>
      </c>
      <c r="W215" s="181"/>
      <c r="X215" s="181"/>
      <c r="Y215" s="176">
        <f t="shared" si="87"/>
        <v>0</v>
      </c>
      <c r="Z215" s="181"/>
      <c r="AA215" s="181"/>
      <c r="AB215" s="176">
        <f t="shared" si="29"/>
        <v>0</v>
      </c>
      <c r="AC215" s="181"/>
      <c r="AD215" s="181"/>
      <c r="AE215" s="176">
        <f t="shared" si="121"/>
        <v>0</v>
      </c>
      <c r="AF215" s="176"/>
      <c r="AG215" s="176"/>
      <c r="AH215" s="176">
        <f t="shared" si="122"/>
        <v>140200</v>
      </c>
      <c r="AI215" s="181"/>
      <c r="AJ215" s="181"/>
      <c r="AK215" s="176">
        <f t="shared" si="123"/>
        <v>0</v>
      </c>
      <c r="AL215" s="181"/>
      <c r="AM215" s="181"/>
      <c r="AN215" s="176">
        <f t="shared" si="124"/>
        <v>0</v>
      </c>
      <c r="AO215" s="181"/>
      <c r="AP215" s="181"/>
    </row>
    <row r="216" ht="12.75" customHeight="1">
      <c r="A216" s="179"/>
      <c r="B216" s="459"/>
      <c r="C216" s="481"/>
      <c r="D216" s="180"/>
      <c r="E216" s="180"/>
      <c r="F216" s="180"/>
      <c r="G216" s="460"/>
      <c r="H216" s="181"/>
      <c r="I216" s="181"/>
      <c r="J216" s="181"/>
      <c r="K216" s="181"/>
      <c r="L216" s="181"/>
      <c r="M216" s="329">
        <f t="shared" si="117"/>
        <v>-134107.4</v>
      </c>
      <c r="N216" s="181"/>
      <c r="O216" s="181"/>
      <c r="P216" s="176">
        <f t="shared" si="118"/>
        <v>284235</v>
      </c>
      <c r="Q216" s="181"/>
      <c r="R216" s="181"/>
      <c r="S216" s="176">
        <f t="shared" si="119"/>
        <v>382490</v>
      </c>
      <c r="T216" s="181"/>
      <c r="U216" s="181"/>
      <c r="V216" s="176">
        <f t="shared" si="120"/>
        <v>112396</v>
      </c>
      <c r="W216" s="181"/>
      <c r="X216" s="181"/>
      <c r="Y216" s="176">
        <f t="shared" si="87"/>
        <v>0</v>
      </c>
      <c r="Z216" s="181"/>
      <c r="AA216" s="181"/>
      <c r="AB216" s="176">
        <f t="shared" si="29"/>
        <v>0</v>
      </c>
      <c r="AC216" s="181"/>
      <c r="AD216" s="181"/>
      <c r="AE216" s="176">
        <f t="shared" si="121"/>
        <v>0</v>
      </c>
      <c r="AF216" s="176"/>
      <c r="AG216" s="176"/>
      <c r="AH216" s="176">
        <f t="shared" si="122"/>
        <v>140200</v>
      </c>
      <c r="AI216" s="181"/>
      <c r="AJ216" s="181"/>
      <c r="AK216" s="176">
        <f t="shared" si="123"/>
        <v>0</v>
      </c>
      <c r="AL216" s="181"/>
      <c r="AM216" s="181"/>
      <c r="AN216" s="176">
        <f t="shared" si="124"/>
        <v>0</v>
      </c>
      <c r="AO216" s="181"/>
      <c r="AP216" s="181"/>
    </row>
    <row r="217" ht="12.75" customHeight="1">
      <c r="A217" s="179"/>
      <c r="B217" s="459"/>
      <c r="C217" s="481"/>
      <c r="D217" s="180"/>
      <c r="E217" s="180"/>
      <c r="F217" s="180"/>
      <c r="G217" s="460"/>
      <c r="H217" s="181"/>
      <c r="I217" s="181"/>
      <c r="J217" s="181"/>
      <c r="K217" s="181"/>
      <c r="L217" s="181"/>
      <c r="M217" s="329">
        <f t="shared" si="117"/>
        <v>-134107.4</v>
      </c>
      <c r="N217" s="181"/>
      <c r="O217" s="181"/>
      <c r="P217" s="176">
        <f t="shared" si="118"/>
        <v>284235</v>
      </c>
      <c r="Q217" s="181"/>
      <c r="R217" s="181"/>
      <c r="S217" s="176">
        <f t="shared" si="119"/>
        <v>382490</v>
      </c>
      <c r="T217" s="181"/>
      <c r="U217" s="181"/>
      <c r="V217" s="176">
        <f t="shared" si="120"/>
        <v>112396</v>
      </c>
      <c r="W217" s="181"/>
      <c r="X217" s="181"/>
      <c r="Y217" s="176">
        <f t="shared" si="87"/>
        <v>0</v>
      </c>
      <c r="Z217" s="181"/>
      <c r="AA217" s="181"/>
      <c r="AB217" s="176">
        <f t="shared" si="29"/>
        <v>0</v>
      </c>
      <c r="AC217" s="181"/>
      <c r="AD217" s="181"/>
      <c r="AE217" s="176">
        <f t="shared" si="121"/>
        <v>0</v>
      </c>
      <c r="AF217" s="176"/>
      <c r="AG217" s="176"/>
      <c r="AH217" s="176">
        <f t="shared" si="122"/>
        <v>140200</v>
      </c>
      <c r="AI217" s="181"/>
      <c r="AJ217" s="181"/>
      <c r="AK217" s="176">
        <f t="shared" si="123"/>
        <v>0</v>
      </c>
      <c r="AL217" s="181"/>
      <c r="AM217" s="181"/>
      <c r="AN217" s="176">
        <f t="shared" si="124"/>
        <v>0</v>
      </c>
      <c r="AO217" s="181"/>
      <c r="AP217" s="181"/>
    </row>
    <row r="218" ht="12.75" customHeight="1">
      <c r="A218" s="179"/>
      <c r="B218" s="459"/>
      <c r="C218" s="481"/>
      <c r="D218" s="180"/>
      <c r="E218" s="180"/>
      <c r="F218" s="180"/>
      <c r="G218" s="460"/>
      <c r="H218" s="181"/>
      <c r="I218" s="181"/>
      <c r="J218" s="181"/>
      <c r="K218" s="181"/>
      <c r="L218" s="181"/>
      <c r="M218" s="329">
        <f t="shared" si="117"/>
        <v>-134107.4</v>
      </c>
      <c r="N218" s="181"/>
      <c r="O218" s="181"/>
      <c r="P218" s="176">
        <f t="shared" si="118"/>
        <v>284235</v>
      </c>
      <c r="Q218" s="181"/>
      <c r="R218" s="181"/>
      <c r="S218" s="176">
        <f t="shared" si="119"/>
        <v>382490</v>
      </c>
      <c r="T218" s="181"/>
      <c r="U218" s="181"/>
      <c r="V218" s="176">
        <f t="shared" si="120"/>
        <v>112396</v>
      </c>
      <c r="W218" s="181"/>
      <c r="X218" s="181"/>
      <c r="Y218" s="176">
        <f t="shared" si="87"/>
        <v>0</v>
      </c>
      <c r="Z218" s="181"/>
      <c r="AA218" s="181"/>
      <c r="AB218" s="176">
        <f t="shared" si="29"/>
        <v>0</v>
      </c>
      <c r="AC218" s="181"/>
      <c r="AD218" s="181"/>
      <c r="AE218" s="176">
        <f t="shared" si="121"/>
        <v>0</v>
      </c>
      <c r="AF218" s="176"/>
      <c r="AG218" s="176"/>
      <c r="AH218" s="176">
        <f t="shared" si="122"/>
        <v>140200</v>
      </c>
      <c r="AI218" s="181"/>
      <c r="AJ218" s="181"/>
      <c r="AK218" s="176">
        <f t="shared" si="123"/>
        <v>0</v>
      </c>
      <c r="AL218" s="181"/>
      <c r="AM218" s="181"/>
      <c r="AN218" s="176">
        <f t="shared" si="124"/>
        <v>0</v>
      </c>
      <c r="AO218" s="181"/>
      <c r="AP218" s="181"/>
    </row>
    <row r="219" ht="12.75" customHeight="1">
      <c r="A219" s="179"/>
      <c r="B219" s="459"/>
      <c r="C219" s="481"/>
      <c r="D219" s="180"/>
      <c r="E219" s="180"/>
      <c r="F219" s="180"/>
      <c r="G219" s="460"/>
      <c r="H219" s="181"/>
      <c r="I219" s="181"/>
      <c r="J219" s="181"/>
      <c r="K219" s="181"/>
      <c r="L219" s="181"/>
      <c r="M219" s="329">
        <f t="shared" si="117"/>
        <v>-134107.4</v>
      </c>
      <c r="N219" s="181"/>
      <c r="O219" s="181"/>
      <c r="P219" s="176">
        <f t="shared" si="118"/>
        <v>284235</v>
      </c>
      <c r="Q219" s="181"/>
      <c r="R219" s="181"/>
      <c r="S219" s="176">
        <f t="shared" si="119"/>
        <v>382490</v>
      </c>
      <c r="T219" s="181"/>
      <c r="U219" s="181"/>
      <c r="V219" s="176">
        <f t="shared" si="120"/>
        <v>112396</v>
      </c>
      <c r="W219" s="181"/>
      <c r="X219" s="181"/>
      <c r="Y219" s="176">
        <f t="shared" si="87"/>
        <v>0</v>
      </c>
      <c r="Z219" s="181"/>
      <c r="AA219" s="181"/>
      <c r="AB219" s="176">
        <f t="shared" si="29"/>
        <v>0</v>
      </c>
      <c r="AC219" s="181"/>
      <c r="AD219" s="181"/>
      <c r="AE219" s="176">
        <f t="shared" si="121"/>
        <v>0</v>
      </c>
      <c r="AF219" s="176"/>
      <c r="AG219" s="176"/>
      <c r="AH219" s="176">
        <f t="shared" si="122"/>
        <v>140200</v>
      </c>
      <c r="AI219" s="181"/>
      <c r="AJ219" s="181"/>
      <c r="AK219" s="176">
        <f t="shared" si="123"/>
        <v>0</v>
      </c>
      <c r="AL219" s="181"/>
      <c r="AM219" s="181"/>
      <c r="AN219" s="176">
        <f t="shared" si="124"/>
        <v>0</v>
      </c>
      <c r="AO219" s="181"/>
      <c r="AP219" s="181"/>
    </row>
    <row r="220" ht="12.75" customHeight="1">
      <c r="A220" s="179"/>
      <c r="B220" s="459"/>
      <c r="C220" s="481"/>
      <c r="D220" s="180"/>
      <c r="E220" s="180"/>
      <c r="F220" s="180"/>
      <c r="G220" s="460"/>
      <c r="H220" s="181"/>
      <c r="I220" s="181"/>
      <c r="J220" s="181"/>
      <c r="K220" s="181"/>
      <c r="L220" s="181"/>
      <c r="M220" s="329">
        <f t="shared" si="117"/>
        <v>-134107.4</v>
      </c>
      <c r="N220" s="181"/>
      <c r="O220" s="181"/>
      <c r="P220" s="176">
        <f t="shared" si="118"/>
        <v>284235</v>
      </c>
      <c r="Q220" s="181"/>
      <c r="R220" s="181"/>
      <c r="S220" s="176">
        <f t="shared" si="119"/>
        <v>382490</v>
      </c>
      <c r="T220" s="181"/>
      <c r="U220" s="181"/>
      <c r="V220" s="176">
        <f t="shared" si="120"/>
        <v>112396</v>
      </c>
      <c r="W220" s="181"/>
      <c r="X220" s="181"/>
      <c r="Y220" s="176">
        <f t="shared" si="87"/>
        <v>0</v>
      </c>
      <c r="Z220" s="181"/>
      <c r="AA220" s="181"/>
      <c r="AB220" s="176">
        <f t="shared" si="29"/>
        <v>0</v>
      </c>
      <c r="AC220" s="181"/>
      <c r="AD220" s="181"/>
      <c r="AE220" s="176">
        <f t="shared" si="121"/>
        <v>0</v>
      </c>
      <c r="AF220" s="176"/>
      <c r="AG220" s="176"/>
      <c r="AH220" s="176">
        <f t="shared" si="122"/>
        <v>140200</v>
      </c>
      <c r="AI220" s="181"/>
      <c r="AJ220" s="181"/>
      <c r="AK220" s="176">
        <f t="shared" si="123"/>
        <v>0</v>
      </c>
      <c r="AL220" s="181"/>
      <c r="AM220" s="181"/>
      <c r="AN220" s="176">
        <f t="shared" si="124"/>
        <v>0</v>
      </c>
      <c r="AO220" s="181"/>
      <c r="AP220" s="181"/>
    </row>
    <row r="221" ht="12.75" customHeight="1">
      <c r="A221" s="179"/>
      <c r="B221" s="459"/>
      <c r="C221" s="481"/>
      <c r="D221" s="180"/>
      <c r="E221" s="180"/>
      <c r="F221" s="180"/>
      <c r="G221" s="460"/>
      <c r="H221" s="181"/>
      <c r="I221" s="181"/>
      <c r="J221" s="181"/>
      <c r="K221" s="181"/>
      <c r="L221" s="181"/>
      <c r="M221" s="329">
        <f t="shared" si="117"/>
        <v>-134107.4</v>
      </c>
      <c r="N221" s="181"/>
      <c r="O221" s="181"/>
      <c r="P221" s="176">
        <f t="shared" si="118"/>
        <v>284235</v>
      </c>
      <c r="Q221" s="181"/>
      <c r="R221" s="181"/>
      <c r="S221" s="176">
        <f t="shared" si="119"/>
        <v>382490</v>
      </c>
      <c r="T221" s="181"/>
      <c r="U221" s="181"/>
      <c r="V221" s="176">
        <f t="shared" si="120"/>
        <v>112396</v>
      </c>
      <c r="W221" s="181"/>
      <c r="X221" s="181"/>
      <c r="Y221" s="176">
        <f t="shared" si="87"/>
        <v>0</v>
      </c>
      <c r="Z221" s="181"/>
      <c r="AA221" s="181"/>
      <c r="AB221" s="176">
        <f t="shared" si="29"/>
        <v>0</v>
      </c>
      <c r="AC221" s="181"/>
      <c r="AD221" s="181"/>
      <c r="AE221" s="176">
        <f t="shared" si="121"/>
        <v>0</v>
      </c>
      <c r="AF221" s="176"/>
      <c r="AG221" s="176"/>
      <c r="AH221" s="176">
        <f t="shared" si="122"/>
        <v>140200</v>
      </c>
      <c r="AI221" s="181"/>
      <c r="AJ221" s="181"/>
      <c r="AK221" s="176">
        <f t="shared" si="123"/>
        <v>0</v>
      </c>
      <c r="AL221" s="181"/>
      <c r="AM221" s="181"/>
      <c r="AN221" s="176">
        <f t="shared" si="124"/>
        <v>0</v>
      </c>
      <c r="AO221" s="181"/>
      <c r="AP221" s="181"/>
    </row>
    <row r="222" ht="12.75" customHeight="1">
      <c r="A222" s="179"/>
      <c r="B222" s="459"/>
      <c r="C222" s="481"/>
      <c r="D222" s="180"/>
      <c r="E222" s="180"/>
      <c r="F222" s="180"/>
      <c r="G222" s="460"/>
      <c r="H222" s="181"/>
      <c r="I222" s="181"/>
      <c r="J222" s="181"/>
      <c r="K222" s="181"/>
      <c r="L222" s="181"/>
      <c r="M222" s="329">
        <f t="shared" si="117"/>
        <v>-134107.4</v>
      </c>
      <c r="N222" s="181"/>
      <c r="O222" s="181"/>
      <c r="P222" s="176">
        <f t="shared" si="118"/>
        <v>284235</v>
      </c>
      <c r="Q222" s="181"/>
      <c r="R222" s="181"/>
      <c r="S222" s="176">
        <f t="shared" si="119"/>
        <v>382490</v>
      </c>
      <c r="T222" s="181"/>
      <c r="U222" s="181"/>
      <c r="V222" s="176">
        <f t="shared" si="120"/>
        <v>112396</v>
      </c>
      <c r="W222" s="181"/>
      <c r="X222" s="181"/>
      <c r="Y222" s="176">
        <f t="shared" si="87"/>
        <v>0</v>
      </c>
      <c r="Z222" s="181"/>
      <c r="AA222" s="181"/>
      <c r="AB222" s="176">
        <f t="shared" si="29"/>
        <v>0</v>
      </c>
      <c r="AC222" s="181"/>
      <c r="AD222" s="181"/>
      <c r="AE222" s="176">
        <f t="shared" si="121"/>
        <v>0</v>
      </c>
      <c r="AF222" s="176"/>
      <c r="AG222" s="176"/>
      <c r="AH222" s="176">
        <f t="shared" si="122"/>
        <v>140200</v>
      </c>
      <c r="AI222" s="181"/>
      <c r="AJ222" s="181"/>
      <c r="AK222" s="176">
        <f t="shared" si="123"/>
        <v>0</v>
      </c>
      <c r="AL222" s="181"/>
      <c r="AM222" s="181"/>
      <c r="AN222" s="176">
        <f t="shared" si="124"/>
        <v>0</v>
      </c>
      <c r="AO222" s="181"/>
      <c r="AP222" s="181"/>
    </row>
    <row r="223" ht="12.75" customHeight="1">
      <c r="A223" s="179"/>
      <c r="B223" s="459"/>
      <c r="C223" s="481"/>
      <c r="D223" s="180"/>
      <c r="E223" s="180"/>
      <c r="F223" s="180"/>
      <c r="G223" s="460"/>
      <c r="H223" s="181"/>
      <c r="I223" s="181"/>
      <c r="J223" s="181"/>
      <c r="K223" s="181"/>
      <c r="L223" s="181"/>
      <c r="M223" s="329">
        <f t="shared" si="117"/>
        <v>-134107.4</v>
      </c>
      <c r="N223" s="181"/>
      <c r="O223" s="181"/>
      <c r="P223" s="176">
        <f t="shared" si="118"/>
        <v>284235</v>
      </c>
      <c r="Q223" s="181"/>
      <c r="R223" s="181"/>
      <c r="S223" s="176">
        <f t="shared" si="119"/>
        <v>382490</v>
      </c>
      <c r="T223" s="181"/>
      <c r="U223" s="181"/>
      <c r="V223" s="176">
        <f t="shared" si="120"/>
        <v>112396</v>
      </c>
      <c r="W223" s="181"/>
      <c r="X223" s="181"/>
      <c r="Y223" s="176">
        <f t="shared" si="87"/>
        <v>0</v>
      </c>
      <c r="Z223" s="181"/>
      <c r="AA223" s="181"/>
      <c r="AB223" s="176">
        <f t="shared" si="29"/>
        <v>0</v>
      </c>
      <c r="AC223" s="181"/>
      <c r="AD223" s="181"/>
      <c r="AE223" s="176">
        <f t="shared" si="121"/>
        <v>0</v>
      </c>
      <c r="AF223" s="176"/>
      <c r="AG223" s="176"/>
      <c r="AH223" s="176">
        <f t="shared" si="122"/>
        <v>140200</v>
      </c>
      <c r="AI223" s="181"/>
      <c r="AJ223" s="181"/>
      <c r="AK223" s="176">
        <f t="shared" si="123"/>
        <v>0</v>
      </c>
      <c r="AL223" s="181"/>
      <c r="AM223" s="181"/>
      <c r="AN223" s="176">
        <f t="shared" si="124"/>
        <v>0</v>
      </c>
      <c r="AO223" s="181"/>
      <c r="AP223" s="181"/>
    </row>
    <row r="224" ht="12.75" customHeight="1">
      <c r="A224" s="179"/>
      <c r="B224" s="459"/>
      <c r="C224" s="481"/>
      <c r="D224" s="180"/>
      <c r="E224" s="180"/>
      <c r="F224" s="180"/>
      <c r="G224" s="460"/>
      <c r="H224" s="181"/>
      <c r="I224" s="181"/>
      <c r="J224" s="181"/>
      <c r="K224" s="181"/>
      <c r="L224" s="181"/>
      <c r="M224" s="329">
        <f t="shared" si="117"/>
        <v>-134107.4</v>
      </c>
      <c r="N224" s="181"/>
      <c r="O224" s="181"/>
      <c r="P224" s="176">
        <f t="shared" si="118"/>
        <v>284235</v>
      </c>
      <c r="Q224" s="181"/>
      <c r="R224" s="181"/>
      <c r="S224" s="176">
        <f t="shared" si="119"/>
        <v>382490</v>
      </c>
      <c r="T224" s="181"/>
      <c r="U224" s="181"/>
      <c r="V224" s="176">
        <f t="shared" si="120"/>
        <v>112396</v>
      </c>
      <c r="W224" s="181"/>
      <c r="X224" s="181"/>
      <c r="Y224" s="176">
        <f t="shared" si="87"/>
        <v>0</v>
      </c>
      <c r="Z224" s="181"/>
      <c r="AA224" s="181"/>
      <c r="AB224" s="176">
        <f t="shared" si="29"/>
        <v>0</v>
      </c>
      <c r="AC224" s="181"/>
      <c r="AD224" s="181"/>
      <c r="AE224" s="176">
        <f t="shared" si="121"/>
        <v>0</v>
      </c>
      <c r="AF224" s="176"/>
      <c r="AG224" s="176"/>
      <c r="AH224" s="176">
        <f t="shared" si="122"/>
        <v>140200</v>
      </c>
      <c r="AI224" s="181"/>
      <c r="AJ224" s="181"/>
      <c r="AK224" s="176">
        <f t="shared" si="123"/>
        <v>0</v>
      </c>
      <c r="AL224" s="181"/>
      <c r="AM224" s="181"/>
      <c r="AN224" s="176">
        <f t="shared" si="124"/>
        <v>0</v>
      </c>
      <c r="AO224" s="181"/>
      <c r="AP224" s="181"/>
    </row>
    <row r="225" ht="12.75" customHeight="1">
      <c r="A225" s="179"/>
      <c r="B225" s="459"/>
      <c r="C225" s="481"/>
      <c r="D225" s="180"/>
      <c r="E225" s="180"/>
      <c r="F225" s="180"/>
      <c r="G225" s="460"/>
      <c r="H225" s="181"/>
      <c r="I225" s="181"/>
      <c r="J225" s="181"/>
      <c r="K225" s="181"/>
      <c r="L225" s="181"/>
      <c r="M225" s="329">
        <f t="shared" si="117"/>
        <v>-134107.4</v>
      </c>
      <c r="N225" s="181"/>
      <c r="O225" s="181"/>
      <c r="P225" s="176">
        <f t="shared" si="118"/>
        <v>284235</v>
      </c>
      <c r="Q225" s="181"/>
      <c r="R225" s="181"/>
      <c r="S225" s="176">
        <f t="shared" si="119"/>
        <v>382490</v>
      </c>
      <c r="T225" s="181"/>
      <c r="U225" s="181"/>
      <c r="V225" s="176">
        <f t="shared" si="120"/>
        <v>112396</v>
      </c>
      <c r="W225" s="181"/>
      <c r="X225" s="181"/>
      <c r="Y225" s="176">
        <f t="shared" si="87"/>
        <v>0</v>
      </c>
      <c r="Z225" s="181"/>
      <c r="AA225" s="181"/>
      <c r="AB225" s="176">
        <f t="shared" si="29"/>
        <v>0</v>
      </c>
      <c r="AC225" s="181"/>
      <c r="AD225" s="181"/>
      <c r="AE225" s="176">
        <f t="shared" si="121"/>
        <v>0</v>
      </c>
      <c r="AF225" s="176"/>
      <c r="AG225" s="176"/>
      <c r="AH225" s="176">
        <f t="shared" si="122"/>
        <v>140200</v>
      </c>
      <c r="AI225" s="181"/>
      <c r="AJ225" s="181"/>
      <c r="AK225" s="176">
        <f t="shared" si="123"/>
        <v>0</v>
      </c>
      <c r="AL225" s="181"/>
      <c r="AM225" s="181"/>
      <c r="AN225" s="176">
        <f t="shared" si="124"/>
        <v>0</v>
      </c>
      <c r="AO225" s="181"/>
      <c r="AP225" s="181"/>
    </row>
    <row r="226" ht="12.75" customHeight="1">
      <c r="A226" s="179"/>
      <c r="B226" s="459"/>
      <c r="C226" s="481"/>
      <c r="D226" s="180"/>
      <c r="E226" s="180"/>
      <c r="F226" s="180"/>
      <c r="G226" s="460"/>
      <c r="H226" s="181"/>
      <c r="I226" s="181"/>
      <c r="J226" s="181"/>
      <c r="K226" s="181"/>
      <c r="L226" s="181"/>
      <c r="M226" s="329">
        <f t="shared" si="117"/>
        <v>-134107.4</v>
      </c>
      <c r="N226" s="181"/>
      <c r="O226" s="181"/>
      <c r="P226" s="176">
        <f t="shared" si="118"/>
        <v>284235</v>
      </c>
      <c r="Q226" s="181"/>
      <c r="R226" s="181"/>
      <c r="S226" s="176">
        <f t="shared" si="119"/>
        <v>382490</v>
      </c>
      <c r="T226" s="181"/>
      <c r="U226" s="181"/>
      <c r="V226" s="176">
        <f t="shared" si="120"/>
        <v>112396</v>
      </c>
      <c r="W226" s="181"/>
      <c r="X226" s="181"/>
      <c r="Y226" s="176">
        <f t="shared" si="87"/>
        <v>0</v>
      </c>
      <c r="Z226" s="181"/>
      <c r="AA226" s="181"/>
      <c r="AB226" s="176">
        <f t="shared" si="29"/>
        <v>0</v>
      </c>
      <c r="AC226" s="181"/>
      <c r="AD226" s="181"/>
      <c r="AE226" s="176">
        <f t="shared" si="121"/>
        <v>0</v>
      </c>
      <c r="AF226" s="176"/>
      <c r="AG226" s="176"/>
      <c r="AH226" s="176">
        <f t="shared" si="122"/>
        <v>140200</v>
      </c>
      <c r="AI226" s="181"/>
      <c r="AJ226" s="181"/>
      <c r="AK226" s="176">
        <f t="shared" si="123"/>
        <v>0</v>
      </c>
      <c r="AL226" s="181"/>
      <c r="AM226" s="181"/>
      <c r="AN226" s="176">
        <f t="shared" si="124"/>
        <v>0</v>
      </c>
      <c r="AO226" s="181"/>
      <c r="AP226" s="181"/>
    </row>
    <row r="227" ht="12.75" customHeight="1">
      <c r="A227" s="179"/>
      <c r="B227" s="459"/>
      <c r="C227" s="481"/>
      <c r="D227" s="180"/>
      <c r="E227" s="180"/>
      <c r="F227" s="180"/>
      <c r="G227" s="460"/>
      <c r="H227" s="181"/>
      <c r="I227" s="181"/>
      <c r="J227" s="181"/>
      <c r="K227" s="181"/>
      <c r="L227" s="181"/>
      <c r="M227" s="329">
        <f t="shared" si="117"/>
        <v>-134107.4</v>
      </c>
      <c r="N227" s="181"/>
      <c r="O227" s="181"/>
      <c r="P227" s="176">
        <f t="shared" si="118"/>
        <v>284235</v>
      </c>
      <c r="Q227" s="181"/>
      <c r="R227" s="181"/>
      <c r="S227" s="176">
        <f t="shared" si="119"/>
        <v>382490</v>
      </c>
      <c r="T227" s="181"/>
      <c r="U227" s="181"/>
      <c r="V227" s="176">
        <f t="shared" si="120"/>
        <v>112396</v>
      </c>
      <c r="W227" s="181"/>
      <c r="X227" s="181"/>
      <c r="Y227" s="176">
        <f t="shared" si="87"/>
        <v>0</v>
      </c>
      <c r="Z227" s="181"/>
      <c r="AA227" s="181"/>
      <c r="AB227" s="176">
        <f t="shared" si="29"/>
        <v>0</v>
      </c>
      <c r="AC227" s="181"/>
      <c r="AD227" s="181"/>
      <c r="AE227" s="176">
        <f t="shared" si="121"/>
        <v>0</v>
      </c>
      <c r="AF227" s="176"/>
      <c r="AG227" s="176"/>
      <c r="AH227" s="176">
        <f t="shared" si="122"/>
        <v>140200</v>
      </c>
      <c r="AI227" s="181"/>
      <c r="AJ227" s="181"/>
      <c r="AK227" s="176">
        <f t="shared" si="123"/>
        <v>0</v>
      </c>
      <c r="AL227" s="181"/>
      <c r="AM227" s="181"/>
      <c r="AN227" s="176">
        <f t="shared" si="124"/>
        <v>0</v>
      </c>
      <c r="AO227" s="181"/>
      <c r="AP227" s="181"/>
    </row>
    <row r="228" ht="12.75" customHeight="1">
      <c r="A228" s="179"/>
      <c r="B228" s="459"/>
      <c r="C228" s="481"/>
      <c r="D228" s="180"/>
      <c r="E228" s="180"/>
      <c r="F228" s="180"/>
      <c r="G228" s="460"/>
      <c r="H228" s="181"/>
      <c r="I228" s="181"/>
      <c r="J228" s="181"/>
      <c r="K228" s="181"/>
      <c r="L228" s="181"/>
      <c r="M228" s="329">
        <f t="shared" si="117"/>
        <v>-134107.4</v>
      </c>
      <c r="N228" s="181"/>
      <c r="O228" s="181"/>
      <c r="P228" s="176">
        <f t="shared" si="118"/>
        <v>284235</v>
      </c>
      <c r="Q228" s="181"/>
      <c r="R228" s="181"/>
      <c r="S228" s="176">
        <f t="shared" si="119"/>
        <v>382490</v>
      </c>
      <c r="T228" s="181"/>
      <c r="U228" s="181"/>
      <c r="V228" s="176">
        <f t="shared" si="120"/>
        <v>112396</v>
      </c>
      <c r="W228" s="181"/>
      <c r="X228" s="181"/>
      <c r="Y228" s="176">
        <f t="shared" si="87"/>
        <v>0</v>
      </c>
      <c r="Z228" s="181"/>
      <c r="AA228" s="181"/>
      <c r="AB228" s="176">
        <f t="shared" si="29"/>
        <v>0</v>
      </c>
      <c r="AC228" s="181"/>
      <c r="AD228" s="181"/>
      <c r="AE228" s="176">
        <f t="shared" si="121"/>
        <v>0</v>
      </c>
      <c r="AF228" s="176"/>
      <c r="AG228" s="176"/>
      <c r="AH228" s="176">
        <f t="shared" si="122"/>
        <v>140200</v>
      </c>
      <c r="AI228" s="181"/>
      <c r="AJ228" s="181"/>
      <c r="AK228" s="176">
        <f t="shared" si="123"/>
        <v>0</v>
      </c>
      <c r="AL228" s="181"/>
      <c r="AM228" s="181"/>
      <c r="AN228" s="176">
        <f t="shared" si="124"/>
        <v>0</v>
      </c>
      <c r="AO228" s="181"/>
      <c r="AP228" s="181"/>
    </row>
    <row r="229" ht="12.75" customHeight="1">
      <c r="A229" s="179"/>
      <c r="B229" s="459"/>
      <c r="C229" s="481"/>
      <c r="D229" s="180"/>
      <c r="E229" s="180"/>
      <c r="F229" s="180"/>
      <c r="G229" s="460"/>
      <c r="H229" s="181"/>
      <c r="I229" s="181"/>
      <c r="J229" s="181"/>
      <c r="K229" s="181"/>
      <c r="L229" s="181"/>
      <c r="M229" s="329">
        <f t="shared" si="117"/>
        <v>-134107.4</v>
      </c>
      <c r="N229" s="181"/>
      <c r="O229" s="181"/>
      <c r="P229" s="176">
        <f t="shared" si="118"/>
        <v>284235</v>
      </c>
      <c r="Q229" s="181"/>
      <c r="R229" s="181"/>
      <c r="S229" s="176">
        <f t="shared" si="119"/>
        <v>382490</v>
      </c>
      <c r="T229" s="181"/>
      <c r="U229" s="181"/>
      <c r="V229" s="176">
        <f t="shared" si="120"/>
        <v>112396</v>
      </c>
      <c r="W229" s="181"/>
      <c r="X229" s="181"/>
      <c r="Y229" s="176">
        <f t="shared" si="87"/>
        <v>0</v>
      </c>
      <c r="Z229" s="181"/>
      <c r="AA229" s="181"/>
      <c r="AB229" s="176">
        <f t="shared" si="29"/>
        <v>0</v>
      </c>
      <c r="AC229" s="181"/>
      <c r="AD229" s="181"/>
      <c r="AE229" s="176">
        <f t="shared" si="121"/>
        <v>0</v>
      </c>
      <c r="AF229" s="176"/>
      <c r="AG229" s="176"/>
      <c r="AH229" s="176">
        <f t="shared" si="122"/>
        <v>140200</v>
      </c>
      <c r="AI229" s="181"/>
      <c r="AJ229" s="181"/>
      <c r="AK229" s="176">
        <f t="shared" si="123"/>
        <v>0</v>
      </c>
      <c r="AL229" s="181"/>
      <c r="AM229" s="181"/>
      <c r="AN229" s="176">
        <f t="shared" si="124"/>
        <v>0</v>
      </c>
      <c r="AO229" s="181"/>
      <c r="AP229" s="181"/>
    </row>
    <row r="230" ht="12.75" customHeight="1">
      <c r="A230" s="179"/>
      <c r="B230" s="459"/>
      <c r="C230" s="481"/>
      <c r="D230" s="180"/>
      <c r="E230" s="180"/>
      <c r="F230" s="180"/>
      <c r="G230" s="460"/>
      <c r="H230" s="181"/>
      <c r="I230" s="181"/>
      <c r="J230" s="181"/>
      <c r="K230" s="181"/>
      <c r="L230" s="181"/>
      <c r="M230" s="329">
        <f t="shared" si="117"/>
        <v>-134107.4</v>
      </c>
      <c r="N230" s="181"/>
      <c r="O230" s="181"/>
      <c r="P230" s="176">
        <f t="shared" si="118"/>
        <v>284235</v>
      </c>
      <c r="Q230" s="181"/>
      <c r="R230" s="181"/>
      <c r="S230" s="176">
        <f t="shared" si="119"/>
        <v>382490</v>
      </c>
      <c r="T230" s="181"/>
      <c r="U230" s="181"/>
      <c r="V230" s="176">
        <f t="shared" si="120"/>
        <v>112396</v>
      </c>
      <c r="W230" s="181"/>
      <c r="X230" s="181"/>
      <c r="Y230" s="176">
        <f t="shared" si="87"/>
        <v>0</v>
      </c>
      <c r="Z230" s="181"/>
      <c r="AA230" s="181"/>
      <c r="AB230" s="176">
        <f t="shared" si="29"/>
        <v>0</v>
      </c>
      <c r="AC230" s="181"/>
      <c r="AD230" s="181"/>
      <c r="AE230" s="176">
        <f t="shared" si="121"/>
        <v>0</v>
      </c>
      <c r="AF230" s="176"/>
      <c r="AG230" s="176"/>
      <c r="AH230" s="176">
        <f t="shared" si="122"/>
        <v>140200</v>
      </c>
      <c r="AI230" s="181"/>
      <c r="AJ230" s="181"/>
      <c r="AK230" s="176">
        <f t="shared" si="123"/>
        <v>0</v>
      </c>
      <c r="AL230" s="181"/>
      <c r="AM230" s="181"/>
      <c r="AN230" s="176">
        <f t="shared" si="124"/>
        <v>0</v>
      </c>
      <c r="AO230" s="181"/>
      <c r="AP230" s="181"/>
    </row>
    <row r="231" ht="12.75" customHeight="1">
      <c r="A231" s="179"/>
      <c r="B231" s="459"/>
      <c r="C231" s="481"/>
      <c r="D231" s="180"/>
      <c r="E231" s="180"/>
      <c r="F231" s="180"/>
      <c r="G231" s="460"/>
      <c r="H231" s="181"/>
      <c r="I231" s="181"/>
      <c r="J231" s="181"/>
      <c r="K231" s="181"/>
      <c r="L231" s="181"/>
      <c r="M231" s="329">
        <f t="shared" si="117"/>
        <v>-134107.4</v>
      </c>
      <c r="N231" s="181"/>
      <c r="O231" s="181"/>
      <c r="P231" s="176">
        <f t="shared" si="118"/>
        <v>284235</v>
      </c>
      <c r="Q231" s="181"/>
      <c r="R231" s="181"/>
      <c r="S231" s="176">
        <f t="shared" si="119"/>
        <v>382490</v>
      </c>
      <c r="T231" s="181"/>
      <c r="U231" s="181"/>
      <c r="V231" s="176">
        <f t="shared" si="120"/>
        <v>112396</v>
      </c>
      <c r="W231" s="181"/>
      <c r="X231" s="181"/>
      <c r="Y231" s="176">
        <f t="shared" si="87"/>
        <v>0</v>
      </c>
      <c r="Z231" s="181"/>
      <c r="AA231" s="181"/>
      <c r="AB231" s="176">
        <f t="shared" si="29"/>
        <v>0</v>
      </c>
      <c r="AC231" s="181"/>
      <c r="AD231" s="181"/>
      <c r="AE231" s="176">
        <f t="shared" si="121"/>
        <v>0</v>
      </c>
      <c r="AF231" s="176"/>
      <c r="AG231" s="176"/>
      <c r="AH231" s="176">
        <f t="shared" si="122"/>
        <v>140200</v>
      </c>
      <c r="AI231" s="181"/>
      <c r="AJ231" s="181"/>
      <c r="AK231" s="176">
        <f t="shared" si="123"/>
        <v>0</v>
      </c>
      <c r="AL231" s="181"/>
      <c r="AM231" s="181"/>
      <c r="AN231" s="176">
        <f t="shared" si="124"/>
        <v>0</v>
      </c>
      <c r="AO231" s="181"/>
      <c r="AP231" s="181"/>
    </row>
    <row r="232" ht="12.75" customHeight="1">
      <c r="A232" s="179"/>
      <c r="B232" s="459"/>
      <c r="C232" s="481"/>
      <c r="D232" s="180"/>
      <c r="E232" s="180"/>
      <c r="F232" s="180"/>
      <c r="G232" s="460"/>
      <c r="H232" s="181"/>
      <c r="I232" s="181"/>
      <c r="J232" s="181"/>
      <c r="K232" s="181"/>
      <c r="L232" s="181"/>
      <c r="M232" s="329">
        <f t="shared" si="117"/>
        <v>-134107.4</v>
      </c>
      <c r="N232" s="181"/>
      <c r="O232" s="181"/>
      <c r="P232" s="176">
        <f t="shared" si="118"/>
        <v>284235</v>
      </c>
      <c r="Q232" s="181"/>
      <c r="R232" s="181"/>
      <c r="S232" s="176">
        <f t="shared" si="119"/>
        <v>382490</v>
      </c>
      <c r="T232" s="181"/>
      <c r="U232" s="181"/>
      <c r="V232" s="176">
        <f t="shared" si="120"/>
        <v>112396</v>
      </c>
      <c r="W232" s="181"/>
      <c r="X232" s="181"/>
      <c r="Y232" s="176">
        <f t="shared" si="87"/>
        <v>0</v>
      </c>
      <c r="Z232" s="181"/>
      <c r="AA232" s="181"/>
      <c r="AB232" s="176">
        <f t="shared" si="29"/>
        <v>0</v>
      </c>
      <c r="AC232" s="181"/>
      <c r="AD232" s="181"/>
      <c r="AE232" s="176">
        <f t="shared" si="121"/>
        <v>0</v>
      </c>
      <c r="AF232" s="176"/>
      <c r="AG232" s="176"/>
      <c r="AH232" s="176">
        <f t="shared" si="122"/>
        <v>140200</v>
      </c>
      <c r="AI232" s="181"/>
      <c r="AJ232" s="181"/>
      <c r="AK232" s="176">
        <f t="shared" si="123"/>
        <v>0</v>
      </c>
      <c r="AL232" s="181"/>
      <c r="AM232" s="181"/>
      <c r="AN232" s="176">
        <f t="shared" si="124"/>
        <v>0</v>
      </c>
      <c r="AO232" s="181"/>
      <c r="AP232" s="181"/>
    </row>
    <row r="233" ht="12.75" customHeight="1">
      <c r="A233" s="179"/>
      <c r="B233" s="459"/>
      <c r="C233" s="481"/>
      <c r="D233" s="180"/>
      <c r="E233" s="180"/>
      <c r="F233" s="180"/>
      <c r="G233" s="460"/>
      <c r="H233" s="181"/>
      <c r="I233" s="181"/>
      <c r="J233" s="181"/>
      <c r="K233" s="181"/>
      <c r="L233" s="181"/>
      <c r="M233" s="329">
        <f t="shared" si="117"/>
        <v>-134107.4</v>
      </c>
      <c r="N233" s="181"/>
      <c r="O233" s="181"/>
      <c r="P233" s="176">
        <f t="shared" si="118"/>
        <v>284235</v>
      </c>
      <c r="Q233" s="181"/>
      <c r="R233" s="181"/>
      <c r="S233" s="176">
        <f t="shared" si="119"/>
        <v>382490</v>
      </c>
      <c r="T233" s="181"/>
      <c r="U233" s="181"/>
      <c r="V233" s="176">
        <f t="shared" si="120"/>
        <v>112396</v>
      </c>
      <c r="W233" s="181"/>
      <c r="X233" s="181"/>
      <c r="Y233" s="176">
        <f t="shared" si="87"/>
        <v>0</v>
      </c>
      <c r="Z233" s="181"/>
      <c r="AA233" s="181"/>
      <c r="AB233" s="176">
        <f t="shared" si="29"/>
        <v>0</v>
      </c>
      <c r="AC233" s="181"/>
      <c r="AD233" s="181"/>
      <c r="AE233" s="176">
        <f t="shared" si="121"/>
        <v>0</v>
      </c>
      <c r="AF233" s="176"/>
      <c r="AG233" s="176"/>
      <c r="AH233" s="176">
        <f t="shared" si="122"/>
        <v>140200</v>
      </c>
      <c r="AI233" s="181"/>
      <c r="AJ233" s="181"/>
      <c r="AK233" s="176">
        <f t="shared" si="123"/>
        <v>0</v>
      </c>
      <c r="AL233" s="181"/>
      <c r="AM233" s="181"/>
      <c r="AN233" s="176">
        <f t="shared" si="124"/>
        <v>0</v>
      </c>
      <c r="AO233" s="181"/>
      <c r="AP233" s="181"/>
    </row>
    <row r="234" ht="12.75" customHeight="1">
      <c r="A234" s="179"/>
      <c r="B234" s="459"/>
      <c r="C234" s="481"/>
      <c r="D234" s="180"/>
      <c r="E234" s="180"/>
      <c r="F234" s="180"/>
      <c r="G234" s="460"/>
      <c r="H234" s="181"/>
      <c r="I234" s="181"/>
      <c r="J234" s="181"/>
      <c r="K234" s="181"/>
      <c r="L234" s="181"/>
      <c r="M234" s="329">
        <f t="shared" si="117"/>
        <v>-134107.4</v>
      </c>
      <c r="N234" s="181"/>
      <c r="O234" s="181"/>
      <c r="P234" s="176">
        <f t="shared" si="118"/>
        <v>284235</v>
      </c>
      <c r="Q234" s="181"/>
      <c r="R234" s="181"/>
      <c r="S234" s="176">
        <f t="shared" si="119"/>
        <v>382490</v>
      </c>
      <c r="T234" s="181"/>
      <c r="U234" s="181"/>
      <c r="V234" s="176">
        <f t="shared" si="120"/>
        <v>112396</v>
      </c>
      <c r="W234" s="181"/>
      <c r="X234" s="181"/>
      <c r="Y234" s="176">
        <f t="shared" si="87"/>
        <v>0</v>
      </c>
      <c r="Z234" s="181"/>
      <c r="AA234" s="181"/>
      <c r="AB234" s="176">
        <f t="shared" si="29"/>
        <v>0</v>
      </c>
      <c r="AC234" s="181"/>
      <c r="AD234" s="181"/>
      <c r="AE234" s="176">
        <f t="shared" si="121"/>
        <v>0</v>
      </c>
      <c r="AF234" s="176"/>
      <c r="AG234" s="176"/>
      <c r="AH234" s="176">
        <f t="shared" si="122"/>
        <v>140200</v>
      </c>
      <c r="AI234" s="181"/>
      <c r="AJ234" s="181"/>
      <c r="AK234" s="176">
        <f t="shared" si="123"/>
        <v>0</v>
      </c>
      <c r="AL234" s="181"/>
      <c r="AM234" s="181"/>
      <c r="AN234" s="176">
        <f t="shared" si="124"/>
        <v>0</v>
      </c>
      <c r="AO234" s="181"/>
      <c r="AP234" s="181"/>
    </row>
    <row r="235" ht="12.75" customHeight="1">
      <c r="A235" s="179"/>
      <c r="B235" s="459"/>
      <c r="C235" s="481"/>
      <c r="D235" s="180"/>
      <c r="E235" s="180"/>
      <c r="F235" s="180"/>
      <c r="G235" s="460"/>
      <c r="H235" s="181"/>
      <c r="I235" s="181"/>
      <c r="J235" s="181"/>
      <c r="K235" s="181"/>
      <c r="L235" s="181"/>
      <c r="M235" s="329">
        <f t="shared" si="117"/>
        <v>-134107.4</v>
      </c>
      <c r="N235" s="181"/>
      <c r="O235" s="181"/>
      <c r="P235" s="176">
        <f t="shared" si="118"/>
        <v>284235</v>
      </c>
      <c r="Q235" s="181"/>
      <c r="R235" s="181"/>
      <c r="S235" s="176">
        <f t="shared" si="119"/>
        <v>382490</v>
      </c>
      <c r="T235" s="181"/>
      <c r="U235" s="181"/>
      <c r="V235" s="176">
        <f t="shared" si="120"/>
        <v>112396</v>
      </c>
      <c r="W235" s="181"/>
      <c r="X235" s="181"/>
      <c r="Y235" s="176">
        <f t="shared" si="87"/>
        <v>0</v>
      </c>
      <c r="Z235" s="181"/>
      <c r="AA235" s="181"/>
      <c r="AB235" s="176">
        <f t="shared" si="29"/>
        <v>0</v>
      </c>
      <c r="AC235" s="181"/>
      <c r="AD235" s="181"/>
      <c r="AE235" s="176">
        <f t="shared" si="121"/>
        <v>0</v>
      </c>
      <c r="AF235" s="176"/>
      <c r="AG235" s="176"/>
      <c r="AH235" s="176">
        <f t="shared" si="122"/>
        <v>140200</v>
      </c>
      <c r="AI235" s="181"/>
      <c r="AJ235" s="181"/>
      <c r="AK235" s="176">
        <f t="shared" si="123"/>
        <v>0</v>
      </c>
      <c r="AL235" s="181"/>
      <c r="AM235" s="181"/>
      <c r="AN235" s="176">
        <f t="shared" si="124"/>
        <v>0</v>
      </c>
      <c r="AO235" s="181"/>
      <c r="AP235" s="181"/>
    </row>
    <row r="236" ht="12.75" customHeight="1">
      <c r="A236" s="179"/>
      <c r="B236" s="459"/>
      <c r="C236" s="481"/>
      <c r="D236" s="180"/>
      <c r="E236" s="180"/>
      <c r="F236" s="180"/>
      <c r="G236" s="460"/>
      <c r="H236" s="181"/>
      <c r="I236" s="181"/>
      <c r="J236" s="181"/>
      <c r="K236" s="181"/>
      <c r="L236" s="181"/>
      <c r="M236" s="329">
        <f t="shared" si="117"/>
        <v>-134107.4</v>
      </c>
      <c r="N236" s="181"/>
      <c r="O236" s="181"/>
      <c r="P236" s="176">
        <f t="shared" si="118"/>
        <v>284235</v>
      </c>
      <c r="Q236" s="181"/>
      <c r="R236" s="181"/>
      <c r="S236" s="176">
        <f t="shared" si="119"/>
        <v>382490</v>
      </c>
      <c r="T236" s="181"/>
      <c r="U236" s="181"/>
      <c r="V236" s="176">
        <f t="shared" si="120"/>
        <v>112396</v>
      </c>
      <c r="W236" s="181"/>
      <c r="X236" s="181"/>
      <c r="Y236" s="176">
        <f t="shared" si="87"/>
        <v>0</v>
      </c>
      <c r="Z236" s="181"/>
      <c r="AA236" s="181"/>
      <c r="AB236" s="176">
        <f t="shared" si="29"/>
        <v>0</v>
      </c>
      <c r="AC236" s="181"/>
      <c r="AD236" s="181"/>
      <c r="AE236" s="176">
        <f t="shared" si="121"/>
        <v>0</v>
      </c>
      <c r="AF236" s="176"/>
      <c r="AG236" s="176"/>
      <c r="AH236" s="176">
        <f t="shared" si="122"/>
        <v>140200</v>
      </c>
      <c r="AI236" s="181"/>
      <c r="AJ236" s="181"/>
      <c r="AK236" s="176">
        <f t="shared" si="123"/>
        <v>0</v>
      </c>
      <c r="AL236" s="181"/>
      <c r="AM236" s="181"/>
      <c r="AN236" s="176">
        <f t="shared" si="124"/>
        <v>0</v>
      </c>
      <c r="AO236" s="181"/>
      <c r="AP236" s="181"/>
    </row>
    <row r="237" ht="12.75" customHeight="1">
      <c r="A237" s="179"/>
      <c r="B237" s="459"/>
      <c r="C237" s="481"/>
      <c r="D237" s="180"/>
      <c r="E237" s="180"/>
      <c r="F237" s="180"/>
      <c r="G237" s="460"/>
      <c r="H237" s="181"/>
      <c r="I237" s="181"/>
      <c r="J237" s="181"/>
      <c r="K237" s="181"/>
      <c r="L237" s="181"/>
      <c r="M237" s="329">
        <f t="shared" si="117"/>
        <v>-134107.4</v>
      </c>
      <c r="N237" s="181"/>
      <c r="O237" s="181"/>
      <c r="P237" s="176">
        <f t="shared" si="118"/>
        <v>284235</v>
      </c>
      <c r="Q237" s="181"/>
      <c r="R237" s="181"/>
      <c r="S237" s="176">
        <f t="shared" si="119"/>
        <v>382490</v>
      </c>
      <c r="T237" s="181"/>
      <c r="U237" s="181"/>
      <c r="V237" s="176">
        <f t="shared" si="120"/>
        <v>112396</v>
      </c>
      <c r="W237" s="181"/>
      <c r="X237" s="181"/>
      <c r="Y237" s="176">
        <f t="shared" si="87"/>
        <v>0</v>
      </c>
      <c r="Z237" s="181"/>
      <c r="AA237" s="181"/>
      <c r="AB237" s="176">
        <f t="shared" si="29"/>
        <v>0</v>
      </c>
      <c r="AC237" s="181"/>
      <c r="AD237" s="181"/>
      <c r="AE237" s="176">
        <f t="shared" si="121"/>
        <v>0</v>
      </c>
      <c r="AF237" s="176"/>
      <c r="AG237" s="176"/>
      <c r="AH237" s="176">
        <f t="shared" si="122"/>
        <v>140200</v>
      </c>
      <c r="AI237" s="181"/>
      <c r="AJ237" s="181"/>
      <c r="AK237" s="176">
        <f t="shared" si="123"/>
        <v>0</v>
      </c>
      <c r="AL237" s="181"/>
      <c r="AM237" s="181"/>
      <c r="AN237" s="176">
        <f t="shared" si="124"/>
        <v>0</v>
      </c>
      <c r="AO237" s="181"/>
      <c r="AP237" s="181"/>
    </row>
    <row r="238" ht="12.75" customHeight="1">
      <c r="A238" s="179"/>
      <c r="B238" s="459"/>
      <c r="C238" s="481"/>
      <c r="D238" s="180"/>
      <c r="E238" s="180"/>
      <c r="F238" s="180"/>
      <c r="G238" s="460"/>
      <c r="H238" s="181"/>
      <c r="I238" s="181"/>
      <c r="J238" s="181"/>
      <c r="K238" s="181"/>
      <c r="L238" s="181"/>
      <c r="M238" s="329">
        <f t="shared" si="117"/>
        <v>-134107.4</v>
      </c>
      <c r="N238" s="181"/>
      <c r="O238" s="181"/>
      <c r="P238" s="176">
        <f t="shared" si="118"/>
        <v>284235</v>
      </c>
      <c r="Q238" s="181"/>
      <c r="R238" s="181"/>
      <c r="S238" s="176">
        <f t="shared" si="119"/>
        <v>382490</v>
      </c>
      <c r="T238" s="181"/>
      <c r="U238" s="181"/>
      <c r="V238" s="176">
        <f t="shared" si="120"/>
        <v>112396</v>
      </c>
      <c r="W238" s="181"/>
      <c r="X238" s="181"/>
      <c r="Y238" s="176">
        <f t="shared" si="87"/>
        <v>0</v>
      </c>
      <c r="Z238" s="181"/>
      <c r="AA238" s="181"/>
      <c r="AB238" s="176">
        <f t="shared" si="29"/>
        <v>0</v>
      </c>
      <c r="AC238" s="181"/>
      <c r="AD238" s="181"/>
      <c r="AE238" s="176">
        <f t="shared" si="121"/>
        <v>0</v>
      </c>
      <c r="AF238" s="176"/>
      <c r="AG238" s="176"/>
      <c r="AH238" s="176">
        <f t="shared" si="122"/>
        <v>140200</v>
      </c>
      <c r="AI238" s="181"/>
      <c r="AJ238" s="181"/>
      <c r="AK238" s="176">
        <f t="shared" si="123"/>
        <v>0</v>
      </c>
      <c r="AL238" s="181"/>
      <c r="AM238" s="181"/>
      <c r="AN238" s="176">
        <f t="shared" si="124"/>
        <v>0</v>
      </c>
      <c r="AO238" s="181"/>
      <c r="AP238" s="181"/>
    </row>
    <row r="239" ht="12.75" customHeight="1">
      <c r="A239" s="179"/>
      <c r="B239" s="459"/>
      <c r="C239" s="481"/>
      <c r="D239" s="180"/>
      <c r="E239" s="180"/>
      <c r="F239" s="180"/>
      <c r="G239" s="460"/>
      <c r="H239" s="181"/>
      <c r="I239" s="181"/>
      <c r="J239" s="181"/>
      <c r="K239" s="181"/>
      <c r="L239" s="181"/>
      <c r="M239" s="329">
        <f t="shared" si="117"/>
        <v>-134107.4</v>
      </c>
      <c r="N239" s="181"/>
      <c r="O239" s="181"/>
      <c r="P239" s="176">
        <f t="shared" si="118"/>
        <v>284235</v>
      </c>
      <c r="Q239" s="181"/>
      <c r="R239" s="181"/>
      <c r="S239" s="176">
        <f t="shared" si="119"/>
        <v>382490</v>
      </c>
      <c r="T239" s="181"/>
      <c r="U239" s="181"/>
      <c r="V239" s="176">
        <f t="shared" si="120"/>
        <v>112396</v>
      </c>
      <c r="W239" s="181"/>
      <c r="X239" s="181"/>
      <c r="Y239" s="176">
        <f t="shared" si="87"/>
        <v>0</v>
      </c>
      <c r="Z239" s="181"/>
      <c r="AA239" s="181"/>
      <c r="AB239" s="176">
        <f t="shared" si="29"/>
        <v>0</v>
      </c>
      <c r="AC239" s="181"/>
      <c r="AD239" s="181"/>
      <c r="AE239" s="176">
        <f t="shared" si="121"/>
        <v>0</v>
      </c>
      <c r="AF239" s="176"/>
      <c r="AG239" s="176"/>
      <c r="AH239" s="176">
        <f t="shared" si="122"/>
        <v>140200</v>
      </c>
      <c r="AI239" s="181"/>
      <c r="AJ239" s="181"/>
      <c r="AK239" s="176">
        <f t="shared" si="123"/>
        <v>0</v>
      </c>
      <c r="AL239" s="181"/>
      <c r="AM239" s="181"/>
      <c r="AN239" s="176">
        <f t="shared" si="124"/>
        <v>0</v>
      </c>
      <c r="AO239" s="181"/>
      <c r="AP239" s="181"/>
    </row>
    <row r="240" ht="12.75" customHeight="1">
      <c r="A240" s="179"/>
      <c r="B240" s="459"/>
      <c r="C240" s="481"/>
      <c r="D240" s="180"/>
      <c r="E240" s="180"/>
      <c r="F240" s="180"/>
      <c r="G240" s="460"/>
      <c r="H240" s="181"/>
      <c r="I240" s="181"/>
      <c r="J240" s="181"/>
      <c r="K240" s="181"/>
      <c r="L240" s="181"/>
      <c r="M240" s="329">
        <f t="shared" si="117"/>
        <v>-134107.4</v>
      </c>
      <c r="N240" s="181"/>
      <c r="O240" s="181"/>
      <c r="P240" s="176">
        <f t="shared" si="118"/>
        <v>284235</v>
      </c>
      <c r="Q240" s="181"/>
      <c r="R240" s="181"/>
      <c r="S240" s="176">
        <f t="shared" si="119"/>
        <v>382490</v>
      </c>
      <c r="T240" s="181"/>
      <c r="U240" s="181"/>
      <c r="V240" s="176">
        <f t="shared" si="120"/>
        <v>112396</v>
      </c>
      <c r="W240" s="181"/>
      <c r="X240" s="181"/>
      <c r="Y240" s="176">
        <f t="shared" si="87"/>
        <v>0</v>
      </c>
      <c r="Z240" s="181"/>
      <c r="AA240" s="181"/>
      <c r="AB240" s="176">
        <f t="shared" si="29"/>
        <v>0</v>
      </c>
      <c r="AC240" s="181"/>
      <c r="AD240" s="181"/>
      <c r="AE240" s="176">
        <f t="shared" si="121"/>
        <v>0</v>
      </c>
      <c r="AF240" s="176"/>
      <c r="AG240" s="176"/>
      <c r="AH240" s="176">
        <f t="shared" si="122"/>
        <v>140200</v>
      </c>
      <c r="AI240" s="181"/>
      <c r="AJ240" s="181"/>
      <c r="AK240" s="176">
        <f t="shared" si="123"/>
        <v>0</v>
      </c>
      <c r="AL240" s="181"/>
      <c r="AM240" s="181"/>
      <c r="AN240" s="176">
        <f t="shared" si="124"/>
        <v>0</v>
      </c>
      <c r="AO240" s="181"/>
      <c r="AP240" s="181"/>
    </row>
    <row r="241" ht="12.75" customHeight="1">
      <c r="A241" s="179"/>
      <c r="B241" s="459"/>
      <c r="C241" s="481"/>
      <c r="D241" s="180"/>
      <c r="E241" s="180"/>
      <c r="F241" s="180"/>
      <c r="G241" s="460"/>
      <c r="H241" s="181"/>
      <c r="I241" s="181"/>
      <c r="J241" s="181"/>
      <c r="K241" s="181"/>
      <c r="L241" s="181"/>
      <c r="M241" s="329">
        <f t="shared" si="117"/>
        <v>-134107.4</v>
      </c>
      <c r="N241" s="181"/>
      <c r="O241" s="181"/>
      <c r="P241" s="176">
        <f t="shared" si="118"/>
        <v>284235</v>
      </c>
      <c r="Q241" s="181"/>
      <c r="R241" s="181"/>
      <c r="S241" s="176">
        <f t="shared" si="119"/>
        <v>382490</v>
      </c>
      <c r="T241" s="181"/>
      <c r="U241" s="181"/>
      <c r="V241" s="176">
        <f t="shared" si="120"/>
        <v>112396</v>
      </c>
      <c r="W241" s="181"/>
      <c r="X241" s="181"/>
      <c r="Y241" s="176">
        <f t="shared" si="87"/>
        <v>0</v>
      </c>
      <c r="Z241" s="181"/>
      <c r="AA241" s="181"/>
      <c r="AB241" s="176">
        <f t="shared" si="29"/>
        <v>0</v>
      </c>
      <c r="AC241" s="181"/>
      <c r="AD241" s="181"/>
      <c r="AE241" s="176">
        <f t="shared" si="121"/>
        <v>0</v>
      </c>
      <c r="AF241" s="176"/>
      <c r="AG241" s="176"/>
      <c r="AH241" s="176">
        <f t="shared" si="122"/>
        <v>140200</v>
      </c>
      <c r="AI241" s="181"/>
      <c r="AJ241" s="181"/>
      <c r="AK241" s="176">
        <f t="shared" si="123"/>
        <v>0</v>
      </c>
      <c r="AL241" s="181"/>
      <c r="AM241" s="181"/>
      <c r="AN241" s="176">
        <f t="shared" si="124"/>
        <v>0</v>
      </c>
      <c r="AO241" s="181"/>
      <c r="AP241" s="181"/>
    </row>
    <row r="242" ht="12.75" customHeight="1">
      <c r="A242" s="179"/>
      <c r="B242" s="459"/>
      <c r="C242" s="481"/>
      <c r="D242" s="180"/>
      <c r="E242" s="180"/>
      <c r="F242" s="180"/>
      <c r="G242" s="460"/>
      <c r="H242" s="181"/>
      <c r="I242" s="181"/>
      <c r="J242" s="181"/>
      <c r="K242" s="181"/>
      <c r="L242" s="181"/>
      <c r="M242" s="329">
        <f t="shared" si="117"/>
        <v>-134107.4</v>
      </c>
      <c r="N242" s="181"/>
      <c r="O242" s="181"/>
      <c r="P242" s="176">
        <f t="shared" si="118"/>
        <v>284235</v>
      </c>
      <c r="Q242" s="181"/>
      <c r="R242" s="181"/>
      <c r="S242" s="176">
        <f t="shared" si="119"/>
        <v>382490</v>
      </c>
      <c r="T242" s="181"/>
      <c r="U242" s="181"/>
      <c r="V242" s="176">
        <f t="shared" si="120"/>
        <v>112396</v>
      </c>
      <c r="W242" s="181"/>
      <c r="X242" s="181"/>
      <c r="Y242" s="176">
        <f t="shared" si="87"/>
        <v>0</v>
      </c>
      <c r="Z242" s="181"/>
      <c r="AA242" s="181"/>
      <c r="AB242" s="176">
        <f t="shared" si="29"/>
        <v>0</v>
      </c>
      <c r="AC242" s="181"/>
      <c r="AD242" s="181"/>
      <c r="AE242" s="176">
        <f t="shared" si="121"/>
        <v>0</v>
      </c>
      <c r="AF242" s="176"/>
      <c r="AG242" s="176"/>
      <c r="AH242" s="176">
        <f t="shared" si="122"/>
        <v>140200</v>
      </c>
      <c r="AI242" s="181"/>
      <c r="AJ242" s="181"/>
      <c r="AK242" s="176">
        <f t="shared" si="123"/>
        <v>0</v>
      </c>
      <c r="AL242" s="181"/>
      <c r="AM242" s="181"/>
      <c r="AN242" s="176">
        <f t="shared" si="124"/>
        <v>0</v>
      </c>
      <c r="AO242" s="181"/>
      <c r="AP242" s="181"/>
    </row>
    <row r="243" ht="12.75" customHeight="1">
      <c r="A243" s="179"/>
      <c r="B243" s="459"/>
      <c r="C243" s="481"/>
      <c r="D243" s="180"/>
      <c r="E243" s="180"/>
      <c r="F243" s="180"/>
      <c r="G243" s="460"/>
      <c r="H243" s="181"/>
      <c r="I243" s="181"/>
      <c r="J243" s="181"/>
      <c r="K243" s="181"/>
      <c r="L243" s="181"/>
      <c r="M243" s="329">
        <f t="shared" si="117"/>
        <v>-134107.4</v>
      </c>
      <c r="N243" s="181"/>
      <c r="O243" s="181"/>
      <c r="P243" s="176">
        <f t="shared" si="118"/>
        <v>284235</v>
      </c>
      <c r="Q243" s="181"/>
      <c r="R243" s="181"/>
      <c r="S243" s="176">
        <f t="shared" si="119"/>
        <v>382490</v>
      </c>
      <c r="T243" s="181"/>
      <c r="U243" s="181"/>
      <c r="V243" s="176">
        <f t="shared" si="120"/>
        <v>112396</v>
      </c>
      <c r="W243" s="181"/>
      <c r="X243" s="181"/>
      <c r="Y243" s="176">
        <f t="shared" si="87"/>
        <v>0</v>
      </c>
      <c r="Z243" s="181"/>
      <c r="AA243" s="181"/>
      <c r="AB243" s="176">
        <f t="shared" si="29"/>
        <v>0</v>
      </c>
      <c r="AC243" s="181"/>
      <c r="AD243" s="181"/>
      <c r="AE243" s="176">
        <f t="shared" si="121"/>
        <v>0</v>
      </c>
      <c r="AF243" s="176"/>
      <c r="AG243" s="176"/>
      <c r="AH243" s="176">
        <f t="shared" si="122"/>
        <v>140200</v>
      </c>
      <c r="AI243" s="181"/>
      <c r="AJ243" s="181"/>
      <c r="AK243" s="176">
        <f t="shared" si="123"/>
        <v>0</v>
      </c>
      <c r="AL243" s="181"/>
      <c r="AM243" s="181"/>
      <c r="AN243" s="176">
        <f t="shared" si="124"/>
        <v>0</v>
      </c>
      <c r="AO243" s="181"/>
      <c r="AP243" s="181"/>
    </row>
    <row r="244" ht="12.75" customHeight="1">
      <c r="A244" s="179"/>
      <c r="B244" s="459"/>
      <c r="C244" s="481"/>
      <c r="D244" s="180"/>
      <c r="E244" s="180"/>
      <c r="F244" s="180"/>
      <c r="G244" s="460"/>
      <c r="H244" s="181"/>
      <c r="I244" s="181"/>
      <c r="J244" s="181"/>
      <c r="K244" s="181"/>
      <c r="L244" s="181"/>
      <c r="M244" s="329">
        <f t="shared" si="117"/>
        <v>-134107.4</v>
      </c>
      <c r="N244" s="181"/>
      <c r="O244" s="181"/>
      <c r="P244" s="176">
        <f t="shared" si="118"/>
        <v>284235</v>
      </c>
      <c r="Q244" s="181"/>
      <c r="R244" s="181"/>
      <c r="S244" s="176">
        <f t="shared" si="119"/>
        <v>382490</v>
      </c>
      <c r="T244" s="181"/>
      <c r="U244" s="181"/>
      <c r="V244" s="176">
        <f t="shared" si="120"/>
        <v>112396</v>
      </c>
      <c r="W244" s="181"/>
      <c r="X244" s="181"/>
      <c r="Y244" s="176">
        <f t="shared" si="87"/>
        <v>0</v>
      </c>
      <c r="Z244" s="181"/>
      <c r="AA244" s="181"/>
      <c r="AB244" s="176">
        <f t="shared" si="29"/>
        <v>0</v>
      </c>
      <c r="AC244" s="181"/>
      <c r="AD244" s="181"/>
      <c r="AE244" s="176">
        <f t="shared" si="121"/>
        <v>0</v>
      </c>
      <c r="AF244" s="176"/>
      <c r="AG244" s="176"/>
      <c r="AH244" s="176">
        <f t="shared" si="122"/>
        <v>140200</v>
      </c>
      <c r="AI244" s="181"/>
      <c r="AJ244" s="181"/>
      <c r="AK244" s="176">
        <f t="shared" si="123"/>
        <v>0</v>
      </c>
      <c r="AL244" s="181"/>
      <c r="AM244" s="181"/>
      <c r="AN244" s="176">
        <f t="shared" si="124"/>
        <v>0</v>
      </c>
      <c r="AO244" s="181"/>
      <c r="AP244" s="181"/>
    </row>
    <row r="245" ht="12.75" customHeight="1">
      <c r="A245" s="179"/>
      <c r="B245" s="459"/>
      <c r="C245" s="481"/>
      <c r="D245" s="180"/>
      <c r="E245" s="180"/>
      <c r="F245" s="180"/>
      <c r="G245" s="460"/>
      <c r="H245" s="181"/>
      <c r="I245" s="181"/>
      <c r="J245" s="181"/>
      <c r="K245" s="181"/>
      <c r="L245" s="181"/>
      <c r="M245" s="329">
        <f t="shared" si="117"/>
        <v>-134107.4</v>
      </c>
      <c r="N245" s="181"/>
      <c r="O245" s="181"/>
      <c r="P245" s="176">
        <f t="shared" si="118"/>
        <v>284235</v>
      </c>
      <c r="Q245" s="181"/>
      <c r="R245" s="181"/>
      <c r="S245" s="176">
        <f t="shared" si="119"/>
        <v>382490</v>
      </c>
      <c r="T245" s="181"/>
      <c r="U245" s="181"/>
      <c r="V245" s="176">
        <f t="shared" si="120"/>
        <v>112396</v>
      </c>
      <c r="W245" s="181"/>
      <c r="X245" s="181"/>
      <c r="Y245" s="176">
        <f t="shared" si="87"/>
        <v>0</v>
      </c>
      <c r="Z245" s="181"/>
      <c r="AA245" s="181"/>
      <c r="AB245" s="176">
        <f t="shared" si="29"/>
        <v>0</v>
      </c>
      <c r="AC245" s="181"/>
      <c r="AD245" s="181"/>
      <c r="AE245" s="176">
        <f t="shared" si="121"/>
        <v>0</v>
      </c>
      <c r="AF245" s="176"/>
      <c r="AG245" s="176"/>
      <c r="AH245" s="176">
        <f t="shared" si="122"/>
        <v>140200</v>
      </c>
      <c r="AI245" s="181"/>
      <c r="AJ245" s="181"/>
      <c r="AK245" s="176">
        <f t="shared" si="123"/>
        <v>0</v>
      </c>
      <c r="AL245" s="181"/>
      <c r="AM245" s="181"/>
      <c r="AN245" s="176">
        <f t="shared" si="124"/>
        <v>0</v>
      </c>
      <c r="AO245" s="181"/>
      <c r="AP245" s="181"/>
    </row>
    <row r="246" ht="12.75" customHeight="1">
      <c r="A246" s="179"/>
      <c r="B246" s="459"/>
      <c r="C246" s="481"/>
      <c r="D246" s="180"/>
      <c r="E246" s="180"/>
      <c r="F246" s="180"/>
      <c r="G246" s="460"/>
      <c r="H246" s="181"/>
      <c r="I246" s="181"/>
      <c r="J246" s="181"/>
      <c r="K246" s="181"/>
      <c r="L246" s="181"/>
      <c r="M246" s="329">
        <f t="shared" si="117"/>
        <v>-134107.4</v>
      </c>
      <c r="N246" s="181"/>
      <c r="O246" s="181"/>
      <c r="P246" s="176">
        <f t="shared" si="118"/>
        <v>284235</v>
      </c>
      <c r="Q246" s="181"/>
      <c r="R246" s="181"/>
      <c r="S246" s="176">
        <f t="shared" si="119"/>
        <v>382490</v>
      </c>
      <c r="T246" s="181"/>
      <c r="U246" s="181"/>
      <c r="V246" s="176">
        <f t="shared" si="120"/>
        <v>112396</v>
      </c>
      <c r="W246" s="181"/>
      <c r="X246" s="181"/>
      <c r="Y246" s="176">
        <f t="shared" si="87"/>
        <v>0</v>
      </c>
      <c r="Z246" s="181"/>
      <c r="AA246" s="181"/>
      <c r="AB246" s="176">
        <f t="shared" si="29"/>
        <v>0</v>
      </c>
      <c r="AC246" s="181"/>
      <c r="AD246" s="181"/>
      <c r="AE246" s="176">
        <f t="shared" si="121"/>
        <v>0</v>
      </c>
      <c r="AF246" s="176"/>
      <c r="AG246" s="176"/>
      <c r="AH246" s="176">
        <f t="shared" si="122"/>
        <v>140200</v>
      </c>
      <c r="AI246" s="181"/>
      <c r="AJ246" s="181"/>
      <c r="AK246" s="176">
        <f t="shared" si="123"/>
        <v>0</v>
      </c>
      <c r="AL246" s="181"/>
      <c r="AM246" s="181"/>
      <c r="AN246" s="176">
        <f t="shared" si="124"/>
        <v>0</v>
      </c>
      <c r="AO246" s="181"/>
      <c r="AP246" s="181"/>
    </row>
    <row r="247" ht="12.75" customHeight="1">
      <c r="A247" s="179"/>
      <c r="B247" s="459"/>
      <c r="C247" s="481"/>
      <c r="D247" s="180"/>
      <c r="E247" s="180"/>
      <c r="F247" s="180"/>
      <c r="G247" s="460"/>
      <c r="H247" s="181"/>
      <c r="I247" s="181"/>
      <c r="J247" s="181"/>
      <c r="K247" s="181"/>
      <c r="L247" s="181"/>
      <c r="M247" s="329">
        <f t="shared" si="117"/>
        <v>-134107.4</v>
      </c>
      <c r="N247" s="181"/>
      <c r="O247" s="181"/>
      <c r="P247" s="176">
        <f t="shared" si="118"/>
        <v>284235</v>
      </c>
      <c r="Q247" s="181"/>
      <c r="R247" s="181"/>
      <c r="S247" s="176">
        <f t="shared" si="119"/>
        <v>382490</v>
      </c>
      <c r="T247" s="181"/>
      <c r="U247" s="181"/>
      <c r="V247" s="176">
        <f t="shared" si="120"/>
        <v>112396</v>
      </c>
      <c r="W247" s="181"/>
      <c r="X247" s="181"/>
      <c r="Y247" s="176">
        <f t="shared" si="87"/>
        <v>0</v>
      </c>
      <c r="Z247" s="181"/>
      <c r="AA247" s="181"/>
      <c r="AB247" s="176">
        <f t="shared" si="29"/>
        <v>0</v>
      </c>
      <c r="AC247" s="181"/>
      <c r="AD247" s="181"/>
      <c r="AE247" s="176">
        <f t="shared" si="121"/>
        <v>0</v>
      </c>
      <c r="AF247" s="176"/>
      <c r="AG247" s="176"/>
      <c r="AH247" s="176">
        <f t="shared" si="122"/>
        <v>140200</v>
      </c>
      <c r="AI247" s="181"/>
      <c r="AJ247" s="181"/>
      <c r="AK247" s="176">
        <f t="shared" si="123"/>
        <v>0</v>
      </c>
      <c r="AL247" s="181"/>
      <c r="AM247" s="181"/>
      <c r="AN247" s="176">
        <f t="shared" si="124"/>
        <v>0</v>
      </c>
      <c r="AO247" s="181"/>
      <c r="AP247" s="181"/>
    </row>
    <row r="248" ht="12.75" customHeight="1">
      <c r="A248" s="179"/>
      <c r="B248" s="459"/>
      <c r="C248" s="481"/>
      <c r="D248" s="180"/>
      <c r="E248" s="180"/>
      <c r="F248" s="180"/>
      <c r="G248" s="460"/>
      <c r="H248" s="181"/>
      <c r="I248" s="181"/>
      <c r="J248" s="181"/>
      <c r="K248" s="181"/>
      <c r="L248" s="181"/>
      <c r="M248" s="329">
        <f t="shared" si="117"/>
        <v>-134107.4</v>
      </c>
      <c r="N248" s="181"/>
      <c r="O248" s="181"/>
      <c r="P248" s="176">
        <f t="shared" si="118"/>
        <v>284235</v>
      </c>
      <c r="Q248" s="181"/>
      <c r="R248" s="181"/>
      <c r="S248" s="176">
        <f t="shared" si="119"/>
        <v>382490</v>
      </c>
      <c r="T248" s="181"/>
      <c r="U248" s="181"/>
      <c r="V248" s="176">
        <f t="shared" si="120"/>
        <v>112396</v>
      </c>
      <c r="W248" s="181"/>
      <c r="X248" s="181"/>
      <c r="Y248" s="176">
        <f t="shared" si="87"/>
        <v>0</v>
      </c>
      <c r="Z248" s="181"/>
      <c r="AA248" s="181"/>
      <c r="AB248" s="176">
        <f t="shared" si="29"/>
        <v>0</v>
      </c>
      <c r="AC248" s="181"/>
      <c r="AD248" s="181"/>
      <c r="AE248" s="176">
        <f t="shared" si="121"/>
        <v>0</v>
      </c>
      <c r="AF248" s="176"/>
      <c r="AG248" s="176"/>
      <c r="AH248" s="176">
        <f t="shared" si="122"/>
        <v>140200</v>
      </c>
      <c r="AI248" s="181"/>
      <c r="AJ248" s="181"/>
      <c r="AK248" s="176">
        <f t="shared" si="123"/>
        <v>0</v>
      </c>
      <c r="AL248" s="181"/>
      <c r="AM248" s="181"/>
      <c r="AN248" s="176">
        <f t="shared" si="124"/>
        <v>0</v>
      </c>
      <c r="AO248" s="181"/>
      <c r="AP248" s="181"/>
    </row>
    <row r="249" ht="12.75" customHeight="1">
      <c r="A249" s="179"/>
      <c r="B249" s="459"/>
      <c r="C249" s="481"/>
      <c r="D249" s="180"/>
      <c r="E249" s="180"/>
      <c r="F249" s="180"/>
      <c r="G249" s="460"/>
      <c r="H249" s="181"/>
      <c r="I249" s="181"/>
      <c r="J249" s="181"/>
      <c r="K249" s="181"/>
      <c r="L249" s="181"/>
      <c r="M249" s="329">
        <f t="shared" si="117"/>
        <v>-134107.4</v>
      </c>
      <c r="N249" s="181"/>
      <c r="O249" s="181"/>
      <c r="P249" s="176">
        <f t="shared" si="118"/>
        <v>284235</v>
      </c>
      <c r="Q249" s="181"/>
      <c r="R249" s="181"/>
      <c r="S249" s="176">
        <f t="shared" si="119"/>
        <v>382490</v>
      </c>
      <c r="T249" s="181"/>
      <c r="U249" s="181"/>
      <c r="V249" s="176">
        <f t="shared" si="120"/>
        <v>112396</v>
      </c>
      <c r="W249" s="181"/>
      <c r="X249" s="181"/>
      <c r="Y249" s="176">
        <f t="shared" si="87"/>
        <v>0</v>
      </c>
      <c r="Z249" s="181"/>
      <c r="AA249" s="181"/>
      <c r="AB249" s="176">
        <f t="shared" si="29"/>
        <v>0</v>
      </c>
      <c r="AC249" s="181"/>
      <c r="AD249" s="181"/>
      <c r="AE249" s="176">
        <f t="shared" si="121"/>
        <v>0</v>
      </c>
      <c r="AF249" s="176"/>
      <c r="AG249" s="176"/>
      <c r="AH249" s="176">
        <f t="shared" si="122"/>
        <v>140200</v>
      </c>
      <c r="AI249" s="181"/>
      <c r="AJ249" s="181"/>
      <c r="AK249" s="176">
        <f t="shared" si="123"/>
        <v>0</v>
      </c>
      <c r="AL249" s="181"/>
      <c r="AM249" s="181"/>
      <c r="AN249" s="176">
        <f t="shared" si="124"/>
        <v>0</v>
      </c>
      <c r="AO249" s="181"/>
      <c r="AP249" s="181"/>
    </row>
    <row r="250" ht="12.75" customHeight="1">
      <c r="A250" s="179"/>
      <c r="B250" s="459"/>
      <c r="C250" s="481"/>
      <c r="D250" s="180"/>
      <c r="E250" s="180"/>
      <c r="F250" s="180"/>
      <c r="G250" s="460"/>
      <c r="H250" s="181"/>
      <c r="I250" s="181"/>
      <c r="J250" s="181"/>
      <c r="K250" s="181"/>
      <c r="L250" s="181"/>
      <c r="M250" s="329">
        <f t="shared" si="117"/>
        <v>-134107.4</v>
      </c>
      <c r="N250" s="181"/>
      <c r="O250" s="181"/>
      <c r="P250" s="176">
        <f t="shared" si="118"/>
        <v>284235</v>
      </c>
      <c r="Q250" s="181"/>
      <c r="R250" s="181"/>
      <c r="S250" s="176">
        <f t="shared" si="119"/>
        <v>382490</v>
      </c>
      <c r="T250" s="181"/>
      <c r="U250" s="181"/>
      <c r="V250" s="176">
        <f t="shared" si="120"/>
        <v>112396</v>
      </c>
      <c r="W250" s="181"/>
      <c r="X250" s="181"/>
      <c r="Y250" s="176">
        <f t="shared" si="87"/>
        <v>0</v>
      </c>
      <c r="Z250" s="181"/>
      <c r="AA250" s="181"/>
      <c r="AB250" s="176">
        <f t="shared" si="29"/>
        <v>0</v>
      </c>
      <c r="AC250" s="181"/>
      <c r="AD250" s="181"/>
      <c r="AE250" s="176">
        <f t="shared" si="121"/>
        <v>0</v>
      </c>
      <c r="AF250" s="176"/>
      <c r="AG250" s="176"/>
      <c r="AH250" s="176">
        <f t="shared" si="122"/>
        <v>140200</v>
      </c>
      <c r="AI250" s="181"/>
      <c r="AJ250" s="181"/>
      <c r="AK250" s="176">
        <f t="shared" si="123"/>
        <v>0</v>
      </c>
      <c r="AL250" s="181"/>
      <c r="AM250" s="181"/>
      <c r="AN250" s="176">
        <f t="shared" si="124"/>
        <v>0</v>
      </c>
      <c r="AO250" s="181"/>
      <c r="AP250" s="181"/>
    </row>
    <row r="251" ht="12.75" customHeight="1">
      <c r="A251" s="179"/>
      <c r="B251" s="459"/>
      <c r="C251" s="481"/>
      <c r="D251" s="180"/>
      <c r="E251" s="180"/>
      <c r="F251" s="180"/>
      <c r="G251" s="460"/>
      <c r="H251" s="181"/>
      <c r="I251" s="181"/>
      <c r="J251" s="181"/>
      <c r="K251" s="181"/>
      <c r="L251" s="181"/>
      <c r="M251" s="329">
        <f t="shared" si="117"/>
        <v>-134107.4</v>
      </c>
      <c r="N251" s="181"/>
      <c r="O251" s="181"/>
      <c r="P251" s="176">
        <f t="shared" si="118"/>
        <v>284235</v>
      </c>
      <c r="Q251" s="181"/>
      <c r="R251" s="181"/>
      <c r="S251" s="176">
        <f t="shared" si="119"/>
        <v>382490</v>
      </c>
      <c r="T251" s="181"/>
      <c r="U251" s="181"/>
      <c r="V251" s="176">
        <f t="shared" si="120"/>
        <v>112396</v>
      </c>
      <c r="W251" s="181"/>
      <c r="X251" s="181"/>
      <c r="Y251" s="176">
        <f t="shared" si="87"/>
        <v>0</v>
      </c>
      <c r="Z251" s="181"/>
      <c r="AA251" s="181"/>
      <c r="AB251" s="176">
        <f t="shared" si="29"/>
        <v>0</v>
      </c>
      <c r="AC251" s="181"/>
      <c r="AD251" s="181"/>
      <c r="AE251" s="176">
        <f t="shared" si="121"/>
        <v>0</v>
      </c>
      <c r="AF251" s="176"/>
      <c r="AG251" s="176"/>
      <c r="AH251" s="176">
        <f t="shared" si="122"/>
        <v>140200</v>
      </c>
      <c r="AI251" s="181"/>
      <c r="AJ251" s="181"/>
      <c r="AK251" s="176">
        <f t="shared" si="123"/>
        <v>0</v>
      </c>
      <c r="AL251" s="181"/>
      <c r="AM251" s="181"/>
      <c r="AN251" s="176">
        <f t="shared" si="124"/>
        <v>0</v>
      </c>
      <c r="AO251" s="181"/>
      <c r="AP251" s="181"/>
    </row>
    <row r="252" ht="12.75" customHeight="1">
      <c r="A252" s="179"/>
      <c r="B252" s="459"/>
      <c r="C252" s="481"/>
      <c r="D252" s="180"/>
      <c r="E252" s="180"/>
      <c r="F252" s="180"/>
      <c r="G252" s="460"/>
      <c r="H252" s="181"/>
      <c r="I252" s="181"/>
      <c r="J252" s="181"/>
      <c r="K252" s="181"/>
      <c r="L252" s="181"/>
      <c r="M252" s="329">
        <f t="shared" si="117"/>
        <v>-134107.4</v>
      </c>
      <c r="N252" s="181"/>
      <c r="O252" s="181"/>
      <c r="P252" s="176">
        <f t="shared" si="118"/>
        <v>284235</v>
      </c>
      <c r="Q252" s="181"/>
      <c r="R252" s="181"/>
      <c r="S252" s="176">
        <f t="shared" si="119"/>
        <v>382490</v>
      </c>
      <c r="T252" s="181"/>
      <c r="U252" s="181"/>
      <c r="V252" s="176">
        <f t="shared" si="120"/>
        <v>112396</v>
      </c>
      <c r="W252" s="181"/>
      <c r="X252" s="181"/>
      <c r="Y252" s="176">
        <f t="shared" si="87"/>
        <v>0</v>
      </c>
      <c r="Z252" s="181"/>
      <c r="AA252" s="181"/>
      <c r="AB252" s="176">
        <f t="shared" si="29"/>
        <v>0</v>
      </c>
      <c r="AC252" s="181"/>
      <c r="AD252" s="181"/>
      <c r="AE252" s="176">
        <f t="shared" si="121"/>
        <v>0</v>
      </c>
      <c r="AF252" s="176"/>
      <c r="AG252" s="176"/>
      <c r="AH252" s="176">
        <f t="shared" si="122"/>
        <v>140200</v>
      </c>
      <c r="AI252" s="181"/>
      <c r="AJ252" s="181"/>
      <c r="AK252" s="176">
        <f t="shared" si="123"/>
        <v>0</v>
      </c>
      <c r="AL252" s="181"/>
      <c r="AM252" s="181"/>
      <c r="AN252" s="176">
        <f t="shared" si="124"/>
        <v>0</v>
      </c>
      <c r="AO252" s="181"/>
      <c r="AP252" s="181"/>
    </row>
    <row r="253" ht="12.75" customHeight="1">
      <c r="A253" s="179"/>
      <c r="B253" s="459"/>
      <c r="C253" s="481"/>
      <c r="D253" s="180"/>
      <c r="E253" s="180"/>
      <c r="F253" s="180"/>
      <c r="G253" s="460"/>
      <c r="H253" s="181"/>
      <c r="I253" s="181"/>
      <c r="J253" s="181"/>
      <c r="K253" s="181"/>
      <c r="L253" s="181"/>
      <c r="M253" s="329">
        <f t="shared" si="117"/>
        <v>-134107.4</v>
      </c>
      <c r="N253" s="181"/>
      <c r="O253" s="181"/>
      <c r="P253" s="176">
        <f t="shared" si="118"/>
        <v>284235</v>
      </c>
      <c r="Q253" s="181"/>
      <c r="R253" s="181"/>
      <c r="S253" s="176">
        <f t="shared" si="119"/>
        <v>382490</v>
      </c>
      <c r="T253" s="181"/>
      <c r="U253" s="181"/>
      <c r="V253" s="176">
        <f t="shared" si="120"/>
        <v>112396</v>
      </c>
      <c r="W253" s="181"/>
      <c r="X253" s="181"/>
      <c r="Y253" s="176">
        <f t="shared" si="87"/>
        <v>0</v>
      </c>
      <c r="Z253" s="181"/>
      <c r="AA253" s="181"/>
      <c r="AB253" s="176">
        <f t="shared" si="29"/>
        <v>0</v>
      </c>
      <c r="AC253" s="181"/>
      <c r="AD253" s="181"/>
      <c r="AE253" s="176">
        <f t="shared" si="121"/>
        <v>0</v>
      </c>
      <c r="AF253" s="176"/>
      <c r="AG253" s="176"/>
      <c r="AH253" s="176">
        <f t="shared" si="122"/>
        <v>140200</v>
      </c>
      <c r="AI253" s="181"/>
      <c r="AJ253" s="181"/>
      <c r="AK253" s="176">
        <f t="shared" si="123"/>
        <v>0</v>
      </c>
      <c r="AL253" s="181"/>
      <c r="AM253" s="181"/>
      <c r="AN253" s="176">
        <f t="shared" si="124"/>
        <v>0</v>
      </c>
      <c r="AO253" s="181"/>
      <c r="AP253" s="181"/>
    </row>
    <row r="254" ht="12.75" customHeight="1">
      <c r="A254" s="179"/>
      <c r="B254" s="459"/>
      <c r="C254" s="481"/>
      <c r="D254" s="180"/>
      <c r="E254" s="180"/>
      <c r="F254" s="180"/>
      <c r="G254" s="460"/>
      <c r="H254" s="181"/>
      <c r="I254" s="181"/>
      <c r="J254" s="181"/>
      <c r="K254" s="181"/>
      <c r="L254" s="181"/>
      <c r="M254" s="329">
        <f t="shared" si="117"/>
        <v>-134107.4</v>
      </c>
      <c r="N254" s="181"/>
      <c r="O254" s="181"/>
      <c r="P254" s="176">
        <f t="shared" si="118"/>
        <v>284235</v>
      </c>
      <c r="Q254" s="181"/>
      <c r="R254" s="181"/>
      <c r="S254" s="176">
        <f t="shared" si="119"/>
        <v>382490</v>
      </c>
      <c r="T254" s="181"/>
      <c r="U254" s="181"/>
      <c r="V254" s="176">
        <f t="shared" si="120"/>
        <v>112396</v>
      </c>
      <c r="W254" s="181"/>
      <c r="X254" s="181"/>
      <c r="Y254" s="176">
        <f t="shared" si="87"/>
        <v>0</v>
      </c>
      <c r="Z254" s="181"/>
      <c r="AA254" s="181"/>
      <c r="AB254" s="176">
        <f t="shared" si="29"/>
        <v>0</v>
      </c>
      <c r="AC254" s="181"/>
      <c r="AD254" s="181"/>
      <c r="AE254" s="176">
        <f t="shared" si="121"/>
        <v>0</v>
      </c>
      <c r="AF254" s="176"/>
      <c r="AG254" s="176"/>
      <c r="AH254" s="176">
        <f t="shared" si="122"/>
        <v>140200</v>
      </c>
      <c r="AI254" s="181"/>
      <c r="AJ254" s="181"/>
      <c r="AK254" s="176">
        <f t="shared" si="123"/>
        <v>0</v>
      </c>
      <c r="AL254" s="181"/>
      <c r="AM254" s="181"/>
      <c r="AN254" s="176">
        <f t="shared" si="124"/>
        <v>0</v>
      </c>
      <c r="AO254" s="181"/>
      <c r="AP254" s="181"/>
    </row>
    <row r="255" ht="12.75" customHeight="1">
      <c r="A255" s="179"/>
      <c r="B255" s="459"/>
      <c r="C255" s="481"/>
      <c r="D255" s="180"/>
      <c r="E255" s="180"/>
      <c r="F255" s="180"/>
      <c r="G255" s="460"/>
      <c r="H255" s="181"/>
      <c r="I255" s="181"/>
      <c r="J255" s="181"/>
      <c r="K255" s="181"/>
      <c r="L255" s="181"/>
      <c r="M255" s="329">
        <f t="shared" si="117"/>
        <v>-134107.4</v>
      </c>
      <c r="N255" s="181"/>
      <c r="O255" s="181"/>
      <c r="P255" s="176">
        <f t="shared" si="118"/>
        <v>284235</v>
      </c>
      <c r="Q255" s="181"/>
      <c r="R255" s="181"/>
      <c r="S255" s="176">
        <f t="shared" si="119"/>
        <v>382490</v>
      </c>
      <c r="T255" s="181"/>
      <c r="U255" s="181"/>
      <c r="V255" s="176">
        <f t="shared" si="120"/>
        <v>112396</v>
      </c>
      <c r="W255" s="181"/>
      <c r="X255" s="181"/>
      <c r="Y255" s="176">
        <f t="shared" si="87"/>
        <v>0</v>
      </c>
      <c r="Z255" s="181"/>
      <c r="AA255" s="181"/>
      <c r="AB255" s="176">
        <f t="shared" si="29"/>
        <v>0</v>
      </c>
      <c r="AC255" s="181"/>
      <c r="AD255" s="181"/>
      <c r="AE255" s="176">
        <f t="shared" si="121"/>
        <v>0</v>
      </c>
      <c r="AF255" s="176"/>
      <c r="AG255" s="176"/>
      <c r="AH255" s="176">
        <f t="shared" si="122"/>
        <v>140200</v>
      </c>
      <c r="AI255" s="181"/>
      <c r="AJ255" s="181"/>
      <c r="AK255" s="176">
        <f t="shared" si="123"/>
        <v>0</v>
      </c>
      <c r="AL255" s="181"/>
      <c r="AM255" s="181"/>
      <c r="AN255" s="176">
        <f t="shared" si="124"/>
        <v>0</v>
      </c>
      <c r="AO255" s="181"/>
      <c r="AP255" s="181"/>
    </row>
    <row r="256" ht="12.75" customHeight="1">
      <c r="A256" s="179"/>
      <c r="B256" s="459"/>
      <c r="C256" s="481"/>
      <c r="D256" s="180"/>
      <c r="E256" s="180"/>
      <c r="F256" s="180"/>
      <c r="G256" s="460"/>
      <c r="H256" s="181"/>
      <c r="I256" s="181"/>
      <c r="J256" s="181"/>
      <c r="K256" s="181"/>
      <c r="L256" s="181"/>
      <c r="M256" s="329">
        <f t="shared" si="117"/>
        <v>-134107.4</v>
      </c>
      <c r="N256" s="181"/>
      <c r="O256" s="181"/>
      <c r="P256" s="176">
        <f t="shared" si="118"/>
        <v>284235</v>
      </c>
      <c r="Q256" s="181"/>
      <c r="R256" s="181"/>
      <c r="S256" s="176">
        <f t="shared" si="119"/>
        <v>382490</v>
      </c>
      <c r="T256" s="181"/>
      <c r="U256" s="181"/>
      <c r="V256" s="176">
        <f t="shared" si="120"/>
        <v>112396</v>
      </c>
      <c r="W256" s="181"/>
      <c r="X256" s="181"/>
      <c r="Y256" s="176">
        <f t="shared" si="87"/>
        <v>0</v>
      </c>
      <c r="Z256" s="181"/>
      <c r="AA256" s="181"/>
      <c r="AB256" s="176">
        <f t="shared" si="29"/>
        <v>0</v>
      </c>
      <c r="AC256" s="181"/>
      <c r="AD256" s="181"/>
      <c r="AE256" s="176">
        <f t="shared" si="121"/>
        <v>0</v>
      </c>
      <c r="AF256" s="176"/>
      <c r="AG256" s="176"/>
      <c r="AH256" s="176">
        <f t="shared" si="122"/>
        <v>140200</v>
      </c>
      <c r="AI256" s="181"/>
      <c r="AJ256" s="181"/>
      <c r="AK256" s="176">
        <f t="shared" si="123"/>
        <v>0</v>
      </c>
      <c r="AL256" s="181"/>
      <c r="AM256" s="181"/>
      <c r="AN256" s="176">
        <f t="shared" si="124"/>
        <v>0</v>
      </c>
      <c r="AO256" s="181"/>
      <c r="AP256" s="181"/>
    </row>
    <row r="257" ht="12.75" customHeight="1">
      <c r="A257" s="179"/>
      <c r="B257" s="459"/>
      <c r="C257" s="481"/>
      <c r="D257" s="180"/>
      <c r="E257" s="180"/>
      <c r="F257" s="180"/>
      <c r="G257" s="460"/>
      <c r="H257" s="181"/>
      <c r="I257" s="181"/>
      <c r="J257" s="181"/>
      <c r="K257" s="181"/>
      <c r="L257" s="181"/>
      <c r="M257" s="329">
        <f t="shared" si="117"/>
        <v>-134107.4</v>
      </c>
      <c r="N257" s="181"/>
      <c r="O257" s="181"/>
      <c r="P257" s="176">
        <f t="shared" si="118"/>
        <v>284235</v>
      </c>
      <c r="Q257" s="181"/>
      <c r="R257" s="181"/>
      <c r="S257" s="176">
        <f t="shared" si="119"/>
        <v>382490</v>
      </c>
      <c r="T257" s="181"/>
      <c r="U257" s="181"/>
      <c r="V257" s="176">
        <f t="shared" si="120"/>
        <v>112396</v>
      </c>
      <c r="W257" s="181"/>
      <c r="X257" s="181"/>
      <c r="Y257" s="176">
        <f t="shared" si="87"/>
        <v>0</v>
      </c>
      <c r="Z257" s="181"/>
      <c r="AA257" s="181"/>
      <c r="AB257" s="176">
        <f t="shared" si="29"/>
        <v>0</v>
      </c>
      <c r="AC257" s="181"/>
      <c r="AD257" s="181"/>
      <c r="AE257" s="176">
        <f t="shared" si="121"/>
        <v>0</v>
      </c>
      <c r="AF257" s="176"/>
      <c r="AG257" s="176"/>
      <c r="AH257" s="176">
        <f t="shared" si="122"/>
        <v>140200</v>
      </c>
      <c r="AI257" s="181"/>
      <c r="AJ257" s="181"/>
      <c r="AK257" s="176">
        <f t="shared" si="123"/>
        <v>0</v>
      </c>
      <c r="AL257" s="181"/>
      <c r="AM257" s="181"/>
      <c r="AN257" s="176">
        <f t="shared" si="124"/>
        <v>0</v>
      </c>
      <c r="AO257" s="181"/>
      <c r="AP257" s="181"/>
    </row>
    <row r="258" ht="12.75" customHeight="1">
      <c r="A258" s="179"/>
      <c r="B258" s="459"/>
      <c r="C258" s="481"/>
      <c r="D258" s="180"/>
      <c r="E258" s="180"/>
      <c r="F258" s="180"/>
      <c r="G258" s="460"/>
      <c r="H258" s="181"/>
      <c r="I258" s="181"/>
      <c r="J258" s="181"/>
      <c r="K258" s="181"/>
      <c r="L258" s="181"/>
      <c r="M258" s="329">
        <f t="shared" si="117"/>
        <v>-134107.4</v>
      </c>
      <c r="N258" s="181"/>
      <c r="O258" s="181"/>
      <c r="P258" s="176">
        <f t="shared" si="118"/>
        <v>284235</v>
      </c>
      <c r="Q258" s="181"/>
      <c r="R258" s="181"/>
      <c r="S258" s="176">
        <f t="shared" si="119"/>
        <v>382490</v>
      </c>
      <c r="T258" s="181"/>
      <c r="U258" s="181"/>
      <c r="V258" s="176">
        <f t="shared" si="120"/>
        <v>112396</v>
      </c>
      <c r="W258" s="181"/>
      <c r="X258" s="181"/>
      <c r="Y258" s="176">
        <f t="shared" si="87"/>
        <v>0</v>
      </c>
      <c r="Z258" s="181"/>
      <c r="AA258" s="181"/>
      <c r="AB258" s="176">
        <f t="shared" si="29"/>
        <v>0</v>
      </c>
      <c r="AC258" s="181"/>
      <c r="AD258" s="181"/>
      <c r="AE258" s="176">
        <f t="shared" si="121"/>
        <v>0</v>
      </c>
      <c r="AF258" s="176"/>
      <c r="AG258" s="176"/>
      <c r="AH258" s="176">
        <f t="shared" si="122"/>
        <v>140200</v>
      </c>
      <c r="AI258" s="181"/>
      <c r="AJ258" s="181"/>
      <c r="AK258" s="176">
        <f t="shared" si="123"/>
        <v>0</v>
      </c>
      <c r="AL258" s="181"/>
      <c r="AM258" s="181"/>
      <c r="AN258" s="176">
        <f t="shared" si="124"/>
        <v>0</v>
      </c>
      <c r="AO258" s="181"/>
      <c r="AP258" s="181"/>
    </row>
    <row r="259" ht="12.75" customHeight="1">
      <c r="A259" s="179"/>
      <c r="B259" s="459"/>
      <c r="C259" s="481"/>
      <c r="D259" s="180"/>
      <c r="E259" s="180"/>
      <c r="F259" s="180"/>
      <c r="G259" s="460"/>
      <c r="H259" s="181"/>
      <c r="I259" s="181"/>
      <c r="J259" s="181"/>
      <c r="K259" s="181"/>
      <c r="L259" s="181"/>
      <c r="M259" s="329">
        <f t="shared" si="117"/>
        <v>-134107.4</v>
      </c>
      <c r="N259" s="181"/>
      <c r="O259" s="181"/>
      <c r="P259" s="176">
        <f t="shared" si="118"/>
        <v>284235</v>
      </c>
      <c r="Q259" s="181"/>
      <c r="R259" s="181"/>
      <c r="S259" s="176">
        <f t="shared" si="119"/>
        <v>382490</v>
      </c>
      <c r="T259" s="181"/>
      <c r="U259" s="181"/>
      <c r="V259" s="176">
        <f t="shared" si="120"/>
        <v>112396</v>
      </c>
      <c r="W259" s="181"/>
      <c r="X259" s="181"/>
      <c r="Y259" s="176">
        <f t="shared" si="87"/>
        <v>0</v>
      </c>
      <c r="Z259" s="181"/>
      <c r="AA259" s="181"/>
      <c r="AB259" s="176">
        <f t="shared" si="29"/>
        <v>0</v>
      </c>
      <c r="AC259" s="181"/>
      <c r="AD259" s="181"/>
      <c r="AE259" s="176">
        <f t="shared" si="121"/>
        <v>0</v>
      </c>
      <c r="AF259" s="176"/>
      <c r="AG259" s="176"/>
      <c r="AH259" s="176">
        <f t="shared" si="122"/>
        <v>140200</v>
      </c>
      <c r="AI259" s="181"/>
      <c r="AJ259" s="181"/>
      <c r="AK259" s="176">
        <f t="shared" si="123"/>
        <v>0</v>
      </c>
      <c r="AL259" s="181"/>
      <c r="AM259" s="181"/>
      <c r="AN259" s="176">
        <f t="shared" si="124"/>
        <v>0</v>
      </c>
      <c r="AO259" s="181"/>
      <c r="AP259" s="181"/>
    </row>
    <row r="260" ht="12.75" customHeight="1">
      <c r="A260" s="179"/>
      <c r="B260" s="459"/>
      <c r="C260" s="481"/>
      <c r="D260" s="180"/>
      <c r="E260" s="180"/>
      <c r="F260" s="180"/>
      <c r="G260" s="460"/>
      <c r="H260" s="181"/>
      <c r="I260" s="181"/>
      <c r="J260" s="181"/>
      <c r="K260" s="181"/>
      <c r="L260" s="181"/>
      <c r="M260" s="329">
        <f t="shared" si="117"/>
        <v>-134107.4</v>
      </c>
      <c r="N260" s="181"/>
      <c r="O260" s="181"/>
      <c r="P260" s="176">
        <f t="shared" si="118"/>
        <v>284235</v>
      </c>
      <c r="Q260" s="181"/>
      <c r="R260" s="181"/>
      <c r="S260" s="176">
        <f t="shared" si="119"/>
        <v>382490</v>
      </c>
      <c r="T260" s="181"/>
      <c r="U260" s="181"/>
      <c r="V260" s="176">
        <f t="shared" si="120"/>
        <v>112396</v>
      </c>
      <c r="W260" s="181"/>
      <c r="X260" s="181"/>
      <c r="Y260" s="176">
        <f t="shared" si="87"/>
        <v>0</v>
      </c>
      <c r="Z260" s="181"/>
      <c r="AA260" s="181"/>
      <c r="AB260" s="176">
        <f t="shared" si="29"/>
        <v>0</v>
      </c>
      <c r="AC260" s="181"/>
      <c r="AD260" s="181"/>
      <c r="AE260" s="176">
        <f t="shared" si="121"/>
        <v>0</v>
      </c>
      <c r="AF260" s="176"/>
      <c r="AG260" s="176"/>
      <c r="AH260" s="176">
        <f t="shared" si="122"/>
        <v>140200</v>
      </c>
      <c r="AI260" s="181"/>
      <c r="AJ260" s="181"/>
      <c r="AK260" s="176">
        <f t="shared" si="123"/>
        <v>0</v>
      </c>
      <c r="AL260" s="181"/>
      <c r="AM260" s="181"/>
      <c r="AN260" s="176">
        <f t="shared" si="124"/>
        <v>0</v>
      </c>
      <c r="AO260" s="181"/>
      <c r="AP260" s="181"/>
    </row>
    <row r="261" ht="12.75" customHeight="1">
      <c r="A261" s="179"/>
      <c r="B261" s="459"/>
      <c r="C261" s="481"/>
      <c r="D261" s="180"/>
      <c r="E261" s="180"/>
      <c r="F261" s="180"/>
      <c r="G261" s="460"/>
      <c r="H261" s="181"/>
      <c r="I261" s="181"/>
      <c r="J261" s="181"/>
      <c r="K261" s="181"/>
      <c r="L261" s="181"/>
      <c r="M261" s="329">
        <f t="shared" si="117"/>
        <v>-134107.4</v>
      </c>
      <c r="N261" s="181"/>
      <c r="O261" s="181"/>
      <c r="P261" s="176">
        <f t="shared" si="118"/>
        <v>284235</v>
      </c>
      <c r="Q261" s="181"/>
      <c r="R261" s="181"/>
      <c r="S261" s="176">
        <f t="shared" si="119"/>
        <v>382490</v>
      </c>
      <c r="T261" s="181"/>
      <c r="U261" s="181"/>
      <c r="V261" s="176">
        <f t="shared" si="120"/>
        <v>112396</v>
      </c>
      <c r="W261" s="181"/>
      <c r="X261" s="181"/>
      <c r="Y261" s="176">
        <f t="shared" si="87"/>
        <v>0</v>
      </c>
      <c r="Z261" s="181"/>
      <c r="AA261" s="181"/>
      <c r="AB261" s="176">
        <f t="shared" si="29"/>
        <v>0</v>
      </c>
      <c r="AC261" s="181"/>
      <c r="AD261" s="181"/>
      <c r="AE261" s="176">
        <f t="shared" si="121"/>
        <v>0</v>
      </c>
      <c r="AF261" s="176"/>
      <c r="AG261" s="176"/>
      <c r="AH261" s="176">
        <f t="shared" si="122"/>
        <v>140200</v>
      </c>
      <c r="AI261" s="181"/>
      <c r="AJ261" s="181"/>
      <c r="AK261" s="176">
        <f t="shared" si="123"/>
        <v>0</v>
      </c>
      <c r="AL261" s="181"/>
      <c r="AM261" s="181"/>
      <c r="AN261" s="176">
        <f t="shared" si="124"/>
        <v>0</v>
      </c>
      <c r="AO261" s="181"/>
      <c r="AP261" s="181"/>
    </row>
    <row r="262" ht="12.75" customHeight="1">
      <c r="A262" s="179"/>
      <c r="B262" s="459"/>
      <c r="C262" s="481"/>
      <c r="D262" s="180"/>
      <c r="E262" s="180"/>
      <c r="F262" s="180"/>
      <c r="G262" s="460"/>
      <c r="H262" s="181"/>
      <c r="I262" s="181"/>
      <c r="J262" s="181"/>
      <c r="K262" s="181"/>
      <c r="L262" s="181"/>
      <c r="M262" s="329">
        <f t="shared" si="117"/>
        <v>-134107.4</v>
      </c>
      <c r="N262" s="181"/>
      <c r="O262" s="181"/>
      <c r="P262" s="176">
        <f t="shared" si="118"/>
        <v>284235</v>
      </c>
      <c r="Q262" s="181"/>
      <c r="R262" s="181"/>
      <c r="S262" s="176">
        <f t="shared" si="119"/>
        <v>382490</v>
      </c>
      <c r="T262" s="181"/>
      <c r="U262" s="181"/>
      <c r="V262" s="176">
        <f t="shared" si="120"/>
        <v>112396</v>
      </c>
      <c r="W262" s="181"/>
      <c r="X262" s="181"/>
      <c r="Y262" s="176">
        <f t="shared" si="87"/>
        <v>0</v>
      </c>
      <c r="Z262" s="181"/>
      <c r="AA262" s="181"/>
      <c r="AB262" s="176">
        <f t="shared" si="29"/>
        <v>0</v>
      </c>
      <c r="AC262" s="181"/>
      <c r="AD262" s="181"/>
      <c r="AE262" s="176">
        <f t="shared" si="121"/>
        <v>0</v>
      </c>
      <c r="AF262" s="176"/>
      <c r="AG262" s="176"/>
      <c r="AH262" s="176">
        <f t="shared" si="122"/>
        <v>140200</v>
      </c>
      <c r="AI262" s="181"/>
      <c r="AJ262" s="181"/>
      <c r="AK262" s="176">
        <f t="shared" si="123"/>
        <v>0</v>
      </c>
      <c r="AL262" s="181"/>
      <c r="AM262" s="181"/>
      <c r="AN262" s="176">
        <f t="shared" si="124"/>
        <v>0</v>
      </c>
      <c r="AO262" s="181"/>
      <c r="AP262" s="181"/>
    </row>
    <row r="263" ht="12.75" customHeight="1">
      <c r="A263" s="179"/>
      <c r="B263" s="459"/>
      <c r="C263" s="481"/>
      <c r="D263" s="180"/>
      <c r="E263" s="180"/>
      <c r="F263" s="180"/>
      <c r="G263" s="460"/>
      <c r="H263" s="181"/>
      <c r="I263" s="181"/>
      <c r="J263" s="181"/>
      <c r="K263" s="181"/>
      <c r="L263" s="181"/>
      <c r="M263" s="329">
        <f t="shared" si="117"/>
        <v>-134107.4</v>
      </c>
      <c r="N263" s="181"/>
      <c r="O263" s="181"/>
      <c r="P263" s="176">
        <f t="shared" si="118"/>
        <v>284235</v>
      </c>
      <c r="Q263" s="181"/>
      <c r="R263" s="181"/>
      <c r="S263" s="176">
        <f t="shared" si="119"/>
        <v>382490</v>
      </c>
      <c r="T263" s="181"/>
      <c r="U263" s="181"/>
      <c r="V263" s="176">
        <f t="shared" si="120"/>
        <v>112396</v>
      </c>
      <c r="W263" s="181"/>
      <c r="X263" s="181"/>
      <c r="Y263" s="176">
        <f t="shared" si="87"/>
        <v>0</v>
      </c>
      <c r="Z263" s="181"/>
      <c r="AA263" s="181"/>
      <c r="AB263" s="176">
        <f t="shared" si="29"/>
        <v>0</v>
      </c>
      <c r="AC263" s="181"/>
      <c r="AD263" s="181"/>
      <c r="AE263" s="176">
        <f t="shared" si="121"/>
        <v>0</v>
      </c>
      <c r="AF263" s="176"/>
      <c r="AG263" s="176"/>
      <c r="AH263" s="176">
        <f t="shared" si="122"/>
        <v>140200</v>
      </c>
      <c r="AI263" s="181"/>
      <c r="AJ263" s="181"/>
      <c r="AK263" s="176">
        <f t="shared" si="123"/>
        <v>0</v>
      </c>
      <c r="AL263" s="181"/>
      <c r="AM263" s="181"/>
      <c r="AN263" s="176">
        <f t="shared" si="124"/>
        <v>0</v>
      </c>
      <c r="AO263" s="181"/>
      <c r="AP263" s="181"/>
    </row>
    <row r="264" ht="12.75" customHeight="1">
      <c r="A264" s="179"/>
      <c r="B264" s="459"/>
      <c r="C264" s="481"/>
      <c r="D264" s="180"/>
      <c r="E264" s="180"/>
      <c r="F264" s="180"/>
      <c r="G264" s="460"/>
      <c r="H264" s="181"/>
      <c r="I264" s="181"/>
      <c r="J264" s="181"/>
      <c r="K264" s="181"/>
      <c r="L264" s="181"/>
      <c r="M264" s="329">
        <f t="shared" si="117"/>
        <v>-134107.4</v>
      </c>
      <c r="N264" s="181"/>
      <c r="O264" s="181"/>
      <c r="P264" s="176">
        <f t="shared" si="118"/>
        <v>284235</v>
      </c>
      <c r="Q264" s="181"/>
      <c r="R264" s="181"/>
      <c r="S264" s="176">
        <f t="shared" si="119"/>
        <v>382490</v>
      </c>
      <c r="T264" s="181"/>
      <c r="U264" s="181"/>
      <c r="V264" s="176">
        <f t="shared" si="120"/>
        <v>112396</v>
      </c>
      <c r="W264" s="181"/>
      <c r="X264" s="181"/>
      <c r="Y264" s="176">
        <f t="shared" si="87"/>
        <v>0</v>
      </c>
      <c r="Z264" s="181"/>
      <c r="AA264" s="181"/>
      <c r="AB264" s="176">
        <f t="shared" si="29"/>
        <v>0</v>
      </c>
      <c r="AC264" s="181"/>
      <c r="AD264" s="181"/>
      <c r="AE264" s="176">
        <f t="shared" si="121"/>
        <v>0</v>
      </c>
      <c r="AF264" s="176"/>
      <c r="AG264" s="176"/>
      <c r="AH264" s="176">
        <f t="shared" si="122"/>
        <v>140200</v>
      </c>
      <c r="AI264" s="181"/>
      <c r="AJ264" s="181"/>
      <c r="AK264" s="176">
        <f t="shared" si="123"/>
        <v>0</v>
      </c>
      <c r="AL264" s="181"/>
      <c r="AM264" s="181"/>
      <c r="AN264" s="176">
        <f t="shared" si="124"/>
        <v>0</v>
      </c>
      <c r="AO264" s="181"/>
      <c r="AP264" s="181"/>
    </row>
    <row r="265" ht="12.75" customHeight="1">
      <c r="A265" s="179"/>
      <c r="B265" s="459"/>
      <c r="C265" s="481"/>
      <c r="D265" s="180"/>
      <c r="E265" s="180"/>
      <c r="F265" s="180"/>
      <c r="G265" s="460"/>
      <c r="H265" s="181"/>
      <c r="I265" s="181"/>
      <c r="J265" s="181"/>
      <c r="K265" s="181"/>
      <c r="L265" s="181"/>
      <c r="M265" s="329">
        <f t="shared" si="117"/>
        <v>-134107.4</v>
      </c>
      <c r="N265" s="181"/>
      <c r="O265" s="181"/>
      <c r="P265" s="176">
        <f t="shared" si="118"/>
        <v>284235</v>
      </c>
      <c r="Q265" s="181"/>
      <c r="R265" s="181"/>
      <c r="S265" s="176">
        <f t="shared" si="119"/>
        <v>382490</v>
      </c>
      <c r="T265" s="181"/>
      <c r="U265" s="181"/>
      <c r="V265" s="176">
        <f t="shared" si="120"/>
        <v>112396</v>
      </c>
      <c r="W265" s="181"/>
      <c r="X265" s="181"/>
      <c r="Y265" s="176">
        <f t="shared" si="87"/>
        <v>0</v>
      </c>
      <c r="Z265" s="181"/>
      <c r="AA265" s="181"/>
      <c r="AB265" s="176">
        <f t="shared" si="29"/>
        <v>0</v>
      </c>
      <c r="AC265" s="181"/>
      <c r="AD265" s="181"/>
      <c r="AE265" s="176">
        <f t="shared" si="121"/>
        <v>0</v>
      </c>
      <c r="AF265" s="176"/>
      <c r="AG265" s="176"/>
      <c r="AH265" s="176">
        <f t="shared" si="122"/>
        <v>140200</v>
      </c>
      <c r="AI265" s="181"/>
      <c r="AJ265" s="181"/>
      <c r="AK265" s="176">
        <f t="shared" si="123"/>
        <v>0</v>
      </c>
      <c r="AL265" s="181"/>
      <c r="AM265" s="181"/>
      <c r="AN265" s="176">
        <f t="shared" si="124"/>
        <v>0</v>
      </c>
      <c r="AO265" s="181"/>
      <c r="AP265" s="181"/>
    </row>
    <row r="266" ht="12.75" customHeight="1">
      <c r="A266" s="179"/>
      <c r="B266" s="459"/>
      <c r="C266" s="481"/>
      <c r="D266" s="180"/>
      <c r="E266" s="180"/>
      <c r="F266" s="180"/>
      <c r="G266" s="460"/>
      <c r="H266" s="181"/>
      <c r="I266" s="181"/>
      <c r="J266" s="181"/>
      <c r="K266" s="181"/>
      <c r="L266" s="181"/>
      <c r="M266" s="329">
        <f t="shared" si="117"/>
        <v>-134107.4</v>
      </c>
      <c r="N266" s="181"/>
      <c r="O266" s="181"/>
      <c r="P266" s="176">
        <f t="shared" si="118"/>
        <v>284235</v>
      </c>
      <c r="Q266" s="181"/>
      <c r="R266" s="181"/>
      <c r="S266" s="176">
        <f t="shared" si="119"/>
        <v>382490</v>
      </c>
      <c r="T266" s="181"/>
      <c r="U266" s="181"/>
      <c r="V266" s="176">
        <f t="shared" si="120"/>
        <v>112396</v>
      </c>
      <c r="W266" s="181"/>
      <c r="X266" s="181"/>
      <c r="Y266" s="176">
        <f t="shared" si="87"/>
        <v>0</v>
      </c>
      <c r="Z266" s="181"/>
      <c r="AA266" s="181"/>
      <c r="AB266" s="176">
        <f t="shared" si="29"/>
        <v>0</v>
      </c>
      <c r="AC266" s="181"/>
      <c r="AD266" s="181"/>
      <c r="AE266" s="176">
        <f t="shared" si="121"/>
        <v>0</v>
      </c>
      <c r="AF266" s="176"/>
      <c r="AG266" s="176"/>
      <c r="AH266" s="176">
        <f t="shared" si="122"/>
        <v>140200</v>
      </c>
      <c r="AI266" s="181"/>
      <c r="AJ266" s="181"/>
      <c r="AK266" s="176">
        <f t="shared" si="123"/>
        <v>0</v>
      </c>
      <c r="AL266" s="181"/>
      <c r="AM266" s="181"/>
      <c r="AN266" s="176">
        <f t="shared" si="124"/>
        <v>0</v>
      </c>
      <c r="AO266" s="181"/>
      <c r="AP266" s="181"/>
    </row>
    <row r="267" ht="12.75" customHeight="1">
      <c r="A267" s="179"/>
      <c r="B267" s="459"/>
      <c r="C267" s="481"/>
      <c r="D267" s="180"/>
      <c r="E267" s="180"/>
      <c r="F267" s="180"/>
      <c r="G267" s="460"/>
      <c r="H267" s="181"/>
      <c r="I267" s="181"/>
      <c r="J267" s="181"/>
      <c r="K267" s="181"/>
      <c r="L267" s="181"/>
      <c r="M267" s="329">
        <f t="shared" si="117"/>
        <v>-134107.4</v>
      </c>
      <c r="N267" s="181"/>
      <c r="O267" s="181"/>
      <c r="P267" s="176">
        <f t="shared" si="118"/>
        <v>284235</v>
      </c>
      <c r="Q267" s="181"/>
      <c r="R267" s="181"/>
      <c r="S267" s="176">
        <f t="shared" si="119"/>
        <v>382490</v>
      </c>
      <c r="T267" s="181"/>
      <c r="U267" s="181"/>
      <c r="V267" s="176">
        <f t="shared" si="120"/>
        <v>112396</v>
      </c>
      <c r="W267" s="181"/>
      <c r="X267" s="181"/>
      <c r="Y267" s="176">
        <f t="shared" si="87"/>
        <v>0</v>
      </c>
      <c r="Z267" s="181"/>
      <c r="AA267" s="181"/>
      <c r="AB267" s="176">
        <f t="shared" si="29"/>
        <v>0</v>
      </c>
      <c r="AC267" s="181"/>
      <c r="AD267" s="181"/>
      <c r="AE267" s="176">
        <f t="shared" si="121"/>
        <v>0</v>
      </c>
      <c r="AF267" s="176"/>
      <c r="AG267" s="176"/>
      <c r="AH267" s="176">
        <f t="shared" si="122"/>
        <v>140200</v>
      </c>
      <c r="AI267" s="181"/>
      <c r="AJ267" s="181"/>
      <c r="AK267" s="176">
        <f t="shared" si="123"/>
        <v>0</v>
      </c>
      <c r="AL267" s="181"/>
      <c r="AM267" s="181"/>
      <c r="AN267" s="176">
        <f t="shared" si="124"/>
        <v>0</v>
      </c>
      <c r="AO267" s="181"/>
      <c r="AP267" s="181"/>
    </row>
    <row r="268" ht="12.75" customHeight="1">
      <c r="A268" s="179"/>
      <c r="B268" s="459"/>
      <c r="C268" s="481"/>
      <c r="D268" s="180"/>
      <c r="E268" s="180"/>
      <c r="F268" s="180"/>
      <c r="G268" s="460"/>
      <c r="H268" s="181"/>
      <c r="I268" s="181"/>
      <c r="J268" s="181"/>
      <c r="K268" s="181"/>
      <c r="L268" s="181"/>
      <c r="M268" s="329">
        <f t="shared" si="117"/>
        <v>-134107.4</v>
      </c>
      <c r="N268" s="181"/>
      <c r="O268" s="181"/>
      <c r="P268" s="176">
        <f t="shared" si="118"/>
        <v>284235</v>
      </c>
      <c r="Q268" s="181"/>
      <c r="R268" s="181"/>
      <c r="S268" s="176">
        <f t="shared" si="119"/>
        <v>382490</v>
      </c>
      <c r="T268" s="181"/>
      <c r="U268" s="181"/>
      <c r="V268" s="176">
        <f t="shared" si="120"/>
        <v>112396</v>
      </c>
      <c r="W268" s="181"/>
      <c r="X268" s="181"/>
      <c r="Y268" s="176">
        <f t="shared" si="87"/>
        <v>0</v>
      </c>
      <c r="Z268" s="181"/>
      <c r="AA268" s="181"/>
      <c r="AB268" s="176">
        <f t="shared" si="29"/>
        <v>0</v>
      </c>
      <c r="AC268" s="181"/>
      <c r="AD268" s="181"/>
      <c r="AE268" s="176">
        <f t="shared" si="121"/>
        <v>0</v>
      </c>
      <c r="AF268" s="176"/>
      <c r="AG268" s="176"/>
      <c r="AH268" s="176">
        <f t="shared" si="122"/>
        <v>140200</v>
      </c>
      <c r="AI268" s="181"/>
      <c r="AJ268" s="181"/>
      <c r="AK268" s="176">
        <f t="shared" si="123"/>
        <v>0</v>
      </c>
      <c r="AL268" s="181"/>
      <c r="AM268" s="181"/>
      <c r="AN268" s="176">
        <f t="shared" si="124"/>
        <v>0</v>
      </c>
      <c r="AO268" s="181"/>
      <c r="AP268" s="181"/>
    </row>
    <row r="269" ht="12.75" customHeight="1">
      <c r="A269" s="179"/>
      <c r="B269" s="459"/>
      <c r="C269" s="481"/>
      <c r="D269" s="180"/>
      <c r="E269" s="180"/>
      <c r="F269" s="180"/>
      <c r="G269" s="460"/>
      <c r="H269" s="181"/>
      <c r="I269" s="181"/>
      <c r="J269" s="181"/>
      <c r="K269" s="181"/>
      <c r="L269" s="181"/>
      <c r="M269" s="329">
        <f t="shared" si="117"/>
        <v>-134107.4</v>
      </c>
      <c r="N269" s="181"/>
      <c r="O269" s="181"/>
      <c r="P269" s="176">
        <f t="shared" si="118"/>
        <v>284235</v>
      </c>
      <c r="Q269" s="181"/>
      <c r="R269" s="181"/>
      <c r="S269" s="176">
        <f t="shared" si="119"/>
        <v>382490</v>
      </c>
      <c r="T269" s="181"/>
      <c r="U269" s="181"/>
      <c r="V269" s="176">
        <f t="shared" si="120"/>
        <v>112396</v>
      </c>
      <c r="W269" s="181"/>
      <c r="X269" s="181"/>
      <c r="Y269" s="176">
        <f t="shared" si="87"/>
        <v>0</v>
      </c>
      <c r="Z269" s="181"/>
      <c r="AA269" s="181"/>
      <c r="AB269" s="176">
        <f t="shared" si="29"/>
        <v>0</v>
      </c>
      <c r="AC269" s="181"/>
      <c r="AD269" s="181"/>
      <c r="AE269" s="176">
        <f t="shared" si="121"/>
        <v>0</v>
      </c>
      <c r="AF269" s="176"/>
      <c r="AG269" s="176"/>
      <c r="AH269" s="176">
        <f t="shared" si="122"/>
        <v>140200</v>
      </c>
      <c r="AI269" s="181"/>
      <c r="AJ269" s="181"/>
      <c r="AK269" s="176">
        <f t="shared" si="123"/>
        <v>0</v>
      </c>
      <c r="AL269" s="181"/>
      <c r="AM269" s="181"/>
      <c r="AN269" s="176">
        <f t="shared" si="124"/>
        <v>0</v>
      </c>
      <c r="AO269" s="181"/>
      <c r="AP269" s="181"/>
    </row>
    <row r="270" ht="12.75" customHeight="1">
      <c r="A270" s="179"/>
      <c r="B270" s="459"/>
      <c r="C270" s="481"/>
      <c r="D270" s="180"/>
      <c r="E270" s="180"/>
      <c r="F270" s="180"/>
      <c r="G270" s="460"/>
      <c r="H270" s="181"/>
      <c r="I270" s="181"/>
      <c r="J270" s="181"/>
      <c r="K270" s="181"/>
      <c r="L270" s="181"/>
      <c r="M270" s="329">
        <f t="shared" si="117"/>
        <v>-134107.4</v>
      </c>
      <c r="N270" s="181"/>
      <c r="O270" s="181"/>
      <c r="P270" s="176">
        <f t="shared" si="118"/>
        <v>284235</v>
      </c>
      <c r="Q270" s="181"/>
      <c r="R270" s="181"/>
      <c r="S270" s="176">
        <f t="shared" si="119"/>
        <v>382490</v>
      </c>
      <c r="T270" s="181"/>
      <c r="U270" s="181"/>
      <c r="V270" s="176">
        <f t="shared" si="120"/>
        <v>112396</v>
      </c>
      <c r="W270" s="181"/>
      <c r="X270" s="181"/>
      <c r="Y270" s="176">
        <f t="shared" si="87"/>
        <v>0</v>
      </c>
      <c r="Z270" s="181"/>
      <c r="AA270" s="181"/>
      <c r="AB270" s="176">
        <f t="shared" si="29"/>
        <v>0</v>
      </c>
      <c r="AC270" s="181"/>
      <c r="AD270" s="181"/>
      <c r="AE270" s="176">
        <f t="shared" si="121"/>
        <v>0</v>
      </c>
      <c r="AF270" s="176"/>
      <c r="AG270" s="176"/>
      <c r="AH270" s="176">
        <f t="shared" si="122"/>
        <v>140200</v>
      </c>
      <c r="AI270" s="181"/>
      <c r="AJ270" s="181"/>
      <c r="AK270" s="176">
        <f t="shared" si="123"/>
        <v>0</v>
      </c>
      <c r="AL270" s="181"/>
      <c r="AM270" s="181"/>
      <c r="AN270" s="176">
        <f t="shared" si="124"/>
        <v>0</v>
      </c>
      <c r="AO270" s="181"/>
      <c r="AP270" s="181"/>
    </row>
    <row r="271" ht="12.75" customHeight="1">
      <c r="A271" s="179"/>
      <c r="B271" s="459"/>
      <c r="C271" s="481"/>
      <c r="D271" s="180"/>
      <c r="E271" s="180"/>
      <c r="F271" s="180"/>
      <c r="G271" s="460"/>
      <c r="H271" s="181"/>
      <c r="I271" s="181"/>
      <c r="J271" s="181"/>
      <c r="K271" s="181"/>
      <c r="L271" s="181"/>
      <c r="M271" s="329">
        <f t="shared" si="117"/>
        <v>-134107.4</v>
      </c>
      <c r="N271" s="181"/>
      <c r="O271" s="181"/>
      <c r="P271" s="176">
        <f t="shared" si="118"/>
        <v>284235</v>
      </c>
      <c r="Q271" s="181"/>
      <c r="R271" s="181"/>
      <c r="S271" s="176">
        <f t="shared" si="119"/>
        <v>382490</v>
      </c>
      <c r="T271" s="181"/>
      <c r="U271" s="181"/>
      <c r="V271" s="176">
        <f t="shared" si="120"/>
        <v>112396</v>
      </c>
      <c r="W271" s="181"/>
      <c r="X271" s="181"/>
      <c r="Y271" s="176">
        <f t="shared" si="87"/>
        <v>0</v>
      </c>
      <c r="Z271" s="181"/>
      <c r="AA271" s="181"/>
      <c r="AB271" s="176">
        <f t="shared" si="29"/>
        <v>0</v>
      </c>
      <c r="AC271" s="181"/>
      <c r="AD271" s="181"/>
      <c r="AE271" s="176">
        <f t="shared" si="121"/>
        <v>0</v>
      </c>
      <c r="AF271" s="176"/>
      <c r="AG271" s="176"/>
      <c r="AH271" s="176">
        <f t="shared" si="122"/>
        <v>140200</v>
      </c>
      <c r="AI271" s="181"/>
      <c r="AJ271" s="181"/>
      <c r="AK271" s="176">
        <f t="shared" si="123"/>
        <v>0</v>
      </c>
      <c r="AL271" s="181"/>
      <c r="AM271" s="181"/>
      <c r="AN271" s="176">
        <f t="shared" si="124"/>
        <v>0</v>
      </c>
      <c r="AO271" s="181"/>
      <c r="AP271" s="181"/>
    </row>
    <row r="272" ht="12.75" customHeight="1">
      <c r="A272" s="179"/>
      <c r="B272" s="459"/>
      <c r="C272" s="481"/>
      <c r="D272" s="180"/>
      <c r="E272" s="180"/>
      <c r="F272" s="180"/>
      <c r="G272" s="460"/>
      <c r="H272" s="181"/>
      <c r="I272" s="181"/>
      <c r="J272" s="181"/>
      <c r="K272" s="181"/>
      <c r="L272" s="181"/>
      <c r="M272" s="329">
        <f t="shared" si="117"/>
        <v>-134107.4</v>
      </c>
      <c r="N272" s="181"/>
      <c r="O272" s="181"/>
      <c r="P272" s="176">
        <f t="shared" si="118"/>
        <v>284235</v>
      </c>
      <c r="Q272" s="181"/>
      <c r="R272" s="181"/>
      <c r="S272" s="176">
        <f t="shared" si="119"/>
        <v>382490</v>
      </c>
      <c r="T272" s="181"/>
      <c r="U272" s="181"/>
      <c r="V272" s="176">
        <f t="shared" si="120"/>
        <v>112396</v>
      </c>
      <c r="W272" s="181"/>
      <c r="X272" s="181"/>
      <c r="Y272" s="176">
        <f t="shared" si="87"/>
        <v>0</v>
      </c>
      <c r="Z272" s="181"/>
      <c r="AA272" s="181"/>
      <c r="AB272" s="176">
        <f t="shared" si="29"/>
        <v>0</v>
      </c>
      <c r="AC272" s="181"/>
      <c r="AD272" s="181"/>
      <c r="AE272" s="176">
        <f t="shared" si="121"/>
        <v>0</v>
      </c>
      <c r="AF272" s="176"/>
      <c r="AG272" s="176"/>
      <c r="AH272" s="176">
        <f t="shared" si="122"/>
        <v>140200</v>
      </c>
      <c r="AI272" s="181"/>
      <c r="AJ272" s="181"/>
      <c r="AK272" s="176">
        <f t="shared" si="123"/>
        <v>0</v>
      </c>
      <c r="AL272" s="181"/>
      <c r="AM272" s="181"/>
      <c r="AN272" s="176">
        <f t="shared" si="124"/>
        <v>0</v>
      </c>
      <c r="AO272" s="181"/>
      <c r="AP272" s="181"/>
    </row>
    <row r="273" ht="12.75" customHeight="1">
      <c r="A273" s="179"/>
      <c r="B273" s="459"/>
      <c r="C273" s="481"/>
      <c r="D273" s="180"/>
      <c r="E273" s="180"/>
      <c r="F273" s="180"/>
      <c r="G273" s="460"/>
      <c r="H273" s="181"/>
      <c r="I273" s="181"/>
      <c r="J273" s="181"/>
      <c r="K273" s="181"/>
      <c r="L273" s="181"/>
      <c r="M273" s="329">
        <f t="shared" si="117"/>
        <v>-134107.4</v>
      </c>
      <c r="N273" s="181"/>
      <c r="O273" s="181"/>
      <c r="P273" s="176">
        <f t="shared" si="118"/>
        <v>284235</v>
      </c>
      <c r="Q273" s="181"/>
      <c r="R273" s="181"/>
      <c r="S273" s="176">
        <f t="shared" si="119"/>
        <v>382490</v>
      </c>
      <c r="T273" s="181"/>
      <c r="U273" s="181"/>
      <c r="V273" s="176">
        <f t="shared" si="120"/>
        <v>112396</v>
      </c>
      <c r="W273" s="181"/>
      <c r="X273" s="181"/>
      <c r="Y273" s="176">
        <f t="shared" si="87"/>
        <v>0</v>
      </c>
      <c r="Z273" s="181"/>
      <c r="AA273" s="181"/>
      <c r="AB273" s="176">
        <f t="shared" si="29"/>
        <v>0</v>
      </c>
      <c r="AC273" s="181"/>
      <c r="AD273" s="181"/>
      <c r="AE273" s="176">
        <f t="shared" si="121"/>
        <v>0</v>
      </c>
      <c r="AF273" s="176"/>
      <c r="AG273" s="176"/>
      <c r="AH273" s="176">
        <f t="shared" si="122"/>
        <v>140200</v>
      </c>
      <c r="AI273" s="181"/>
      <c r="AJ273" s="181"/>
      <c r="AK273" s="176">
        <f t="shared" si="123"/>
        <v>0</v>
      </c>
      <c r="AL273" s="181"/>
      <c r="AM273" s="181"/>
      <c r="AN273" s="176">
        <f t="shared" si="124"/>
        <v>0</v>
      </c>
      <c r="AO273" s="181"/>
      <c r="AP273" s="181"/>
    </row>
    <row r="274" ht="12.75" customHeight="1">
      <c r="A274" s="179"/>
      <c r="B274" s="459"/>
      <c r="C274" s="481"/>
      <c r="D274" s="180"/>
      <c r="E274" s="180"/>
      <c r="F274" s="180"/>
      <c r="G274" s="460"/>
      <c r="H274" s="181"/>
      <c r="I274" s="181"/>
      <c r="J274" s="181"/>
      <c r="K274" s="181"/>
      <c r="L274" s="181"/>
      <c r="M274" s="329">
        <f t="shared" si="117"/>
        <v>-134107.4</v>
      </c>
      <c r="N274" s="181"/>
      <c r="O274" s="181"/>
      <c r="P274" s="176">
        <f t="shared" si="118"/>
        <v>284235</v>
      </c>
      <c r="Q274" s="181"/>
      <c r="R274" s="181"/>
      <c r="S274" s="176">
        <f t="shared" si="119"/>
        <v>382490</v>
      </c>
      <c r="T274" s="181"/>
      <c r="U274" s="181"/>
      <c r="V274" s="176">
        <f t="shared" si="120"/>
        <v>112396</v>
      </c>
      <c r="W274" s="181"/>
      <c r="X274" s="181"/>
      <c r="Y274" s="176">
        <f t="shared" si="87"/>
        <v>0</v>
      </c>
      <c r="Z274" s="181"/>
      <c r="AA274" s="181"/>
      <c r="AB274" s="176">
        <f t="shared" si="29"/>
        <v>0</v>
      </c>
      <c r="AC274" s="181"/>
      <c r="AD274" s="181"/>
      <c r="AE274" s="176">
        <f t="shared" si="121"/>
        <v>0</v>
      </c>
      <c r="AF274" s="176"/>
      <c r="AG274" s="176"/>
      <c r="AH274" s="176">
        <f t="shared" si="122"/>
        <v>140200</v>
      </c>
      <c r="AI274" s="181"/>
      <c r="AJ274" s="181"/>
      <c r="AK274" s="176">
        <f t="shared" si="123"/>
        <v>0</v>
      </c>
      <c r="AL274" s="181"/>
      <c r="AM274" s="181"/>
      <c r="AN274" s="176">
        <f t="shared" si="124"/>
        <v>0</v>
      </c>
      <c r="AO274" s="181"/>
      <c r="AP274" s="181"/>
    </row>
    <row r="275" ht="12.75" customHeight="1">
      <c r="A275" s="179"/>
      <c r="B275" s="459"/>
      <c r="C275" s="481"/>
      <c r="D275" s="180"/>
      <c r="E275" s="180"/>
      <c r="F275" s="180"/>
      <c r="G275" s="460"/>
      <c r="H275" s="181"/>
      <c r="I275" s="181"/>
      <c r="J275" s="181"/>
      <c r="K275" s="181"/>
      <c r="L275" s="181"/>
      <c r="M275" s="329">
        <f t="shared" si="117"/>
        <v>-134107.4</v>
      </c>
      <c r="N275" s="181"/>
      <c r="O275" s="181"/>
      <c r="P275" s="176">
        <f t="shared" si="118"/>
        <v>284235</v>
      </c>
      <c r="Q275" s="181"/>
      <c r="R275" s="181"/>
      <c r="S275" s="176">
        <f t="shared" si="119"/>
        <v>382490</v>
      </c>
      <c r="T275" s="181"/>
      <c r="U275" s="181"/>
      <c r="V275" s="176">
        <f t="shared" si="120"/>
        <v>112396</v>
      </c>
      <c r="W275" s="181"/>
      <c r="X275" s="181"/>
      <c r="Y275" s="176">
        <f t="shared" si="87"/>
        <v>0</v>
      </c>
      <c r="Z275" s="181"/>
      <c r="AA275" s="181"/>
      <c r="AB275" s="176">
        <f t="shared" si="29"/>
        <v>0</v>
      </c>
      <c r="AC275" s="181"/>
      <c r="AD275" s="181"/>
      <c r="AE275" s="176">
        <f t="shared" si="121"/>
        <v>0</v>
      </c>
      <c r="AF275" s="176"/>
      <c r="AG275" s="176"/>
      <c r="AH275" s="176">
        <f t="shared" si="122"/>
        <v>140200</v>
      </c>
      <c r="AI275" s="181"/>
      <c r="AJ275" s="181"/>
      <c r="AK275" s="176">
        <f t="shared" si="123"/>
        <v>0</v>
      </c>
      <c r="AL275" s="181"/>
      <c r="AM275" s="181"/>
      <c r="AN275" s="176">
        <f t="shared" si="124"/>
        <v>0</v>
      </c>
      <c r="AO275" s="181"/>
      <c r="AP275" s="181"/>
    </row>
    <row r="276" ht="12.75" customHeight="1">
      <c r="A276" s="179"/>
      <c r="B276" s="459"/>
      <c r="C276" s="481"/>
      <c r="D276" s="180"/>
      <c r="E276" s="180"/>
      <c r="F276" s="180"/>
      <c r="G276" s="460"/>
      <c r="H276" s="181"/>
      <c r="I276" s="181"/>
      <c r="J276" s="181"/>
      <c r="K276" s="181"/>
      <c r="L276" s="181"/>
      <c r="M276" s="329">
        <f t="shared" si="117"/>
        <v>-134107.4</v>
      </c>
      <c r="N276" s="181"/>
      <c r="O276" s="181"/>
      <c r="P276" s="176">
        <f t="shared" si="118"/>
        <v>284235</v>
      </c>
      <c r="Q276" s="181"/>
      <c r="R276" s="181"/>
      <c r="S276" s="176">
        <f t="shared" si="119"/>
        <v>382490</v>
      </c>
      <c r="T276" s="181"/>
      <c r="U276" s="181"/>
      <c r="V276" s="176">
        <f t="shared" si="120"/>
        <v>112396</v>
      </c>
      <c r="W276" s="181"/>
      <c r="X276" s="181"/>
      <c r="Y276" s="176">
        <f t="shared" si="87"/>
        <v>0</v>
      </c>
      <c r="Z276" s="181"/>
      <c r="AA276" s="181"/>
      <c r="AB276" s="176">
        <f t="shared" si="29"/>
        <v>0</v>
      </c>
      <c r="AC276" s="181"/>
      <c r="AD276" s="181"/>
      <c r="AE276" s="176">
        <f t="shared" si="121"/>
        <v>0</v>
      </c>
      <c r="AF276" s="176"/>
      <c r="AG276" s="176"/>
      <c r="AH276" s="176">
        <f t="shared" si="122"/>
        <v>140200</v>
      </c>
      <c r="AI276" s="181"/>
      <c r="AJ276" s="181"/>
      <c r="AK276" s="176">
        <f t="shared" si="123"/>
        <v>0</v>
      </c>
      <c r="AL276" s="181"/>
      <c r="AM276" s="181"/>
      <c r="AN276" s="176">
        <f t="shared" si="124"/>
        <v>0</v>
      </c>
      <c r="AO276" s="181"/>
      <c r="AP276" s="181"/>
    </row>
    <row r="277" ht="12.75" customHeight="1">
      <c r="A277" s="179"/>
      <c r="B277" s="459"/>
      <c r="C277" s="481"/>
      <c r="D277" s="180"/>
      <c r="E277" s="180"/>
      <c r="F277" s="180"/>
      <c r="G277" s="460"/>
      <c r="H277" s="181"/>
      <c r="I277" s="181"/>
      <c r="J277" s="181"/>
      <c r="K277" s="181"/>
      <c r="L277" s="181"/>
      <c r="M277" s="329">
        <f t="shared" si="117"/>
        <v>-134107.4</v>
      </c>
      <c r="N277" s="181"/>
      <c r="O277" s="181"/>
      <c r="P277" s="176">
        <f t="shared" si="118"/>
        <v>284235</v>
      </c>
      <c r="Q277" s="181"/>
      <c r="R277" s="181"/>
      <c r="S277" s="176">
        <f t="shared" si="119"/>
        <v>382490</v>
      </c>
      <c r="T277" s="181"/>
      <c r="U277" s="181"/>
      <c r="V277" s="176">
        <f t="shared" si="120"/>
        <v>112396</v>
      </c>
      <c r="W277" s="181"/>
      <c r="X277" s="181"/>
      <c r="Y277" s="176">
        <f t="shared" si="87"/>
        <v>0</v>
      </c>
      <c r="Z277" s="181"/>
      <c r="AA277" s="181"/>
      <c r="AB277" s="176">
        <f t="shared" si="29"/>
        <v>0</v>
      </c>
      <c r="AC277" s="181"/>
      <c r="AD277" s="181"/>
      <c r="AE277" s="176">
        <f t="shared" si="121"/>
        <v>0</v>
      </c>
      <c r="AF277" s="176"/>
      <c r="AG277" s="176"/>
      <c r="AH277" s="176">
        <f t="shared" si="122"/>
        <v>140200</v>
      </c>
      <c r="AI277" s="181"/>
      <c r="AJ277" s="181"/>
      <c r="AK277" s="176">
        <f t="shared" si="123"/>
        <v>0</v>
      </c>
      <c r="AL277" s="181"/>
      <c r="AM277" s="181"/>
      <c r="AN277" s="176">
        <f t="shared" si="124"/>
        <v>0</v>
      </c>
      <c r="AO277" s="181"/>
      <c r="AP277" s="181"/>
    </row>
    <row r="278" ht="12.75" customHeight="1">
      <c r="A278" s="179"/>
      <c r="B278" s="459"/>
      <c r="C278" s="481"/>
      <c r="D278" s="180"/>
      <c r="E278" s="180"/>
      <c r="F278" s="180"/>
      <c r="G278" s="460"/>
      <c r="H278" s="181"/>
      <c r="I278" s="181"/>
      <c r="J278" s="181"/>
      <c r="K278" s="181"/>
      <c r="L278" s="181"/>
      <c r="M278" s="329">
        <f t="shared" si="117"/>
        <v>-134107.4</v>
      </c>
      <c r="N278" s="181"/>
      <c r="O278" s="181"/>
      <c r="P278" s="176">
        <f t="shared" si="118"/>
        <v>284235</v>
      </c>
      <c r="Q278" s="181"/>
      <c r="R278" s="181"/>
      <c r="S278" s="176">
        <f t="shared" si="119"/>
        <v>382490</v>
      </c>
      <c r="T278" s="181"/>
      <c r="U278" s="181"/>
      <c r="V278" s="176">
        <f t="shared" si="120"/>
        <v>112396</v>
      </c>
      <c r="W278" s="181"/>
      <c r="X278" s="181"/>
      <c r="Y278" s="176">
        <f t="shared" si="87"/>
        <v>0</v>
      </c>
      <c r="Z278" s="181"/>
      <c r="AA278" s="181"/>
      <c r="AB278" s="176">
        <f t="shared" si="29"/>
        <v>0</v>
      </c>
      <c r="AC278" s="181"/>
      <c r="AD278" s="181"/>
      <c r="AE278" s="176">
        <f t="shared" si="121"/>
        <v>0</v>
      </c>
      <c r="AF278" s="176"/>
      <c r="AG278" s="176"/>
      <c r="AH278" s="176">
        <f t="shared" si="122"/>
        <v>140200</v>
      </c>
      <c r="AI278" s="181"/>
      <c r="AJ278" s="181"/>
      <c r="AK278" s="176">
        <f t="shared" si="123"/>
        <v>0</v>
      </c>
      <c r="AL278" s="181"/>
      <c r="AM278" s="181"/>
      <c r="AN278" s="176">
        <f t="shared" si="124"/>
        <v>0</v>
      </c>
      <c r="AO278" s="181"/>
      <c r="AP278" s="181"/>
    </row>
    <row r="279" ht="12.75" customHeight="1">
      <c r="A279" s="179"/>
      <c r="B279" s="459"/>
      <c r="C279" s="481"/>
      <c r="D279" s="180"/>
      <c r="E279" s="180"/>
      <c r="F279" s="180"/>
      <c r="G279" s="460"/>
      <c r="H279" s="181"/>
      <c r="I279" s="181"/>
      <c r="J279" s="181"/>
      <c r="K279" s="181"/>
      <c r="L279" s="181"/>
      <c r="M279" s="329">
        <f t="shared" si="117"/>
        <v>-134107.4</v>
      </c>
      <c r="N279" s="181"/>
      <c r="O279" s="181"/>
      <c r="P279" s="176">
        <f t="shared" si="118"/>
        <v>284235</v>
      </c>
      <c r="Q279" s="181"/>
      <c r="R279" s="181"/>
      <c r="S279" s="176">
        <f t="shared" si="119"/>
        <v>382490</v>
      </c>
      <c r="T279" s="181"/>
      <c r="U279" s="181"/>
      <c r="V279" s="176">
        <f t="shared" si="120"/>
        <v>112396</v>
      </c>
      <c r="W279" s="181"/>
      <c r="X279" s="181"/>
      <c r="Y279" s="176">
        <f t="shared" si="87"/>
        <v>0</v>
      </c>
      <c r="Z279" s="181"/>
      <c r="AA279" s="181"/>
      <c r="AB279" s="176">
        <f t="shared" si="29"/>
        <v>0</v>
      </c>
      <c r="AC279" s="181"/>
      <c r="AD279" s="181"/>
      <c r="AE279" s="176">
        <f t="shared" si="121"/>
        <v>0</v>
      </c>
      <c r="AF279" s="176"/>
      <c r="AG279" s="176"/>
      <c r="AH279" s="176">
        <f t="shared" si="122"/>
        <v>140200</v>
      </c>
      <c r="AI279" s="181"/>
      <c r="AJ279" s="181"/>
      <c r="AK279" s="176">
        <f t="shared" si="123"/>
        <v>0</v>
      </c>
      <c r="AL279" s="181"/>
      <c r="AM279" s="181"/>
      <c r="AN279" s="176">
        <f t="shared" si="124"/>
        <v>0</v>
      </c>
      <c r="AO279" s="181"/>
      <c r="AP279" s="181"/>
    </row>
    <row r="280" ht="12.75" customHeight="1">
      <c r="A280" s="179"/>
      <c r="B280" s="459"/>
      <c r="C280" s="481"/>
      <c r="D280" s="180"/>
      <c r="E280" s="180"/>
      <c r="F280" s="180"/>
      <c r="G280" s="460"/>
      <c r="H280" s="181"/>
      <c r="I280" s="181"/>
      <c r="J280" s="181"/>
      <c r="K280" s="181"/>
      <c r="L280" s="181"/>
      <c r="M280" s="329">
        <f t="shared" si="117"/>
        <v>-134107.4</v>
      </c>
      <c r="N280" s="181"/>
      <c r="O280" s="181"/>
      <c r="P280" s="176">
        <f t="shared" si="118"/>
        <v>284235</v>
      </c>
      <c r="Q280" s="181"/>
      <c r="R280" s="181"/>
      <c r="S280" s="176">
        <f t="shared" si="119"/>
        <v>382490</v>
      </c>
      <c r="T280" s="181"/>
      <c r="U280" s="181"/>
      <c r="V280" s="176">
        <f t="shared" si="120"/>
        <v>112396</v>
      </c>
      <c r="W280" s="181"/>
      <c r="X280" s="181"/>
      <c r="Y280" s="176">
        <f t="shared" si="87"/>
        <v>0</v>
      </c>
      <c r="Z280" s="181"/>
      <c r="AA280" s="181"/>
      <c r="AB280" s="176">
        <f t="shared" si="29"/>
        <v>0</v>
      </c>
      <c r="AC280" s="181"/>
      <c r="AD280" s="181"/>
      <c r="AE280" s="176">
        <f t="shared" si="121"/>
        <v>0</v>
      </c>
      <c r="AF280" s="176"/>
      <c r="AG280" s="176"/>
      <c r="AH280" s="176">
        <f t="shared" si="122"/>
        <v>140200</v>
      </c>
      <c r="AI280" s="181"/>
      <c r="AJ280" s="181"/>
      <c r="AK280" s="176">
        <f t="shared" si="123"/>
        <v>0</v>
      </c>
      <c r="AL280" s="181"/>
      <c r="AM280" s="181"/>
      <c r="AN280" s="176">
        <f t="shared" si="124"/>
        <v>0</v>
      </c>
      <c r="AO280" s="181"/>
      <c r="AP280" s="181"/>
    </row>
    <row r="281" ht="12.75" customHeight="1">
      <c r="A281" s="179"/>
      <c r="B281" s="459"/>
      <c r="C281" s="481"/>
      <c r="D281" s="180"/>
      <c r="E281" s="180"/>
      <c r="F281" s="180"/>
      <c r="G281" s="460"/>
      <c r="H281" s="181"/>
      <c r="I281" s="181"/>
      <c r="J281" s="181"/>
      <c r="K281" s="181"/>
      <c r="L281" s="181"/>
      <c r="M281" s="329">
        <f t="shared" si="117"/>
        <v>-134107.4</v>
      </c>
      <c r="N281" s="181"/>
      <c r="O281" s="181"/>
      <c r="P281" s="176">
        <f t="shared" si="118"/>
        <v>284235</v>
      </c>
      <c r="Q281" s="181"/>
      <c r="R281" s="181"/>
      <c r="S281" s="176">
        <f t="shared" si="119"/>
        <v>382490</v>
      </c>
      <c r="T281" s="181"/>
      <c r="U281" s="181"/>
      <c r="V281" s="176">
        <f t="shared" si="120"/>
        <v>112396</v>
      </c>
      <c r="W281" s="181"/>
      <c r="X281" s="181"/>
      <c r="Y281" s="176">
        <f t="shared" si="87"/>
        <v>0</v>
      </c>
      <c r="Z281" s="181"/>
      <c r="AA281" s="181"/>
      <c r="AB281" s="176">
        <f t="shared" si="29"/>
        <v>0</v>
      </c>
      <c r="AC281" s="181"/>
      <c r="AD281" s="181"/>
      <c r="AE281" s="176">
        <f t="shared" si="121"/>
        <v>0</v>
      </c>
      <c r="AF281" s="176"/>
      <c r="AG281" s="176"/>
      <c r="AH281" s="176">
        <f t="shared" si="122"/>
        <v>140200</v>
      </c>
      <c r="AI281" s="181"/>
      <c r="AJ281" s="181"/>
      <c r="AK281" s="176">
        <f t="shared" si="123"/>
        <v>0</v>
      </c>
      <c r="AL281" s="181"/>
      <c r="AM281" s="181"/>
      <c r="AN281" s="176">
        <f t="shared" si="124"/>
        <v>0</v>
      </c>
      <c r="AO281" s="181"/>
      <c r="AP281" s="181"/>
    </row>
    <row r="282" ht="12.75" customHeight="1">
      <c r="A282" s="179"/>
      <c r="B282" s="459"/>
      <c r="C282" s="481"/>
      <c r="D282" s="180"/>
      <c r="E282" s="180"/>
      <c r="F282" s="180"/>
      <c r="G282" s="460"/>
      <c r="H282" s="181"/>
      <c r="I282" s="181"/>
      <c r="J282" s="181"/>
      <c r="K282" s="181"/>
      <c r="L282" s="181"/>
      <c r="M282" s="329">
        <f t="shared" si="117"/>
        <v>-134107.4</v>
      </c>
      <c r="N282" s="181"/>
      <c r="O282" s="181"/>
      <c r="P282" s="176">
        <f t="shared" si="118"/>
        <v>284235</v>
      </c>
      <c r="Q282" s="181"/>
      <c r="R282" s="181"/>
      <c r="S282" s="176">
        <f t="shared" si="119"/>
        <v>382490</v>
      </c>
      <c r="T282" s="181"/>
      <c r="U282" s="181"/>
      <c r="V282" s="176">
        <f t="shared" si="120"/>
        <v>112396</v>
      </c>
      <c r="W282" s="181"/>
      <c r="X282" s="181"/>
      <c r="Y282" s="176">
        <f t="shared" si="87"/>
        <v>0</v>
      </c>
      <c r="Z282" s="181"/>
      <c r="AA282" s="181"/>
      <c r="AB282" s="176">
        <f t="shared" si="29"/>
        <v>0</v>
      </c>
      <c r="AC282" s="181"/>
      <c r="AD282" s="181"/>
      <c r="AE282" s="176">
        <f t="shared" si="121"/>
        <v>0</v>
      </c>
      <c r="AF282" s="176"/>
      <c r="AG282" s="176"/>
      <c r="AH282" s="176">
        <f t="shared" si="122"/>
        <v>140200</v>
      </c>
      <c r="AI282" s="181"/>
      <c r="AJ282" s="181"/>
      <c r="AK282" s="176">
        <f t="shared" si="123"/>
        <v>0</v>
      </c>
      <c r="AL282" s="181"/>
      <c r="AM282" s="181"/>
      <c r="AN282" s="176">
        <f t="shared" si="124"/>
        <v>0</v>
      </c>
      <c r="AO282" s="181"/>
      <c r="AP282" s="181"/>
    </row>
    <row r="283" ht="12.75" customHeight="1">
      <c r="A283" s="179"/>
      <c r="B283" s="459"/>
      <c r="C283" s="481"/>
      <c r="D283" s="180"/>
      <c r="E283" s="180"/>
      <c r="F283" s="180"/>
      <c r="G283" s="460"/>
      <c r="H283" s="181"/>
      <c r="I283" s="181"/>
      <c r="J283" s="181"/>
      <c r="K283" s="181"/>
      <c r="L283" s="181"/>
      <c r="M283" s="329">
        <f t="shared" si="117"/>
        <v>-134107.4</v>
      </c>
      <c r="N283" s="181"/>
      <c r="O283" s="181"/>
      <c r="P283" s="176">
        <f t="shared" si="118"/>
        <v>284235</v>
      </c>
      <c r="Q283" s="181"/>
      <c r="R283" s="181"/>
      <c r="S283" s="176">
        <f t="shared" si="119"/>
        <v>382490</v>
      </c>
      <c r="T283" s="181"/>
      <c r="U283" s="181"/>
      <c r="V283" s="176">
        <f t="shared" si="120"/>
        <v>112396</v>
      </c>
      <c r="W283" s="181"/>
      <c r="X283" s="181"/>
      <c r="Y283" s="176">
        <f t="shared" si="87"/>
        <v>0</v>
      </c>
      <c r="Z283" s="181"/>
      <c r="AA283" s="181"/>
      <c r="AB283" s="176">
        <f t="shared" si="29"/>
        <v>0</v>
      </c>
      <c r="AC283" s="181"/>
      <c r="AD283" s="181"/>
      <c r="AE283" s="176">
        <f t="shared" si="121"/>
        <v>0</v>
      </c>
      <c r="AF283" s="176"/>
      <c r="AG283" s="176"/>
      <c r="AH283" s="176">
        <f t="shared" si="122"/>
        <v>140200</v>
      </c>
      <c r="AI283" s="181"/>
      <c r="AJ283" s="181"/>
      <c r="AK283" s="176">
        <f t="shared" si="123"/>
        <v>0</v>
      </c>
      <c r="AL283" s="181"/>
      <c r="AM283" s="181"/>
      <c r="AN283" s="176">
        <f t="shared" si="124"/>
        <v>0</v>
      </c>
      <c r="AO283" s="181"/>
      <c r="AP283" s="181"/>
    </row>
    <row r="284" ht="12.75" customHeight="1">
      <c r="A284" s="179"/>
      <c r="B284" s="459"/>
      <c r="C284" s="481"/>
      <c r="D284" s="180"/>
      <c r="E284" s="180"/>
      <c r="F284" s="180"/>
      <c r="G284" s="460"/>
      <c r="H284" s="181"/>
      <c r="I284" s="181"/>
      <c r="J284" s="181"/>
      <c r="K284" s="181"/>
      <c r="L284" s="181"/>
      <c r="M284" s="329">
        <f t="shared" si="117"/>
        <v>-134107.4</v>
      </c>
      <c r="N284" s="181"/>
      <c r="O284" s="181"/>
      <c r="P284" s="176">
        <f t="shared" si="118"/>
        <v>284235</v>
      </c>
      <c r="Q284" s="181"/>
      <c r="R284" s="181"/>
      <c r="S284" s="176">
        <f t="shared" si="119"/>
        <v>382490</v>
      </c>
      <c r="T284" s="181"/>
      <c r="U284" s="181"/>
      <c r="V284" s="176">
        <f t="shared" si="120"/>
        <v>112396</v>
      </c>
      <c r="W284" s="181"/>
      <c r="X284" s="181"/>
      <c r="Y284" s="176">
        <f t="shared" si="87"/>
        <v>0</v>
      </c>
      <c r="Z284" s="181"/>
      <c r="AA284" s="181"/>
      <c r="AB284" s="176">
        <f t="shared" si="29"/>
        <v>0</v>
      </c>
      <c r="AC284" s="181"/>
      <c r="AD284" s="181"/>
      <c r="AE284" s="176">
        <f t="shared" si="121"/>
        <v>0</v>
      </c>
      <c r="AF284" s="176"/>
      <c r="AG284" s="176"/>
      <c r="AH284" s="176">
        <f t="shared" si="122"/>
        <v>140200</v>
      </c>
      <c r="AI284" s="181"/>
      <c r="AJ284" s="181"/>
      <c r="AK284" s="176">
        <f t="shared" si="123"/>
        <v>0</v>
      </c>
      <c r="AL284" s="181"/>
      <c r="AM284" s="181"/>
      <c r="AN284" s="176">
        <f t="shared" si="124"/>
        <v>0</v>
      </c>
      <c r="AO284" s="181"/>
      <c r="AP284" s="181"/>
    </row>
    <row r="285" ht="12.75" customHeight="1">
      <c r="A285" s="179"/>
      <c r="B285" s="459"/>
      <c r="C285" s="481"/>
      <c r="D285" s="180"/>
      <c r="E285" s="180"/>
      <c r="F285" s="180"/>
      <c r="G285" s="460"/>
      <c r="H285" s="181"/>
      <c r="I285" s="181"/>
      <c r="J285" s="181"/>
      <c r="K285" s="181"/>
      <c r="L285" s="181"/>
      <c r="M285" s="329">
        <f t="shared" si="117"/>
        <v>-134107.4</v>
      </c>
      <c r="N285" s="181"/>
      <c r="O285" s="181"/>
      <c r="P285" s="176">
        <f t="shared" si="118"/>
        <v>284235</v>
      </c>
      <c r="Q285" s="181"/>
      <c r="R285" s="181"/>
      <c r="S285" s="176">
        <f t="shared" si="119"/>
        <v>382490</v>
      </c>
      <c r="T285" s="181"/>
      <c r="U285" s="181"/>
      <c r="V285" s="176">
        <f t="shared" si="120"/>
        <v>112396</v>
      </c>
      <c r="W285" s="181"/>
      <c r="X285" s="181"/>
      <c r="Y285" s="176">
        <f t="shared" si="87"/>
        <v>0</v>
      </c>
      <c r="Z285" s="181"/>
      <c r="AA285" s="181"/>
      <c r="AB285" s="176">
        <f t="shared" si="29"/>
        <v>0</v>
      </c>
      <c r="AC285" s="181"/>
      <c r="AD285" s="181"/>
      <c r="AE285" s="176">
        <f t="shared" si="121"/>
        <v>0</v>
      </c>
      <c r="AF285" s="176"/>
      <c r="AG285" s="176"/>
      <c r="AH285" s="176">
        <f t="shared" si="122"/>
        <v>140200</v>
      </c>
      <c r="AI285" s="181"/>
      <c r="AJ285" s="181"/>
      <c r="AK285" s="176">
        <f t="shared" si="123"/>
        <v>0</v>
      </c>
      <c r="AL285" s="181"/>
      <c r="AM285" s="181"/>
      <c r="AN285" s="176">
        <f t="shared" si="124"/>
        <v>0</v>
      </c>
      <c r="AO285" s="181"/>
      <c r="AP285" s="181"/>
    </row>
    <row r="286" ht="12.75" customHeight="1">
      <c r="A286" s="179"/>
      <c r="B286" s="459"/>
      <c r="C286" s="481"/>
      <c r="D286" s="180"/>
      <c r="E286" s="180"/>
      <c r="F286" s="180"/>
      <c r="G286" s="460"/>
      <c r="H286" s="181"/>
      <c r="I286" s="181"/>
      <c r="J286" s="181"/>
      <c r="K286" s="181"/>
      <c r="L286" s="181"/>
      <c r="M286" s="329">
        <f t="shared" si="117"/>
        <v>-134107.4</v>
      </c>
      <c r="N286" s="181"/>
      <c r="O286" s="181"/>
      <c r="P286" s="176">
        <f t="shared" si="118"/>
        <v>284235</v>
      </c>
      <c r="Q286" s="181"/>
      <c r="R286" s="181"/>
      <c r="S286" s="176">
        <f t="shared" si="119"/>
        <v>382490</v>
      </c>
      <c r="T286" s="181"/>
      <c r="U286" s="181"/>
      <c r="V286" s="176">
        <f t="shared" si="120"/>
        <v>112396</v>
      </c>
      <c r="W286" s="181"/>
      <c r="X286" s="181"/>
      <c r="Y286" s="176">
        <f t="shared" si="87"/>
        <v>0</v>
      </c>
      <c r="Z286" s="181"/>
      <c r="AA286" s="181"/>
      <c r="AB286" s="176">
        <f t="shared" si="29"/>
        <v>0</v>
      </c>
      <c r="AC286" s="181"/>
      <c r="AD286" s="181"/>
      <c r="AE286" s="176">
        <f t="shared" si="121"/>
        <v>0</v>
      </c>
      <c r="AF286" s="176"/>
      <c r="AG286" s="176"/>
      <c r="AH286" s="176">
        <f t="shared" si="122"/>
        <v>140200</v>
      </c>
      <c r="AI286" s="181"/>
      <c r="AJ286" s="181"/>
      <c r="AK286" s="176">
        <f t="shared" si="123"/>
        <v>0</v>
      </c>
      <c r="AL286" s="181"/>
      <c r="AM286" s="181"/>
      <c r="AN286" s="176">
        <f t="shared" si="124"/>
        <v>0</v>
      </c>
      <c r="AO286" s="181"/>
      <c r="AP286" s="181"/>
    </row>
    <row r="287" ht="12.75" customHeight="1">
      <c r="A287" s="179"/>
      <c r="B287" s="459"/>
      <c r="C287" s="481"/>
      <c r="D287" s="180"/>
      <c r="E287" s="180"/>
      <c r="F287" s="180"/>
      <c r="G287" s="460"/>
      <c r="H287" s="181"/>
      <c r="I287" s="181"/>
      <c r="J287" s="181"/>
      <c r="K287" s="181"/>
      <c r="L287" s="181"/>
      <c r="M287" s="329">
        <f t="shared" si="117"/>
        <v>-134107.4</v>
      </c>
      <c r="N287" s="181"/>
      <c r="O287" s="181"/>
      <c r="P287" s="176">
        <f t="shared" si="118"/>
        <v>284235</v>
      </c>
      <c r="Q287" s="181"/>
      <c r="R287" s="181"/>
      <c r="S287" s="176">
        <f t="shared" si="119"/>
        <v>382490</v>
      </c>
      <c r="T287" s="181"/>
      <c r="U287" s="181"/>
      <c r="V287" s="176">
        <f t="shared" si="120"/>
        <v>112396</v>
      </c>
      <c r="W287" s="181"/>
      <c r="X287" s="181"/>
      <c r="Y287" s="176">
        <f t="shared" si="87"/>
        <v>0</v>
      </c>
      <c r="Z287" s="181"/>
      <c r="AA287" s="181"/>
      <c r="AB287" s="176">
        <f t="shared" si="29"/>
        <v>0</v>
      </c>
      <c r="AC287" s="181"/>
      <c r="AD287" s="181"/>
      <c r="AE287" s="176">
        <f t="shared" si="121"/>
        <v>0</v>
      </c>
      <c r="AF287" s="176"/>
      <c r="AG287" s="176"/>
      <c r="AH287" s="176">
        <f t="shared" si="122"/>
        <v>140200</v>
      </c>
      <c r="AI287" s="181"/>
      <c r="AJ287" s="181"/>
      <c r="AK287" s="176">
        <f t="shared" si="123"/>
        <v>0</v>
      </c>
      <c r="AL287" s="181"/>
      <c r="AM287" s="181"/>
      <c r="AN287" s="176">
        <f t="shared" si="124"/>
        <v>0</v>
      </c>
      <c r="AO287" s="181"/>
      <c r="AP287" s="181"/>
    </row>
    <row r="288" ht="12.75" customHeight="1">
      <c r="A288" s="179"/>
      <c r="B288" s="459"/>
      <c r="C288" s="481"/>
      <c r="D288" s="180"/>
      <c r="E288" s="180"/>
      <c r="F288" s="180"/>
      <c r="G288" s="460"/>
      <c r="H288" s="181"/>
      <c r="I288" s="181"/>
      <c r="J288" s="181"/>
      <c r="K288" s="181"/>
      <c r="L288" s="181"/>
      <c r="M288" s="329">
        <f t="shared" si="117"/>
        <v>-134107.4</v>
      </c>
      <c r="N288" s="181"/>
      <c r="O288" s="181"/>
      <c r="P288" s="176">
        <f t="shared" si="118"/>
        <v>284235</v>
      </c>
      <c r="Q288" s="181"/>
      <c r="R288" s="181"/>
      <c r="S288" s="176">
        <f t="shared" si="119"/>
        <v>382490</v>
      </c>
      <c r="T288" s="181"/>
      <c r="U288" s="181"/>
      <c r="V288" s="176">
        <f t="shared" si="120"/>
        <v>112396</v>
      </c>
      <c r="W288" s="181"/>
      <c r="X288" s="181"/>
      <c r="Y288" s="176">
        <f t="shared" si="87"/>
        <v>0</v>
      </c>
      <c r="Z288" s="181"/>
      <c r="AA288" s="181"/>
      <c r="AB288" s="176">
        <f t="shared" si="29"/>
        <v>0</v>
      </c>
      <c r="AC288" s="181"/>
      <c r="AD288" s="181"/>
      <c r="AE288" s="176">
        <f t="shared" si="121"/>
        <v>0</v>
      </c>
      <c r="AF288" s="176"/>
      <c r="AG288" s="176"/>
      <c r="AH288" s="176">
        <f t="shared" si="122"/>
        <v>140200</v>
      </c>
      <c r="AI288" s="181"/>
      <c r="AJ288" s="181"/>
      <c r="AK288" s="176">
        <f t="shared" si="123"/>
        <v>0</v>
      </c>
      <c r="AL288" s="181"/>
      <c r="AM288" s="181"/>
      <c r="AN288" s="176">
        <f t="shared" si="124"/>
        <v>0</v>
      </c>
      <c r="AO288" s="181"/>
      <c r="AP288" s="181"/>
    </row>
    <row r="289" ht="12.75" customHeight="1">
      <c r="A289" s="179"/>
      <c r="B289" s="459"/>
      <c r="C289" s="481"/>
      <c r="D289" s="180"/>
      <c r="E289" s="180"/>
      <c r="F289" s="180"/>
      <c r="G289" s="460"/>
      <c r="H289" s="181"/>
      <c r="I289" s="181"/>
      <c r="J289" s="181"/>
      <c r="K289" s="181"/>
      <c r="L289" s="181"/>
      <c r="M289" s="329">
        <f t="shared" si="117"/>
        <v>-134107.4</v>
      </c>
      <c r="N289" s="181"/>
      <c r="O289" s="181"/>
      <c r="P289" s="176">
        <f t="shared" si="118"/>
        <v>284235</v>
      </c>
      <c r="Q289" s="181"/>
      <c r="R289" s="181"/>
      <c r="S289" s="176">
        <f t="shared" si="119"/>
        <v>382490</v>
      </c>
      <c r="T289" s="181"/>
      <c r="U289" s="181"/>
      <c r="V289" s="176">
        <f t="shared" si="120"/>
        <v>112396</v>
      </c>
      <c r="W289" s="181"/>
      <c r="X289" s="181"/>
      <c r="Y289" s="176">
        <f t="shared" si="87"/>
        <v>0</v>
      </c>
      <c r="Z289" s="181"/>
      <c r="AA289" s="181"/>
      <c r="AB289" s="176">
        <f t="shared" si="29"/>
        <v>0</v>
      </c>
      <c r="AC289" s="181"/>
      <c r="AD289" s="181"/>
      <c r="AE289" s="176">
        <f t="shared" si="121"/>
        <v>0</v>
      </c>
      <c r="AF289" s="176"/>
      <c r="AG289" s="176"/>
      <c r="AH289" s="176">
        <f t="shared" si="122"/>
        <v>140200</v>
      </c>
      <c r="AI289" s="181"/>
      <c r="AJ289" s="181"/>
      <c r="AK289" s="176">
        <f t="shared" si="123"/>
        <v>0</v>
      </c>
      <c r="AL289" s="181"/>
      <c r="AM289" s="181"/>
      <c r="AN289" s="176">
        <f t="shared" si="124"/>
        <v>0</v>
      </c>
      <c r="AO289" s="181"/>
      <c r="AP289" s="181"/>
    </row>
    <row r="290" ht="12.75" customHeight="1">
      <c r="A290" s="179"/>
      <c r="B290" s="459"/>
      <c r="C290" s="481"/>
      <c r="D290" s="180"/>
      <c r="E290" s="180"/>
      <c r="F290" s="180"/>
      <c r="G290" s="460"/>
      <c r="H290" s="181"/>
      <c r="I290" s="181"/>
      <c r="J290" s="181"/>
      <c r="K290" s="181"/>
      <c r="L290" s="181"/>
      <c r="M290" s="329">
        <f t="shared" si="117"/>
        <v>-134107.4</v>
      </c>
      <c r="N290" s="181"/>
      <c r="O290" s="181"/>
      <c r="P290" s="176">
        <f t="shared" si="118"/>
        <v>284235</v>
      </c>
      <c r="Q290" s="181"/>
      <c r="R290" s="181"/>
      <c r="S290" s="176">
        <f t="shared" si="119"/>
        <v>382490</v>
      </c>
      <c r="T290" s="181"/>
      <c r="U290" s="181"/>
      <c r="V290" s="176">
        <f t="shared" si="120"/>
        <v>112396</v>
      </c>
      <c r="W290" s="181"/>
      <c r="X290" s="181"/>
      <c r="Y290" s="176">
        <f t="shared" si="87"/>
        <v>0</v>
      </c>
      <c r="Z290" s="181"/>
      <c r="AA290" s="181"/>
      <c r="AB290" s="176">
        <f t="shared" si="29"/>
        <v>0</v>
      </c>
      <c r="AC290" s="181"/>
      <c r="AD290" s="181"/>
      <c r="AE290" s="176">
        <f t="shared" si="121"/>
        <v>0</v>
      </c>
      <c r="AF290" s="176"/>
      <c r="AG290" s="176"/>
      <c r="AH290" s="176">
        <f t="shared" si="122"/>
        <v>140200</v>
      </c>
      <c r="AI290" s="181"/>
      <c r="AJ290" s="181"/>
      <c r="AK290" s="176">
        <f t="shared" si="123"/>
        <v>0</v>
      </c>
      <c r="AL290" s="181"/>
      <c r="AM290" s="181"/>
      <c r="AN290" s="176">
        <f t="shared" si="124"/>
        <v>0</v>
      </c>
      <c r="AO290" s="181"/>
      <c r="AP290" s="181"/>
    </row>
    <row r="291" ht="12.75" customHeight="1">
      <c r="A291" s="179"/>
      <c r="B291" s="459"/>
      <c r="C291" s="481"/>
      <c r="D291" s="180"/>
      <c r="E291" s="180"/>
      <c r="F291" s="180"/>
      <c r="G291" s="460"/>
      <c r="H291" s="181"/>
      <c r="I291" s="181"/>
      <c r="J291" s="181"/>
      <c r="K291" s="181"/>
      <c r="L291" s="181"/>
      <c r="M291" s="329">
        <f t="shared" si="117"/>
        <v>-134107.4</v>
      </c>
      <c r="N291" s="181"/>
      <c r="O291" s="181"/>
      <c r="P291" s="176">
        <f t="shared" si="118"/>
        <v>284235</v>
      </c>
      <c r="Q291" s="181"/>
      <c r="R291" s="181"/>
      <c r="S291" s="176">
        <f t="shared" si="119"/>
        <v>382490</v>
      </c>
      <c r="T291" s="181"/>
      <c r="U291" s="181"/>
      <c r="V291" s="176">
        <f t="shared" si="120"/>
        <v>112396</v>
      </c>
      <c r="W291" s="181"/>
      <c r="X291" s="181"/>
      <c r="Y291" s="176">
        <f t="shared" si="87"/>
        <v>0</v>
      </c>
      <c r="Z291" s="181"/>
      <c r="AA291" s="181"/>
      <c r="AB291" s="176">
        <f t="shared" si="29"/>
        <v>0</v>
      </c>
      <c r="AC291" s="181"/>
      <c r="AD291" s="181"/>
      <c r="AE291" s="176">
        <f t="shared" si="121"/>
        <v>0</v>
      </c>
      <c r="AF291" s="176"/>
      <c r="AG291" s="176"/>
      <c r="AH291" s="176">
        <f t="shared" si="122"/>
        <v>140200</v>
      </c>
      <c r="AI291" s="181"/>
      <c r="AJ291" s="181"/>
      <c r="AK291" s="176">
        <f t="shared" si="123"/>
        <v>0</v>
      </c>
      <c r="AL291" s="181"/>
      <c r="AM291" s="181"/>
      <c r="AN291" s="176">
        <f t="shared" si="124"/>
        <v>0</v>
      </c>
      <c r="AO291" s="181"/>
      <c r="AP291" s="181"/>
    </row>
    <row r="292" ht="12.75" customHeight="1">
      <c r="A292" s="179"/>
      <c r="B292" s="459"/>
      <c r="C292" s="481"/>
      <c r="D292" s="180"/>
      <c r="E292" s="180"/>
      <c r="F292" s="180"/>
      <c r="G292" s="460"/>
      <c r="H292" s="181"/>
      <c r="I292" s="181"/>
      <c r="J292" s="181"/>
      <c r="K292" s="181"/>
      <c r="L292" s="181"/>
      <c r="M292" s="329">
        <f t="shared" si="117"/>
        <v>-134107.4</v>
      </c>
      <c r="N292" s="181"/>
      <c r="O292" s="181"/>
      <c r="P292" s="176">
        <f t="shared" si="118"/>
        <v>284235</v>
      </c>
      <c r="Q292" s="181"/>
      <c r="R292" s="181"/>
      <c r="S292" s="176">
        <f t="shared" si="119"/>
        <v>382490</v>
      </c>
      <c r="T292" s="181"/>
      <c r="U292" s="181"/>
      <c r="V292" s="176">
        <f t="shared" si="120"/>
        <v>112396</v>
      </c>
      <c r="W292" s="181"/>
      <c r="X292" s="181"/>
      <c r="Y292" s="176">
        <f t="shared" si="87"/>
        <v>0</v>
      </c>
      <c r="Z292" s="181"/>
      <c r="AA292" s="181"/>
      <c r="AB292" s="176">
        <f t="shared" si="29"/>
        <v>0</v>
      </c>
      <c r="AC292" s="181"/>
      <c r="AD292" s="181"/>
      <c r="AE292" s="176">
        <f t="shared" si="121"/>
        <v>0</v>
      </c>
      <c r="AF292" s="176"/>
      <c r="AG292" s="176"/>
      <c r="AH292" s="176">
        <f t="shared" si="122"/>
        <v>140200</v>
      </c>
      <c r="AI292" s="181"/>
      <c r="AJ292" s="181"/>
      <c r="AK292" s="176">
        <f t="shared" si="123"/>
        <v>0</v>
      </c>
      <c r="AL292" s="181"/>
      <c r="AM292" s="181"/>
      <c r="AN292" s="176">
        <f t="shared" si="124"/>
        <v>0</v>
      </c>
      <c r="AO292" s="181"/>
      <c r="AP292" s="181"/>
    </row>
    <row r="293" ht="12.75" customHeight="1">
      <c r="A293" s="179"/>
      <c r="B293" s="459"/>
      <c r="C293" s="481"/>
      <c r="D293" s="180"/>
      <c r="E293" s="180"/>
      <c r="F293" s="180"/>
      <c r="G293" s="460"/>
      <c r="H293" s="181"/>
      <c r="I293" s="181"/>
      <c r="J293" s="181"/>
      <c r="K293" s="181"/>
      <c r="L293" s="181"/>
      <c r="M293" s="329">
        <f t="shared" si="117"/>
        <v>-134107.4</v>
      </c>
      <c r="N293" s="181"/>
      <c r="O293" s="181"/>
      <c r="P293" s="176">
        <f t="shared" si="118"/>
        <v>284235</v>
      </c>
      <c r="Q293" s="181"/>
      <c r="R293" s="181"/>
      <c r="S293" s="176">
        <f t="shared" si="119"/>
        <v>382490</v>
      </c>
      <c r="T293" s="181"/>
      <c r="U293" s="181"/>
      <c r="V293" s="176">
        <f t="shared" si="120"/>
        <v>112396</v>
      </c>
      <c r="W293" s="181"/>
      <c r="X293" s="181"/>
      <c r="Y293" s="176">
        <f t="shared" si="87"/>
        <v>0</v>
      </c>
      <c r="Z293" s="181"/>
      <c r="AA293" s="181"/>
      <c r="AB293" s="176">
        <f t="shared" si="29"/>
        <v>0</v>
      </c>
      <c r="AC293" s="181"/>
      <c r="AD293" s="181"/>
      <c r="AE293" s="176">
        <f t="shared" si="121"/>
        <v>0</v>
      </c>
      <c r="AF293" s="176"/>
      <c r="AG293" s="176"/>
      <c r="AH293" s="176">
        <f t="shared" si="122"/>
        <v>140200</v>
      </c>
      <c r="AI293" s="181"/>
      <c r="AJ293" s="181"/>
      <c r="AK293" s="176">
        <f t="shared" si="123"/>
        <v>0</v>
      </c>
      <c r="AL293" s="181"/>
      <c r="AM293" s="181"/>
      <c r="AN293" s="176">
        <f t="shared" si="124"/>
        <v>0</v>
      </c>
      <c r="AO293" s="181"/>
      <c r="AP293" s="181"/>
    </row>
    <row r="294" ht="12.75" customHeight="1">
      <c r="A294" s="179"/>
      <c r="B294" s="459"/>
      <c r="C294" s="481"/>
      <c r="D294" s="180"/>
      <c r="E294" s="180"/>
      <c r="F294" s="180"/>
      <c r="G294" s="460"/>
      <c r="H294" s="181"/>
      <c r="I294" s="181"/>
      <c r="J294" s="181"/>
      <c r="K294" s="181"/>
      <c r="L294" s="181"/>
      <c r="M294" s="329">
        <f t="shared" si="117"/>
        <v>-134107.4</v>
      </c>
      <c r="N294" s="181"/>
      <c r="O294" s="181"/>
      <c r="P294" s="176">
        <f t="shared" si="118"/>
        <v>284235</v>
      </c>
      <c r="Q294" s="181"/>
      <c r="R294" s="181"/>
      <c r="S294" s="176">
        <f t="shared" si="119"/>
        <v>382490</v>
      </c>
      <c r="T294" s="181"/>
      <c r="U294" s="181"/>
      <c r="V294" s="176">
        <f t="shared" si="120"/>
        <v>112396</v>
      </c>
      <c r="W294" s="181"/>
      <c r="X294" s="181"/>
      <c r="Y294" s="176">
        <f t="shared" si="87"/>
        <v>0</v>
      </c>
      <c r="Z294" s="181"/>
      <c r="AA294" s="181"/>
      <c r="AB294" s="176">
        <f t="shared" si="29"/>
        <v>0</v>
      </c>
      <c r="AC294" s="181"/>
      <c r="AD294" s="181"/>
      <c r="AE294" s="176">
        <f t="shared" si="121"/>
        <v>0</v>
      </c>
      <c r="AF294" s="176"/>
      <c r="AG294" s="176"/>
      <c r="AH294" s="176">
        <f t="shared" si="122"/>
        <v>140200</v>
      </c>
      <c r="AI294" s="181"/>
      <c r="AJ294" s="181"/>
      <c r="AK294" s="176">
        <f t="shared" si="123"/>
        <v>0</v>
      </c>
      <c r="AL294" s="181"/>
      <c r="AM294" s="181"/>
      <c r="AN294" s="176">
        <f t="shared" si="124"/>
        <v>0</v>
      </c>
      <c r="AO294" s="181"/>
      <c r="AP294" s="181"/>
    </row>
    <row r="295" ht="12.75" customHeight="1">
      <c r="A295" s="179"/>
      <c r="B295" s="459"/>
      <c r="C295" s="481"/>
      <c r="D295" s="180"/>
      <c r="E295" s="180"/>
      <c r="F295" s="180"/>
      <c r="G295" s="460"/>
      <c r="H295" s="181"/>
      <c r="I295" s="181"/>
      <c r="J295" s="181"/>
      <c r="K295" s="181"/>
      <c r="L295" s="181"/>
      <c r="M295" s="329">
        <f t="shared" si="117"/>
        <v>-134107.4</v>
      </c>
      <c r="N295" s="181"/>
      <c r="O295" s="181"/>
      <c r="P295" s="176">
        <f t="shared" si="118"/>
        <v>284235</v>
      </c>
      <c r="Q295" s="181"/>
      <c r="R295" s="181"/>
      <c r="S295" s="176">
        <f t="shared" si="119"/>
        <v>382490</v>
      </c>
      <c r="T295" s="181"/>
      <c r="U295" s="181"/>
      <c r="V295" s="176">
        <f t="shared" si="120"/>
        <v>112396</v>
      </c>
      <c r="W295" s="181"/>
      <c r="X295" s="181"/>
      <c r="Y295" s="176">
        <f t="shared" si="87"/>
        <v>0</v>
      </c>
      <c r="Z295" s="181"/>
      <c r="AA295" s="181"/>
      <c r="AB295" s="176">
        <f t="shared" si="29"/>
        <v>0</v>
      </c>
      <c r="AC295" s="181"/>
      <c r="AD295" s="181"/>
      <c r="AE295" s="176">
        <f t="shared" si="121"/>
        <v>0</v>
      </c>
      <c r="AF295" s="176"/>
      <c r="AG295" s="176"/>
      <c r="AH295" s="176">
        <f t="shared" si="122"/>
        <v>140200</v>
      </c>
      <c r="AI295" s="181"/>
      <c r="AJ295" s="181"/>
      <c r="AK295" s="176">
        <f t="shared" si="123"/>
        <v>0</v>
      </c>
      <c r="AL295" s="181"/>
      <c r="AM295" s="181"/>
      <c r="AN295" s="176">
        <f t="shared" si="124"/>
        <v>0</v>
      </c>
      <c r="AO295" s="181"/>
      <c r="AP295" s="181"/>
    </row>
    <row r="296" ht="12.75" customHeight="1">
      <c r="A296" s="179"/>
      <c r="B296" s="459"/>
      <c r="C296" s="481"/>
      <c r="D296" s="180"/>
      <c r="E296" s="180"/>
      <c r="F296" s="180"/>
      <c r="G296" s="460"/>
      <c r="H296" s="181"/>
      <c r="I296" s="181"/>
      <c r="J296" s="181"/>
      <c r="K296" s="181"/>
      <c r="L296" s="181"/>
      <c r="M296" s="329">
        <f t="shared" si="117"/>
        <v>-134107.4</v>
      </c>
      <c r="N296" s="181"/>
      <c r="O296" s="181"/>
      <c r="P296" s="176">
        <f t="shared" si="118"/>
        <v>284235</v>
      </c>
      <c r="Q296" s="181"/>
      <c r="R296" s="181"/>
      <c r="S296" s="176">
        <f t="shared" si="119"/>
        <v>382490</v>
      </c>
      <c r="T296" s="181"/>
      <c r="U296" s="181"/>
      <c r="V296" s="176">
        <f t="shared" si="120"/>
        <v>112396</v>
      </c>
      <c r="W296" s="181"/>
      <c r="X296" s="181"/>
      <c r="Y296" s="176">
        <f t="shared" si="87"/>
        <v>0</v>
      </c>
      <c r="Z296" s="181"/>
      <c r="AA296" s="181"/>
      <c r="AB296" s="176">
        <f t="shared" si="29"/>
        <v>0</v>
      </c>
      <c r="AC296" s="181"/>
      <c r="AD296" s="181"/>
      <c r="AE296" s="176">
        <f t="shared" si="121"/>
        <v>0</v>
      </c>
      <c r="AF296" s="176"/>
      <c r="AG296" s="176"/>
      <c r="AH296" s="176">
        <f t="shared" si="122"/>
        <v>140200</v>
      </c>
      <c r="AI296" s="181"/>
      <c r="AJ296" s="181"/>
      <c r="AK296" s="176">
        <f t="shared" si="123"/>
        <v>0</v>
      </c>
      <c r="AL296" s="181"/>
      <c r="AM296" s="181"/>
      <c r="AN296" s="176">
        <f t="shared" si="124"/>
        <v>0</v>
      </c>
      <c r="AO296" s="181"/>
      <c r="AP296" s="181"/>
    </row>
    <row r="297" ht="12.75" customHeight="1">
      <c r="A297" s="179"/>
      <c r="B297" s="459"/>
      <c r="C297" s="481"/>
      <c r="D297" s="180"/>
      <c r="E297" s="180"/>
      <c r="F297" s="180"/>
      <c r="G297" s="460"/>
      <c r="H297" s="181"/>
      <c r="I297" s="181"/>
      <c r="J297" s="181"/>
      <c r="K297" s="181"/>
      <c r="L297" s="181"/>
      <c r="M297" s="329">
        <f t="shared" si="117"/>
        <v>-134107.4</v>
      </c>
      <c r="N297" s="181"/>
      <c r="O297" s="181"/>
      <c r="P297" s="176">
        <f t="shared" si="118"/>
        <v>284235</v>
      </c>
      <c r="Q297" s="181"/>
      <c r="R297" s="181"/>
      <c r="S297" s="176">
        <f t="shared" si="119"/>
        <v>382490</v>
      </c>
      <c r="T297" s="181"/>
      <c r="U297" s="181"/>
      <c r="V297" s="176">
        <f t="shared" si="120"/>
        <v>112396</v>
      </c>
      <c r="W297" s="181"/>
      <c r="X297" s="181"/>
      <c r="Y297" s="176">
        <f t="shared" si="87"/>
        <v>0</v>
      </c>
      <c r="Z297" s="181"/>
      <c r="AA297" s="181"/>
      <c r="AB297" s="176">
        <f t="shared" si="29"/>
        <v>0</v>
      </c>
      <c r="AC297" s="181"/>
      <c r="AD297" s="181"/>
      <c r="AE297" s="176">
        <f t="shared" si="121"/>
        <v>0</v>
      </c>
      <c r="AF297" s="176"/>
      <c r="AG297" s="176"/>
      <c r="AH297" s="176">
        <f t="shared" si="122"/>
        <v>140200</v>
      </c>
      <c r="AI297" s="181"/>
      <c r="AJ297" s="181"/>
      <c r="AK297" s="176">
        <f t="shared" si="123"/>
        <v>0</v>
      </c>
      <c r="AL297" s="181"/>
      <c r="AM297" s="181"/>
      <c r="AN297" s="176">
        <f t="shared" si="124"/>
        <v>0</v>
      </c>
      <c r="AO297" s="181"/>
      <c r="AP297" s="181"/>
    </row>
    <row r="298" ht="12.75" customHeight="1">
      <c r="A298" s="179"/>
      <c r="B298" s="459"/>
      <c r="C298" s="481"/>
      <c r="D298" s="180"/>
      <c r="E298" s="180"/>
      <c r="F298" s="180"/>
      <c r="G298" s="460"/>
      <c r="H298" s="181"/>
      <c r="I298" s="181"/>
      <c r="J298" s="181"/>
      <c r="K298" s="181"/>
      <c r="L298" s="181"/>
      <c r="M298" s="329">
        <f t="shared" si="117"/>
        <v>-134107.4</v>
      </c>
      <c r="N298" s="181"/>
      <c r="O298" s="181"/>
      <c r="P298" s="176">
        <f t="shared" si="118"/>
        <v>284235</v>
      </c>
      <c r="Q298" s="181"/>
      <c r="R298" s="181"/>
      <c r="S298" s="176">
        <f t="shared" si="119"/>
        <v>382490</v>
      </c>
      <c r="T298" s="181"/>
      <c r="U298" s="181"/>
      <c r="V298" s="176">
        <f t="shared" si="120"/>
        <v>112396</v>
      </c>
      <c r="W298" s="181"/>
      <c r="X298" s="181"/>
      <c r="Y298" s="176">
        <f t="shared" si="87"/>
        <v>0</v>
      </c>
      <c r="Z298" s="181"/>
      <c r="AA298" s="181"/>
      <c r="AB298" s="176">
        <f t="shared" si="29"/>
        <v>0</v>
      </c>
      <c r="AC298" s="181"/>
      <c r="AD298" s="181"/>
      <c r="AE298" s="176">
        <f t="shared" si="121"/>
        <v>0</v>
      </c>
      <c r="AF298" s="176"/>
      <c r="AG298" s="176"/>
      <c r="AH298" s="176">
        <f t="shared" si="122"/>
        <v>140200</v>
      </c>
      <c r="AI298" s="181"/>
      <c r="AJ298" s="181"/>
      <c r="AK298" s="176">
        <f t="shared" si="123"/>
        <v>0</v>
      </c>
      <c r="AL298" s="181"/>
      <c r="AM298" s="181"/>
      <c r="AN298" s="176">
        <f t="shared" si="124"/>
        <v>0</v>
      </c>
      <c r="AO298" s="181"/>
      <c r="AP298" s="181"/>
    </row>
    <row r="299" ht="12.75" customHeight="1">
      <c r="A299" s="179"/>
      <c r="B299" s="459"/>
      <c r="C299" s="481"/>
      <c r="D299" s="180"/>
      <c r="E299" s="180"/>
      <c r="F299" s="180"/>
      <c r="G299" s="460"/>
      <c r="H299" s="181"/>
      <c r="I299" s="181"/>
      <c r="J299" s="181"/>
      <c r="K299" s="181"/>
      <c r="L299" s="181"/>
      <c r="M299" s="329">
        <f t="shared" si="117"/>
        <v>-134107.4</v>
      </c>
      <c r="N299" s="181"/>
      <c r="O299" s="181"/>
      <c r="P299" s="176">
        <f t="shared" si="118"/>
        <v>284235</v>
      </c>
      <c r="Q299" s="181"/>
      <c r="R299" s="181"/>
      <c r="S299" s="176">
        <f t="shared" si="119"/>
        <v>382490</v>
      </c>
      <c r="T299" s="181"/>
      <c r="U299" s="181"/>
      <c r="V299" s="176">
        <f t="shared" si="120"/>
        <v>112396</v>
      </c>
      <c r="W299" s="181"/>
      <c r="X299" s="181"/>
      <c r="Y299" s="176">
        <f t="shared" si="87"/>
        <v>0</v>
      </c>
      <c r="Z299" s="181"/>
      <c r="AA299" s="181"/>
      <c r="AB299" s="176">
        <f t="shared" si="29"/>
        <v>0</v>
      </c>
      <c r="AC299" s="181"/>
      <c r="AD299" s="181"/>
      <c r="AE299" s="176">
        <f t="shared" si="121"/>
        <v>0</v>
      </c>
      <c r="AF299" s="176"/>
      <c r="AG299" s="176"/>
      <c r="AH299" s="176">
        <f t="shared" si="122"/>
        <v>140200</v>
      </c>
      <c r="AI299" s="181"/>
      <c r="AJ299" s="181"/>
      <c r="AK299" s="176">
        <f t="shared" si="123"/>
        <v>0</v>
      </c>
      <c r="AL299" s="181"/>
      <c r="AM299" s="181"/>
      <c r="AN299" s="176">
        <f t="shared" si="124"/>
        <v>0</v>
      </c>
      <c r="AO299" s="181"/>
      <c r="AP299" s="181"/>
    </row>
    <row r="300" ht="12.75" customHeight="1">
      <c r="A300" s="179"/>
      <c r="B300" s="459"/>
      <c r="C300" s="481"/>
      <c r="D300" s="180"/>
      <c r="E300" s="180"/>
      <c r="F300" s="180"/>
      <c r="G300" s="460"/>
      <c r="H300" s="181"/>
      <c r="I300" s="181"/>
      <c r="J300" s="181"/>
      <c r="K300" s="181"/>
      <c r="L300" s="181"/>
      <c r="M300" s="329">
        <f t="shared" si="117"/>
        <v>-134107.4</v>
      </c>
      <c r="N300" s="181"/>
      <c r="O300" s="181"/>
      <c r="P300" s="176">
        <f t="shared" si="118"/>
        <v>284235</v>
      </c>
      <c r="Q300" s="181"/>
      <c r="R300" s="181"/>
      <c r="S300" s="176">
        <f t="shared" si="119"/>
        <v>382490</v>
      </c>
      <c r="T300" s="181"/>
      <c r="U300" s="181"/>
      <c r="V300" s="176">
        <f t="shared" si="120"/>
        <v>112396</v>
      </c>
      <c r="W300" s="181"/>
      <c r="X300" s="181"/>
      <c r="Y300" s="176">
        <f t="shared" si="87"/>
        <v>0</v>
      </c>
      <c r="Z300" s="181"/>
      <c r="AA300" s="181"/>
      <c r="AB300" s="176">
        <f t="shared" si="29"/>
        <v>0</v>
      </c>
      <c r="AC300" s="181"/>
      <c r="AD300" s="181"/>
      <c r="AE300" s="176">
        <f t="shared" si="121"/>
        <v>0</v>
      </c>
      <c r="AF300" s="176"/>
      <c r="AG300" s="176"/>
      <c r="AH300" s="176">
        <f t="shared" si="122"/>
        <v>140200</v>
      </c>
      <c r="AI300" s="181"/>
      <c r="AJ300" s="181"/>
      <c r="AK300" s="176">
        <f t="shared" si="123"/>
        <v>0</v>
      </c>
      <c r="AL300" s="181"/>
      <c r="AM300" s="181"/>
      <c r="AN300" s="176">
        <f t="shared" si="124"/>
        <v>0</v>
      </c>
      <c r="AO300" s="181"/>
      <c r="AP300" s="181"/>
    </row>
    <row r="301" ht="12.75" customHeight="1">
      <c r="A301" s="179"/>
      <c r="B301" s="459"/>
      <c r="C301" s="481"/>
      <c r="D301" s="180"/>
      <c r="E301" s="180"/>
      <c r="F301" s="180"/>
      <c r="G301" s="460"/>
      <c r="H301" s="181"/>
      <c r="I301" s="181"/>
      <c r="J301" s="181"/>
      <c r="K301" s="181"/>
      <c r="L301" s="181"/>
      <c r="M301" s="329">
        <f t="shared" si="117"/>
        <v>-134107.4</v>
      </c>
      <c r="N301" s="181"/>
      <c r="O301" s="181"/>
      <c r="P301" s="176">
        <f t="shared" si="118"/>
        <v>284235</v>
      </c>
      <c r="Q301" s="181"/>
      <c r="R301" s="181"/>
      <c r="S301" s="176">
        <f t="shared" si="119"/>
        <v>382490</v>
      </c>
      <c r="T301" s="181"/>
      <c r="U301" s="181"/>
      <c r="V301" s="176">
        <f t="shared" si="120"/>
        <v>112396</v>
      </c>
      <c r="W301" s="181"/>
      <c r="X301" s="181"/>
      <c r="Y301" s="176">
        <f t="shared" si="87"/>
        <v>0</v>
      </c>
      <c r="Z301" s="181"/>
      <c r="AA301" s="181"/>
      <c r="AB301" s="176">
        <f t="shared" si="29"/>
        <v>0</v>
      </c>
      <c r="AC301" s="181"/>
      <c r="AD301" s="181"/>
      <c r="AE301" s="176">
        <f t="shared" si="121"/>
        <v>0</v>
      </c>
      <c r="AF301" s="176"/>
      <c r="AG301" s="176"/>
      <c r="AH301" s="176">
        <f t="shared" si="122"/>
        <v>140200</v>
      </c>
      <c r="AI301" s="181"/>
      <c r="AJ301" s="181"/>
      <c r="AK301" s="176">
        <f t="shared" si="123"/>
        <v>0</v>
      </c>
      <c r="AL301" s="181"/>
      <c r="AM301" s="181"/>
      <c r="AN301" s="176">
        <f t="shared" si="124"/>
        <v>0</v>
      </c>
      <c r="AO301" s="181"/>
      <c r="AP301" s="181"/>
    </row>
    <row r="302" ht="12.75" customHeight="1">
      <c r="A302" s="179"/>
      <c r="B302" s="459"/>
      <c r="C302" s="481"/>
      <c r="D302" s="180"/>
      <c r="E302" s="180"/>
      <c r="F302" s="180"/>
      <c r="G302" s="460"/>
      <c r="H302" s="181"/>
      <c r="I302" s="181"/>
      <c r="J302" s="181"/>
      <c r="K302" s="181"/>
      <c r="L302" s="181"/>
      <c r="M302" s="329">
        <f t="shared" si="117"/>
        <v>-134107.4</v>
      </c>
      <c r="N302" s="181"/>
      <c r="O302" s="181"/>
      <c r="P302" s="176">
        <f t="shared" si="118"/>
        <v>284235</v>
      </c>
      <c r="Q302" s="181"/>
      <c r="R302" s="181"/>
      <c r="S302" s="176">
        <f t="shared" si="119"/>
        <v>382490</v>
      </c>
      <c r="T302" s="181"/>
      <c r="U302" s="181"/>
      <c r="V302" s="176">
        <f t="shared" si="120"/>
        <v>112396</v>
      </c>
      <c r="W302" s="181"/>
      <c r="X302" s="181"/>
      <c r="Y302" s="176">
        <f t="shared" si="87"/>
        <v>0</v>
      </c>
      <c r="Z302" s="181"/>
      <c r="AA302" s="181"/>
      <c r="AB302" s="176">
        <f t="shared" si="29"/>
        <v>0</v>
      </c>
      <c r="AC302" s="181"/>
      <c r="AD302" s="181"/>
      <c r="AE302" s="176">
        <f t="shared" si="121"/>
        <v>0</v>
      </c>
      <c r="AF302" s="176"/>
      <c r="AG302" s="176"/>
      <c r="AH302" s="176">
        <f t="shared" si="122"/>
        <v>140200</v>
      </c>
      <c r="AI302" s="181"/>
      <c r="AJ302" s="181"/>
      <c r="AK302" s="176">
        <f t="shared" si="123"/>
        <v>0</v>
      </c>
      <c r="AL302" s="181"/>
      <c r="AM302" s="181"/>
      <c r="AN302" s="176">
        <f t="shared" si="124"/>
        <v>0</v>
      </c>
      <c r="AO302" s="181"/>
      <c r="AP302" s="181"/>
    </row>
    <row r="303" ht="12.75" customHeight="1">
      <c r="A303" s="179"/>
      <c r="B303" s="459"/>
      <c r="C303" s="481"/>
      <c r="D303" s="180"/>
      <c r="E303" s="180"/>
      <c r="F303" s="180"/>
      <c r="G303" s="460"/>
      <c r="H303" s="181"/>
      <c r="I303" s="181"/>
      <c r="J303" s="181"/>
      <c r="K303" s="181"/>
      <c r="L303" s="181"/>
      <c r="M303" s="329">
        <f t="shared" si="117"/>
        <v>-134107.4</v>
      </c>
      <c r="N303" s="181"/>
      <c r="O303" s="181"/>
      <c r="P303" s="176">
        <f t="shared" si="118"/>
        <v>284235</v>
      </c>
      <c r="Q303" s="181"/>
      <c r="R303" s="181"/>
      <c r="S303" s="176">
        <f t="shared" si="119"/>
        <v>382490</v>
      </c>
      <c r="T303" s="181"/>
      <c r="U303" s="181"/>
      <c r="V303" s="176">
        <f t="shared" si="120"/>
        <v>112396</v>
      </c>
      <c r="W303" s="181"/>
      <c r="X303" s="181"/>
      <c r="Y303" s="176">
        <f t="shared" si="87"/>
        <v>0</v>
      </c>
      <c r="Z303" s="181"/>
      <c r="AA303" s="181"/>
      <c r="AB303" s="176">
        <f t="shared" si="29"/>
        <v>0</v>
      </c>
      <c r="AC303" s="181"/>
      <c r="AD303" s="181"/>
      <c r="AE303" s="176">
        <f t="shared" si="121"/>
        <v>0</v>
      </c>
      <c r="AF303" s="176"/>
      <c r="AG303" s="176"/>
      <c r="AH303" s="176">
        <f t="shared" si="122"/>
        <v>140200</v>
      </c>
      <c r="AI303" s="181"/>
      <c r="AJ303" s="181"/>
      <c r="AK303" s="176">
        <f t="shared" si="123"/>
        <v>0</v>
      </c>
      <c r="AL303" s="181"/>
      <c r="AM303" s="181"/>
      <c r="AN303" s="176">
        <f t="shared" si="124"/>
        <v>0</v>
      </c>
      <c r="AO303" s="181"/>
      <c r="AP303" s="181"/>
    </row>
    <row r="304" ht="12.75" customHeight="1">
      <c r="A304" s="179"/>
      <c r="B304" s="459"/>
      <c r="C304" s="481"/>
      <c r="D304" s="180"/>
      <c r="E304" s="180"/>
      <c r="F304" s="180"/>
      <c r="G304" s="460"/>
      <c r="H304" s="181"/>
      <c r="I304" s="181"/>
      <c r="J304" s="181"/>
      <c r="K304" s="181"/>
      <c r="L304" s="181"/>
      <c r="M304" s="329">
        <f t="shared" si="117"/>
        <v>-134107.4</v>
      </c>
      <c r="N304" s="181"/>
      <c r="O304" s="181"/>
      <c r="P304" s="176">
        <f t="shared" si="118"/>
        <v>284235</v>
      </c>
      <c r="Q304" s="181"/>
      <c r="R304" s="181"/>
      <c r="S304" s="176">
        <f t="shared" si="119"/>
        <v>382490</v>
      </c>
      <c r="T304" s="181"/>
      <c r="U304" s="181"/>
      <c r="V304" s="176">
        <f t="shared" si="120"/>
        <v>112396</v>
      </c>
      <c r="W304" s="181"/>
      <c r="X304" s="181"/>
      <c r="Y304" s="176">
        <f t="shared" si="87"/>
        <v>0</v>
      </c>
      <c r="Z304" s="181"/>
      <c r="AA304" s="181"/>
      <c r="AB304" s="176">
        <f t="shared" si="29"/>
        <v>0</v>
      </c>
      <c r="AC304" s="181"/>
      <c r="AD304" s="181"/>
      <c r="AE304" s="176">
        <f t="shared" si="121"/>
        <v>0</v>
      </c>
      <c r="AF304" s="176"/>
      <c r="AG304" s="176"/>
      <c r="AH304" s="176">
        <f t="shared" si="122"/>
        <v>140200</v>
      </c>
      <c r="AI304" s="181"/>
      <c r="AJ304" s="181"/>
      <c r="AK304" s="176">
        <f t="shared" si="123"/>
        <v>0</v>
      </c>
      <c r="AL304" s="181"/>
      <c r="AM304" s="181"/>
      <c r="AN304" s="176">
        <f t="shared" si="124"/>
        <v>0</v>
      </c>
      <c r="AO304" s="181"/>
      <c r="AP304" s="181"/>
    </row>
    <row r="305" ht="12.75" customHeight="1">
      <c r="A305" s="179"/>
      <c r="B305" s="459"/>
      <c r="C305" s="481"/>
      <c r="D305" s="180"/>
      <c r="E305" s="180"/>
      <c r="F305" s="180"/>
      <c r="G305" s="460"/>
      <c r="H305" s="181"/>
      <c r="I305" s="181"/>
      <c r="J305" s="181"/>
      <c r="K305" s="181"/>
      <c r="L305" s="181"/>
      <c r="M305" s="329">
        <f t="shared" si="117"/>
        <v>-134107.4</v>
      </c>
      <c r="N305" s="181"/>
      <c r="O305" s="181"/>
      <c r="P305" s="176">
        <f t="shared" si="118"/>
        <v>284235</v>
      </c>
      <c r="Q305" s="181"/>
      <c r="R305" s="181"/>
      <c r="S305" s="176">
        <f t="shared" si="119"/>
        <v>382490</v>
      </c>
      <c r="T305" s="181"/>
      <c r="U305" s="181"/>
      <c r="V305" s="176">
        <f t="shared" si="120"/>
        <v>112396</v>
      </c>
      <c r="W305" s="181"/>
      <c r="X305" s="181"/>
      <c r="Y305" s="176">
        <f t="shared" si="87"/>
        <v>0</v>
      </c>
      <c r="Z305" s="181"/>
      <c r="AA305" s="181"/>
      <c r="AB305" s="176">
        <f t="shared" si="29"/>
        <v>0</v>
      </c>
      <c r="AC305" s="181"/>
      <c r="AD305" s="181"/>
      <c r="AE305" s="176">
        <f t="shared" si="121"/>
        <v>0</v>
      </c>
      <c r="AF305" s="176"/>
      <c r="AG305" s="176"/>
      <c r="AH305" s="176">
        <f t="shared" si="122"/>
        <v>140200</v>
      </c>
      <c r="AI305" s="181"/>
      <c r="AJ305" s="181"/>
      <c r="AK305" s="176">
        <f t="shared" si="123"/>
        <v>0</v>
      </c>
      <c r="AL305" s="181"/>
      <c r="AM305" s="181"/>
      <c r="AN305" s="176">
        <f t="shared" si="124"/>
        <v>0</v>
      </c>
      <c r="AO305" s="181"/>
      <c r="AP305" s="181"/>
    </row>
    <row r="306" ht="12.75" customHeight="1">
      <c r="A306" s="179"/>
      <c r="B306" s="459"/>
      <c r="C306" s="481"/>
      <c r="D306" s="180"/>
      <c r="E306" s="180"/>
      <c r="F306" s="180"/>
      <c r="G306" s="460"/>
      <c r="H306" s="181"/>
      <c r="I306" s="181"/>
      <c r="J306" s="181"/>
      <c r="K306" s="181"/>
      <c r="L306" s="181"/>
      <c r="M306" s="329">
        <f t="shared" si="117"/>
        <v>-134107.4</v>
      </c>
      <c r="N306" s="181"/>
      <c r="O306" s="181"/>
      <c r="P306" s="176">
        <f t="shared" si="118"/>
        <v>284235</v>
      </c>
      <c r="Q306" s="181"/>
      <c r="R306" s="181"/>
      <c r="S306" s="176">
        <f t="shared" si="119"/>
        <v>382490</v>
      </c>
      <c r="T306" s="181"/>
      <c r="U306" s="181"/>
      <c r="V306" s="176">
        <f t="shared" si="120"/>
        <v>112396</v>
      </c>
      <c r="W306" s="181"/>
      <c r="X306" s="181"/>
      <c r="Y306" s="176">
        <f t="shared" si="87"/>
        <v>0</v>
      </c>
      <c r="Z306" s="181"/>
      <c r="AA306" s="181"/>
      <c r="AB306" s="176">
        <f t="shared" si="29"/>
        <v>0</v>
      </c>
      <c r="AC306" s="181"/>
      <c r="AD306" s="181"/>
      <c r="AE306" s="176">
        <f t="shared" si="121"/>
        <v>0</v>
      </c>
      <c r="AF306" s="176"/>
      <c r="AG306" s="176"/>
      <c r="AH306" s="176">
        <f t="shared" si="122"/>
        <v>140200</v>
      </c>
      <c r="AI306" s="181"/>
      <c r="AJ306" s="181"/>
      <c r="AK306" s="176">
        <f t="shared" si="123"/>
        <v>0</v>
      </c>
      <c r="AL306" s="181"/>
      <c r="AM306" s="181"/>
      <c r="AN306" s="176">
        <f t="shared" si="124"/>
        <v>0</v>
      </c>
      <c r="AO306" s="181"/>
      <c r="AP306" s="181"/>
    </row>
    <row r="307" ht="12.75" customHeight="1">
      <c r="A307" s="179"/>
      <c r="B307" s="459"/>
      <c r="C307" s="481"/>
      <c r="D307" s="180"/>
      <c r="E307" s="180"/>
      <c r="F307" s="180"/>
      <c r="G307" s="460"/>
      <c r="H307" s="181"/>
      <c r="I307" s="181"/>
      <c r="J307" s="181"/>
      <c r="K307" s="181"/>
      <c r="L307" s="181"/>
      <c r="M307" s="329">
        <f t="shared" si="117"/>
        <v>-134107.4</v>
      </c>
      <c r="N307" s="181"/>
      <c r="O307" s="181"/>
      <c r="P307" s="176">
        <f t="shared" si="118"/>
        <v>284235</v>
      </c>
      <c r="Q307" s="181"/>
      <c r="R307" s="181"/>
      <c r="S307" s="176">
        <f t="shared" si="119"/>
        <v>382490</v>
      </c>
      <c r="T307" s="181"/>
      <c r="U307" s="181"/>
      <c r="V307" s="176">
        <f t="shared" si="120"/>
        <v>112396</v>
      </c>
      <c r="W307" s="181"/>
      <c r="X307" s="181"/>
      <c r="Y307" s="176">
        <f t="shared" si="87"/>
        <v>0</v>
      </c>
      <c r="Z307" s="181"/>
      <c r="AA307" s="181"/>
      <c r="AB307" s="176">
        <f t="shared" si="29"/>
        <v>0</v>
      </c>
      <c r="AC307" s="181"/>
      <c r="AD307" s="181"/>
      <c r="AE307" s="176">
        <f t="shared" si="121"/>
        <v>0</v>
      </c>
      <c r="AF307" s="176"/>
      <c r="AG307" s="176"/>
      <c r="AH307" s="176">
        <f t="shared" si="122"/>
        <v>140200</v>
      </c>
      <c r="AI307" s="181"/>
      <c r="AJ307" s="181"/>
      <c r="AK307" s="176">
        <f t="shared" si="123"/>
        <v>0</v>
      </c>
      <c r="AL307" s="181"/>
      <c r="AM307" s="181"/>
      <c r="AN307" s="176">
        <f t="shared" si="124"/>
        <v>0</v>
      </c>
      <c r="AO307" s="181"/>
      <c r="AP307" s="181"/>
    </row>
    <row r="308" ht="12.75" customHeight="1">
      <c r="A308" s="179"/>
      <c r="B308" s="459"/>
      <c r="C308" s="481"/>
      <c r="D308" s="180"/>
      <c r="E308" s="180"/>
      <c r="F308" s="180"/>
      <c r="G308" s="460"/>
      <c r="H308" s="181"/>
      <c r="I308" s="181"/>
      <c r="J308" s="181"/>
      <c r="K308" s="181"/>
      <c r="L308" s="181"/>
      <c r="M308" s="329">
        <f t="shared" si="117"/>
        <v>-134107.4</v>
      </c>
      <c r="N308" s="181"/>
      <c r="O308" s="181"/>
      <c r="P308" s="176">
        <f t="shared" si="118"/>
        <v>284235</v>
      </c>
      <c r="Q308" s="181"/>
      <c r="R308" s="181"/>
      <c r="S308" s="176">
        <f t="shared" si="119"/>
        <v>382490</v>
      </c>
      <c r="T308" s="181"/>
      <c r="U308" s="181"/>
      <c r="V308" s="176">
        <f t="shared" si="120"/>
        <v>112396</v>
      </c>
      <c r="W308" s="181"/>
      <c r="X308" s="181"/>
      <c r="Y308" s="176">
        <f t="shared" si="87"/>
        <v>0</v>
      </c>
      <c r="Z308" s="181"/>
      <c r="AA308" s="181"/>
      <c r="AB308" s="176">
        <f t="shared" si="29"/>
        <v>0</v>
      </c>
      <c r="AC308" s="181"/>
      <c r="AD308" s="181"/>
      <c r="AE308" s="176">
        <f t="shared" si="121"/>
        <v>0</v>
      </c>
      <c r="AF308" s="176"/>
      <c r="AG308" s="176"/>
      <c r="AH308" s="176">
        <f t="shared" si="122"/>
        <v>140200</v>
      </c>
      <c r="AI308" s="181"/>
      <c r="AJ308" s="181"/>
      <c r="AK308" s="176">
        <f t="shared" si="123"/>
        <v>0</v>
      </c>
      <c r="AL308" s="181"/>
      <c r="AM308" s="181"/>
      <c r="AN308" s="176">
        <f t="shared" si="124"/>
        <v>0</v>
      </c>
      <c r="AO308" s="181"/>
      <c r="AP308" s="181"/>
    </row>
    <row r="309" ht="12.75" customHeight="1">
      <c r="A309" s="179"/>
      <c r="B309" s="459"/>
      <c r="C309" s="481"/>
      <c r="D309" s="180"/>
      <c r="E309" s="180"/>
      <c r="F309" s="180"/>
      <c r="G309" s="460"/>
      <c r="H309" s="181"/>
      <c r="I309" s="181"/>
      <c r="J309" s="181"/>
      <c r="K309" s="181"/>
      <c r="L309" s="181"/>
      <c r="M309" s="329"/>
      <c r="N309" s="181"/>
      <c r="O309" s="181"/>
      <c r="P309" s="176"/>
      <c r="Q309" s="181"/>
      <c r="R309" s="181"/>
      <c r="S309" s="176"/>
      <c r="T309" s="181"/>
      <c r="U309" s="181"/>
      <c r="V309" s="176"/>
      <c r="W309" s="181"/>
      <c r="X309" s="181"/>
      <c r="Y309" s="176"/>
      <c r="Z309" s="181"/>
      <c r="AA309" s="181"/>
      <c r="AB309" s="176"/>
      <c r="AC309" s="181"/>
      <c r="AD309" s="181"/>
      <c r="AE309" s="176"/>
      <c r="AF309" s="176"/>
      <c r="AG309" s="176"/>
      <c r="AH309" s="176"/>
      <c r="AI309" s="181"/>
      <c r="AJ309" s="181"/>
      <c r="AK309" s="176"/>
      <c r="AL309" s="181"/>
      <c r="AM309" s="181"/>
      <c r="AN309" s="176"/>
      <c r="AO309" s="181"/>
      <c r="AP309" s="181"/>
    </row>
    <row r="310" ht="12.75" customHeight="1">
      <c r="A310" s="179"/>
      <c r="B310" s="459"/>
      <c r="C310" s="481"/>
      <c r="D310" s="180"/>
      <c r="E310" s="180"/>
      <c r="F310" s="180"/>
      <c r="G310" s="460"/>
      <c r="H310" s="181"/>
      <c r="I310" s="181"/>
      <c r="J310" s="181"/>
      <c r="K310" s="181"/>
      <c r="L310" s="181"/>
      <c r="M310" s="329"/>
      <c r="N310" s="181"/>
      <c r="O310" s="181"/>
      <c r="P310" s="176"/>
      <c r="Q310" s="181"/>
      <c r="R310" s="181"/>
      <c r="S310" s="176"/>
      <c r="T310" s="181"/>
      <c r="U310" s="181"/>
      <c r="V310" s="176"/>
      <c r="W310" s="181"/>
      <c r="X310" s="181"/>
      <c r="Y310" s="176"/>
      <c r="Z310" s="181"/>
      <c r="AA310" s="181"/>
      <c r="AB310" s="176"/>
      <c r="AC310" s="181"/>
      <c r="AD310" s="181"/>
      <c r="AE310" s="176"/>
      <c r="AF310" s="176"/>
      <c r="AG310" s="176"/>
      <c r="AH310" s="176"/>
      <c r="AI310" s="181"/>
      <c r="AJ310" s="181"/>
      <c r="AK310" s="176"/>
      <c r="AL310" s="181"/>
      <c r="AM310" s="181"/>
      <c r="AN310" s="176"/>
      <c r="AO310" s="181"/>
      <c r="AP310" s="181"/>
    </row>
    <row r="311" ht="12.75" customHeight="1">
      <c r="A311" s="179"/>
      <c r="B311" s="459"/>
      <c r="C311" s="481"/>
      <c r="D311" s="180"/>
      <c r="E311" s="180"/>
      <c r="F311" s="180"/>
      <c r="G311" s="460"/>
      <c r="H311" s="181"/>
      <c r="I311" s="181"/>
      <c r="J311" s="181"/>
      <c r="K311" s="181"/>
      <c r="L311" s="181"/>
      <c r="M311" s="329"/>
      <c r="N311" s="181"/>
      <c r="O311" s="181"/>
      <c r="P311" s="176"/>
      <c r="Q311" s="181"/>
      <c r="R311" s="181"/>
      <c r="S311" s="176"/>
      <c r="T311" s="181"/>
      <c r="U311" s="181"/>
      <c r="V311" s="176"/>
      <c r="W311" s="181"/>
      <c r="X311" s="181"/>
      <c r="Y311" s="176"/>
      <c r="Z311" s="181"/>
      <c r="AA311" s="181"/>
      <c r="AB311" s="176"/>
      <c r="AC311" s="181"/>
      <c r="AD311" s="181"/>
      <c r="AE311" s="176"/>
      <c r="AF311" s="176"/>
      <c r="AG311" s="176"/>
      <c r="AH311" s="176"/>
      <c r="AI311" s="181"/>
      <c r="AJ311" s="181"/>
      <c r="AK311" s="176"/>
      <c r="AL311" s="181"/>
      <c r="AM311" s="181"/>
      <c r="AN311" s="176"/>
      <c r="AO311" s="181"/>
      <c r="AP311" s="181"/>
    </row>
    <row r="312" ht="12.75" customHeight="1">
      <c r="A312" s="179"/>
      <c r="B312" s="459"/>
      <c r="C312" s="481"/>
      <c r="D312" s="180"/>
      <c r="E312" s="180"/>
      <c r="F312" s="180"/>
      <c r="G312" s="460"/>
      <c r="H312" s="181"/>
      <c r="I312" s="181"/>
      <c r="J312" s="181"/>
      <c r="K312" s="181"/>
      <c r="L312" s="181"/>
      <c r="M312" s="329"/>
      <c r="N312" s="181"/>
      <c r="O312" s="181"/>
      <c r="P312" s="176"/>
      <c r="Q312" s="181"/>
      <c r="R312" s="181"/>
      <c r="S312" s="176"/>
      <c r="T312" s="181"/>
      <c r="U312" s="181"/>
      <c r="V312" s="176"/>
      <c r="W312" s="181"/>
      <c r="X312" s="181"/>
      <c r="Y312" s="176"/>
      <c r="Z312" s="181"/>
      <c r="AA312" s="181"/>
      <c r="AB312" s="176"/>
      <c r="AC312" s="181"/>
      <c r="AD312" s="181"/>
      <c r="AE312" s="176"/>
      <c r="AF312" s="176"/>
      <c r="AG312" s="176"/>
      <c r="AH312" s="176"/>
      <c r="AI312" s="181"/>
      <c r="AJ312" s="181"/>
      <c r="AK312" s="176"/>
      <c r="AL312" s="181"/>
      <c r="AM312" s="181"/>
      <c r="AN312" s="176"/>
      <c r="AO312" s="181"/>
      <c r="AP312" s="181"/>
    </row>
    <row r="313" ht="12.75" customHeight="1">
      <c r="A313" s="179"/>
      <c r="B313" s="459"/>
      <c r="C313" s="481"/>
      <c r="D313" s="180"/>
      <c r="E313" s="180"/>
      <c r="F313" s="180"/>
      <c r="G313" s="460"/>
      <c r="H313" s="181"/>
      <c r="I313" s="181"/>
      <c r="J313" s="181"/>
      <c r="K313" s="181"/>
      <c r="L313" s="181"/>
      <c r="M313" s="329"/>
      <c r="N313" s="181"/>
      <c r="O313" s="181"/>
      <c r="P313" s="176"/>
      <c r="Q313" s="181"/>
      <c r="R313" s="181"/>
      <c r="S313" s="176"/>
      <c r="T313" s="181"/>
      <c r="U313" s="181"/>
      <c r="V313" s="176"/>
      <c r="W313" s="181"/>
      <c r="X313" s="181"/>
      <c r="Y313" s="176"/>
      <c r="Z313" s="181"/>
      <c r="AA313" s="181"/>
      <c r="AB313" s="176"/>
      <c r="AC313" s="181"/>
      <c r="AD313" s="181"/>
      <c r="AE313" s="176"/>
      <c r="AF313" s="176"/>
      <c r="AG313" s="176"/>
      <c r="AH313" s="176"/>
      <c r="AI313" s="181"/>
      <c r="AJ313" s="181"/>
      <c r="AK313" s="176"/>
      <c r="AL313" s="181"/>
      <c r="AM313" s="181"/>
      <c r="AN313" s="176"/>
      <c r="AO313" s="181"/>
      <c r="AP313" s="181"/>
    </row>
    <row r="314" ht="12.75" customHeight="1">
      <c r="A314" s="179"/>
      <c r="B314" s="459"/>
      <c r="C314" s="481"/>
      <c r="D314" s="180"/>
      <c r="E314" s="180"/>
      <c r="F314" s="180"/>
      <c r="G314" s="460"/>
      <c r="H314" s="181"/>
      <c r="I314" s="181"/>
      <c r="J314" s="181"/>
      <c r="K314" s="181"/>
      <c r="L314" s="181"/>
      <c r="M314" s="329"/>
      <c r="N314" s="181"/>
      <c r="O314" s="181"/>
      <c r="P314" s="176"/>
      <c r="Q314" s="181"/>
      <c r="R314" s="181"/>
      <c r="S314" s="176"/>
      <c r="T314" s="181"/>
      <c r="U314" s="181"/>
      <c r="V314" s="176"/>
      <c r="W314" s="181"/>
      <c r="X314" s="181"/>
      <c r="Y314" s="176"/>
      <c r="Z314" s="181"/>
      <c r="AA314" s="181"/>
      <c r="AB314" s="176"/>
      <c r="AC314" s="181"/>
      <c r="AD314" s="181"/>
      <c r="AE314" s="176"/>
      <c r="AF314" s="176"/>
      <c r="AG314" s="176"/>
      <c r="AH314" s="176"/>
      <c r="AI314" s="181"/>
      <c r="AJ314" s="181"/>
      <c r="AK314" s="176"/>
      <c r="AL314" s="181"/>
      <c r="AM314" s="181"/>
      <c r="AN314" s="176"/>
      <c r="AO314" s="181"/>
      <c r="AP314" s="181"/>
    </row>
    <row r="315" ht="12.75" customHeight="1">
      <c r="A315" s="179"/>
      <c r="B315" s="459"/>
      <c r="C315" s="481"/>
      <c r="D315" s="180"/>
      <c r="E315" s="180"/>
      <c r="F315" s="180"/>
      <c r="G315" s="460"/>
      <c r="H315" s="181"/>
      <c r="I315" s="181"/>
      <c r="J315" s="181"/>
      <c r="K315" s="181"/>
      <c r="L315" s="181"/>
      <c r="M315" s="329"/>
      <c r="N315" s="181"/>
      <c r="O315" s="181"/>
      <c r="P315" s="176"/>
      <c r="Q315" s="181"/>
      <c r="R315" s="181"/>
      <c r="S315" s="176"/>
      <c r="T315" s="181"/>
      <c r="U315" s="181"/>
      <c r="V315" s="176"/>
      <c r="W315" s="181"/>
      <c r="X315" s="181"/>
      <c r="Y315" s="176"/>
      <c r="Z315" s="181"/>
      <c r="AA315" s="181"/>
      <c r="AB315" s="176"/>
      <c r="AC315" s="181"/>
      <c r="AD315" s="181"/>
      <c r="AE315" s="176"/>
      <c r="AF315" s="176"/>
      <c r="AG315" s="176"/>
      <c r="AH315" s="176"/>
      <c r="AI315" s="181"/>
      <c r="AJ315" s="181"/>
      <c r="AK315" s="176"/>
      <c r="AL315" s="181"/>
      <c r="AM315" s="181"/>
      <c r="AN315" s="176"/>
      <c r="AO315" s="181"/>
      <c r="AP315" s="181"/>
    </row>
    <row r="316" ht="12.75" customHeight="1">
      <c r="A316" s="179"/>
      <c r="B316" s="459"/>
      <c r="C316" s="481"/>
      <c r="D316" s="180"/>
      <c r="E316" s="180"/>
      <c r="F316" s="180"/>
      <c r="G316" s="460"/>
      <c r="H316" s="181"/>
      <c r="I316" s="181"/>
      <c r="J316" s="181"/>
      <c r="K316" s="181"/>
      <c r="L316" s="181"/>
      <c r="M316" s="329"/>
      <c r="N316" s="181"/>
      <c r="O316" s="181"/>
      <c r="P316" s="176"/>
      <c r="Q316" s="181"/>
      <c r="R316" s="181"/>
      <c r="S316" s="176"/>
      <c r="T316" s="181"/>
      <c r="U316" s="181"/>
      <c r="V316" s="176"/>
      <c r="W316" s="181"/>
      <c r="X316" s="181"/>
      <c r="Y316" s="176"/>
      <c r="Z316" s="181"/>
      <c r="AA316" s="181"/>
      <c r="AB316" s="176"/>
      <c r="AC316" s="181"/>
      <c r="AD316" s="181"/>
      <c r="AE316" s="176"/>
      <c r="AF316" s="176"/>
      <c r="AG316" s="176"/>
      <c r="AH316" s="176"/>
      <c r="AI316" s="181"/>
      <c r="AJ316" s="181"/>
      <c r="AK316" s="176"/>
      <c r="AL316" s="181"/>
      <c r="AM316" s="181"/>
      <c r="AN316" s="176"/>
      <c r="AO316" s="181"/>
      <c r="AP316" s="181"/>
    </row>
    <row r="317" ht="12.75" customHeight="1">
      <c r="A317" s="179"/>
      <c r="B317" s="459"/>
      <c r="C317" s="481"/>
      <c r="D317" s="180"/>
      <c r="E317" s="180"/>
      <c r="F317" s="180"/>
      <c r="G317" s="460"/>
      <c r="H317" s="181"/>
      <c r="I317" s="181"/>
      <c r="J317" s="181"/>
      <c r="K317" s="181"/>
      <c r="L317" s="181"/>
      <c r="M317" s="329"/>
      <c r="N317" s="181"/>
      <c r="O317" s="181"/>
      <c r="P317" s="176"/>
      <c r="Q317" s="181"/>
      <c r="R317" s="181"/>
      <c r="S317" s="176"/>
      <c r="T317" s="181"/>
      <c r="U317" s="181"/>
      <c r="V317" s="176"/>
      <c r="W317" s="181"/>
      <c r="X317" s="181"/>
      <c r="Y317" s="176"/>
      <c r="Z317" s="181"/>
      <c r="AA317" s="181"/>
      <c r="AB317" s="176"/>
      <c r="AC317" s="181"/>
      <c r="AD317" s="181"/>
      <c r="AE317" s="176"/>
      <c r="AF317" s="176"/>
      <c r="AG317" s="176"/>
      <c r="AH317" s="176"/>
      <c r="AI317" s="181"/>
      <c r="AJ317" s="181"/>
      <c r="AK317" s="176"/>
      <c r="AL317" s="181"/>
      <c r="AM317" s="181"/>
      <c r="AN317" s="176"/>
      <c r="AO317" s="181"/>
      <c r="AP317" s="181"/>
    </row>
    <row r="318" ht="12.75" customHeight="1">
      <c r="A318" s="179"/>
      <c r="B318" s="459"/>
      <c r="C318" s="481"/>
      <c r="D318" s="180"/>
      <c r="E318" s="180"/>
      <c r="F318" s="180"/>
      <c r="G318" s="460"/>
      <c r="H318" s="181"/>
      <c r="I318" s="181"/>
      <c r="J318" s="181"/>
      <c r="K318" s="181"/>
      <c r="L318" s="181"/>
      <c r="M318" s="329"/>
      <c r="N318" s="181"/>
      <c r="O318" s="181"/>
      <c r="P318" s="176"/>
      <c r="Q318" s="181"/>
      <c r="R318" s="181"/>
      <c r="S318" s="176"/>
      <c r="T318" s="181"/>
      <c r="U318" s="181"/>
      <c r="V318" s="176"/>
      <c r="W318" s="181"/>
      <c r="X318" s="181"/>
      <c r="Y318" s="176"/>
      <c r="Z318" s="181"/>
      <c r="AA318" s="181"/>
      <c r="AB318" s="176"/>
      <c r="AC318" s="181"/>
      <c r="AD318" s="181"/>
      <c r="AE318" s="176"/>
      <c r="AF318" s="176"/>
      <c r="AG318" s="176"/>
      <c r="AH318" s="176"/>
      <c r="AI318" s="181"/>
      <c r="AJ318" s="181"/>
      <c r="AK318" s="176"/>
      <c r="AL318" s="181"/>
      <c r="AM318" s="181"/>
      <c r="AN318" s="176"/>
      <c r="AO318" s="181"/>
      <c r="AP318" s="181"/>
    </row>
    <row r="319" ht="12.75" customHeight="1">
      <c r="A319" s="179"/>
      <c r="B319" s="459"/>
      <c r="C319" s="481"/>
      <c r="D319" s="180"/>
      <c r="E319" s="180"/>
      <c r="F319" s="180"/>
      <c r="G319" s="460"/>
      <c r="H319" s="181"/>
      <c r="I319" s="181"/>
      <c r="J319" s="181"/>
      <c r="K319" s="181"/>
      <c r="L319" s="181"/>
      <c r="M319" s="329"/>
      <c r="N319" s="181"/>
      <c r="O319" s="181"/>
      <c r="P319" s="176"/>
      <c r="Q319" s="181"/>
      <c r="R319" s="181"/>
      <c r="S319" s="176"/>
      <c r="T319" s="181"/>
      <c r="U319" s="181"/>
      <c r="V319" s="176"/>
      <c r="W319" s="181"/>
      <c r="X319" s="181"/>
      <c r="Y319" s="176"/>
      <c r="Z319" s="181"/>
      <c r="AA319" s="181"/>
      <c r="AB319" s="176"/>
      <c r="AC319" s="181"/>
      <c r="AD319" s="181"/>
      <c r="AE319" s="176"/>
      <c r="AF319" s="176"/>
      <c r="AG319" s="176"/>
      <c r="AH319" s="176"/>
      <c r="AI319" s="181"/>
      <c r="AJ319" s="181"/>
      <c r="AK319" s="176"/>
      <c r="AL319" s="181"/>
      <c r="AM319" s="181"/>
      <c r="AN319" s="176"/>
      <c r="AO319" s="181"/>
      <c r="AP319" s="181"/>
    </row>
    <row r="320" ht="12.75" customHeight="1">
      <c r="A320" s="179"/>
      <c r="B320" s="459"/>
      <c r="C320" s="481"/>
      <c r="D320" s="180"/>
      <c r="E320" s="180"/>
      <c r="F320" s="180"/>
      <c r="G320" s="460"/>
      <c r="H320" s="181"/>
      <c r="I320" s="181"/>
      <c r="J320" s="181"/>
      <c r="K320" s="181"/>
      <c r="L320" s="181"/>
      <c r="M320" s="329"/>
      <c r="N320" s="181"/>
      <c r="O320" s="181"/>
      <c r="P320" s="176"/>
      <c r="Q320" s="181"/>
      <c r="R320" s="181"/>
      <c r="S320" s="176"/>
      <c r="T320" s="181"/>
      <c r="U320" s="181"/>
      <c r="V320" s="176"/>
      <c r="W320" s="181"/>
      <c r="X320" s="181"/>
      <c r="Y320" s="176"/>
      <c r="Z320" s="181"/>
      <c r="AA320" s="181"/>
      <c r="AB320" s="176"/>
      <c r="AC320" s="181"/>
      <c r="AD320" s="181"/>
      <c r="AE320" s="176"/>
      <c r="AF320" s="176"/>
      <c r="AG320" s="176"/>
      <c r="AH320" s="176"/>
      <c r="AI320" s="181"/>
      <c r="AJ320" s="181"/>
      <c r="AK320" s="176"/>
      <c r="AL320" s="181"/>
      <c r="AM320" s="181"/>
      <c r="AN320" s="176"/>
      <c r="AO320" s="181"/>
      <c r="AP320" s="181"/>
    </row>
    <row r="321" ht="12.75" customHeight="1">
      <c r="A321" s="179"/>
      <c r="B321" s="459"/>
      <c r="C321" s="481"/>
      <c r="D321" s="180"/>
      <c r="E321" s="180"/>
      <c r="F321" s="180"/>
      <c r="G321" s="460"/>
      <c r="H321" s="181"/>
      <c r="I321" s="181"/>
      <c r="J321" s="181"/>
      <c r="K321" s="181"/>
      <c r="L321" s="181"/>
      <c r="M321" s="329"/>
      <c r="N321" s="181"/>
      <c r="O321" s="181"/>
      <c r="P321" s="176"/>
      <c r="Q321" s="181"/>
      <c r="R321" s="181"/>
      <c r="S321" s="176"/>
      <c r="T321" s="181"/>
      <c r="U321" s="181"/>
      <c r="V321" s="176"/>
      <c r="W321" s="181"/>
      <c r="X321" s="181"/>
      <c r="Y321" s="176"/>
      <c r="Z321" s="181"/>
      <c r="AA321" s="181"/>
      <c r="AB321" s="176"/>
      <c r="AC321" s="181"/>
      <c r="AD321" s="181"/>
      <c r="AE321" s="176"/>
      <c r="AF321" s="176"/>
      <c r="AG321" s="176"/>
      <c r="AH321" s="176"/>
      <c r="AI321" s="181"/>
      <c r="AJ321" s="181"/>
      <c r="AK321" s="176"/>
      <c r="AL321" s="181"/>
      <c r="AM321" s="181"/>
      <c r="AN321" s="176"/>
      <c r="AO321" s="181"/>
      <c r="AP321" s="181"/>
    </row>
    <row r="322" ht="12.75" customHeight="1">
      <c r="A322" s="179"/>
      <c r="B322" s="459"/>
      <c r="C322" s="481"/>
      <c r="D322" s="180"/>
      <c r="E322" s="180"/>
      <c r="F322" s="180"/>
      <c r="G322" s="460"/>
      <c r="H322" s="181"/>
      <c r="I322" s="181"/>
      <c r="J322" s="181"/>
      <c r="K322" s="181"/>
      <c r="L322" s="181"/>
      <c r="M322" s="329"/>
      <c r="N322" s="181"/>
      <c r="O322" s="181"/>
      <c r="P322" s="176"/>
      <c r="Q322" s="181"/>
      <c r="R322" s="181"/>
      <c r="S322" s="176"/>
      <c r="T322" s="181"/>
      <c r="U322" s="181"/>
      <c r="V322" s="176"/>
      <c r="W322" s="181"/>
      <c r="X322" s="181"/>
      <c r="Y322" s="176"/>
      <c r="Z322" s="181"/>
      <c r="AA322" s="181"/>
      <c r="AB322" s="176"/>
      <c r="AC322" s="181"/>
      <c r="AD322" s="181"/>
      <c r="AE322" s="176"/>
      <c r="AF322" s="176"/>
      <c r="AG322" s="176"/>
      <c r="AH322" s="176"/>
      <c r="AI322" s="181"/>
      <c r="AJ322" s="181"/>
      <c r="AK322" s="176"/>
      <c r="AL322" s="181"/>
      <c r="AM322" s="181"/>
      <c r="AN322" s="176"/>
      <c r="AO322" s="181"/>
      <c r="AP322" s="181"/>
    </row>
    <row r="323" ht="12.75" customHeight="1">
      <c r="A323" s="179"/>
      <c r="B323" s="459"/>
      <c r="C323" s="481"/>
      <c r="D323" s="180"/>
      <c r="E323" s="180"/>
      <c r="F323" s="180"/>
      <c r="G323" s="460"/>
      <c r="H323" s="181"/>
      <c r="I323" s="181"/>
      <c r="J323" s="181"/>
      <c r="K323" s="181"/>
      <c r="L323" s="181"/>
      <c r="M323" s="329"/>
      <c r="N323" s="181"/>
      <c r="O323" s="181"/>
      <c r="P323" s="176"/>
      <c r="Q323" s="181"/>
      <c r="R323" s="181"/>
      <c r="S323" s="176"/>
      <c r="T323" s="181"/>
      <c r="U323" s="181"/>
      <c r="V323" s="176"/>
      <c r="W323" s="181"/>
      <c r="X323" s="181"/>
      <c r="Y323" s="176"/>
      <c r="Z323" s="181"/>
      <c r="AA323" s="181"/>
      <c r="AB323" s="176"/>
      <c r="AC323" s="181"/>
      <c r="AD323" s="181"/>
      <c r="AE323" s="176"/>
      <c r="AF323" s="176"/>
      <c r="AG323" s="176"/>
      <c r="AH323" s="176"/>
      <c r="AI323" s="181"/>
      <c r="AJ323" s="181"/>
      <c r="AK323" s="176"/>
      <c r="AL323" s="181"/>
      <c r="AM323" s="181"/>
      <c r="AN323" s="176"/>
      <c r="AO323" s="181"/>
      <c r="AP323" s="181"/>
    </row>
    <row r="324" ht="12.75" customHeight="1">
      <c r="A324" s="179"/>
      <c r="B324" s="459"/>
      <c r="C324" s="481"/>
      <c r="D324" s="180"/>
      <c r="E324" s="180"/>
      <c r="F324" s="180"/>
      <c r="G324" s="460"/>
      <c r="H324" s="181"/>
      <c r="I324" s="181"/>
      <c r="J324" s="181"/>
      <c r="K324" s="181"/>
      <c r="L324" s="181"/>
      <c r="M324" s="329"/>
      <c r="N324" s="181"/>
      <c r="O324" s="181"/>
      <c r="P324" s="176"/>
      <c r="Q324" s="181"/>
      <c r="R324" s="181"/>
      <c r="S324" s="176"/>
      <c r="T324" s="181"/>
      <c r="U324" s="181"/>
      <c r="V324" s="176"/>
      <c r="W324" s="181"/>
      <c r="X324" s="181"/>
      <c r="Y324" s="176"/>
      <c r="Z324" s="181"/>
      <c r="AA324" s="181"/>
      <c r="AB324" s="176"/>
      <c r="AC324" s="181"/>
      <c r="AD324" s="181"/>
      <c r="AE324" s="176"/>
      <c r="AF324" s="176"/>
      <c r="AG324" s="176"/>
      <c r="AH324" s="176"/>
      <c r="AI324" s="181"/>
      <c r="AJ324" s="181"/>
      <c r="AK324" s="176"/>
      <c r="AL324" s="181"/>
      <c r="AM324" s="181"/>
      <c r="AN324" s="176"/>
      <c r="AO324" s="181"/>
      <c r="AP324" s="181"/>
    </row>
    <row r="325" ht="12.75" customHeight="1">
      <c r="A325" s="179"/>
      <c r="B325" s="459"/>
      <c r="C325" s="481"/>
      <c r="D325" s="180"/>
      <c r="E325" s="180"/>
      <c r="F325" s="180"/>
      <c r="G325" s="460"/>
      <c r="H325" s="181"/>
      <c r="I325" s="181"/>
      <c r="J325" s="181"/>
      <c r="K325" s="181"/>
      <c r="L325" s="181"/>
      <c r="M325" s="329"/>
      <c r="N325" s="181"/>
      <c r="O325" s="181"/>
      <c r="P325" s="176"/>
      <c r="Q325" s="181"/>
      <c r="R325" s="181"/>
      <c r="S325" s="176"/>
      <c r="T325" s="181"/>
      <c r="U325" s="181"/>
      <c r="V325" s="176"/>
      <c r="W325" s="181"/>
      <c r="X325" s="181"/>
      <c r="Y325" s="176"/>
      <c r="Z325" s="181"/>
      <c r="AA325" s="181"/>
      <c r="AB325" s="176"/>
      <c r="AC325" s="181"/>
      <c r="AD325" s="181"/>
      <c r="AE325" s="176"/>
      <c r="AF325" s="176"/>
      <c r="AG325" s="176"/>
      <c r="AH325" s="176"/>
      <c r="AI325" s="181"/>
      <c r="AJ325" s="181"/>
      <c r="AK325" s="176"/>
      <c r="AL325" s="181"/>
      <c r="AM325" s="181"/>
      <c r="AN325" s="176"/>
      <c r="AO325" s="181"/>
      <c r="AP325" s="181"/>
    </row>
    <row r="326" ht="12.75" customHeight="1">
      <c r="A326" s="179"/>
      <c r="B326" s="459"/>
      <c r="C326" s="481"/>
      <c r="D326" s="180"/>
      <c r="E326" s="180"/>
      <c r="F326" s="180"/>
      <c r="G326" s="460"/>
      <c r="H326" s="181"/>
      <c r="I326" s="181"/>
      <c r="J326" s="181"/>
      <c r="K326" s="181"/>
      <c r="L326" s="181"/>
      <c r="M326" s="329"/>
      <c r="N326" s="181"/>
      <c r="O326" s="181"/>
      <c r="P326" s="176"/>
      <c r="Q326" s="181"/>
      <c r="R326" s="181"/>
      <c r="S326" s="176"/>
      <c r="T326" s="181"/>
      <c r="U326" s="181"/>
      <c r="V326" s="176"/>
      <c r="W326" s="181"/>
      <c r="X326" s="181"/>
      <c r="Y326" s="176"/>
      <c r="Z326" s="181"/>
      <c r="AA326" s="181"/>
      <c r="AB326" s="176"/>
      <c r="AC326" s="181"/>
      <c r="AD326" s="181"/>
      <c r="AE326" s="176"/>
      <c r="AF326" s="176"/>
      <c r="AG326" s="176"/>
      <c r="AH326" s="176"/>
      <c r="AI326" s="181"/>
      <c r="AJ326" s="181"/>
      <c r="AK326" s="176"/>
      <c r="AL326" s="181"/>
      <c r="AM326" s="181"/>
      <c r="AN326" s="176"/>
      <c r="AO326" s="181"/>
      <c r="AP326" s="181"/>
    </row>
    <row r="327" ht="12.75" customHeight="1">
      <c r="A327" s="179"/>
      <c r="B327" s="459"/>
      <c r="C327" s="481"/>
      <c r="D327" s="180"/>
      <c r="E327" s="180"/>
      <c r="F327" s="180"/>
      <c r="G327" s="460"/>
      <c r="H327" s="181"/>
      <c r="I327" s="181"/>
      <c r="J327" s="181"/>
      <c r="K327" s="181"/>
      <c r="L327" s="181"/>
      <c r="M327" s="329"/>
      <c r="N327" s="181"/>
      <c r="O327" s="181"/>
      <c r="P327" s="176"/>
      <c r="Q327" s="181"/>
      <c r="R327" s="181"/>
      <c r="S327" s="176"/>
      <c r="T327" s="181"/>
      <c r="U327" s="181"/>
      <c r="V327" s="176"/>
      <c r="W327" s="181"/>
      <c r="X327" s="181"/>
      <c r="Y327" s="176"/>
      <c r="Z327" s="181"/>
      <c r="AA327" s="181"/>
      <c r="AB327" s="176"/>
      <c r="AC327" s="181"/>
      <c r="AD327" s="181"/>
      <c r="AE327" s="176"/>
      <c r="AF327" s="176"/>
      <c r="AG327" s="176"/>
      <c r="AH327" s="176"/>
      <c r="AI327" s="181"/>
      <c r="AJ327" s="181"/>
      <c r="AK327" s="176"/>
      <c r="AL327" s="181"/>
      <c r="AM327" s="181"/>
      <c r="AN327" s="176"/>
      <c r="AO327" s="181"/>
      <c r="AP327" s="181"/>
    </row>
    <row r="328" ht="12.75" customHeight="1">
      <c r="A328" s="179"/>
      <c r="B328" s="459"/>
      <c r="C328" s="481"/>
      <c r="D328" s="180"/>
      <c r="E328" s="180"/>
      <c r="F328" s="180"/>
      <c r="G328" s="460"/>
      <c r="H328" s="181"/>
      <c r="I328" s="181"/>
      <c r="J328" s="181"/>
      <c r="K328" s="181"/>
      <c r="L328" s="181"/>
      <c r="M328" s="329"/>
      <c r="N328" s="181"/>
      <c r="O328" s="181"/>
      <c r="P328" s="176"/>
      <c r="Q328" s="181"/>
      <c r="R328" s="181"/>
      <c r="S328" s="176"/>
      <c r="T328" s="181"/>
      <c r="U328" s="181"/>
      <c r="V328" s="176"/>
      <c r="W328" s="181"/>
      <c r="X328" s="181"/>
      <c r="Y328" s="176"/>
      <c r="Z328" s="181"/>
      <c r="AA328" s="181"/>
      <c r="AB328" s="176"/>
      <c r="AC328" s="181"/>
      <c r="AD328" s="181"/>
      <c r="AE328" s="176"/>
      <c r="AF328" s="176"/>
      <c r="AG328" s="176"/>
      <c r="AH328" s="176"/>
      <c r="AI328" s="181"/>
      <c r="AJ328" s="181"/>
      <c r="AK328" s="176"/>
      <c r="AL328" s="181"/>
      <c r="AM328" s="181"/>
      <c r="AN328" s="176"/>
      <c r="AO328" s="181"/>
      <c r="AP328" s="181"/>
    </row>
    <row r="329" ht="12.75" customHeight="1">
      <c r="A329" s="179"/>
      <c r="B329" s="459"/>
      <c r="C329" s="481"/>
      <c r="D329" s="180"/>
      <c r="E329" s="180"/>
      <c r="F329" s="180"/>
      <c r="G329" s="460"/>
      <c r="H329" s="181"/>
      <c r="I329" s="181"/>
      <c r="J329" s="181"/>
      <c r="K329" s="181"/>
      <c r="L329" s="181"/>
      <c r="M329" s="329"/>
      <c r="N329" s="181"/>
      <c r="O329" s="181"/>
      <c r="P329" s="176"/>
      <c r="Q329" s="181"/>
      <c r="R329" s="181"/>
      <c r="S329" s="176"/>
      <c r="T329" s="181"/>
      <c r="U329" s="181"/>
      <c r="V329" s="176"/>
      <c r="W329" s="181"/>
      <c r="X329" s="181"/>
      <c r="Y329" s="176"/>
      <c r="Z329" s="181"/>
      <c r="AA329" s="181"/>
      <c r="AB329" s="176"/>
      <c r="AC329" s="181"/>
      <c r="AD329" s="181"/>
      <c r="AE329" s="176"/>
      <c r="AF329" s="176"/>
      <c r="AG329" s="176"/>
      <c r="AH329" s="176"/>
      <c r="AI329" s="181"/>
      <c r="AJ329" s="181"/>
      <c r="AK329" s="176"/>
      <c r="AL329" s="181"/>
      <c r="AM329" s="181"/>
      <c r="AN329" s="176"/>
      <c r="AO329" s="181"/>
      <c r="AP329" s="181"/>
    </row>
    <row r="330" ht="12.75" customHeight="1">
      <c r="A330" s="179"/>
      <c r="B330" s="459"/>
      <c r="C330" s="481"/>
      <c r="D330" s="180"/>
      <c r="E330" s="180"/>
      <c r="F330" s="180"/>
      <c r="G330" s="460"/>
      <c r="H330" s="181"/>
      <c r="I330" s="181"/>
      <c r="J330" s="181"/>
      <c r="K330" s="181"/>
      <c r="L330" s="181"/>
      <c r="M330" s="329"/>
      <c r="N330" s="181"/>
      <c r="O330" s="181"/>
      <c r="P330" s="176"/>
      <c r="Q330" s="181"/>
      <c r="R330" s="181"/>
      <c r="S330" s="176"/>
      <c r="T330" s="181"/>
      <c r="U330" s="181"/>
      <c r="V330" s="176"/>
      <c r="W330" s="181"/>
      <c r="X330" s="181"/>
      <c r="Y330" s="176"/>
      <c r="Z330" s="181"/>
      <c r="AA330" s="181"/>
      <c r="AB330" s="176"/>
      <c r="AC330" s="181"/>
      <c r="AD330" s="181"/>
      <c r="AE330" s="176"/>
      <c r="AF330" s="176"/>
      <c r="AG330" s="176"/>
      <c r="AH330" s="176"/>
      <c r="AI330" s="181"/>
      <c r="AJ330" s="181"/>
      <c r="AK330" s="176"/>
      <c r="AL330" s="181"/>
      <c r="AM330" s="181"/>
      <c r="AN330" s="176"/>
      <c r="AO330" s="181"/>
      <c r="AP330" s="181"/>
    </row>
    <row r="331" ht="12.75" customHeight="1">
      <c r="A331" s="179"/>
      <c r="B331" s="459"/>
      <c r="C331" s="481"/>
      <c r="D331" s="180"/>
      <c r="E331" s="180"/>
      <c r="F331" s="180"/>
      <c r="G331" s="460"/>
      <c r="H331" s="181"/>
      <c r="I331" s="181"/>
      <c r="J331" s="181"/>
      <c r="K331" s="181"/>
      <c r="L331" s="181"/>
      <c r="M331" s="329"/>
      <c r="N331" s="181"/>
      <c r="O331" s="181"/>
      <c r="P331" s="176"/>
      <c r="Q331" s="181"/>
      <c r="R331" s="181"/>
      <c r="S331" s="176"/>
      <c r="T331" s="181"/>
      <c r="U331" s="181"/>
      <c r="V331" s="176"/>
      <c r="W331" s="181"/>
      <c r="X331" s="181"/>
      <c r="Y331" s="176"/>
      <c r="Z331" s="181"/>
      <c r="AA331" s="181"/>
      <c r="AB331" s="176"/>
      <c r="AC331" s="181"/>
      <c r="AD331" s="181"/>
      <c r="AE331" s="176"/>
      <c r="AF331" s="176"/>
      <c r="AG331" s="176"/>
      <c r="AH331" s="176"/>
      <c r="AI331" s="181"/>
      <c r="AJ331" s="181"/>
      <c r="AK331" s="176"/>
      <c r="AL331" s="181"/>
      <c r="AM331" s="181"/>
      <c r="AN331" s="176"/>
      <c r="AO331" s="181"/>
      <c r="AP331" s="181"/>
    </row>
    <row r="332" ht="12.75" customHeight="1">
      <c r="A332" s="179"/>
      <c r="B332" s="459"/>
      <c r="C332" s="481"/>
      <c r="D332" s="180"/>
      <c r="E332" s="180"/>
      <c r="F332" s="180"/>
      <c r="G332" s="460"/>
      <c r="H332" s="181"/>
      <c r="I332" s="181"/>
      <c r="J332" s="181"/>
      <c r="K332" s="181"/>
      <c r="L332" s="181"/>
      <c r="M332" s="329"/>
      <c r="N332" s="181"/>
      <c r="O332" s="181"/>
      <c r="P332" s="176"/>
      <c r="Q332" s="181"/>
      <c r="R332" s="181"/>
      <c r="S332" s="176"/>
      <c r="T332" s="181"/>
      <c r="U332" s="181"/>
      <c r="V332" s="176"/>
      <c r="W332" s="181"/>
      <c r="X332" s="181"/>
      <c r="Y332" s="176"/>
      <c r="Z332" s="181"/>
      <c r="AA332" s="181"/>
      <c r="AB332" s="176"/>
      <c r="AC332" s="181"/>
      <c r="AD332" s="181"/>
      <c r="AE332" s="176"/>
      <c r="AF332" s="176"/>
      <c r="AG332" s="176"/>
      <c r="AH332" s="176"/>
      <c r="AI332" s="181"/>
      <c r="AJ332" s="181"/>
      <c r="AK332" s="176"/>
      <c r="AL332" s="181"/>
      <c r="AM332" s="181"/>
      <c r="AN332" s="176"/>
      <c r="AO332" s="181"/>
      <c r="AP332" s="181"/>
    </row>
    <row r="333" ht="12.75" customHeight="1">
      <c r="A333" s="179"/>
      <c r="B333" s="459"/>
      <c r="C333" s="481"/>
      <c r="D333" s="180"/>
      <c r="E333" s="180"/>
      <c r="F333" s="180"/>
      <c r="G333" s="460"/>
      <c r="H333" s="181"/>
      <c r="I333" s="181"/>
      <c r="J333" s="181"/>
      <c r="K333" s="181"/>
      <c r="L333" s="181"/>
      <c r="M333" s="329"/>
      <c r="N333" s="181"/>
      <c r="O333" s="181"/>
      <c r="P333" s="176"/>
      <c r="Q333" s="181"/>
      <c r="R333" s="181"/>
      <c r="S333" s="176"/>
      <c r="T333" s="181"/>
      <c r="U333" s="181"/>
      <c r="V333" s="176"/>
      <c r="W333" s="181"/>
      <c r="X333" s="181"/>
      <c r="Y333" s="176"/>
      <c r="Z333" s="181"/>
      <c r="AA333" s="181"/>
      <c r="AB333" s="176"/>
      <c r="AC333" s="181"/>
      <c r="AD333" s="181"/>
      <c r="AE333" s="176"/>
      <c r="AF333" s="176"/>
      <c r="AG333" s="176"/>
      <c r="AH333" s="176"/>
      <c r="AI333" s="181"/>
      <c r="AJ333" s="181"/>
      <c r="AK333" s="176"/>
      <c r="AL333" s="181"/>
      <c r="AM333" s="181"/>
      <c r="AN333" s="176"/>
      <c r="AO333" s="181"/>
      <c r="AP333" s="181"/>
    </row>
    <row r="334" ht="12.75" customHeight="1">
      <c r="A334" s="179"/>
      <c r="B334" s="459"/>
      <c r="C334" s="481"/>
      <c r="D334" s="180"/>
      <c r="E334" s="180"/>
      <c r="F334" s="180"/>
      <c r="G334" s="460"/>
      <c r="H334" s="181"/>
      <c r="I334" s="181"/>
      <c r="J334" s="181"/>
      <c r="K334" s="181"/>
      <c r="L334" s="181"/>
      <c r="M334" s="329"/>
      <c r="N334" s="181"/>
      <c r="O334" s="181"/>
      <c r="P334" s="176"/>
      <c r="Q334" s="181"/>
      <c r="R334" s="181"/>
      <c r="S334" s="176"/>
      <c r="T334" s="181"/>
      <c r="U334" s="181"/>
      <c r="V334" s="176"/>
      <c r="W334" s="181"/>
      <c r="X334" s="181"/>
      <c r="Y334" s="176"/>
      <c r="Z334" s="181"/>
      <c r="AA334" s="181"/>
      <c r="AB334" s="176"/>
      <c r="AC334" s="181"/>
      <c r="AD334" s="181"/>
      <c r="AE334" s="176"/>
      <c r="AF334" s="176"/>
      <c r="AG334" s="176"/>
      <c r="AH334" s="176"/>
      <c r="AI334" s="181"/>
      <c r="AJ334" s="181"/>
      <c r="AK334" s="176"/>
      <c r="AL334" s="181"/>
      <c r="AM334" s="181"/>
      <c r="AN334" s="176"/>
      <c r="AO334" s="181"/>
      <c r="AP334" s="181"/>
    </row>
    <row r="335" ht="12.75" customHeight="1">
      <c r="A335" s="179"/>
      <c r="B335" s="459"/>
      <c r="C335" s="481"/>
      <c r="D335" s="180"/>
      <c r="E335" s="180"/>
      <c r="F335" s="180"/>
      <c r="G335" s="460"/>
      <c r="H335" s="181"/>
      <c r="I335" s="181"/>
      <c r="J335" s="181"/>
      <c r="K335" s="181"/>
      <c r="L335" s="181"/>
      <c r="M335" s="329"/>
      <c r="N335" s="181"/>
      <c r="O335" s="181"/>
      <c r="P335" s="176"/>
      <c r="Q335" s="181"/>
      <c r="R335" s="181"/>
      <c r="S335" s="176"/>
      <c r="T335" s="181"/>
      <c r="U335" s="181"/>
      <c r="V335" s="176"/>
      <c r="W335" s="181"/>
      <c r="X335" s="181"/>
      <c r="Y335" s="176"/>
      <c r="Z335" s="181"/>
      <c r="AA335" s="181"/>
      <c r="AB335" s="176"/>
      <c r="AC335" s="181"/>
      <c r="AD335" s="181"/>
      <c r="AE335" s="176"/>
      <c r="AF335" s="176"/>
      <c r="AG335" s="176"/>
      <c r="AH335" s="176"/>
      <c r="AI335" s="181"/>
      <c r="AJ335" s="181"/>
      <c r="AK335" s="176"/>
      <c r="AL335" s="181"/>
      <c r="AM335" s="181"/>
      <c r="AN335" s="176"/>
      <c r="AO335" s="181"/>
      <c r="AP335" s="181"/>
    </row>
    <row r="336" ht="12.75" customHeight="1">
      <c r="A336" s="179"/>
      <c r="B336" s="459"/>
      <c r="C336" s="481"/>
      <c r="D336" s="180"/>
      <c r="E336" s="180"/>
      <c r="F336" s="180"/>
      <c r="G336" s="460"/>
      <c r="H336" s="181"/>
      <c r="I336" s="181"/>
      <c r="J336" s="181"/>
      <c r="K336" s="181"/>
      <c r="L336" s="181"/>
      <c r="M336" s="329"/>
      <c r="N336" s="181"/>
      <c r="O336" s="181"/>
      <c r="P336" s="176"/>
      <c r="Q336" s="181"/>
      <c r="R336" s="181"/>
      <c r="S336" s="176"/>
      <c r="T336" s="181"/>
      <c r="U336" s="181"/>
      <c r="V336" s="176"/>
      <c r="W336" s="181"/>
      <c r="X336" s="181"/>
      <c r="Y336" s="176"/>
      <c r="Z336" s="181"/>
      <c r="AA336" s="181"/>
      <c r="AB336" s="176"/>
      <c r="AC336" s="181"/>
      <c r="AD336" s="181"/>
      <c r="AE336" s="176"/>
      <c r="AF336" s="176"/>
      <c r="AG336" s="176"/>
      <c r="AH336" s="176"/>
      <c r="AI336" s="181"/>
      <c r="AJ336" s="181"/>
      <c r="AK336" s="176"/>
      <c r="AL336" s="181"/>
      <c r="AM336" s="181"/>
      <c r="AN336" s="176"/>
      <c r="AO336" s="181"/>
      <c r="AP336" s="181"/>
    </row>
    <row r="337" ht="12.75" customHeight="1">
      <c r="A337" s="179"/>
      <c r="B337" s="459"/>
      <c r="C337" s="481"/>
      <c r="D337" s="180"/>
      <c r="E337" s="180"/>
      <c r="F337" s="180"/>
      <c r="G337" s="460"/>
      <c r="H337" s="181"/>
      <c r="I337" s="181"/>
      <c r="J337" s="181"/>
      <c r="K337" s="181"/>
      <c r="L337" s="181"/>
      <c r="M337" s="329"/>
      <c r="N337" s="181"/>
      <c r="O337" s="181"/>
      <c r="P337" s="176"/>
      <c r="Q337" s="181"/>
      <c r="R337" s="181"/>
      <c r="S337" s="176"/>
      <c r="T337" s="181"/>
      <c r="U337" s="181"/>
      <c r="V337" s="176"/>
      <c r="W337" s="181"/>
      <c r="X337" s="181"/>
      <c r="Y337" s="176"/>
      <c r="Z337" s="181"/>
      <c r="AA337" s="181"/>
      <c r="AB337" s="176"/>
      <c r="AC337" s="181"/>
      <c r="AD337" s="181"/>
      <c r="AE337" s="176"/>
      <c r="AF337" s="176"/>
      <c r="AG337" s="176"/>
      <c r="AH337" s="176"/>
      <c r="AI337" s="181"/>
      <c r="AJ337" s="181"/>
      <c r="AK337" s="176"/>
      <c r="AL337" s="181"/>
      <c r="AM337" s="181"/>
      <c r="AN337" s="176"/>
      <c r="AO337" s="181"/>
      <c r="AP337" s="181"/>
    </row>
    <row r="338" ht="12.75" customHeight="1">
      <c r="A338" s="179"/>
      <c r="B338" s="459"/>
      <c r="C338" s="481"/>
      <c r="D338" s="180"/>
      <c r="E338" s="180"/>
      <c r="F338" s="180"/>
      <c r="G338" s="460"/>
      <c r="H338" s="181"/>
      <c r="I338" s="181"/>
      <c r="J338" s="181"/>
      <c r="K338" s="181"/>
      <c r="L338" s="181"/>
      <c r="M338" s="329"/>
      <c r="N338" s="181"/>
      <c r="O338" s="181"/>
      <c r="P338" s="176"/>
      <c r="Q338" s="181"/>
      <c r="R338" s="181"/>
      <c r="S338" s="176"/>
      <c r="T338" s="181"/>
      <c r="U338" s="181"/>
      <c r="V338" s="176"/>
      <c r="W338" s="181"/>
      <c r="X338" s="181"/>
      <c r="Y338" s="176"/>
      <c r="Z338" s="181"/>
      <c r="AA338" s="181"/>
      <c r="AB338" s="176"/>
      <c r="AC338" s="181"/>
      <c r="AD338" s="181"/>
      <c r="AE338" s="176"/>
      <c r="AF338" s="176"/>
      <c r="AG338" s="176"/>
      <c r="AH338" s="176"/>
      <c r="AI338" s="181"/>
      <c r="AJ338" s="181"/>
      <c r="AK338" s="176"/>
      <c r="AL338" s="181"/>
      <c r="AM338" s="181"/>
      <c r="AN338" s="176"/>
      <c r="AO338" s="181"/>
      <c r="AP338" s="181"/>
    </row>
    <row r="339" ht="12.75" customHeight="1">
      <c r="A339" s="179"/>
      <c r="B339" s="459"/>
      <c r="C339" s="481"/>
      <c r="D339" s="180"/>
      <c r="E339" s="180"/>
      <c r="F339" s="180"/>
      <c r="G339" s="460"/>
      <c r="H339" s="181"/>
      <c r="I339" s="181"/>
      <c r="J339" s="181"/>
      <c r="K339" s="181"/>
      <c r="L339" s="181"/>
      <c r="M339" s="329"/>
      <c r="N339" s="181"/>
      <c r="O339" s="181"/>
      <c r="P339" s="176"/>
      <c r="Q339" s="181"/>
      <c r="R339" s="181"/>
      <c r="S339" s="176"/>
      <c r="T339" s="181"/>
      <c r="U339" s="181"/>
      <c r="V339" s="176"/>
      <c r="W339" s="181"/>
      <c r="X339" s="181"/>
      <c r="Y339" s="176"/>
      <c r="Z339" s="181"/>
      <c r="AA339" s="181"/>
      <c r="AB339" s="176"/>
      <c r="AC339" s="181"/>
      <c r="AD339" s="181"/>
      <c r="AE339" s="176"/>
      <c r="AF339" s="176"/>
      <c r="AG339" s="176"/>
      <c r="AH339" s="176"/>
      <c r="AI339" s="181"/>
      <c r="AJ339" s="181"/>
      <c r="AK339" s="176"/>
      <c r="AL339" s="181"/>
      <c r="AM339" s="181"/>
      <c r="AN339" s="176"/>
      <c r="AO339" s="181"/>
      <c r="AP339" s="181"/>
    </row>
    <row r="340" ht="12.75" customHeight="1">
      <c r="A340" s="179"/>
      <c r="B340" s="459"/>
      <c r="C340" s="481"/>
      <c r="D340" s="180"/>
      <c r="E340" s="180"/>
      <c r="F340" s="180"/>
      <c r="G340" s="460"/>
      <c r="H340" s="181"/>
      <c r="I340" s="181"/>
      <c r="J340" s="181"/>
      <c r="K340" s="181"/>
      <c r="L340" s="181"/>
      <c r="M340" s="329"/>
      <c r="N340" s="181"/>
      <c r="O340" s="181"/>
      <c r="P340" s="176"/>
      <c r="Q340" s="181"/>
      <c r="R340" s="181"/>
      <c r="S340" s="176"/>
      <c r="T340" s="181"/>
      <c r="U340" s="181"/>
      <c r="V340" s="176"/>
      <c r="W340" s="181"/>
      <c r="X340" s="181"/>
      <c r="Y340" s="176"/>
      <c r="Z340" s="181"/>
      <c r="AA340" s="181"/>
      <c r="AB340" s="176"/>
      <c r="AC340" s="181"/>
      <c r="AD340" s="181"/>
      <c r="AE340" s="176"/>
      <c r="AF340" s="176"/>
      <c r="AG340" s="176"/>
      <c r="AH340" s="176"/>
      <c r="AI340" s="181"/>
      <c r="AJ340" s="181"/>
      <c r="AK340" s="176"/>
      <c r="AL340" s="181"/>
      <c r="AM340" s="181"/>
      <c r="AN340" s="176"/>
      <c r="AO340" s="181"/>
      <c r="AP340" s="181"/>
    </row>
    <row r="341" ht="12.75" customHeight="1">
      <c r="A341" s="179"/>
      <c r="B341" s="459"/>
      <c r="C341" s="481"/>
      <c r="D341" s="180"/>
      <c r="E341" s="180"/>
      <c r="F341" s="180"/>
      <c r="G341" s="460"/>
      <c r="H341" s="181"/>
      <c r="I341" s="181"/>
      <c r="J341" s="181"/>
      <c r="K341" s="181"/>
      <c r="L341" s="181"/>
      <c r="M341" s="329"/>
      <c r="N341" s="181"/>
      <c r="O341" s="181"/>
      <c r="P341" s="176"/>
      <c r="Q341" s="181"/>
      <c r="R341" s="181"/>
      <c r="S341" s="176"/>
      <c r="T341" s="181"/>
      <c r="U341" s="181"/>
      <c r="V341" s="176"/>
      <c r="W341" s="181"/>
      <c r="X341" s="181"/>
      <c r="Y341" s="176"/>
      <c r="Z341" s="181"/>
      <c r="AA341" s="181"/>
      <c r="AB341" s="176"/>
      <c r="AC341" s="181"/>
      <c r="AD341" s="181"/>
      <c r="AE341" s="176"/>
      <c r="AF341" s="176"/>
      <c r="AG341" s="176"/>
      <c r="AH341" s="176"/>
      <c r="AI341" s="181"/>
      <c r="AJ341" s="181"/>
      <c r="AK341" s="176"/>
      <c r="AL341" s="181"/>
      <c r="AM341" s="181"/>
      <c r="AN341" s="176"/>
      <c r="AO341" s="181"/>
      <c r="AP341" s="181"/>
    </row>
    <row r="342" ht="12.75" customHeight="1">
      <c r="A342" s="179"/>
      <c r="B342" s="459"/>
      <c r="C342" s="481"/>
      <c r="D342" s="180"/>
      <c r="E342" s="180"/>
      <c r="F342" s="180"/>
      <c r="G342" s="460"/>
      <c r="H342" s="181"/>
      <c r="I342" s="181"/>
      <c r="J342" s="181"/>
      <c r="K342" s="181"/>
      <c r="L342" s="181"/>
      <c r="M342" s="329"/>
      <c r="N342" s="181"/>
      <c r="O342" s="181"/>
      <c r="P342" s="176"/>
      <c r="Q342" s="181"/>
      <c r="R342" s="181"/>
      <c r="S342" s="176"/>
      <c r="T342" s="181"/>
      <c r="U342" s="181"/>
      <c r="V342" s="176"/>
      <c r="W342" s="181"/>
      <c r="X342" s="181"/>
      <c r="Y342" s="176"/>
      <c r="Z342" s="181"/>
      <c r="AA342" s="181"/>
      <c r="AB342" s="176"/>
      <c r="AC342" s="181"/>
      <c r="AD342" s="181"/>
      <c r="AE342" s="176"/>
      <c r="AF342" s="176"/>
      <c r="AG342" s="176"/>
      <c r="AH342" s="176"/>
      <c r="AI342" s="181"/>
      <c r="AJ342" s="181"/>
      <c r="AK342" s="176"/>
      <c r="AL342" s="181"/>
      <c r="AM342" s="181"/>
      <c r="AN342" s="176"/>
      <c r="AO342" s="181"/>
      <c r="AP342" s="181"/>
    </row>
    <row r="343" ht="12.75" customHeight="1">
      <c r="A343" s="179"/>
      <c r="B343" s="459"/>
      <c r="C343" s="481"/>
      <c r="D343" s="180"/>
      <c r="E343" s="180"/>
      <c r="F343" s="180"/>
      <c r="G343" s="460"/>
      <c r="H343" s="181"/>
      <c r="I343" s="181"/>
      <c r="J343" s="181"/>
      <c r="K343" s="181"/>
      <c r="L343" s="181"/>
      <c r="M343" s="329"/>
      <c r="N343" s="181"/>
      <c r="O343" s="181"/>
      <c r="P343" s="176"/>
      <c r="Q343" s="181"/>
      <c r="R343" s="181"/>
      <c r="S343" s="176"/>
      <c r="T343" s="181"/>
      <c r="U343" s="181"/>
      <c r="V343" s="176"/>
      <c r="W343" s="181"/>
      <c r="X343" s="181"/>
      <c r="Y343" s="176"/>
      <c r="Z343" s="181"/>
      <c r="AA343" s="181"/>
      <c r="AB343" s="176"/>
      <c r="AC343" s="181"/>
      <c r="AD343" s="181"/>
      <c r="AE343" s="176"/>
      <c r="AF343" s="176"/>
      <c r="AG343" s="176"/>
      <c r="AH343" s="176"/>
      <c r="AI343" s="181"/>
      <c r="AJ343" s="181"/>
      <c r="AK343" s="176"/>
      <c r="AL343" s="181"/>
      <c r="AM343" s="181"/>
      <c r="AN343" s="176"/>
      <c r="AO343" s="181"/>
      <c r="AP343" s="181"/>
    </row>
    <row r="344" ht="12.75" customHeight="1">
      <c r="A344" s="179"/>
      <c r="B344" s="459"/>
      <c r="C344" s="481"/>
      <c r="D344" s="180"/>
      <c r="E344" s="180"/>
      <c r="F344" s="180"/>
      <c r="G344" s="460"/>
      <c r="H344" s="181"/>
      <c r="I344" s="181"/>
      <c r="J344" s="181"/>
      <c r="K344" s="181"/>
      <c r="L344" s="181"/>
      <c r="M344" s="329"/>
      <c r="N344" s="181"/>
      <c r="O344" s="181"/>
      <c r="P344" s="176"/>
      <c r="Q344" s="181"/>
      <c r="R344" s="181"/>
      <c r="S344" s="176"/>
      <c r="T344" s="181"/>
      <c r="U344" s="181"/>
      <c r="V344" s="176"/>
      <c r="W344" s="181"/>
      <c r="X344" s="181"/>
      <c r="Y344" s="176"/>
      <c r="Z344" s="181"/>
      <c r="AA344" s="181"/>
      <c r="AB344" s="176"/>
      <c r="AC344" s="181"/>
      <c r="AD344" s="181"/>
      <c r="AE344" s="176"/>
      <c r="AF344" s="176"/>
      <c r="AG344" s="176"/>
      <c r="AH344" s="176"/>
      <c r="AI344" s="181"/>
      <c r="AJ344" s="181"/>
      <c r="AK344" s="176"/>
      <c r="AL344" s="181"/>
      <c r="AM344" s="181"/>
      <c r="AN344" s="176"/>
      <c r="AO344" s="181"/>
      <c r="AP344" s="181"/>
    </row>
    <row r="345" ht="12.75" customHeight="1">
      <c r="A345" s="179"/>
      <c r="B345" s="459"/>
      <c r="C345" s="481"/>
      <c r="D345" s="180"/>
      <c r="E345" s="180"/>
      <c r="F345" s="180"/>
      <c r="G345" s="460"/>
      <c r="H345" s="181"/>
      <c r="I345" s="181"/>
      <c r="J345" s="181"/>
      <c r="K345" s="181"/>
      <c r="L345" s="181"/>
      <c r="M345" s="329"/>
      <c r="N345" s="181"/>
      <c r="O345" s="181"/>
      <c r="P345" s="176"/>
      <c r="Q345" s="181"/>
      <c r="R345" s="181"/>
      <c r="S345" s="176"/>
      <c r="T345" s="181"/>
      <c r="U345" s="181"/>
      <c r="V345" s="176"/>
      <c r="W345" s="181"/>
      <c r="X345" s="181"/>
      <c r="Y345" s="176"/>
      <c r="Z345" s="181"/>
      <c r="AA345" s="181"/>
      <c r="AB345" s="176"/>
      <c r="AC345" s="181"/>
      <c r="AD345" s="181"/>
      <c r="AE345" s="176"/>
      <c r="AF345" s="176"/>
      <c r="AG345" s="176"/>
      <c r="AH345" s="176"/>
      <c r="AI345" s="181"/>
      <c r="AJ345" s="181"/>
      <c r="AK345" s="176"/>
      <c r="AL345" s="181"/>
      <c r="AM345" s="181"/>
      <c r="AN345" s="176"/>
      <c r="AO345" s="181"/>
      <c r="AP345" s="181"/>
    </row>
    <row r="346" ht="12.75" customHeight="1">
      <c r="A346" s="179"/>
      <c r="B346" s="459"/>
      <c r="C346" s="481"/>
      <c r="D346" s="180"/>
      <c r="E346" s="180"/>
      <c r="F346" s="180"/>
      <c r="G346" s="460"/>
      <c r="H346" s="181"/>
      <c r="I346" s="181"/>
      <c r="J346" s="181"/>
      <c r="K346" s="181"/>
      <c r="L346" s="181"/>
      <c r="M346" s="329"/>
      <c r="N346" s="181"/>
      <c r="O346" s="181"/>
      <c r="P346" s="176"/>
      <c r="Q346" s="181"/>
      <c r="R346" s="181"/>
      <c r="S346" s="176"/>
      <c r="T346" s="181"/>
      <c r="U346" s="181"/>
      <c r="V346" s="176"/>
      <c r="W346" s="181"/>
      <c r="X346" s="181"/>
      <c r="Y346" s="176"/>
      <c r="Z346" s="181"/>
      <c r="AA346" s="181"/>
      <c r="AB346" s="176"/>
      <c r="AC346" s="181"/>
      <c r="AD346" s="181"/>
      <c r="AE346" s="176"/>
      <c r="AF346" s="176"/>
      <c r="AG346" s="176"/>
      <c r="AH346" s="176"/>
      <c r="AI346" s="181"/>
      <c r="AJ346" s="181"/>
      <c r="AK346" s="176"/>
      <c r="AL346" s="181"/>
      <c r="AM346" s="181"/>
      <c r="AN346" s="176"/>
      <c r="AO346" s="181"/>
      <c r="AP346" s="181"/>
    </row>
    <row r="347" ht="12.75" customHeight="1">
      <c r="A347" s="179"/>
      <c r="B347" s="459"/>
      <c r="C347" s="481"/>
      <c r="D347" s="180"/>
      <c r="E347" s="180"/>
      <c r="F347" s="180"/>
      <c r="G347" s="460"/>
      <c r="H347" s="181"/>
      <c r="I347" s="181"/>
      <c r="J347" s="181"/>
      <c r="K347" s="181"/>
      <c r="L347" s="181"/>
      <c r="M347" s="329"/>
      <c r="N347" s="181"/>
      <c r="O347" s="181"/>
      <c r="P347" s="176"/>
      <c r="Q347" s="181"/>
      <c r="R347" s="181"/>
      <c r="S347" s="176"/>
      <c r="T347" s="181"/>
      <c r="U347" s="181"/>
      <c r="V347" s="176"/>
      <c r="W347" s="181"/>
      <c r="X347" s="181"/>
      <c r="Y347" s="176"/>
      <c r="Z347" s="181"/>
      <c r="AA347" s="181"/>
      <c r="AB347" s="176"/>
      <c r="AC347" s="181"/>
      <c r="AD347" s="181"/>
      <c r="AE347" s="176"/>
      <c r="AF347" s="176"/>
      <c r="AG347" s="176"/>
      <c r="AH347" s="176"/>
      <c r="AI347" s="181"/>
      <c r="AJ347" s="181"/>
      <c r="AK347" s="176"/>
      <c r="AL347" s="181"/>
      <c r="AM347" s="181"/>
      <c r="AN347" s="176"/>
      <c r="AO347" s="181"/>
      <c r="AP347" s="181"/>
    </row>
    <row r="348" ht="12.75" customHeight="1">
      <c r="A348" s="179"/>
      <c r="B348" s="459"/>
      <c r="C348" s="481"/>
      <c r="D348" s="180"/>
      <c r="E348" s="180"/>
      <c r="F348" s="180"/>
      <c r="G348" s="460"/>
      <c r="H348" s="181"/>
      <c r="I348" s="181"/>
      <c r="J348" s="181"/>
      <c r="K348" s="181"/>
      <c r="L348" s="181"/>
      <c r="M348" s="329"/>
      <c r="N348" s="181"/>
      <c r="O348" s="181"/>
      <c r="P348" s="176"/>
      <c r="Q348" s="181"/>
      <c r="R348" s="181"/>
      <c r="S348" s="176"/>
      <c r="T348" s="181"/>
      <c r="U348" s="181"/>
      <c r="V348" s="176"/>
      <c r="W348" s="181"/>
      <c r="X348" s="181"/>
      <c r="Y348" s="176"/>
      <c r="Z348" s="181"/>
      <c r="AA348" s="181"/>
      <c r="AB348" s="176"/>
      <c r="AC348" s="181"/>
      <c r="AD348" s="181"/>
      <c r="AE348" s="176"/>
      <c r="AF348" s="176"/>
      <c r="AG348" s="176"/>
      <c r="AH348" s="176"/>
      <c r="AI348" s="181"/>
      <c r="AJ348" s="181"/>
      <c r="AK348" s="176"/>
      <c r="AL348" s="181"/>
      <c r="AM348" s="181"/>
      <c r="AN348" s="176"/>
      <c r="AO348" s="181"/>
      <c r="AP348" s="181"/>
    </row>
    <row r="349" ht="12.75" customHeight="1">
      <c r="A349" s="179"/>
      <c r="B349" s="459"/>
      <c r="C349" s="481"/>
      <c r="D349" s="180"/>
      <c r="E349" s="180"/>
      <c r="F349" s="180"/>
      <c r="G349" s="460"/>
      <c r="H349" s="181"/>
      <c r="I349" s="181"/>
      <c r="J349" s="181"/>
      <c r="K349" s="181"/>
      <c r="L349" s="181"/>
      <c r="M349" s="329"/>
      <c r="N349" s="181"/>
      <c r="O349" s="181"/>
      <c r="P349" s="176"/>
      <c r="Q349" s="181"/>
      <c r="R349" s="181"/>
      <c r="S349" s="176"/>
      <c r="T349" s="181"/>
      <c r="U349" s="181"/>
      <c r="V349" s="176"/>
      <c r="W349" s="181"/>
      <c r="X349" s="181"/>
      <c r="Y349" s="176"/>
      <c r="Z349" s="181"/>
      <c r="AA349" s="181"/>
      <c r="AB349" s="176"/>
      <c r="AC349" s="181"/>
      <c r="AD349" s="181"/>
      <c r="AE349" s="176"/>
      <c r="AF349" s="176"/>
      <c r="AG349" s="176"/>
      <c r="AH349" s="176"/>
      <c r="AI349" s="181"/>
      <c r="AJ349" s="181"/>
      <c r="AK349" s="176"/>
      <c r="AL349" s="181"/>
      <c r="AM349" s="181"/>
      <c r="AN349" s="176"/>
      <c r="AO349" s="181"/>
      <c r="AP349" s="181"/>
    </row>
    <row r="350" ht="12.75" customHeight="1">
      <c r="A350" s="179"/>
      <c r="B350" s="459"/>
      <c r="C350" s="481"/>
      <c r="D350" s="180"/>
      <c r="E350" s="180"/>
      <c r="F350" s="180"/>
      <c r="G350" s="460"/>
      <c r="H350" s="181"/>
      <c r="I350" s="181"/>
      <c r="J350" s="181"/>
      <c r="K350" s="181"/>
      <c r="L350" s="181"/>
      <c r="M350" s="329"/>
      <c r="N350" s="181"/>
      <c r="O350" s="181"/>
      <c r="P350" s="176"/>
      <c r="Q350" s="181"/>
      <c r="R350" s="181"/>
      <c r="S350" s="176"/>
      <c r="T350" s="181"/>
      <c r="U350" s="181"/>
      <c r="V350" s="176"/>
      <c r="W350" s="181"/>
      <c r="X350" s="181"/>
      <c r="Y350" s="176"/>
      <c r="Z350" s="181"/>
      <c r="AA350" s="181"/>
      <c r="AB350" s="176"/>
      <c r="AC350" s="181"/>
      <c r="AD350" s="181"/>
      <c r="AE350" s="176"/>
      <c r="AF350" s="176"/>
      <c r="AG350" s="176"/>
      <c r="AH350" s="176"/>
      <c r="AI350" s="181"/>
      <c r="AJ350" s="181"/>
      <c r="AK350" s="176"/>
      <c r="AL350" s="181"/>
      <c r="AM350" s="181"/>
      <c r="AN350" s="176"/>
      <c r="AO350" s="181"/>
      <c r="AP350" s="181"/>
    </row>
    <row r="351" ht="12.75" customHeight="1">
      <c r="A351" s="179"/>
      <c r="B351" s="459"/>
      <c r="C351" s="481"/>
      <c r="D351" s="180"/>
      <c r="E351" s="180"/>
      <c r="F351" s="180"/>
      <c r="G351" s="460"/>
      <c r="H351" s="181"/>
      <c r="I351" s="181"/>
      <c r="J351" s="181"/>
      <c r="K351" s="181"/>
      <c r="L351" s="181"/>
      <c r="M351" s="329"/>
      <c r="N351" s="181"/>
      <c r="O351" s="181"/>
      <c r="P351" s="176"/>
      <c r="Q351" s="181"/>
      <c r="R351" s="181"/>
      <c r="S351" s="176"/>
      <c r="T351" s="181"/>
      <c r="U351" s="181"/>
      <c r="V351" s="176"/>
      <c r="W351" s="181"/>
      <c r="X351" s="181"/>
      <c r="Y351" s="176"/>
      <c r="Z351" s="181"/>
      <c r="AA351" s="181"/>
      <c r="AB351" s="176"/>
      <c r="AC351" s="181"/>
      <c r="AD351" s="181"/>
      <c r="AE351" s="176"/>
      <c r="AF351" s="176"/>
      <c r="AG351" s="176"/>
      <c r="AH351" s="176"/>
      <c r="AI351" s="181"/>
      <c r="AJ351" s="181"/>
      <c r="AK351" s="176"/>
      <c r="AL351" s="181"/>
      <c r="AM351" s="181"/>
      <c r="AN351" s="176"/>
      <c r="AO351" s="181"/>
      <c r="AP351" s="181"/>
    </row>
    <row r="352" ht="12.75" customHeight="1">
      <c r="A352" s="179"/>
      <c r="B352" s="459"/>
      <c r="C352" s="481"/>
      <c r="D352" s="180"/>
      <c r="E352" s="180"/>
      <c r="F352" s="180"/>
      <c r="G352" s="460"/>
      <c r="H352" s="181"/>
      <c r="I352" s="181"/>
      <c r="J352" s="181"/>
      <c r="K352" s="181"/>
      <c r="L352" s="181"/>
      <c r="M352" s="329"/>
      <c r="N352" s="181"/>
      <c r="O352" s="181"/>
      <c r="P352" s="176"/>
      <c r="Q352" s="181"/>
      <c r="R352" s="181"/>
      <c r="S352" s="176"/>
      <c r="T352" s="181"/>
      <c r="U352" s="181"/>
      <c r="V352" s="176"/>
      <c r="W352" s="181"/>
      <c r="X352" s="181"/>
      <c r="Y352" s="176"/>
      <c r="Z352" s="181"/>
      <c r="AA352" s="181"/>
      <c r="AB352" s="176"/>
      <c r="AC352" s="181"/>
      <c r="AD352" s="181"/>
      <c r="AE352" s="176"/>
      <c r="AF352" s="176"/>
      <c r="AG352" s="176"/>
      <c r="AH352" s="176"/>
      <c r="AI352" s="181"/>
      <c r="AJ352" s="181"/>
      <c r="AK352" s="176"/>
      <c r="AL352" s="181"/>
      <c r="AM352" s="181"/>
      <c r="AN352" s="176"/>
      <c r="AO352" s="181"/>
      <c r="AP352" s="181"/>
    </row>
    <row r="353" ht="12.75" customHeight="1">
      <c r="A353" s="179"/>
      <c r="B353" s="459"/>
      <c r="C353" s="481"/>
      <c r="D353" s="180"/>
      <c r="E353" s="180"/>
      <c r="F353" s="180"/>
      <c r="G353" s="460"/>
      <c r="H353" s="181"/>
      <c r="I353" s="181"/>
      <c r="J353" s="181"/>
      <c r="K353" s="181"/>
      <c r="L353" s="181"/>
      <c r="M353" s="329"/>
      <c r="N353" s="181"/>
      <c r="O353" s="181"/>
      <c r="P353" s="176"/>
      <c r="Q353" s="181"/>
      <c r="R353" s="181"/>
      <c r="S353" s="176"/>
      <c r="T353" s="181"/>
      <c r="U353" s="181"/>
      <c r="V353" s="176"/>
      <c r="W353" s="181"/>
      <c r="X353" s="181"/>
      <c r="Y353" s="176"/>
      <c r="Z353" s="181"/>
      <c r="AA353" s="181"/>
      <c r="AB353" s="176"/>
      <c r="AC353" s="181"/>
      <c r="AD353" s="181"/>
      <c r="AE353" s="176"/>
      <c r="AF353" s="176"/>
      <c r="AG353" s="176"/>
      <c r="AH353" s="176"/>
      <c r="AI353" s="181"/>
      <c r="AJ353" s="181"/>
      <c r="AK353" s="176"/>
      <c r="AL353" s="181"/>
      <c r="AM353" s="181"/>
      <c r="AN353" s="176"/>
      <c r="AO353" s="181"/>
      <c r="AP353" s="181"/>
    </row>
    <row r="354" ht="12.75" customHeight="1">
      <c r="A354" s="179"/>
      <c r="B354" s="459"/>
      <c r="C354" s="481"/>
      <c r="D354" s="180"/>
      <c r="E354" s="180"/>
      <c r="F354" s="180"/>
      <c r="G354" s="460"/>
      <c r="H354" s="181"/>
      <c r="I354" s="181"/>
      <c r="J354" s="181"/>
      <c r="K354" s="181"/>
      <c r="L354" s="181"/>
      <c r="M354" s="329"/>
      <c r="N354" s="181"/>
      <c r="O354" s="181"/>
      <c r="P354" s="176"/>
      <c r="Q354" s="181"/>
      <c r="R354" s="181"/>
      <c r="S354" s="176"/>
      <c r="T354" s="181"/>
      <c r="U354" s="181"/>
      <c r="V354" s="176"/>
      <c r="W354" s="181"/>
      <c r="X354" s="181"/>
      <c r="Y354" s="176"/>
      <c r="Z354" s="181"/>
      <c r="AA354" s="181"/>
      <c r="AB354" s="176"/>
      <c r="AC354" s="181"/>
      <c r="AD354" s="181"/>
      <c r="AE354" s="176"/>
      <c r="AF354" s="176"/>
      <c r="AG354" s="176"/>
      <c r="AH354" s="176"/>
      <c r="AI354" s="181"/>
      <c r="AJ354" s="181"/>
      <c r="AK354" s="176"/>
      <c r="AL354" s="181"/>
      <c r="AM354" s="181"/>
      <c r="AN354" s="176"/>
      <c r="AO354" s="181"/>
      <c r="AP354" s="181"/>
    </row>
    <row r="355" ht="12.75" customHeight="1">
      <c r="A355" s="179"/>
      <c r="B355" s="459"/>
      <c r="C355" s="481"/>
      <c r="D355" s="180"/>
      <c r="E355" s="180"/>
      <c r="F355" s="180"/>
      <c r="G355" s="460"/>
      <c r="H355" s="181"/>
      <c r="I355" s="181"/>
      <c r="J355" s="181"/>
      <c r="K355" s="181"/>
      <c r="L355" s="181"/>
      <c r="M355" s="329"/>
      <c r="N355" s="181"/>
      <c r="O355" s="181"/>
      <c r="P355" s="176"/>
      <c r="Q355" s="181"/>
      <c r="R355" s="181"/>
      <c r="S355" s="176"/>
      <c r="T355" s="181"/>
      <c r="U355" s="181"/>
      <c r="V355" s="176"/>
      <c r="W355" s="181"/>
      <c r="X355" s="181"/>
      <c r="Y355" s="176"/>
      <c r="Z355" s="181"/>
      <c r="AA355" s="181"/>
      <c r="AB355" s="176"/>
      <c r="AC355" s="181"/>
      <c r="AD355" s="181"/>
      <c r="AE355" s="176"/>
      <c r="AF355" s="176"/>
      <c r="AG355" s="176"/>
      <c r="AH355" s="176"/>
      <c r="AI355" s="181"/>
      <c r="AJ355" s="181"/>
      <c r="AK355" s="176"/>
      <c r="AL355" s="181"/>
      <c r="AM355" s="181"/>
      <c r="AN355" s="176"/>
      <c r="AO355" s="181"/>
      <c r="AP355" s="181"/>
    </row>
    <row r="356" ht="12.75" customHeight="1">
      <c r="A356" s="179"/>
      <c r="B356" s="459"/>
      <c r="C356" s="481"/>
      <c r="D356" s="180"/>
      <c r="E356" s="180"/>
      <c r="F356" s="180"/>
      <c r="G356" s="460"/>
      <c r="H356" s="181"/>
      <c r="I356" s="181"/>
      <c r="J356" s="181"/>
      <c r="K356" s="181"/>
      <c r="L356" s="181"/>
      <c r="M356" s="329"/>
      <c r="N356" s="181"/>
      <c r="O356" s="181"/>
      <c r="P356" s="176"/>
      <c r="Q356" s="181"/>
      <c r="R356" s="181"/>
      <c r="S356" s="176"/>
      <c r="T356" s="181"/>
      <c r="U356" s="181"/>
      <c r="V356" s="176"/>
      <c r="W356" s="181"/>
      <c r="X356" s="181"/>
      <c r="Y356" s="176"/>
      <c r="Z356" s="181"/>
      <c r="AA356" s="181"/>
      <c r="AB356" s="176"/>
      <c r="AC356" s="181"/>
      <c r="AD356" s="181"/>
      <c r="AE356" s="176"/>
      <c r="AF356" s="176"/>
      <c r="AG356" s="176"/>
      <c r="AH356" s="176"/>
      <c r="AI356" s="181"/>
      <c r="AJ356" s="181"/>
      <c r="AK356" s="176"/>
      <c r="AL356" s="181"/>
      <c r="AM356" s="181"/>
      <c r="AN356" s="176"/>
      <c r="AO356" s="181"/>
      <c r="AP356" s="181"/>
    </row>
    <row r="357" ht="12.75" customHeight="1">
      <c r="A357" s="179"/>
      <c r="B357" s="459"/>
      <c r="C357" s="481"/>
      <c r="D357" s="180"/>
      <c r="E357" s="180"/>
      <c r="F357" s="180"/>
      <c r="G357" s="460"/>
      <c r="H357" s="181"/>
      <c r="I357" s="181"/>
      <c r="J357" s="181"/>
      <c r="K357" s="181"/>
      <c r="L357" s="181"/>
      <c r="M357" s="329"/>
      <c r="N357" s="181"/>
      <c r="O357" s="181"/>
      <c r="P357" s="176"/>
      <c r="Q357" s="181"/>
      <c r="R357" s="181"/>
      <c r="S357" s="176"/>
      <c r="T357" s="181"/>
      <c r="U357" s="181"/>
      <c r="V357" s="176"/>
      <c r="W357" s="181"/>
      <c r="X357" s="181"/>
      <c r="Y357" s="176"/>
      <c r="Z357" s="181"/>
      <c r="AA357" s="181"/>
      <c r="AB357" s="176"/>
      <c r="AC357" s="181"/>
      <c r="AD357" s="181"/>
      <c r="AE357" s="176"/>
      <c r="AF357" s="176"/>
      <c r="AG357" s="176"/>
      <c r="AH357" s="176"/>
      <c r="AI357" s="181"/>
      <c r="AJ357" s="181"/>
      <c r="AK357" s="176"/>
      <c r="AL357" s="181"/>
      <c r="AM357" s="181"/>
      <c r="AN357" s="176"/>
      <c r="AO357" s="181"/>
      <c r="AP357" s="181"/>
    </row>
    <row r="358" ht="12.75" customHeight="1">
      <c r="A358" s="179"/>
      <c r="B358" s="459"/>
      <c r="C358" s="481"/>
      <c r="D358" s="180"/>
      <c r="E358" s="180"/>
      <c r="F358" s="180"/>
      <c r="G358" s="460"/>
      <c r="H358" s="181"/>
      <c r="I358" s="181"/>
      <c r="J358" s="181"/>
      <c r="K358" s="181"/>
      <c r="L358" s="181"/>
      <c r="M358" s="329"/>
      <c r="N358" s="181"/>
      <c r="O358" s="181"/>
      <c r="P358" s="176"/>
      <c r="Q358" s="181"/>
      <c r="R358" s="181"/>
      <c r="S358" s="176"/>
      <c r="T358" s="181"/>
      <c r="U358" s="181"/>
      <c r="V358" s="176"/>
      <c r="W358" s="181"/>
      <c r="X358" s="181"/>
      <c r="Y358" s="176"/>
      <c r="Z358" s="181"/>
      <c r="AA358" s="181"/>
      <c r="AB358" s="176"/>
      <c r="AC358" s="181"/>
      <c r="AD358" s="181"/>
      <c r="AE358" s="176"/>
      <c r="AF358" s="176"/>
      <c r="AG358" s="176"/>
      <c r="AH358" s="176"/>
      <c r="AI358" s="181"/>
      <c r="AJ358" s="181"/>
      <c r="AK358" s="176"/>
      <c r="AL358" s="181"/>
      <c r="AM358" s="181"/>
      <c r="AN358" s="176"/>
      <c r="AO358" s="181"/>
      <c r="AP358" s="181"/>
    </row>
    <row r="359" ht="12.75" customHeight="1">
      <c r="A359" s="179"/>
      <c r="B359" s="459"/>
      <c r="C359" s="481"/>
      <c r="D359" s="180"/>
      <c r="E359" s="180"/>
      <c r="F359" s="180"/>
      <c r="G359" s="460"/>
      <c r="H359" s="181"/>
      <c r="I359" s="181"/>
      <c r="J359" s="181"/>
      <c r="K359" s="181"/>
      <c r="L359" s="181"/>
      <c r="M359" s="329"/>
      <c r="N359" s="181"/>
      <c r="O359" s="181"/>
      <c r="P359" s="176"/>
      <c r="Q359" s="181"/>
      <c r="R359" s="181"/>
      <c r="S359" s="176"/>
      <c r="T359" s="181"/>
      <c r="U359" s="181"/>
      <c r="V359" s="176"/>
      <c r="W359" s="181"/>
      <c r="X359" s="181"/>
      <c r="Y359" s="176"/>
      <c r="Z359" s="181"/>
      <c r="AA359" s="181"/>
      <c r="AB359" s="176"/>
      <c r="AC359" s="181"/>
      <c r="AD359" s="181"/>
      <c r="AE359" s="176"/>
      <c r="AF359" s="176"/>
      <c r="AG359" s="176"/>
      <c r="AH359" s="176"/>
      <c r="AI359" s="181"/>
      <c r="AJ359" s="181"/>
      <c r="AK359" s="176"/>
      <c r="AL359" s="181"/>
      <c r="AM359" s="181"/>
      <c r="AN359" s="176"/>
      <c r="AO359" s="181"/>
      <c r="AP359" s="181"/>
    </row>
    <row r="360" ht="12.75" customHeight="1">
      <c r="A360" s="179"/>
      <c r="B360" s="459"/>
      <c r="C360" s="481"/>
      <c r="D360" s="180"/>
      <c r="E360" s="180"/>
      <c r="F360" s="180"/>
      <c r="G360" s="460"/>
      <c r="H360" s="181"/>
      <c r="I360" s="181"/>
      <c r="J360" s="181"/>
      <c r="K360" s="181"/>
      <c r="L360" s="181"/>
      <c r="M360" s="329"/>
      <c r="N360" s="181"/>
      <c r="O360" s="181"/>
      <c r="P360" s="176"/>
      <c r="Q360" s="181"/>
      <c r="R360" s="181"/>
      <c r="S360" s="176"/>
      <c r="T360" s="181"/>
      <c r="U360" s="181"/>
      <c r="V360" s="176"/>
      <c r="W360" s="181"/>
      <c r="X360" s="181"/>
      <c r="Y360" s="176"/>
      <c r="Z360" s="181"/>
      <c r="AA360" s="181"/>
      <c r="AB360" s="176"/>
      <c r="AC360" s="181"/>
      <c r="AD360" s="181"/>
      <c r="AE360" s="176"/>
      <c r="AF360" s="176"/>
      <c r="AG360" s="176"/>
      <c r="AH360" s="176"/>
      <c r="AI360" s="181"/>
      <c r="AJ360" s="181"/>
      <c r="AK360" s="176"/>
      <c r="AL360" s="181"/>
      <c r="AM360" s="181"/>
      <c r="AN360" s="176"/>
      <c r="AO360" s="181"/>
      <c r="AP360" s="181"/>
    </row>
    <row r="361" ht="12.75" customHeight="1">
      <c r="A361" s="179"/>
      <c r="B361" s="459"/>
      <c r="C361" s="481"/>
      <c r="D361" s="180"/>
      <c r="E361" s="180"/>
      <c r="F361" s="180"/>
      <c r="G361" s="460"/>
      <c r="H361" s="181"/>
      <c r="I361" s="181"/>
      <c r="J361" s="181"/>
      <c r="K361" s="181"/>
      <c r="L361" s="181"/>
      <c r="M361" s="329"/>
      <c r="N361" s="181"/>
      <c r="O361" s="181"/>
      <c r="P361" s="176"/>
      <c r="Q361" s="181"/>
      <c r="R361" s="181"/>
      <c r="S361" s="176"/>
      <c r="T361" s="181"/>
      <c r="U361" s="181"/>
      <c r="V361" s="176"/>
      <c r="W361" s="181"/>
      <c r="X361" s="181"/>
      <c r="Y361" s="176"/>
      <c r="Z361" s="181"/>
      <c r="AA361" s="181"/>
      <c r="AB361" s="176"/>
      <c r="AC361" s="181"/>
      <c r="AD361" s="181"/>
      <c r="AE361" s="176"/>
      <c r="AF361" s="176"/>
      <c r="AG361" s="176"/>
      <c r="AH361" s="176"/>
      <c r="AI361" s="181"/>
      <c r="AJ361" s="181"/>
      <c r="AK361" s="176"/>
      <c r="AL361" s="181"/>
      <c r="AM361" s="181"/>
      <c r="AN361" s="176"/>
      <c r="AO361" s="181"/>
      <c r="AP361" s="181"/>
    </row>
    <row r="362" ht="12.75" customHeight="1">
      <c r="A362" s="179"/>
      <c r="B362" s="459"/>
      <c r="C362" s="481"/>
      <c r="D362" s="180"/>
      <c r="E362" s="180"/>
      <c r="F362" s="180"/>
      <c r="G362" s="460"/>
      <c r="H362" s="181"/>
      <c r="I362" s="181"/>
      <c r="J362" s="181"/>
      <c r="K362" s="181"/>
      <c r="L362" s="181"/>
      <c r="M362" s="329"/>
      <c r="N362" s="181"/>
      <c r="O362" s="181"/>
      <c r="P362" s="176"/>
      <c r="Q362" s="181"/>
      <c r="R362" s="181"/>
      <c r="S362" s="176"/>
      <c r="T362" s="181"/>
      <c r="U362" s="181"/>
      <c r="V362" s="176"/>
      <c r="W362" s="181"/>
      <c r="X362" s="181"/>
      <c r="Y362" s="176"/>
      <c r="Z362" s="181"/>
      <c r="AA362" s="181"/>
      <c r="AB362" s="176"/>
      <c r="AC362" s="181"/>
      <c r="AD362" s="181"/>
      <c r="AE362" s="176"/>
      <c r="AF362" s="176"/>
      <c r="AG362" s="176"/>
      <c r="AH362" s="176"/>
      <c r="AI362" s="181"/>
      <c r="AJ362" s="181"/>
      <c r="AK362" s="176"/>
      <c r="AL362" s="181"/>
      <c r="AM362" s="181"/>
      <c r="AN362" s="176"/>
      <c r="AO362" s="181"/>
      <c r="AP362" s="181"/>
    </row>
    <row r="363" ht="12.75" customHeight="1">
      <c r="A363" s="179"/>
      <c r="B363" s="459"/>
      <c r="C363" s="481"/>
      <c r="D363" s="180"/>
      <c r="E363" s="180"/>
      <c r="F363" s="180"/>
      <c r="G363" s="460"/>
      <c r="H363" s="181"/>
      <c r="I363" s="181"/>
      <c r="J363" s="181"/>
      <c r="K363" s="181"/>
      <c r="L363" s="181"/>
      <c r="M363" s="329"/>
      <c r="N363" s="181"/>
      <c r="O363" s="181"/>
      <c r="P363" s="176"/>
      <c r="Q363" s="181"/>
      <c r="R363" s="181"/>
      <c r="S363" s="176"/>
      <c r="T363" s="181"/>
      <c r="U363" s="181"/>
      <c r="V363" s="176"/>
      <c r="W363" s="181"/>
      <c r="X363" s="181"/>
      <c r="Y363" s="176"/>
      <c r="Z363" s="181"/>
      <c r="AA363" s="181"/>
      <c r="AB363" s="176"/>
      <c r="AC363" s="181"/>
      <c r="AD363" s="181"/>
      <c r="AE363" s="176"/>
      <c r="AF363" s="176"/>
      <c r="AG363" s="176"/>
      <c r="AH363" s="176"/>
      <c r="AI363" s="181"/>
      <c r="AJ363" s="181"/>
      <c r="AK363" s="176"/>
      <c r="AL363" s="181"/>
      <c r="AM363" s="181"/>
      <c r="AN363" s="176"/>
      <c r="AO363" s="181"/>
      <c r="AP363" s="181"/>
    </row>
    <row r="364" ht="12.75" customHeight="1">
      <c r="A364" s="179"/>
      <c r="B364" s="459"/>
      <c r="C364" s="481"/>
      <c r="D364" s="180"/>
      <c r="E364" s="180"/>
      <c r="F364" s="180"/>
      <c r="G364" s="460"/>
      <c r="H364" s="181"/>
      <c r="I364" s="181"/>
      <c r="J364" s="181"/>
      <c r="K364" s="181"/>
      <c r="L364" s="181"/>
      <c r="M364" s="329"/>
      <c r="N364" s="181"/>
      <c r="O364" s="181"/>
      <c r="P364" s="176"/>
      <c r="Q364" s="181"/>
      <c r="R364" s="181"/>
      <c r="S364" s="176"/>
      <c r="T364" s="181"/>
      <c r="U364" s="181"/>
      <c r="V364" s="176"/>
      <c r="W364" s="181"/>
      <c r="X364" s="181"/>
      <c r="Y364" s="176"/>
      <c r="Z364" s="181"/>
      <c r="AA364" s="181"/>
      <c r="AB364" s="176"/>
      <c r="AC364" s="181"/>
      <c r="AD364" s="181"/>
      <c r="AE364" s="176"/>
      <c r="AF364" s="176"/>
      <c r="AG364" s="176"/>
      <c r="AH364" s="176"/>
      <c r="AI364" s="181"/>
      <c r="AJ364" s="181"/>
      <c r="AK364" s="176"/>
      <c r="AL364" s="181"/>
      <c r="AM364" s="181"/>
      <c r="AN364" s="176"/>
      <c r="AO364" s="181"/>
      <c r="AP364" s="181"/>
    </row>
    <row r="365" ht="12.75" customHeight="1">
      <c r="A365" s="179"/>
      <c r="B365" s="459"/>
      <c r="C365" s="481"/>
      <c r="D365" s="180"/>
      <c r="E365" s="180"/>
      <c r="F365" s="180"/>
      <c r="G365" s="460"/>
      <c r="H365" s="181"/>
      <c r="I365" s="181"/>
      <c r="J365" s="181"/>
      <c r="K365" s="181"/>
      <c r="L365" s="181"/>
      <c r="M365" s="329"/>
      <c r="N365" s="181"/>
      <c r="O365" s="181"/>
      <c r="P365" s="176"/>
      <c r="Q365" s="181"/>
      <c r="R365" s="181"/>
      <c r="S365" s="176"/>
      <c r="T365" s="181"/>
      <c r="U365" s="181"/>
      <c r="V365" s="176"/>
      <c r="W365" s="181"/>
      <c r="X365" s="181"/>
      <c r="Y365" s="176"/>
      <c r="Z365" s="181"/>
      <c r="AA365" s="181"/>
      <c r="AB365" s="176"/>
      <c r="AC365" s="181"/>
      <c r="AD365" s="181"/>
      <c r="AE365" s="176"/>
      <c r="AF365" s="176"/>
      <c r="AG365" s="176"/>
      <c r="AH365" s="176"/>
      <c r="AI365" s="181"/>
      <c r="AJ365" s="181"/>
      <c r="AK365" s="176"/>
      <c r="AL365" s="181"/>
      <c r="AM365" s="181"/>
      <c r="AN365" s="176"/>
      <c r="AO365" s="181"/>
      <c r="AP365" s="181"/>
    </row>
    <row r="366" ht="12.75" customHeight="1">
      <c r="A366" s="179"/>
      <c r="B366" s="459"/>
      <c r="C366" s="481"/>
      <c r="D366" s="180"/>
      <c r="E366" s="180"/>
      <c r="F366" s="180"/>
      <c r="G366" s="460"/>
      <c r="H366" s="181"/>
      <c r="I366" s="181"/>
      <c r="J366" s="181"/>
      <c r="K366" s="181"/>
      <c r="L366" s="181"/>
      <c r="M366" s="329"/>
      <c r="N366" s="181"/>
      <c r="O366" s="181"/>
      <c r="P366" s="176"/>
      <c r="Q366" s="181"/>
      <c r="R366" s="181"/>
      <c r="S366" s="176"/>
      <c r="T366" s="181"/>
      <c r="U366" s="181"/>
      <c r="V366" s="176"/>
      <c r="W366" s="181"/>
      <c r="X366" s="181"/>
      <c r="Y366" s="176"/>
      <c r="Z366" s="181"/>
      <c r="AA366" s="181"/>
      <c r="AB366" s="176"/>
      <c r="AC366" s="181"/>
      <c r="AD366" s="181"/>
      <c r="AE366" s="176"/>
      <c r="AF366" s="176"/>
      <c r="AG366" s="176"/>
      <c r="AH366" s="176"/>
      <c r="AI366" s="181"/>
      <c r="AJ366" s="181"/>
      <c r="AK366" s="176"/>
      <c r="AL366" s="181"/>
      <c r="AM366" s="181"/>
      <c r="AN366" s="176"/>
      <c r="AO366" s="181"/>
      <c r="AP366" s="181"/>
    </row>
    <row r="367" ht="12.75" customHeight="1">
      <c r="A367" s="179"/>
      <c r="B367" s="459"/>
      <c r="C367" s="481"/>
      <c r="D367" s="180"/>
      <c r="E367" s="180"/>
      <c r="F367" s="180"/>
      <c r="G367" s="460"/>
      <c r="H367" s="181"/>
      <c r="I367" s="181"/>
      <c r="J367" s="181"/>
      <c r="K367" s="181"/>
      <c r="L367" s="181"/>
      <c r="M367" s="329"/>
      <c r="N367" s="181"/>
      <c r="O367" s="181"/>
      <c r="P367" s="176"/>
      <c r="Q367" s="181"/>
      <c r="R367" s="181"/>
      <c r="S367" s="176"/>
      <c r="T367" s="181"/>
      <c r="U367" s="181"/>
      <c r="V367" s="176"/>
      <c r="W367" s="181"/>
      <c r="X367" s="181"/>
      <c r="Y367" s="176"/>
      <c r="Z367" s="181"/>
      <c r="AA367" s="181"/>
      <c r="AB367" s="176"/>
      <c r="AC367" s="181"/>
      <c r="AD367" s="181"/>
      <c r="AE367" s="176"/>
      <c r="AF367" s="176"/>
      <c r="AG367" s="176"/>
      <c r="AH367" s="176"/>
      <c r="AI367" s="181"/>
      <c r="AJ367" s="181"/>
      <c r="AK367" s="176"/>
      <c r="AL367" s="181"/>
      <c r="AM367" s="181"/>
      <c r="AN367" s="176"/>
      <c r="AO367" s="181"/>
      <c r="AP367" s="181"/>
    </row>
    <row r="368" ht="12.75" customHeight="1">
      <c r="A368" s="179"/>
      <c r="B368" s="459"/>
      <c r="C368" s="481"/>
      <c r="D368" s="180"/>
      <c r="E368" s="180"/>
      <c r="F368" s="180"/>
      <c r="G368" s="460"/>
      <c r="H368" s="181"/>
      <c r="I368" s="181"/>
      <c r="J368" s="181"/>
      <c r="K368" s="181"/>
      <c r="L368" s="181"/>
      <c r="M368" s="329"/>
      <c r="N368" s="181"/>
      <c r="O368" s="181"/>
      <c r="P368" s="176"/>
      <c r="Q368" s="181"/>
      <c r="R368" s="181"/>
      <c r="S368" s="176"/>
      <c r="T368" s="181"/>
      <c r="U368" s="181"/>
      <c r="V368" s="176"/>
      <c r="W368" s="181"/>
      <c r="X368" s="181"/>
      <c r="Y368" s="176"/>
      <c r="Z368" s="181"/>
      <c r="AA368" s="181"/>
      <c r="AB368" s="176"/>
      <c r="AC368" s="181"/>
      <c r="AD368" s="181"/>
      <c r="AE368" s="176"/>
      <c r="AF368" s="176"/>
      <c r="AG368" s="176"/>
      <c r="AH368" s="176"/>
      <c r="AI368" s="181"/>
      <c r="AJ368" s="181"/>
      <c r="AK368" s="176"/>
      <c r="AL368" s="181"/>
      <c r="AM368" s="181"/>
      <c r="AN368" s="176"/>
      <c r="AO368" s="181"/>
      <c r="AP368" s="181"/>
    </row>
    <row r="369" ht="12.75" customHeight="1">
      <c r="A369" s="179"/>
      <c r="B369" s="459"/>
      <c r="C369" s="481"/>
      <c r="D369" s="180"/>
      <c r="E369" s="180"/>
      <c r="F369" s="180"/>
      <c r="G369" s="460"/>
      <c r="H369" s="181"/>
      <c r="I369" s="181"/>
      <c r="J369" s="181"/>
      <c r="K369" s="181"/>
      <c r="L369" s="181"/>
      <c r="M369" s="329"/>
      <c r="N369" s="181"/>
      <c r="O369" s="181"/>
      <c r="P369" s="176"/>
      <c r="Q369" s="181"/>
      <c r="R369" s="181"/>
      <c r="S369" s="176"/>
      <c r="T369" s="181"/>
      <c r="U369" s="181"/>
      <c r="V369" s="176"/>
      <c r="W369" s="181"/>
      <c r="X369" s="181"/>
      <c r="Y369" s="176"/>
      <c r="Z369" s="181"/>
      <c r="AA369" s="181"/>
      <c r="AB369" s="176"/>
      <c r="AC369" s="181"/>
      <c r="AD369" s="181"/>
      <c r="AE369" s="176"/>
      <c r="AF369" s="176"/>
      <c r="AG369" s="176"/>
      <c r="AH369" s="176"/>
      <c r="AI369" s="181"/>
      <c r="AJ369" s="181"/>
      <c r="AK369" s="176"/>
      <c r="AL369" s="181"/>
      <c r="AM369" s="181"/>
      <c r="AN369" s="176"/>
      <c r="AO369" s="181"/>
      <c r="AP369" s="181"/>
    </row>
    <row r="370" ht="12.75" customHeight="1">
      <c r="A370" s="179"/>
      <c r="B370" s="459"/>
      <c r="C370" s="481"/>
      <c r="D370" s="180"/>
      <c r="E370" s="180"/>
      <c r="F370" s="180"/>
      <c r="G370" s="460"/>
      <c r="H370" s="181"/>
      <c r="I370" s="181"/>
      <c r="J370" s="181"/>
      <c r="K370" s="181"/>
      <c r="L370" s="181"/>
      <c r="M370" s="329"/>
      <c r="N370" s="181"/>
      <c r="O370" s="181"/>
      <c r="P370" s="176"/>
      <c r="Q370" s="181"/>
      <c r="R370" s="181"/>
      <c r="S370" s="176"/>
      <c r="T370" s="181"/>
      <c r="U370" s="181"/>
      <c r="V370" s="176"/>
      <c r="W370" s="181"/>
      <c r="X370" s="181"/>
      <c r="Y370" s="176"/>
      <c r="Z370" s="181"/>
      <c r="AA370" s="181"/>
      <c r="AB370" s="176"/>
      <c r="AC370" s="181"/>
      <c r="AD370" s="181"/>
      <c r="AE370" s="176"/>
      <c r="AF370" s="176"/>
      <c r="AG370" s="176"/>
      <c r="AH370" s="176"/>
      <c r="AI370" s="181"/>
      <c r="AJ370" s="181"/>
      <c r="AK370" s="176"/>
      <c r="AL370" s="181"/>
      <c r="AM370" s="181"/>
      <c r="AN370" s="176"/>
      <c r="AO370" s="181"/>
      <c r="AP370" s="181"/>
    </row>
    <row r="371" ht="12.75" customHeight="1">
      <c r="A371" s="179"/>
      <c r="B371" s="459"/>
      <c r="C371" s="481"/>
      <c r="D371" s="180"/>
      <c r="E371" s="180"/>
      <c r="F371" s="180"/>
      <c r="G371" s="460"/>
      <c r="H371" s="181"/>
      <c r="I371" s="181"/>
      <c r="J371" s="181"/>
      <c r="K371" s="181"/>
      <c r="L371" s="181"/>
      <c r="M371" s="329"/>
      <c r="N371" s="181"/>
      <c r="O371" s="181"/>
      <c r="P371" s="176"/>
      <c r="Q371" s="181"/>
      <c r="R371" s="181"/>
      <c r="S371" s="176"/>
      <c r="T371" s="181"/>
      <c r="U371" s="181"/>
      <c r="V371" s="176"/>
      <c r="W371" s="181"/>
      <c r="X371" s="181"/>
      <c r="Y371" s="176"/>
      <c r="Z371" s="181"/>
      <c r="AA371" s="181"/>
      <c r="AB371" s="176"/>
      <c r="AC371" s="181"/>
      <c r="AD371" s="181"/>
      <c r="AE371" s="176"/>
      <c r="AF371" s="176"/>
      <c r="AG371" s="176"/>
      <c r="AH371" s="176"/>
      <c r="AI371" s="181"/>
      <c r="AJ371" s="181"/>
      <c r="AK371" s="176"/>
      <c r="AL371" s="181"/>
      <c r="AM371" s="181"/>
      <c r="AN371" s="176"/>
      <c r="AO371" s="181"/>
      <c r="AP371" s="181"/>
    </row>
    <row r="372" ht="12.75" customHeight="1">
      <c r="A372" s="179"/>
      <c r="B372" s="459"/>
      <c r="C372" s="481"/>
      <c r="D372" s="180"/>
      <c r="E372" s="180"/>
      <c r="F372" s="180"/>
      <c r="G372" s="460"/>
      <c r="H372" s="181"/>
      <c r="I372" s="181"/>
      <c r="J372" s="181"/>
      <c r="K372" s="181"/>
      <c r="L372" s="181"/>
      <c r="M372" s="329"/>
      <c r="N372" s="181"/>
      <c r="O372" s="181"/>
      <c r="P372" s="176"/>
      <c r="Q372" s="181"/>
      <c r="R372" s="181"/>
      <c r="S372" s="176"/>
      <c r="T372" s="181"/>
      <c r="U372" s="181"/>
      <c r="V372" s="176"/>
      <c r="W372" s="181"/>
      <c r="X372" s="181"/>
      <c r="Y372" s="176"/>
      <c r="Z372" s="181"/>
      <c r="AA372" s="181"/>
      <c r="AB372" s="176"/>
      <c r="AC372" s="181"/>
      <c r="AD372" s="181"/>
      <c r="AE372" s="176"/>
      <c r="AF372" s="176"/>
      <c r="AG372" s="176"/>
      <c r="AH372" s="176"/>
      <c r="AI372" s="181"/>
      <c r="AJ372" s="181"/>
      <c r="AK372" s="176"/>
      <c r="AL372" s="181"/>
      <c r="AM372" s="181"/>
      <c r="AN372" s="176"/>
      <c r="AO372" s="181"/>
      <c r="AP372" s="181"/>
    </row>
    <row r="373" ht="12.75" customHeight="1">
      <c r="A373" s="179"/>
      <c r="B373" s="459"/>
      <c r="C373" s="481"/>
      <c r="D373" s="180"/>
      <c r="E373" s="180"/>
      <c r="F373" s="180"/>
      <c r="G373" s="460"/>
      <c r="H373" s="181"/>
      <c r="I373" s="181"/>
      <c r="J373" s="181"/>
      <c r="K373" s="181"/>
      <c r="L373" s="181"/>
      <c r="M373" s="329"/>
      <c r="N373" s="181"/>
      <c r="O373" s="181"/>
      <c r="P373" s="176"/>
      <c r="Q373" s="181"/>
      <c r="R373" s="181"/>
      <c r="S373" s="176"/>
      <c r="T373" s="181"/>
      <c r="U373" s="181"/>
      <c r="V373" s="176"/>
      <c r="W373" s="181"/>
      <c r="X373" s="181"/>
      <c r="Y373" s="176"/>
      <c r="Z373" s="181"/>
      <c r="AA373" s="181"/>
      <c r="AB373" s="176"/>
      <c r="AC373" s="181"/>
      <c r="AD373" s="181"/>
      <c r="AE373" s="176"/>
      <c r="AF373" s="176"/>
      <c r="AG373" s="176"/>
      <c r="AH373" s="176"/>
      <c r="AI373" s="181"/>
      <c r="AJ373" s="181"/>
      <c r="AK373" s="176"/>
      <c r="AL373" s="181"/>
      <c r="AM373" s="181"/>
      <c r="AN373" s="176"/>
      <c r="AO373" s="181"/>
      <c r="AP373" s="181"/>
    </row>
    <row r="374" ht="12.75" customHeight="1">
      <c r="A374" s="179"/>
      <c r="B374" s="459"/>
      <c r="C374" s="481"/>
      <c r="D374" s="180"/>
      <c r="E374" s="180"/>
      <c r="F374" s="180"/>
      <c r="G374" s="460"/>
      <c r="H374" s="181"/>
      <c r="I374" s="181"/>
      <c r="J374" s="181"/>
      <c r="K374" s="181"/>
      <c r="L374" s="181"/>
      <c r="M374" s="329"/>
      <c r="N374" s="181"/>
      <c r="O374" s="181"/>
      <c r="P374" s="176"/>
      <c r="Q374" s="181"/>
      <c r="R374" s="181"/>
      <c r="S374" s="176"/>
      <c r="T374" s="181"/>
      <c r="U374" s="181"/>
      <c r="V374" s="176"/>
      <c r="W374" s="181"/>
      <c r="X374" s="181"/>
      <c r="Y374" s="176"/>
      <c r="Z374" s="181"/>
      <c r="AA374" s="181"/>
      <c r="AB374" s="176"/>
      <c r="AC374" s="181"/>
      <c r="AD374" s="181"/>
      <c r="AE374" s="176"/>
      <c r="AF374" s="176"/>
      <c r="AG374" s="176"/>
      <c r="AH374" s="176"/>
      <c r="AI374" s="181"/>
      <c r="AJ374" s="181"/>
      <c r="AK374" s="176"/>
      <c r="AL374" s="181"/>
      <c r="AM374" s="181"/>
      <c r="AN374" s="176"/>
      <c r="AO374" s="181"/>
      <c r="AP374" s="181"/>
    </row>
    <row r="375" ht="12.75" customHeight="1">
      <c r="A375" s="179"/>
      <c r="B375" s="459"/>
      <c r="C375" s="481"/>
      <c r="D375" s="180"/>
      <c r="E375" s="180"/>
      <c r="F375" s="180"/>
      <c r="G375" s="460"/>
      <c r="H375" s="181"/>
      <c r="I375" s="181"/>
      <c r="J375" s="181"/>
      <c r="K375" s="181"/>
      <c r="L375" s="181"/>
      <c r="M375" s="329"/>
      <c r="N375" s="181"/>
      <c r="O375" s="181"/>
      <c r="P375" s="176"/>
      <c r="Q375" s="181"/>
      <c r="R375" s="181"/>
      <c r="S375" s="176"/>
      <c r="T375" s="181"/>
      <c r="U375" s="181"/>
      <c r="V375" s="176"/>
      <c r="W375" s="181"/>
      <c r="X375" s="181"/>
      <c r="Y375" s="176"/>
      <c r="Z375" s="181"/>
      <c r="AA375" s="181"/>
      <c r="AB375" s="176"/>
      <c r="AC375" s="181"/>
      <c r="AD375" s="181"/>
      <c r="AE375" s="176"/>
      <c r="AF375" s="176"/>
      <c r="AG375" s="176"/>
      <c r="AH375" s="176"/>
      <c r="AI375" s="181"/>
      <c r="AJ375" s="181"/>
      <c r="AK375" s="176"/>
      <c r="AL375" s="181"/>
      <c r="AM375" s="181"/>
      <c r="AN375" s="176"/>
      <c r="AO375" s="181"/>
      <c r="AP375" s="181"/>
    </row>
    <row r="376" ht="12.75" customHeight="1">
      <c r="A376" s="179"/>
      <c r="B376" s="459"/>
      <c r="C376" s="481"/>
      <c r="D376" s="180"/>
      <c r="E376" s="180"/>
      <c r="F376" s="180"/>
      <c r="G376" s="460"/>
      <c r="H376" s="181"/>
      <c r="I376" s="181"/>
      <c r="J376" s="181"/>
      <c r="K376" s="181"/>
      <c r="L376" s="181"/>
      <c r="M376" s="329"/>
      <c r="N376" s="181"/>
      <c r="O376" s="181"/>
      <c r="P376" s="176"/>
      <c r="Q376" s="181"/>
      <c r="R376" s="181"/>
      <c r="S376" s="176"/>
      <c r="T376" s="181"/>
      <c r="U376" s="181"/>
      <c r="V376" s="176"/>
      <c r="W376" s="181"/>
      <c r="X376" s="181"/>
      <c r="Y376" s="176"/>
      <c r="Z376" s="181"/>
      <c r="AA376" s="181"/>
      <c r="AB376" s="176"/>
      <c r="AC376" s="181"/>
      <c r="AD376" s="181"/>
      <c r="AE376" s="176"/>
      <c r="AF376" s="176"/>
      <c r="AG376" s="176"/>
      <c r="AH376" s="176"/>
      <c r="AI376" s="181"/>
      <c r="AJ376" s="181"/>
      <c r="AK376" s="176"/>
      <c r="AL376" s="181"/>
      <c r="AM376" s="181"/>
      <c r="AN376" s="176"/>
      <c r="AO376" s="181"/>
      <c r="AP376" s="181"/>
    </row>
    <row r="377" ht="12.75" customHeight="1">
      <c r="A377" s="179"/>
      <c r="B377" s="459"/>
      <c r="C377" s="481"/>
      <c r="D377" s="180"/>
      <c r="E377" s="180"/>
      <c r="F377" s="180"/>
      <c r="G377" s="460"/>
      <c r="H377" s="181"/>
      <c r="I377" s="181"/>
      <c r="J377" s="181"/>
      <c r="K377" s="181"/>
      <c r="L377" s="181"/>
      <c r="M377" s="329"/>
      <c r="N377" s="181"/>
      <c r="O377" s="181"/>
      <c r="P377" s="176"/>
      <c r="Q377" s="181"/>
      <c r="R377" s="181"/>
      <c r="S377" s="176"/>
      <c r="T377" s="181"/>
      <c r="U377" s="181"/>
      <c r="V377" s="176"/>
      <c r="W377" s="181"/>
      <c r="X377" s="181"/>
      <c r="Y377" s="176"/>
      <c r="Z377" s="181"/>
      <c r="AA377" s="181"/>
      <c r="AB377" s="176"/>
      <c r="AC377" s="181"/>
      <c r="AD377" s="181"/>
      <c r="AE377" s="176"/>
      <c r="AF377" s="176"/>
      <c r="AG377" s="176"/>
      <c r="AH377" s="176"/>
      <c r="AI377" s="181"/>
      <c r="AJ377" s="181"/>
      <c r="AK377" s="176"/>
      <c r="AL377" s="181"/>
      <c r="AM377" s="181"/>
      <c r="AN377" s="176"/>
      <c r="AO377" s="181"/>
      <c r="AP377" s="181"/>
    </row>
    <row r="378" ht="12.75" customHeight="1">
      <c r="A378" s="179"/>
      <c r="B378" s="459"/>
      <c r="C378" s="481"/>
      <c r="D378" s="180"/>
      <c r="E378" s="180"/>
      <c r="F378" s="180"/>
      <c r="G378" s="460"/>
      <c r="H378" s="181"/>
      <c r="I378" s="181"/>
      <c r="J378" s="181"/>
      <c r="K378" s="181"/>
      <c r="L378" s="181"/>
      <c r="M378" s="329"/>
      <c r="N378" s="181"/>
      <c r="O378" s="181"/>
      <c r="P378" s="176"/>
      <c r="Q378" s="181"/>
      <c r="R378" s="181"/>
      <c r="S378" s="176"/>
      <c r="T378" s="181"/>
      <c r="U378" s="181"/>
      <c r="V378" s="176"/>
      <c r="W378" s="181"/>
      <c r="X378" s="181"/>
      <c r="Y378" s="176"/>
      <c r="Z378" s="181"/>
      <c r="AA378" s="181"/>
      <c r="AB378" s="176"/>
      <c r="AC378" s="181"/>
      <c r="AD378" s="181"/>
      <c r="AE378" s="176"/>
      <c r="AF378" s="176"/>
      <c r="AG378" s="176"/>
      <c r="AH378" s="176"/>
      <c r="AI378" s="181"/>
      <c r="AJ378" s="181"/>
      <c r="AK378" s="176"/>
      <c r="AL378" s="181"/>
      <c r="AM378" s="181"/>
      <c r="AN378" s="176"/>
      <c r="AO378" s="181"/>
      <c r="AP378" s="181"/>
    </row>
    <row r="379" ht="12.75" customHeight="1">
      <c r="A379" s="179"/>
      <c r="B379" s="459"/>
      <c r="C379" s="481"/>
      <c r="D379" s="180"/>
      <c r="E379" s="180"/>
      <c r="F379" s="180"/>
      <c r="G379" s="460"/>
      <c r="H379" s="181"/>
      <c r="I379" s="181"/>
      <c r="J379" s="181"/>
      <c r="K379" s="181"/>
      <c r="L379" s="181"/>
      <c r="M379" s="329"/>
      <c r="N379" s="181"/>
      <c r="O379" s="181"/>
      <c r="P379" s="176"/>
      <c r="Q379" s="181"/>
      <c r="R379" s="181"/>
      <c r="S379" s="176"/>
      <c r="T379" s="181"/>
      <c r="U379" s="181"/>
      <c r="V379" s="176"/>
      <c r="W379" s="181"/>
      <c r="X379" s="181"/>
      <c r="Y379" s="176"/>
      <c r="Z379" s="181"/>
      <c r="AA379" s="181"/>
      <c r="AB379" s="176"/>
      <c r="AC379" s="181"/>
      <c r="AD379" s="181"/>
      <c r="AE379" s="176"/>
      <c r="AF379" s="176"/>
      <c r="AG379" s="176"/>
      <c r="AH379" s="176"/>
      <c r="AI379" s="181"/>
      <c r="AJ379" s="181"/>
      <c r="AK379" s="176"/>
      <c r="AL379" s="181"/>
      <c r="AM379" s="181"/>
      <c r="AN379" s="176"/>
      <c r="AO379" s="181"/>
      <c r="AP379" s="181"/>
    </row>
    <row r="380" ht="12.75" customHeight="1">
      <c r="A380" s="179"/>
      <c r="B380" s="459"/>
      <c r="C380" s="481"/>
      <c r="D380" s="180"/>
      <c r="E380" s="180"/>
      <c r="F380" s="180"/>
      <c r="G380" s="460"/>
      <c r="H380" s="181"/>
      <c r="I380" s="181"/>
      <c r="J380" s="181"/>
      <c r="K380" s="181"/>
      <c r="L380" s="181"/>
      <c r="M380" s="329"/>
      <c r="N380" s="181"/>
      <c r="O380" s="181"/>
      <c r="P380" s="176"/>
      <c r="Q380" s="181"/>
      <c r="R380" s="181"/>
      <c r="S380" s="176"/>
      <c r="T380" s="181"/>
      <c r="U380" s="181"/>
      <c r="V380" s="176"/>
      <c r="W380" s="181"/>
      <c r="X380" s="181"/>
      <c r="Y380" s="176"/>
      <c r="Z380" s="181"/>
      <c r="AA380" s="181"/>
      <c r="AB380" s="176"/>
      <c r="AC380" s="181"/>
      <c r="AD380" s="181"/>
      <c r="AE380" s="176"/>
      <c r="AF380" s="176"/>
      <c r="AG380" s="176"/>
      <c r="AH380" s="176"/>
      <c r="AI380" s="181"/>
      <c r="AJ380" s="181"/>
      <c r="AK380" s="176"/>
      <c r="AL380" s="181"/>
      <c r="AM380" s="181"/>
      <c r="AN380" s="176"/>
      <c r="AO380" s="181"/>
      <c r="AP380" s="181"/>
    </row>
    <row r="381" ht="12.75" customHeight="1">
      <c r="A381" s="179"/>
      <c r="B381" s="459"/>
      <c r="C381" s="481"/>
      <c r="D381" s="180"/>
      <c r="E381" s="180"/>
      <c r="F381" s="180"/>
      <c r="G381" s="460"/>
      <c r="H381" s="181"/>
      <c r="I381" s="181"/>
      <c r="J381" s="181"/>
      <c r="K381" s="181"/>
      <c r="L381" s="181"/>
      <c r="M381" s="329"/>
      <c r="N381" s="181"/>
      <c r="O381" s="181"/>
      <c r="P381" s="176"/>
      <c r="Q381" s="181"/>
      <c r="R381" s="181"/>
      <c r="S381" s="176"/>
      <c r="T381" s="181"/>
      <c r="U381" s="181"/>
      <c r="V381" s="176"/>
      <c r="W381" s="181"/>
      <c r="X381" s="181"/>
      <c r="Y381" s="176"/>
      <c r="Z381" s="181"/>
      <c r="AA381" s="181"/>
      <c r="AB381" s="176"/>
      <c r="AC381" s="181"/>
      <c r="AD381" s="181"/>
      <c r="AE381" s="176"/>
      <c r="AF381" s="176"/>
      <c r="AG381" s="176"/>
      <c r="AH381" s="176"/>
      <c r="AI381" s="181"/>
      <c r="AJ381" s="181"/>
      <c r="AK381" s="176"/>
      <c r="AL381" s="181"/>
      <c r="AM381" s="181"/>
      <c r="AN381" s="176"/>
      <c r="AO381" s="181"/>
      <c r="AP381" s="181"/>
    </row>
    <row r="382" ht="12.75" customHeight="1">
      <c r="A382" s="179"/>
      <c r="B382" s="459"/>
      <c r="C382" s="481"/>
      <c r="D382" s="180"/>
      <c r="E382" s="180"/>
      <c r="F382" s="180"/>
      <c r="G382" s="460"/>
      <c r="H382" s="181"/>
      <c r="I382" s="181"/>
      <c r="J382" s="181"/>
      <c r="K382" s="181"/>
      <c r="L382" s="181"/>
      <c r="M382" s="329"/>
      <c r="N382" s="181"/>
      <c r="O382" s="181"/>
      <c r="P382" s="176"/>
      <c r="Q382" s="181"/>
      <c r="R382" s="181"/>
      <c r="S382" s="176"/>
      <c r="T382" s="181"/>
      <c r="U382" s="181"/>
      <c r="V382" s="176"/>
      <c r="W382" s="181"/>
      <c r="X382" s="181"/>
      <c r="Y382" s="176"/>
      <c r="Z382" s="181"/>
      <c r="AA382" s="181"/>
      <c r="AB382" s="176"/>
      <c r="AC382" s="181"/>
      <c r="AD382" s="181"/>
      <c r="AE382" s="176"/>
      <c r="AF382" s="176"/>
      <c r="AG382" s="176"/>
      <c r="AH382" s="176"/>
      <c r="AI382" s="181"/>
      <c r="AJ382" s="181"/>
      <c r="AK382" s="176"/>
      <c r="AL382" s="181"/>
      <c r="AM382" s="181"/>
      <c r="AN382" s="176"/>
      <c r="AO382" s="181"/>
      <c r="AP382" s="181"/>
    </row>
    <row r="383" ht="12.75" customHeight="1">
      <c r="A383" s="179"/>
      <c r="B383" s="459"/>
      <c r="C383" s="481"/>
      <c r="D383" s="180"/>
      <c r="E383" s="180"/>
      <c r="F383" s="180"/>
      <c r="G383" s="460"/>
      <c r="H383" s="181"/>
      <c r="I383" s="181"/>
      <c r="J383" s="181"/>
      <c r="K383" s="181"/>
      <c r="L383" s="181"/>
      <c r="M383" s="329"/>
      <c r="N383" s="181"/>
      <c r="O383" s="181"/>
      <c r="P383" s="176"/>
      <c r="Q383" s="181"/>
      <c r="R383" s="181"/>
      <c r="S383" s="176"/>
      <c r="T383" s="181"/>
      <c r="U383" s="181"/>
      <c r="V383" s="176"/>
      <c r="W383" s="181"/>
      <c r="X383" s="181"/>
      <c r="Y383" s="176"/>
      <c r="Z383" s="181"/>
      <c r="AA383" s="181"/>
      <c r="AB383" s="176"/>
      <c r="AC383" s="181"/>
      <c r="AD383" s="181"/>
      <c r="AE383" s="176"/>
      <c r="AF383" s="176"/>
      <c r="AG383" s="176"/>
      <c r="AH383" s="176"/>
      <c r="AI383" s="181"/>
      <c r="AJ383" s="181"/>
      <c r="AK383" s="176"/>
      <c r="AL383" s="181"/>
      <c r="AM383" s="181"/>
      <c r="AN383" s="176"/>
      <c r="AO383" s="181"/>
      <c r="AP383" s="181"/>
    </row>
    <row r="384" ht="12.75" customHeight="1">
      <c r="A384" s="179"/>
      <c r="B384" s="459"/>
      <c r="C384" s="481"/>
      <c r="D384" s="180"/>
      <c r="E384" s="180"/>
      <c r="F384" s="180"/>
      <c r="G384" s="460"/>
      <c r="H384" s="181"/>
      <c r="I384" s="181"/>
      <c r="J384" s="181"/>
      <c r="K384" s="181"/>
      <c r="L384" s="181"/>
      <c r="M384" s="329"/>
      <c r="N384" s="181"/>
      <c r="O384" s="181"/>
      <c r="P384" s="176"/>
      <c r="Q384" s="181"/>
      <c r="R384" s="181"/>
      <c r="S384" s="176"/>
      <c r="T384" s="181"/>
      <c r="U384" s="181"/>
      <c r="V384" s="176"/>
      <c r="W384" s="181"/>
      <c r="X384" s="181"/>
      <c r="Y384" s="176"/>
      <c r="Z384" s="181"/>
      <c r="AA384" s="181"/>
      <c r="AB384" s="176"/>
      <c r="AC384" s="181"/>
      <c r="AD384" s="181"/>
      <c r="AE384" s="176"/>
      <c r="AF384" s="176"/>
      <c r="AG384" s="176"/>
      <c r="AH384" s="176"/>
      <c r="AI384" s="181"/>
      <c r="AJ384" s="181"/>
      <c r="AK384" s="176"/>
      <c r="AL384" s="181"/>
      <c r="AM384" s="181"/>
      <c r="AN384" s="176"/>
      <c r="AO384" s="181"/>
      <c r="AP384" s="181"/>
    </row>
    <row r="385" ht="12.75" customHeight="1">
      <c r="A385" s="179"/>
      <c r="B385" s="459"/>
      <c r="C385" s="481"/>
      <c r="D385" s="180"/>
      <c r="E385" s="180"/>
      <c r="F385" s="180"/>
      <c r="G385" s="460"/>
      <c r="H385" s="181"/>
      <c r="I385" s="181"/>
      <c r="J385" s="181"/>
      <c r="K385" s="181"/>
      <c r="L385" s="181"/>
      <c r="M385" s="329"/>
      <c r="N385" s="181"/>
      <c r="O385" s="181"/>
      <c r="P385" s="176"/>
      <c r="Q385" s="181"/>
      <c r="R385" s="181"/>
      <c r="S385" s="176"/>
      <c r="T385" s="181"/>
      <c r="U385" s="181"/>
      <c r="V385" s="176"/>
      <c r="W385" s="181"/>
      <c r="X385" s="181"/>
      <c r="Y385" s="176"/>
      <c r="Z385" s="181"/>
      <c r="AA385" s="181"/>
      <c r="AB385" s="176"/>
      <c r="AC385" s="181"/>
      <c r="AD385" s="181"/>
      <c r="AE385" s="176"/>
      <c r="AF385" s="176"/>
      <c r="AG385" s="176"/>
      <c r="AH385" s="176"/>
      <c r="AI385" s="181"/>
      <c r="AJ385" s="181"/>
      <c r="AK385" s="176"/>
      <c r="AL385" s="181"/>
      <c r="AM385" s="181"/>
      <c r="AN385" s="176"/>
      <c r="AO385" s="181"/>
      <c r="AP385" s="181"/>
    </row>
    <row r="386" ht="12.75" customHeight="1">
      <c r="A386" s="179"/>
      <c r="B386" s="459"/>
      <c r="C386" s="481"/>
      <c r="D386" s="180"/>
      <c r="E386" s="180"/>
      <c r="F386" s="180"/>
      <c r="G386" s="460"/>
      <c r="H386" s="181"/>
      <c r="I386" s="181"/>
      <c r="J386" s="181"/>
      <c r="K386" s="181"/>
      <c r="L386" s="181"/>
      <c r="M386" s="329"/>
      <c r="N386" s="181"/>
      <c r="O386" s="181"/>
      <c r="P386" s="176"/>
      <c r="Q386" s="181"/>
      <c r="R386" s="181"/>
      <c r="S386" s="176"/>
      <c r="T386" s="181"/>
      <c r="U386" s="181"/>
      <c r="V386" s="176"/>
      <c r="W386" s="181"/>
      <c r="X386" s="181"/>
      <c r="Y386" s="176"/>
      <c r="Z386" s="181"/>
      <c r="AA386" s="181"/>
      <c r="AB386" s="176"/>
      <c r="AC386" s="181"/>
      <c r="AD386" s="181"/>
      <c r="AE386" s="176"/>
      <c r="AF386" s="176"/>
      <c r="AG386" s="176"/>
      <c r="AH386" s="176"/>
      <c r="AI386" s="181"/>
      <c r="AJ386" s="181"/>
      <c r="AK386" s="176"/>
      <c r="AL386" s="181"/>
      <c r="AM386" s="181"/>
      <c r="AN386" s="176"/>
      <c r="AO386" s="181"/>
      <c r="AP386" s="181"/>
    </row>
    <row r="387" ht="12.75" customHeight="1">
      <c r="A387" s="179"/>
      <c r="B387" s="459"/>
      <c r="C387" s="481"/>
      <c r="D387" s="180"/>
      <c r="E387" s="180"/>
      <c r="F387" s="180"/>
      <c r="G387" s="460"/>
      <c r="H387" s="181"/>
      <c r="I387" s="181"/>
      <c r="J387" s="181"/>
      <c r="K387" s="181"/>
      <c r="L387" s="181"/>
      <c r="M387" s="329"/>
      <c r="N387" s="181"/>
      <c r="O387" s="181"/>
      <c r="P387" s="176"/>
      <c r="Q387" s="181"/>
      <c r="R387" s="181"/>
      <c r="S387" s="176"/>
      <c r="T387" s="181"/>
      <c r="U387" s="181"/>
      <c r="V387" s="176"/>
      <c r="W387" s="181"/>
      <c r="X387" s="181"/>
      <c r="Y387" s="176"/>
      <c r="Z387" s="181"/>
      <c r="AA387" s="181"/>
      <c r="AB387" s="176"/>
      <c r="AC387" s="181"/>
      <c r="AD387" s="181"/>
      <c r="AE387" s="176"/>
      <c r="AF387" s="176"/>
      <c r="AG387" s="176"/>
      <c r="AH387" s="176"/>
      <c r="AI387" s="181"/>
      <c r="AJ387" s="181"/>
      <c r="AK387" s="176"/>
      <c r="AL387" s="181"/>
      <c r="AM387" s="181"/>
      <c r="AN387" s="176"/>
      <c r="AO387" s="181"/>
      <c r="AP387" s="181"/>
    </row>
    <row r="388" ht="12.75" customHeight="1">
      <c r="A388" s="179"/>
      <c r="B388" s="459"/>
      <c r="C388" s="481"/>
      <c r="D388" s="180"/>
      <c r="E388" s="180"/>
      <c r="F388" s="180"/>
      <c r="G388" s="460"/>
      <c r="H388" s="181"/>
      <c r="I388" s="181"/>
      <c r="J388" s="181"/>
      <c r="K388" s="181"/>
      <c r="L388" s="181"/>
      <c r="M388" s="329"/>
      <c r="N388" s="181"/>
      <c r="O388" s="181"/>
      <c r="P388" s="176"/>
      <c r="Q388" s="181"/>
      <c r="R388" s="181"/>
      <c r="S388" s="176"/>
      <c r="T388" s="181"/>
      <c r="U388" s="181"/>
      <c r="V388" s="176"/>
      <c r="W388" s="181"/>
      <c r="X388" s="181"/>
      <c r="Y388" s="176"/>
      <c r="Z388" s="181"/>
      <c r="AA388" s="181"/>
      <c r="AB388" s="176"/>
      <c r="AC388" s="181"/>
      <c r="AD388" s="181"/>
      <c r="AE388" s="176"/>
      <c r="AF388" s="176"/>
      <c r="AG388" s="176"/>
      <c r="AH388" s="176"/>
      <c r="AI388" s="181"/>
      <c r="AJ388" s="181"/>
      <c r="AK388" s="176"/>
      <c r="AL388" s="181"/>
      <c r="AM388" s="181"/>
      <c r="AN388" s="176"/>
      <c r="AO388" s="181"/>
      <c r="AP388" s="181"/>
    </row>
    <row r="389" ht="12.75" customHeight="1">
      <c r="A389" s="179"/>
      <c r="B389" s="459"/>
      <c r="C389" s="481"/>
      <c r="D389" s="180"/>
      <c r="E389" s="180"/>
      <c r="F389" s="180"/>
      <c r="G389" s="460"/>
      <c r="H389" s="181"/>
      <c r="I389" s="181"/>
      <c r="J389" s="181"/>
      <c r="K389" s="181"/>
      <c r="L389" s="181"/>
      <c r="M389" s="329"/>
      <c r="N389" s="181"/>
      <c r="O389" s="181"/>
      <c r="P389" s="176"/>
      <c r="Q389" s="181"/>
      <c r="R389" s="181"/>
      <c r="S389" s="176"/>
      <c r="T389" s="181"/>
      <c r="U389" s="181"/>
      <c r="V389" s="176"/>
      <c r="W389" s="181"/>
      <c r="X389" s="181"/>
      <c r="Y389" s="176"/>
      <c r="Z389" s="181"/>
      <c r="AA389" s="181"/>
      <c r="AB389" s="176"/>
      <c r="AC389" s="181"/>
      <c r="AD389" s="181"/>
      <c r="AE389" s="176"/>
      <c r="AF389" s="176"/>
      <c r="AG389" s="176"/>
      <c r="AH389" s="176"/>
      <c r="AI389" s="181"/>
      <c r="AJ389" s="181"/>
      <c r="AK389" s="176"/>
      <c r="AL389" s="181"/>
      <c r="AM389" s="181"/>
      <c r="AN389" s="176"/>
      <c r="AO389" s="181"/>
      <c r="AP389" s="181"/>
    </row>
    <row r="390" ht="12.75" customHeight="1">
      <c r="A390" s="179"/>
      <c r="B390" s="459"/>
      <c r="C390" s="481"/>
      <c r="D390" s="180"/>
      <c r="E390" s="180"/>
      <c r="F390" s="180"/>
      <c r="G390" s="460"/>
      <c r="H390" s="181"/>
      <c r="I390" s="181"/>
      <c r="J390" s="181"/>
      <c r="K390" s="181"/>
      <c r="L390" s="181"/>
      <c r="M390" s="329"/>
      <c r="N390" s="181"/>
      <c r="O390" s="181"/>
      <c r="P390" s="176"/>
      <c r="Q390" s="181"/>
      <c r="R390" s="181"/>
      <c r="S390" s="176"/>
      <c r="T390" s="181"/>
      <c r="U390" s="181"/>
      <c r="V390" s="176"/>
      <c r="W390" s="181"/>
      <c r="X390" s="181"/>
      <c r="Y390" s="176"/>
      <c r="Z390" s="181"/>
      <c r="AA390" s="181"/>
      <c r="AB390" s="176"/>
      <c r="AC390" s="181"/>
      <c r="AD390" s="181"/>
      <c r="AE390" s="176"/>
      <c r="AF390" s="176"/>
      <c r="AG390" s="176"/>
      <c r="AH390" s="176"/>
      <c r="AI390" s="181"/>
      <c r="AJ390" s="181"/>
      <c r="AK390" s="176"/>
      <c r="AL390" s="181"/>
      <c r="AM390" s="181"/>
      <c r="AN390" s="176"/>
      <c r="AO390" s="181"/>
      <c r="AP390" s="181"/>
    </row>
    <row r="391" ht="12.75" customHeight="1">
      <c r="A391" s="179"/>
      <c r="B391" s="459"/>
      <c r="C391" s="481"/>
      <c r="D391" s="180"/>
      <c r="E391" s="180"/>
      <c r="F391" s="180"/>
      <c r="G391" s="460"/>
      <c r="H391" s="181"/>
      <c r="I391" s="181"/>
      <c r="J391" s="181"/>
      <c r="K391" s="181"/>
      <c r="L391" s="181"/>
      <c r="M391" s="329"/>
      <c r="N391" s="181"/>
      <c r="O391" s="181"/>
      <c r="P391" s="176"/>
      <c r="Q391" s="181"/>
      <c r="R391" s="181"/>
      <c r="S391" s="176"/>
      <c r="T391" s="181"/>
      <c r="U391" s="181"/>
      <c r="V391" s="176"/>
      <c r="W391" s="181"/>
      <c r="X391" s="181"/>
      <c r="Y391" s="176"/>
      <c r="Z391" s="181"/>
      <c r="AA391" s="181"/>
      <c r="AB391" s="176"/>
      <c r="AC391" s="181"/>
      <c r="AD391" s="181"/>
      <c r="AE391" s="176"/>
      <c r="AF391" s="176"/>
      <c r="AG391" s="176"/>
      <c r="AH391" s="176"/>
      <c r="AI391" s="181"/>
      <c r="AJ391" s="181"/>
      <c r="AK391" s="176"/>
      <c r="AL391" s="181"/>
      <c r="AM391" s="181"/>
      <c r="AN391" s="176"/>
      <c r="AO391" s="181"/>
      <c r="AP391" s="181"/>
    </row>
    <row r="392" ht="12.75" customHeight="1">
      <c r="A392" s="179"/>
      <c r="B392" s="459"/>
      <c r="C392" s="481"/>
      <c r="D392" s="180"/>
      <c r="E392" s="180"/>
      <c r="F392" s="180"/>
      <c r="G392" s="460"/>
      <c r="H392" s="181"/>
      <c r="I392" s="181"/>
      <c r="J392" s="181"/>
      <c r="K392" s="181"/>
      <c r="L392" s="181"/>
      <c r="M392" s="329"/>
      <c r="N392" s="181"/>
      <c r="O392" s="181"/>
      <c r="P392" s="176"/>
      <c r="Q392" s="181"/>
      <c r="R392" s="181"/>
      <c r="S392" s="176"/>
      <c r="T392" s="181"/>
      <c r="U392" s="181"/>
      <c r="V392" s="176"/>
      <c r="W392" s="181"/>
      <c r="X392" s="181"/>
      <c r="Y392" s="176"/>
      <c r="Z392" s="181"/>
      <c r="AA392" s="181"/>
      <c r="AB392" s="176"/>
      <c r="AC392" s="181"/>
      <c r="AD392" s="181"/>
      <c r="AE392" s="176"/>
      <c r="AF392" s="176"/>
      <c r="AG392" s="176"/>
      <c r="AH392" s="176"/>
      <c r="AI392" s="181"/>
      <c r="AJ392" s="181"/>
      <c r="AK392" s="176"/>
      <c r="AL392" s="181"/>
      <c r="AM392" s="181"/>
      <c r="AN392" s="176"/>
      <c r="AO392" s="181"/>
      <c r="AP392" s="181"/>
    </row>
    <row r="393" ht="12.75" customHeight="1">
      <c r="A393" s="179"/>
      <c r="B393" s="459"/>
      <c r="C393" s="481"/>
      <c r="D393" s="180"/>
      <c r="E393" s="180"/>
      <c r="F393" s="180"/>
      <c r="G393" s="460"/>
      <c r="H393" s="181"/>
      <c r="I393" s="181"/>
      <c r="J393" s="181"/>
      <c r="K393" s="181"/>
      <c r="L393" s="181"/>
      <c r="M393" s="329"/>
      <c r="N393" s="181"/>
      <c r="O393" s="181"/>
      <c r="P393" s="176"/>
      <c r="Q393" s="181"/>
      <c r="R393" s="181"/>
      <c r="S393" s="176"/>
      <c r="T393" s="181"/>
      <c r="U393" s="181"/>
      <c r="V393" s="176"/>
      <c r="W393" s="181"/>
      <c r="X393" s="181"/>
      <c r="Y393" s="176"/>
      <c r="Z393" s="181"/>
      <c r="AA393" s="181"/>
      <c r="AB393" s="176"/>
      <c r="AC393" s="181"/>
      <c r="AD393" s="181"/>
      <c r="AE393" s="176"/>
      <c r="AF393" s="176"/>
      <c r="AG393" s="176"/>
      <c r="AH393" s="176"/>
      <c r="AI393" s="181"/>
      <c r="AJ393" s="181"/>
      <c r="AK393" s="176"/>
      <c r="AL393" s="181"/>
      <c r="AM393" s="181"/>
      <c r="AN393" s="176"/>
      <c r="AO393" s="181"/>
      <c r="AP393" s="181"/>
    </row>
    <row r="394" ht="12.75" customHeight="1">
      <c r="A394" s="179"/>
      <c r="B394" s="459"/>
      <c r="C394" s="481"/>
      <c r="D394" s="180"/>
      <c r="E394" s="180"/>
      <c r="F394" s="180"/>
      <c r="G394" s="460"/>
      <c r="H394" s="181"/>
      <c r="I394" s="181"/>
      <c r="J394" s="181"/>
      <c r="K394" s="181"/>
      <c r="L394" s="181"/>
      <c r="M394" s="329"/>
      <c r="N394" s="181"/>
      <c r="O394" s="181"/>
      <c r="P394" s="176"/>
      <c r="Q394" s="181"/>
      <c r="R394" s="181"/>
      <c r="S394" s="176"/>
      <c r="T394" s="181"/>
      <c r="U394" s="181"/>
      <c r="V394" s="176"/>
      <c r="W394" s="181"/>
      <c r="X394" s="181"/>
      <c r="Y394" s="176"/>
      <c r="Z394" s="181"/>
      <c r="AA394" s="181"/>
      <c r="AB394" s="176"/>
      <c r="AC394" s="181"/>
      <c r="AD394" s="181"/>
      <c r="AE394" s="176"/>
      <c r="AF394" s="176"/>
      <c r="AG394" s="176"/>
      <c r="AH394" s="176"/>
      <c r="AI394" s="181"/>
      <c r="AJ394" s="181"/>
      <c r="AK394" s="176"/>
      <c r="AL394" s="181"/>
      <c r="AM394" s="181"/>
      <c r="AN394" s="176"/>
      <c r="AO394" s="181"/>
      <c r="AP394" s="181"/>
    </row>
    <row r="395" ht="12.75" customHeight="1">
      <c r="A395" s="179"/>
      <c r="B395" s="459"/>
      <c r="C395" s="481"/>
      <c r="D395" s="180"/>
      <c r="E395" s="180"/>
      <c r="F395" s="180"/>
      <c r="G395" s="460"/>
      <c r="H395" s="181"/>
      <c r="I395" s="181"/>
      <c r="J395" s="181"/>
      <c r="K395" s="181"/>
      <c r="L395" s="181"/>
      <c r="M395" s="329"/>
      <c r="N395" s="181"/>
      <c r="O395" s="181"/>
      <c r="P395" s="176"/>
      <c r="Q395" s="181"/>
      <c r="R395" s="181"/>
      <c r="S395" s="176"/>
      <c r="T395" s="181"/>
      <c r="U395" s="181"/>
      <c r="V395" s="176"/>
      <c r="W395" s="181"/>
      <c r="X395" s="181"/>
      <c r="Y395" s="176"/>
      <c r="Z395" s="181"/>
      <c r="AA395" s="181"/>
      <c r="AB395" s="176"/>
      <c r="AC395" s="181"/>
      <c r="AD395" s="181"/>
      <c r="AE395" s="176"/>
      <c r="AF395" s="176"/>
      <c r="AG395" s="176"/>
      <c r="AH395" s="176"/>
      <c r="AI395" s="181"/>
      <c r="AJ395" s="181"/>
      <c r="AK395" s="176"/>
      <c r="AL395" s="181"/>
      <c r="AM395" s="181"/>
      <c r="AN395" s="176"/>
      <c r="AO395" s="181"/>
      <c r="AP395" s="181"/>
    </row>
    <row r="396" ht="12.75" customHeight="1">
      <c r="A396" s="179"/>
      <c r="B396" s="459"/>
      <c r="C396" s="481"/>
      <c r="D396" s="180"/>
      <c r="E396" s="180"/>
      <c r="F396" s="180"/>
      <c r="G396" s="460"/>
      <c r="H396" s="181"/>
      <c r="I396" s="181"/>
      <c r="J396" s="181"/>
      <c r="K396" s="181"/>
      <c r="L396" s="181"/>
      <c r="M396" s="329"/>
      <c r="N396" s="181"/>
      <c r="O396" s="181"/>
      <c r="P396" s="176"/>
      <c r="Q396" s="181"/>
      <c r="R396" s="181"/>
      <c r="S396" s="176"/>
      <c r="T396" s="181"/>
      <c r="U396" s="181"/>
      <c r="V396" s="176"/>
      <c r="W396" s="181"/>
      <c r="X396" s="181"/>
      <c r="Y396" s="176"/>
      <c r="Z396" s="181"/>
      <c r="AA396" s="181"/>
      <c r="AB396" s="176"/>
      <c r="AC396" s="181"/>
      <c r="AD396" s="181"/>
      <c r="AE396" s="176"/>
      <c r="AF396" s="176"/>
      <c r="AG396" s="176"/>
      <c r="AH396" s="176"/>
      <c r="AI396" s="181"/>
      <c r="AJ396" s="181"/>
      <c r="AK396" s="176"/>
      <c r="AL396" s="181"/>
      <c r="AM396" s="181"/>
      <c r="AN396" s="176"/>
      <c r="AO396" s="181"/>
      <c r="AP396" s="181"/>
    </row>
    <row r="397" ht="12.75" customHeight="1">
      <c r="A397" s="179"/>
      <c r="B397" s="459"/>
      <c r="C397" s="481"/>
      <c r="D397" s="180"/>
      <c r="E397" s="180"/>
      <c r="F397" s="180"/>
      <c r="G397" s="460"/>
      <c r="H397" s="181"/>
      <c r="I397" s="181"/>
      <c r="J397" s="181"/>
      <c r="K397" s="181"/>
      <c r="L397" s="181"/>
      <c r="M397" s="329"/>
      <c r="N397" s="181"/>
      <c r="O397" s="181"/>
      <c r="P397" s="176"/>
      <c r="Q397" s="181"/>
      <c r="R397" s="181"/>
      <c r="S397" s="176"/>
      <c r="T397" s="181"/>
      <c r="U397" s="181"/>
      <c r="V397" s="176"/>
      <c r="W397" s="181"/>
      <c r="X397" s="181"/>
      <c r="Y397" s="176"/>
      <c r="Z397" s="181"/>
      <c r="AA397" s="181"/>
      <c r="AB397" s="176"/>
      <c r="AC397" s="181"/>
      <c r="AD397" s="181"/>
      <c r="AE397" s="176"/>
      <c r="AF397" s="176"/>
      <c r="AG397" s="176"/>
      <c r="AH397" s="176"/>
      <c r="AI397" s="181"/>
      <c r="AJ397" s="181"/>
      <c r="AK397" s="176"/>
      <c r="AL397" s="181"/>
      <c r="AM397" s="181"/>
      <c r="AN397" s="176"/>
      <c r="AO397" s="181"/>
      <c r="AP397" s="181"/>
    </row>
    <row r="398" ht="12.75" customHeight="1">
      <c r="A398" s="179"/>
      <c r="B398" s="459"/>
      <c r="C398" s="481"/>
      <c r="D398" s="180"/>
      <c r="E398" s="180"/>
      <c r="F398" s="180"/>
      <c r="G398" s="460"/>
      <c r="H398" s="181"/>
      <c r="I398" s="181"/>
      <c r="J398" s="181"/>
      <c r="K398" s="181"/>
      <c r="L398" s="181"/>
      <c r="M398" s="329"/>
      <c r="N398" s="181"/>
      <c r="O398" s="181"/>
      <c r="P398" s="176"/>
      <c r="Q398" s="181"/>
      <c r="R398" s="181"/>
      <c r="S398" s="176"/>
      <c r="T398" s="181"/>
      <c r="U398" s="181"/>
      <c r="V398" s="176"/>
      <c r="W398" s="181"/>
      <c r="X398" s="181"/>
      <c r="Y398" s="176"/>
      <c r="Z398" s="181"/>
      <c r="AA398" s="181"/>
      <c r="AB398" s="176"/>
      <c r="AC398" s="181"/>
      <c r="AD398" s="181"/>
      <c r="AE398" s="176"/>
      <c r="AF398" s="176"/>
      <c r="AG398" s="176"/>
      <c r="AH398" s="176"/>
      <c r="AI398" s="181"/>
      <c r="AJ398" s="181"/>
      <c r="AK398" s="176"/>
      <c r="AL398" s="181"/>
      <c r="AM398" s="181"/>
      <c r="AN398" s="176"/>
      <c r="AO398" s="181"/>
      <c r="AP398" s="181"/>
    </row>
    <row r="399" ht="12.75" customHeight="1">
      <c r="A399" s="179"/>
      <c r="B399" s="459"/>
      <c r="C399" s="481"/>
      <c r="D399" s="180"/>
      <c r="E399" s="180"/>
      <c r="F399" s="180"/>
      <c r="G399" s="460"/>
      <c r="H399" s="181"/>
      <c r="I399" s="181"/>
      <c r="J399" s="181"/>
      <c r="K399" s="181"/>
      <c r="L399" s="181"/>
      <c r="M399" s="329"/>
      <c r="N399" s="181"/>
      <c r="O399" s="181"/>
      <c r="P399" s="176"/>
      <c r="Q399" s="181"/>
      <c r="R399" s="181"/>
      <c r="S399" s="176"/>
      <c r="T399" s="181"/>
      <c r="U399" s="181"/>
      <c r="V399" s="176"/>
      <c r="W399" s="181"/>
      <c r="X399" s="181"/>
      <c r="Y399" s="176"/>
      <c r="Z399" s="181"/>
      <c r="AA399" s="181"/>
      <c r="AB399" s="176"/>
      <c r="AC399" s="181"/>
      <c r="AD399" s="181"/>
      <c r="AE399" s="176"/>
      <c r="AF399" s="176"/>
      <c r="AG399" s="176"/>
      <c r="AH399" s="176"/>
      <c r="AI399" s="181"/>
      <c r="AJ399" s="181"/>
      <c r="AK399" s="176"/>
      <c r="AL399" s="181"/>
      <c r="AM399" s="181"/>
      <c r="AN399" s="176"/>
      <c r="AO399" s="181"/>
      <c r="AP399" s="181"/>
    </row>
    <row r="400" ht="12.75" customHeight="1">
      <c r="A400" s="179"/>
      <c r="B400" s="459"/>
      <c r="C400" s="481"/>
      <c r="D400" s="180"/>
      <c r="E400" s="180"/>
      <c r="F400" s="180"/>
      <c r="G400" s="460"/>
      <c r="H400" s="181"/>
      <c r="I400" s="181"/>
      <c r="J400" s="181"/>
      <c r="K400" s="181"/>
      <c r="L400" s="181"/>
      <c r="M400" s="329"/>
      <c r="N400" s="181"/>
      <c r="O400" s="181"/>
      <c r="P400" s="176"/>
      <c r="Q400" s="181"/>
      <c r="R400" s="181"/>
      <c r="S400" s="176"/>
      <c r="T400" s="181"/>
      <c r="U400" s="181"/>
      <c r="V400" s="176"/>
      <c r="W400" s="181"/>
      <c r="X400" s="181"/>
      <c r="Y400" s="176"/>
      <c r="Z400" s="181"/>
      <c r="AA400" s="181"/>
      <c r="AB400" s="176"/>
      <c r="AC400" s="181"/>
      <c r="AD400" s="181"/>
      <c r="AE400" s="176"/>
      <c r="AF400" s="176"/>
      <c r="AG400" s="176"/>
      <c r="AH400" s="176"/>
      <c r="AI400" s="181"/>
      <c r="AJ400" s="181"/>
      <c r="AK400" s="176"/>
      <c r="AL400" s="181"/>
      <c r="AM400" s="181"/>
      <c r="AN400" s="176"/>
      <c r="AO400" s="181"/>
      <c r="AP400" s="181"/>
    </row>
    <row r="401" ht="12.75" customHeight="1">
      <c r="A401" s="179"/>
      <c r="B401" s="459"/>
      <c r="C401" s="481"/>
      <c r="D401" s="180"/>
      <c r="E401" s="180"/>
      <c r="F401" s="180"/>
      <c r="G401" s="460"/>
      <c r="H401" s="181"/>
      <c r="I401" s="181"/>
      <c r="J401" s="181"/>
      <c r="K401" s="181"/>
      <c r="L401" s="181"/>
      <c r="M401" s="329"/>
      <c r="N401" s="181"/>
      <c r="O401" s="181"/>
      <c r="P401" s="176"/>
      <c r="Q401" s="181"/>
      <c r="R401" s="181"/>
      <c r="S401" s="176"/>
      <c r="T401" s="181"/>
      <c r="U401" s="181"/>
      <c r="V401" s="176"/>
      <c r="W401" s="181"/>
      <c r="X401" s="181"/>
      <c r="Y401" s="176"/>
      <c r="Z401" s="181"/>
      <c r="AA401" s="181"/>
      <c r="AB401" s="176"/>
      <c r="AC401" s="181"/>
      <c r="AD401" s="181"/>
      <c r="AE401" s="176"/>
      <c r="AF401" s="176"/>
      <c r="AG401" s="176"/>
      <c r="AH401" s="176"/>
      <c r="AI401" s="181"/>
      <c r="AJ401" s="181"/>
      <c r="AK401" s="176"/>
      <c r="AL401" s="181"/>
      <c r="AM401" s="181"/>
      <c r="AN401" s="176"/>
      <c r="AO401" s="181"/>
      <c r="AP401" s="181"/>
    </row>
    <row r="402" ht="12.75" customHeight="1">
      <c r="A402" s="179"/>
      <c r="B402" s="459"/>
      <c r="C402" s="481"/>
      <c r="D402" s="180"/>
      <c r="E402" s="180"/>
      <c r="F402" s="180"/>
      <c r="G402" s="460"/>
      <c r="H402" s="181"/>
      <c r="I402" s="181"/>
      <c r="J402" s="181"/>
      <c r="K402" s="181"/>
      <c r="L402" s="181"/>
      <c r="M402" s="329"/>
      <c r="N402" s="181"/>
      <c r="O402" s="181"/>
      <c r="P402" s="176"/>
      <c r="Q402" s="181"/>
      <c r="R402" s="181"/>
      <c r="S402" s="176"/>
      <c r="T402" s="181"/>
      <c r="U402" s="181"/>
      <c r="V402" s="176"/>
      <c r="W402" s="181"/>
      <c r="X402" s="181"/>
      <c r="Y402" s="176"/>
      <c r="Z402" s="181"/>
      <c r="AA402" s="181"/>
      <c r="AB402" s="176"/>
      <c r="AC402" s="181"/>
      <c r="AD402" s="181"/>
      <c r="AE402" s="176"/>
      <c r="AF402" s="176"/>
      <c r="AG402" s="176"/>
      <c r="AH402" s="176"/>
      <c r="AI402" s="181"/>
      <c r="AJ402" s="181"/>
      <c r="AK402" s="176"/>
      <c r="AL402" s="181"/>
      <c r="AM402" s="181"/>
      <c r="AN402" s="176"/>
      <c r="AO402" s="181"/>
      <c r="AP402" s="181"/>
    </row>
    <row r="403" ht="12.75" customHeight="1">
      <c r="A403" s="179"/>
      <c r="B403" s="459"/>
      <c r="C403" s="481"/>
      <c r="D403" s="180"/>
      <c r="E403" s="180"/>
      <c r="F403" s="180"/>
      <c r="G403" s="460"/>
      <c r="H403" s="181"/>
      <c r="I403" s="181"/>
      <c r="J403" s="181"/>
      <c r="K403" s="181"/>
      <c r="L403" s="181"/>
      <c r="M403" s="329"/>
      <c r="N403" s="181"/>
      <c r="O403" s="181"/>
      <c r="P403" s="176"/>
      <c r="Q403" s="181"/>
      <c r="R403" s="181"/>
      <c r="S403" s="176"/>
      <c r="T403" s="181"/>
      <c r="U403" s="181"/>
      <c r="V403" s="176"/>
      <c r="W403" s="181"/>
      <c r="X403" s="181"/>
      <c r="Y403" s="176"/>
      <c r="Z403" s="181"/>
      <c r="AA403" s="181"/>
      <c r="AB403" s="176"/>
      <c r="AC403" s="181"/>
      <c r="AD403" s="181"/>
      <c r="AE403" s="176"/>
      <c r="AF403" s="176"/>
      <c r="AG403" s="176"/>
      <c r="AH403" s="176"/>
      <c r="AI403" s="181"/>
      <c r="AJ403" s="181"/>
      <c r="AK403" s="176"/>
      <c r="AL403" s="181"/>
      <c r="AM403" s="181"/>
      <c r="AN403" s="176"/>
      <c r="AO403" s="181"/>
      <c r="AP403" s="181"/>
    </row>
    <row r="404" ht="12.75" customHeight="1">
      <c r="A404" s="179"/>
      <c r="B404" s="459"/>
      <c r="C404" s="481"/>
      <c r="D404" s="180"/>
      <c r="E404" s="180"/>
      <c r="F404" s="180"/>
      <c r="G404" s="460"/>
      <c r="H404" s="181"/>
      <c r="I404" s="181"/>
      <c r="J404" s="181"/>
      <c r="K404" s="181"/>
      <c r="L404" s="181"/>
      <c r="M404" s="329"/>
      <c r="N404" s="181"/>
      <c r="O404" s="181"/>
      <c r="P404" s="176"/>
      <c r="Q404" s="181"/>
      <c r="R404" s="181"/>
      <c r="S404" s="176"/>
      <c r="T404" s="181"/>
      <c r="U404" s="181"/>
      <c r="V404" s="176"/>
      <c r="W404" s="181"/>
      <c r="X404" s="181"/>
      <c r="Y404" s="176"/>
      <c r="Z404" s="181"/>
      <c r="AA404" s="181"/>
      <c r="AB404" s="176"/>
      <c r="AC404" s="181"/>
      <c r="AD404" s="181"/>
      <c r="AE404" s="176"/>
      <c r="AF404" s="176"/>
      <c r="AG404" s="176"/>
      <c r="AH404" s="176"/>
      <c r="AI404" s="181"/>
      <c r="AJ404" s="181"/>
      <c r="AK404" s="176"/>
      <c r="AL404" s="181"/>
      <c r="AM404" s="181"/>
      <c r="AN404" s="176"/>
      <c r="AO404" s="181"/>
      <c r="AP404" s="181"/>
    </row>
    <row r="405" ht="12.75" customHeight="1">
      <c r="A405" s="179"/>
      <c r="B405" s="459"/>
      <c r="C405" s="481"/>
      <c r="D405" s="180"/>
      <c r="E405" s="180"/>
      <c r="F405" s="180"/>
      <c r="G405" s="460"/>
      <c r="H405" s="181"/>
      <c r="I405" s="181"/>
      <c r="J405" s="181"/>
      <c r="K405" s="181"/>
      <c r="L405" s="181"/>
      <c r="M405" s="329"/>
      <c r="N405" s="181"/>
      <c r="O405" s="181"/>
      <c r="P405" s="176"/>
      <c r="Q405" s="181"/>
      <c r="R405" s="181"/>
      <c r="S405" s="176"/>
      <c r="T405" s="181"/>
      <c r="U405" s="181"/>
      <c r="V405" s="176"/>
      <c r="W405" s="181"/>
      <c r="X405" s="181"/>
      <c r="Y405" s="176"/>
      <c r="Z405" s="181"/>
      <c r="AA405" s="181"/>
      <c r="AB405" s="176"/>
      <c r="AC405" s="181"/>
      <c r="AD405" s="181"/>
      <c r="AE405" s="176"/>
      <c r="AF405" s="176"/>
      <c r="AG405" s="176"/>
      <c r="AH405" s="176"/>
      <c r="AI405" s="181"/>
      <c r="AJ405" s="181"/>
      <c r="AK405" s="176"/>
      <c r="AL405" s="181"/>
      <c r="AM405" s="181"/>
      <c r="AN405" s="176"/>
      <c r="AO405" s="181"/>
      <c r="AP405" s="181"/>
    </row>
    <row r="406" ht="12.75" customHeight="1">
      <c r="A406" s="179"/>
      <c r="B406" s="459"/>
      <c r="C406" s="481"/>
      <c r="D406" s="180"/>
      <c r="E406" s="180"/>
      <c r="F406" s="180"/>
      <c r="G406" s="460"/>
      <c r="H406" s="181"/>
      <c r="I406" s="181"/>
      <c r="J406" s="181"/>
      <c r="K406" s="181"/>
      <c r="L406" s="181"/>
      <c r="M406" s="329"/>
      <c r="N406" s="181"/>
      <c r="O406" s="181"/>
      <c r="P406" s="176"/>
      <c r="Q406" s="181"/>
      <c r="R406" s="181"/>
      <c r="S406" s="176"/>
      <c r="T406" s="181"/>
      <c r="U406" s="181"/>
      <c r="V406" s="176"/>
      <c r="W406" s="181"/>
      <c r="X406" s="181"/>
      <c r="Y406" s="176"/>
      <c r="Z406" s="181"/>
      <c r="AA406" s="181"/>
      <c r="AB406" s="176"/>
      <c r="AC406" s="181"/>
      <c r="AD406" s="181"/>
      <c r="AE406" s="176"/>
      <c r="AF406" s="176"/>
      <c r="AG406" s="176"/>
      <c r="AH406" s="176"/>
      <c r="AI406" s="181"/>
      <c r="AJ406" s="181"/>
      <c r="AK406" s="176"/>
      <c r="AL406" s="181"/>
      <c r="AM406" s="181"/>
      <c r="AN406" s="176"/>
      <c r="AO406" s="181"/>
      <c r="AP406" s="181"/>
    </row>
    <row r="407" ht="12.75" customHeight="1">
      <c r="A407" s="179"/>
      <c r="B407" s="459"/>
      <c r="C407" s="481"/>
      <c r="D407" s="180"/>
      <c r="E407" s="180"/>
      <c r="F407" s="180"/>
      <c r="G407" s="460"/>
      <c r="H407" s="181"/>
      <c r="I407" s="181"/>
      <c r="J407" s="181"/>
      <c r="K407" s="181"/>
      <c r="L407" s="181"/>
      <c r="M407" s="329"/>
      <c r="N407" s="181"/>
      <c r="O407" s="181"/>
      <c r="P407" s="176"/>
      <c r="Q407" s="181"/>
      <c r="R407" s="181"/>
      <c r="S407" s="176"/>
      <c r="T407" s="181"/>
      <c r="U407" s="181"/>
      <c r="V407" s="176"/>
      <c r="W407" s="181"/>
      <c r="X407" s="181"/>
      <c r="Y407" s="176"/>
      <c r="Z407" s="181"/>
      <c r="AA407" s="181"/>
      <c r="AB407" s="176"/>
      <c r="AC407" s="181"/>
      <c r="AD407" s="181"/>
      <c r="AE407" s="176"/>
      <c r="AF407" s="176"/>
      <c r="AG407" s="176"/>
      <c r="AH407" s="176"/>
      <c r="AI407" s="181"/>
      <c r="AJ407" s="181"/>
      <c r="AK407" s="176"/>
      <c r="AL407" s="181"/>
      <c r="AM407" s="181"/>
      <c r="AN407" s="176"/>
      <c r="AO407" s="181"/>
      <c r="AP407" s="181"/>
    </row>
    <row r="408" ht="12.75" customHeight="1">
      <c r="A408" s="179"/>
      <c r="B408" s="459"/>
      <c r="C408" s="481"/>
      <c r="D408" s="180"/>
      <c r="E408" s="180"/>
      <c r="F408" s="180"/>
      <c r="G408" s="460"/>
      <c r="H408" s="181"/>
      <c r="I408" s="181"/>
      <c r="J408" s="181"/>
      <c r="K408" s="181"/>
      <c r="L408" s="181"/>
      <c r="M408" s="329"/>
      <c r="N408" s="181"/>
      <c r="O408" s="181"/>
      <c r="P408" s="176"/>
      <c r="Q408" s="181"/>
      <c r="R408" s="181"/>
      <c r="S408" s="176"/>
      <c r="T408" s="181"/>
      <c r="U408" s="181"/>
      <c r="V408" s="176"/>
      <c r="W408" s="181"/>
      <c r="X408" s="181"/>
      <c r="Y408" s="176"/>
      <c r="Z408" s="181"/>
      <c r="AA408" s="181"/>
      <c r="AB408" s="176"/>
      <c r="AC408" s="181"/>
      <c r="AD408" s="181"/>
      <c r="AE408" s="176"/>
      <c r="AF408" s="176"/>
      <c r="AG408" s="176"/>
      <c r="AH408" s="176"/>
      <c r="AI408" s="181"/>
      <c r="AJ408" s="181"/>
      <c r="AK408" s="176"/>
      <c r="AL408" s="181"/>
      <c r="AM408" s="181"/>
      <c r="AN408" s="176"/>
      <c r="AO408" s="181"/>
      <c r="AP408" s="181"/>
    </row>
    <row r="409" ht="12.75" customHeight="1">
      <c r="A409" s="179"/>
      <c r="B409" s="459"/>
      <c r="C409" s="481"/>
      <c r="D409" s="180"/>
      <c r="E409" s="180"/>
      <c r="F409" s="180"/>
      <c r="G409" s="460"/>
      <c r="H409" s="181"/>
      <c r="I409" s="181"/>
      <c r="J409" s="181"/>
      <c r="K409" s="181"/>
      <c r="L409" s="181"/>
      <c r="M409" s="329"/>
      <c r="N409" s="181"/>
      <c r="O409" s="181"/>
      <c r="P409" s="176"/>
      <c r="Q409" s="181"/>
      <c r="R409" s="181"/>
      <c r="S409" s="176"/>
      <c r="T409" s="181"/>
      <c r="U409" s="181"/>
      <c r="V409" s="176"/>
      <c r="W409" s="181"/>
      <c r="X409" s="181"/>
      <c r="Y409" s="176"/>
      <c r="Z409" s="181"/>
      <c r="AA409" s="181"/>
      <c r="AB409" s="176"/>
      <c r="AC409" s="181"/>
      <c r="AD409" s="181"/>
      <c r="AE409" s="176"/>
      <c r="AF409" s="176"/>
      <c r="AG409" s="176"/>
      <c r="AH409" s="176"/>
      <c r="AI409" s="181"/>
      <c r="AJ409" s="181"/>
      <c r="AK409" s="176"/>
      <c r="AL409" s="181"/>
      <c r="AM409" s="181"/>
      <c r="AN409" s="176"/>
      <c r="AO409" s="181"/>
      <c r="AP409" s="181"/>
    </row>
    <row r="410" ht="12.75" customHeight="1">
      <c r="A410" s="179"/>
      <c r="B410" s="459"/>
      <c r="C410" s="481"/>
      <c r="D410" s="180"/>
      <c r="E410" s="180"/>
      <c r="F410" s="180"/>
      <c r="G410" s="460"/>
      <c r="H410" s="181"/>
      <c r="I410" s="181"/>
      <c r="J410" s="181"/>
      <c r="K410" s="181"/>
      <c r="L410" s="181"/>
      <c r="M410" s="329"/>
      <c r="N410" s="181"/>
      <c r="O410" s="181"/>
      <c r="P410" s="176"/>
      <c r="Q410" s="181"/>
      <c r="R410" s="181"/>
      <c r="S410" s="176"/>
      <c r="T410" s="181"/>
      <c r="U410" s="181"/>
      <c r="V410" s="176"/>
      <c r="W410" s="181"/>
      <c r="X410" s="181"/>
      <c r="Y410" s="176"/>
      <c r="Z410" s="181"/>
      <c r="AA410" s="181"/>
      <c r="AB410" s="176"/>
      <c r="AC410" s="181"/>
      <c r="AD410" s="181"/>
      <c r="AE410" s="176"/>
      <c r="AF410" s="176"/>
      <c r="AG410" s="176"/>
      <c r="AH410" s="176"/>
      <c r="AI410" s="181"/>
      <c r="AJ410" s="181"/>
      <c r="AK410" s="176"/>
      <c r="AL410" s="181"/>
      <c r="AM410" s="181"/>
      <c r="AN410" s="176"/>
      <c r="AO410" s="181"/>
      <c r="AP410" s="181"/>
    </row>
    <row r="411" ht="12.75" customHeight="1">
      <c r="A411" s="179"/>
      <c r="B411" s="459"/>
      <c r="C411" s="481"/>
      <c r="D411" s="180"/>
      <c r="E411" s="180"/>
      <c r="F411" s="180"/>
      <c r="G411" s="460"/>
      <c r="H411" s="181"/>
      <c r="I411" s="181"/>
      <c r="J411" s="181"/>
      <c r="K411" s="181"/>
      <c r="L411" s="181"/>
      <c r="M411" s="329"/>
      <c r="N411" s="181"/>
      <c r="O411" s="181"/>
      <c r="P411" s="176"/>
      <c r="Q411" s="181"/>
      <c r="R411" s="181"/>
      <c r="S411" s="176"/>
      <c r="T411" s="181"/>
      <c r="U411" s="181"/>
      <c r="V411" s="176"/>
      <c r="W411" s="181"/>
      <c r="X411" s="181"/>
      <c r="Y411" s="176"/>
      <c r="Z411" s="181"/>
      <c r="AA411" s="181"/>
      <c r="AB411" s="176"/>
      <c r="AC411" s="181"/>
      <c r="AD411" s="181"/>
      <c r="AE411" s="176"/>
      <c r="AF411" s="176"/>
      <c r="AG411" s="176"/>
      <c r="AH411" s="176"/>
      <c r="AI411" s="181"/>
      <c r="AJ411" s="181"/>
      <c r="AK411" s="176"/>
      <c r="AL411" s="181"/>
      <c r="AM411" s="181"/>
      <c r="AN411" s="176"/>
      <c r="AO411" s="181"/>
      <c r="AP411" s="181"/>
    </row>
    <row r="412" ht="12.75" customHeight="1">
      <c r="A412" s="179"/>
      <c r="B412" s="459"/>
      <c r="C412" s="481"/>
      <c r="D412" s="180"/>
      <c r="E412" s="180"/>
      <c r="F412" s="180"/>
      <c r="G412" s="460"/>
      <c r="H412" s="181"/>
      <c r="I412" s="181"/>
      <c r="J412" s="181"/>
      <c r="K412" s="181"/>
      <c r="L412" s="181"/>
      <c r="M412" s="329"/>
      <c r="N412" s="181"/>
      <c r="O412" s="181"/>
      <c r="P412" s="176"/>
      <c r="Q412" s="181"/>
      <c r="R412" s="181"/>
      <c r="S412" s="176"/>
      <c r="T412" s="181"/>
      <c r="U412" s="181"/>
      <c r="V412" s="176"/>
      <c r="W412" s="181"/>
      <c r="X412" s="181"/>
      <c r="Y412" s="176"/>
      <c r="Z412" s="181"/>
      <c r="AA412" s="181"/>
      <c r="AB412" s="176"/>
      <c r="AC412" s="181"/>
      <c r="AD412" s="181"/>
      <c r="AE412" s="176"/>
      <c r="AF412" s="176"/>
      <c r="AG412" s="176"/>
      <c r="AH412" s="176"/>
      <c r="AI412" s="181"/>
      <c r="AJ412" s="181"/>
      <c r="AK412" s="176"/>
      <c r="AL412" s="181"/>
      <c r="AM412" s="181"/>
      <c r="AN412" s="176"/>
      <c r="AO412" s="181"/>
      <c r="AP412" s="181"/>
    </row>
    <row r="413" ht="12.75" customHeight="1">
      <c r="A413" s="179"/>
      <c r="B413" s="459"/>
      <c r="C413" s="481"/>
      <c r="D413" s="180"/>
      <c r="E413" s="180"/>
      <c r="F413" s="180"/>
      <c r="G413" s="460"/>
      <c r="H413" s="181"/>
      <c r="I413" s="181"/>
      <c r="J413" s="181"/>
      <c r="K413" s="181"/>
      <c r="L413" s="181"/>
      <c r="M413" s="329"/>
      <c r="N413" s="181"/>
      <c r="O413" s="181"/>
      <c r="P413" s="176"/>
      <c r="Q413" s="181"/>
      <c r="R413" s="181"/>
      <c r="S413" s="176"/>
      <c r="T413" s="181"/>
      <c r="U413" s="181"/>
      <c r="V413" s="176"/>
      <c r="W413" s="181"/>
      <c r="X413" s="181"/>
      <c r="Y413" s="176"/>
      <c r="Z413" s="181"/>
      <c r="AA413" s="181"/>
      <c r="AB413" s="176"/>
      <c r="AC413" s="181"/>
      <c r="AD413" s="181"/>
      <c r="AE413" s="176"/>
      <c r="AF413" s="176"/>
      <c r="AG413" s="176"/>
      <c r="AH413" s="176"/>
      <c r="AI413" s="181"/>
      <c r="AJ413" s="181"/>
      <c r="AK413" s="176"/>
      <c r="AL413" s="181"/>
      <c r="AM413" s="181"/>
      <c r="AN413" s="176"/>
      <c r="AO413" s="181"/>
      <c r="AP413" s="181"/>
    </row>
    <row r="414" ht="12.75" customHeight="1">
      <c r="A414" s="179"/>
      <c r="B414" s="459"/>
      <c r="C414" s="481"/>
      <c r="D414" s="180"/>
      <c r="E414" s="180"/>
      <c r="F414" s="180"/>
      <c r="G414" s="460"/>
      <c r="H414" s="181"/>
      <c r="I414" s="181"/>
      <c r="J414" s="181"/>
      <c r="K414" s="181"/>
      <c r="L414" s="181"/>
      <c r="M414" s="329"/>
      <c r="N414" s="181"/>
      <c r="O414" s="181"/>
      <c r="P414" s="176"/>
      <c r="Q414" s="181"/>
      <c r="R414" s="181"/>
      <c r="S414" s="176"/>
      <c r="T414" s="181"/>
      <c r="U414" s="181"/>
      <c r="V414" s="176"/>
      <c r="W414" s="181"/>
      <c r="X414" s="181"/>
      <c r="Y414" s="176"/>
      <c r="Z414" s="181"/>
      <c r="AA414" s="181"/>
      <c r="AB414" s="176"/>
      <c r="AC414" s="181"/>
      <c r="AD414" s="181"/>
      <c r="AE414" s="176"/>
      <c r="AF414" s="176"/>
      <c r="AG414" s="176"/>
      <c r="AH414" s="176"/>
      <c r="AI414" s="181"/>
      <c r="AJ414" s="181"/>
      <c r="AK414" s="176"/>
      <c r="AL414" s="181"/>
      <c r="AM414" s="181"/>
      <c r="AN414" s="176"/>
      <c r="AO414" s="181"/>
      <c r="AP414" s="181"/>
    </row>
    <row r="415" ht="12.75" customHeight="1">
      <c r="A415" s="179"/>
      <c r="B415" s="459"/>
      <c r="C415" s="481"/>
      <c r="D415" s="180"/>
      <c r="E415" s="180"/>
      <c r="F415" s="180"/>
      <c r="G415" s="460"/>
      <c r="H415" s="181"/>
      <c r="I415" s="181"/>
      <c r="J415" s="181"/>
      <c r="K415" s="181"/>
      <c r="L415" s="181"/>
      <c r="M415" s="329"/>
      <c r="N415" s="181"/>
      <c r="O415" s="181"/>
      <c r="P415" s="176"/>
      <c r="Q415" s="181"/>
      <c r="R415" s="181"/>
      <c r="S415" s="176"/>
      <c r="T415" s="181"/>
      <c r="U415" s="181"/>
      <c r="V415" s="176"/>
      <c r="W415" s="181"/>
      <c r="X415" s="181"/>
      <c r="Y415" s="176"/>
      <c r="Z415" s="181"/>
      <c r="AA415" s="181"/>
      <c r="AB415" s="176"/>
      <c r="AC415" s="181"/>
      <c r="AD415" s="181"/>
      <c r="AE415" s="176"/>
      <c r="AF415" s="176"/>
      <c r="AG415" s="176"/>
      <c r="AH415" s="176"/>
      <c r="AI415" s="181"/>
      <c r="AJ415" s="181"/>
      <c r="AK415" s="176"/>
      <c r="AL415" s="181"/>
      <c r="AM415" s="181"/>
      <c r="AN415" s="176"/>
      <c r="AO415" s="181"/>
      <c r="AP415" s="181"/>
    </row>
    <row r="416" ht="12.75" customHeight="1">
      <c r="A416" s="179"/>
      <c r="B416" s="459"/>
      <c r="C416" s="481"/>
      <c r="D416" s="180"/>
      <c r="E416" s="180"/>
      <c r="F416" s="180"/>
      <c r="G416" s="460"/>
      <c r="H416" s="181"/>
      <c r="I416" s="181"/>
      <c r="J416" s="181"/>
      <c r="K416" s="181"/>
      <c r="L416" s="181"/>
      <c r="M416" s="329"/>
      <c r="N416" s="181"/>
      <c r="O416" s="181"/>
      <c r="P416" s="176"/>
      <c r="Q416" s="181"/>
      <c r="R416" s="181"/>
      <c r="S416" s="176"/>
      <c r="T416" s="181"/>
      <c r="U416" s="181"/>
      <c r="V416" s="176"/>
      <c r="W416" s="181"/>
      <c r="X416" s="181"/>
      <c r="Y416" s="176"/>
      <c r="Z416" s="181"/>
      <c r="AA416" s="181"/>
      <c r="AB416" s="176"/>
      <c r="AC416" s="181"/>
      <c r="AD416" s="181"/>
      <c r="AE416" s="176"/>
      <c r="AF416" s="176"/>
      <c r="AG416" s="176"/>
      <c r="AH416" s="176"/>
      <c r="AI416" s="181"/>
      <c r="AJ416" s="181"/>
      <c r="AK416" s="176"/>
      <c r="AL416" s="181"/>
      <c r="AM416" s="181"/>
      <c r="AN416" s="176"/>
      <c r="AO416" s="181"/>
      <c r="AP416" s="181"/>
    </row>
    <row r="417" ht="12.75" customHeight="1">
      <c r="A417" s="179"/>
      <c r="B417" s="459"/>
      <c r="C417" s="481"/>
      <c r="D417" s="180"/>
      <c r="E417" s="180"/>
      <c r="F417" s="180"/>
      <c r="G417" s="460"/>
      <c r="H417" s="181"/>
      <c r="I417" s="181"/>
      <c r="J417" s="181"/>
      <c r="K417" s="181"/>
      <c r="L417" s="181"/>
      <c r="M417" s="329"/>
      <c r="N417" s="181"/>
      <c r="O417" s="181"/>
      <c r="P417" s="176"/>
      <c r="Q417" s="181"/>
      <c r="R417" s="181"/>
      <c r="S417" s="176"/>
      <c r="T417" s="181"/>
      <c r="U417" s="181"/>
      <c r="V417" s="176"/>
      <c r="W417" s="181"/>
      <c r="X417" s="181"/>
      <c r="Y417" s="176"/>
      <c r="Z417" s="181"/>
      <c r="AA417" s="181"/>
      <c r="AB417" s="176"/>
      <c r="AC417" s="181"/>
      <c r="AD417" s="181"/>
      <c r="AE417" s="176"/>
      <c r="AF417" s="176"/>
      <c r="AG417" s="176"/>
      <c r="AH417" s="176"/>
      <c r="AI417" s="181"/>
      <c r="AJ417" s="181"/>
      <c r="AK417" s="176"/>
      <c r="AL417" s="181"/>
      <c r="AM417" s="181"/>
      <c r="AN417" s="176"/>
      <c r="AO417" s="181"/>
      <c r="AP417" s="181"/>
    </row>
    <row r="418" ht="12.75" customHeight="1">
      <c r="A418" s="179"/>
      <c r="B418" s="459"/>
      <c r="C418" s="481"/>
      <c r="D418" s="180"/>
      <c r="E418" s="180"/>
      <c r="F418" s="180"/>
      <c r="G418" s="460"/>
      <c r="H418" s="181"/>
      <c r="I418" s="181"/>
      <c r="J418" s="181"/>
      <c r="K418" s="181"/>
      <c r="L418" s="181"/>
      <c r="M418" s="329"/>
      <c r="N418" s="181"/>
      <c r="O418" s="181"/>
      <c r="P418" s="176"/>
      <c r="Q418" s="181"/>
      <c r="R418" s="181"/>
      <c r="S418" s="176"/>
      <c r="T418" s="181"/>
      <c r="U418" s="181"/>
      <c r="V418" s="176"/>
      <c r="W418" s="181"/>
      <c r="X418" s="181"/>
      <c r="Y418" s="176"/>
      <c r="Z418" s="181"/>
      <c r="AA418" s="181"/>
      <c r="AB418" s="176"/>
      <c r="AC418" s="181"/>
      <c r="AD418" s="181"/>
      <c r="AE418" s="176"/>
      <c r="AF418" s="176"/>
      <c r="AG418" s="176"/>
      <c r="AH418" s="176"/>
      <c r="AI418" s="181"/>
      <c r="AJ418" s="181"/>
      <c r="AK418" s="176"/>
      <c r="AL418" s="181"/>
      <c r="AM418" s="181"/>
      <c r="AN418" s="176"/>
      <c r="AO418" s="181"/>
      <c r="AP418" s="181"/>
    </row>
    <row r="419" ht="12.75" customHeight="1">
      <c r="A419" s="179"/>
      <c r="B419" s="459"/>
      <c r="C419" s="481"/>
      <c r="D419" s="180"/>
      <c r="E419" s="180"/>
      <c r="F419" s="180"/>
      <c r="G419" s="460"/>
      <c r="H419" s="181"/>
      <c r="I419" s="181"/>
      <c r="J419" s="181"/>
      <c r="K419" s="181"/>
      <c r="L419" s="181"/>
      <c r="M419" s="329"/>
      <c r="N419" s="181"/>
      <c r="O419" s="181"/>
      <c r="P419" s="176"/>
      <c r="Q419" s="181"/>
      <c r="R419" s="181"/>
      <c r="S419" s="176"/>
      <c r="T419" s="181"/>
      <c r="U419" s="181"/>
      <c r="V419" s="176"/>
      <c r="W419" s="181"/>
      <c r="X419" s="181"/>
      <c r="Y419" s="176"/>
      <c r="Z419" s="181"/>
      <c r="AA419" s="181"/>
      <c r="AB419" s="176"/>
      <c r="AC419" s="181"/>
      <c r="AD419" s="181"/>
      <c r="AE419" s="176"/>
      <c r="AF419" s="176"/>
      <c r="AG419" s="176"/>
      <c r="AH419" s="176"/>
      <c r="AI419" s="181"/>
      <c r="AJ419" s="181"/>
      <c r="AK419" s="176"/>
      <c r="AL419" s="181"/>
      <c r="AM419" s="181"/>
      <c r="AN419" s="176"/>
      <c r="AO419" s="181"/>
      <c r="AP419" s="181"/>
    </row>
    <row r="420" ht="12.75" customHeight="1">
      <c r="A420" s="179"/>
      <c r="B420" s="459"/>
      <c r="C420" s="481"/>
      <c r="D420" s="180"/>
      <c r="E420" s="180"/>
      <c r="F420" s="180"/>
      <c r="G420" s="460"/>
      <c r="H420" s="181"/>
      <c r="I420" s="181"/>
      <c r="J420" s="181"/>
      <c r="K420" s="181"/>
      <c r="L420" s="181"/>
      <c r="M420" s="329"/>
      <c r="N420" s="181"/>
      <c r="O420" s="181"/>
      <c r="P420" s="176"/>
      <c r="Q420" s="181"/>
      <c r="R420" s="181"/>
      <c r="S420" s="176"/>
      <c r="T420" s="181"/>
      <c r="U420" s="181"/>
      <c r="V420" s="176"/>
      <c r="W420" s="181"/>
      <c r="X420" s="181"/>
      <c r="Y420" s="176"/>
      <c r="Z420" s="181"/>
      <c r="AA420" s="181"/>
      <c r="AB420" s="176"/>
      <c r="AC420" s="181"/>
      <c r="AD420" s="181"/>
      <c r="AE420" s="176"/>
      <c r="AF420" s="176"/>
      <c r="AG420" s="176"/>
      <c r="AH420" s="176"/>
      <c r="AI420" s="181"/>
      <c r="AJ420" s="181"/>
      <c r="AK420" s="176"/>
      <c r="AL420" s="181"/>
      <c r="AM420" s="181"/>
      <c r="AN420" s="176"/>
      <c r="AO420" s="181"/>
      <c r="AP420" s="181"/>
    </row>
    <row r="421" ht="12.75" customHeight="1">
      <c r="A421" s="179"/>
      <c r="B421" s="459"/>
      <c r="C421" s="481"/>
      <c r="D421" s="180"/>
      <c r="E421" s="180"/>
      <c r="F421" s="180"/>
      <c r="G421" s="460"/>
      <c r="H421" s="181"/>
      <c r="I421" s="181"/>
      <c r="J421" s="181"/>
      <c r="K421" s="181"/>
      <c r="L421" s="181"/>
      <c r="M421" s="329"/>
      <c r="N421" s="181"/>
      <c r="O421" s="181"/>
      <c r="P421" s="176"/>
      <c r="Q421" s="181"/>
      <c r="R421" s="181"/>
      <c r="S421" s="176"/>
      <c r="T421" s="181"/>
      <c r="U421" s="181"/>
      <c r="V421" s="176"/>
      <c r="W421" s="181"/>
      <c r="X421" s="181"/>
      <c r="Y421" s="176"/>
      <c r="Z421" s="181"/>
      <c r="AA421" s="181"/>
      <c r="AB421" s="176"/>
      <c r="AC421" s="181"/>
      <c r="AD421" s="181"/>
      <c r="AE421" s="176"/>
      <c r="AF421" s="176"/>
      <c r="AG421" s="176"/>
      <c r="AH421" s="176"/>
      <c r="AI421" s="181"/>
      <c r="AJ421" s="181"/>
      <c r="AK421" s="176"/>
      <c r="AL421" s="181"/>
      <c r="AM421" s="181"/>
      <c r="AN421" s="176"/>
      <c r="AO421" s="181"/>
      <c r="AP421" s="181"/>
    </row>
    <row r="422" ht="12.75" customHeight="1">
      <c r="A422" s="179"/>
      <c r="B422" s="459"/>
      <c r="C422" s="481"/>
      <c r="D422" s="180"/>
      <c r="E422" s="180"/>
      <c r="F422" s="180"/>
      <c r="G422" s="460"/>
      <c r="H422" s="181"/>
      <c r="I422" s="181"/>
      <c r="J422" s="181"/>
      <c r="K422" s="181"/>
      <c r="L422" s="181"/>
      <c r="M422" s="329"/>
      <c r="N422" s="181"/>
      <c r="O422" s="181"/>
      <c r="P422" s="176"/>
      <c r="Q422" s="181"/>
      <c r="R422" s="181"/>
      <c r="S422" s="176"/>
      <c r="T422" s="181"/>
      <c r="U422" s="181"/>
      <c r="V422" s="176"/>
      <c r="W422" s="181"/>
      <c r="X422" s="181"/>
      <c r="Y422" s="176"/>
      <c r="Z422" s="181"/>
      <c r="AA422" s="181"/>
      <c r="AB422" s="176"/>
      <c r="AC422" s="181"/>
      <c r="AD422" s="181"/>
      <c r="AE422" s="176"/>
      <c r="AF422" s="176"/>
      <c r="AG422" s="176"/>
      <c r="AH422" s="176"/>
      <c r="AI422" s="181"/>
      <c r="AJ422" s="181"/>
      <c r="AK422" s="176"/>
      <c r="AL422" s="181"/>
      <c r="AM422" s="181"/>
      <c r="AN422" s="176"/>
      <c r="AO422" s="181"/>
      <c r="AP422" s="181"/>
    </row>
    <row r="423" ht="12.75" customHeight="1">
      <c r="A423" s="179"/>
      <c r="B423" s="459"/>
      <c r="C423" s="481"/>
      <c r="D423" s="180"/>
      <c r="E423" s="180"/>
      <c r="F423" s="180"/>
      <c r="G423" s="460"/>
      <c r="H423" s="181"/>
      <c r="I423" s="181"/>
      <c r="J423" s="181"/>
      <c r="K423" s="181"/>
      <c r="L423" s="181"/>
      <c r="M423" s="329"/>
      <c r="N423" s="181"/>
      <c r="O423" s="181"/>
      <c r="P423" s="176"/>
      <c r="Q423" s="181"/>
      <c r="R423" s="181"/>
      <c r="S423" s="176"/>
      <c r="T423" s="181"/>
      <c r="U423" s="181"/>
      <c r="V423" s="176"/>
      <c r="W423" s="181"/>
      <c r="X423" s="181"/>
      <c r="Y423" s="176"/>
      <c r="Z423" s="181"/>
      <c r="AA423" s="181"/>
      <c r="AB423" s="176"/>
      <c r="AC423" s="181"/>
      <c r="AD423" s="181"/>
      <c r="AE423" s="176"/>
      <c r="AF423" s="176"/>
      <c r="AG423" s="176"/>
      <c r="AH423" s="176"/>
      <c r="AI423" s="181"/>
      <c r="AJ423" s="181"/>
      <c r="AK423" s="176"/>
      <c r="AL423" s="181"/>
      <c r="AM423" s="181"/>
      <c r="AN423" s="176"/>
      <c r="AO423" s="181"/>
      <c r="AP423" s="181"/>
    </row>
    <row r="424" ht="12.75" customHeight="1">
      <c r="A424" s="179"/>
      <c r="B424" s="459"/>
      <c r="C424" s="481"/>
      <c r="D424" s="180"/>
      <c r="E424" s="180"/>
      <c r="F424" s="180"/>
      <c r="G424" s="460"/>
      <c r="H424" s="181"/>
      <c r="I424" s="181"/>
      <c r="J424" s="181"/>
      <c r="K424" s="181"/>
      <c r="L424" s="181"/>
      <c r="M424" s="329"/>
      <c r="N424" s="181"/>
      <c r="O424" s="181"/>
      <c r="P424" s="176"/>
      <c r="Q424" s="181"/>
      <c r="R424" s="181"/>
      <c r="S424" s="176"/>
      <c r="T424" s="181"/>
      <c r="U424" s="181"/>
      <c r="V424" s="176"/>
      <c r="W424" s="181"/>
      <c r="X424" s="181"/>
      <c r="Y424" s="176"/>
      <c r="Z424" s="181"/>
      <c r="AA424" s="181"/>
      <c r="AB424" s="176"/>
      <c r="AC424" s="181"/>
      <c r="AD424" s="181"/>
      <c r="AE424" s="176"/>
      <c r="AF424" s="176"/>
      <c r="AG424" s="176"/>
      <c r="AH424" s="176"/>
      <c r="AI424" s="181"/>
      <c r="AJ424" s="181"/>
      <c r="AK424" s="176"/>
      <c r="AL424" s="181"/>
      <c r="AM424" s="181"/>
      <c r="AN424" s="176"/>
      <c r="AO424" s="181"/>
      <c r="AP424" s="181"/>
    </row>
    <row r="425" ht="12.75" customHeight="1">
      <c r="A425" s="179"/>
      <c r="B425" s="459"/>
      <c r="C425" s="481"/>
      <c r="D425" s="180"/>
      <c r="E425" s="180"/>
      <c r="F425" s="180"/>
      <c r="G425" s="460"/>
      <c r="H425" s="181"/>
      <c r="I425" s="181"/>
      <c r="J425" s="181"/>
      <c r="K425" s="181"/>
      <c r="L425" s="181"/>
      <c r="M425" s="329"/>
      <c r="N425" s="181"/>
      <c r="O425" s="181"/>
      <c r="P425" s="176"/>
      <c r="Q425" s="181"/>
      <c r="R425" s="181"/>
      <c r="S425" s="176"/>
      <c r="T425" s="181"/>
      <c r="U425" s="181"/>
      <c r="V425" s="176"/>
      <c r="W425" s="181"/>
      <c r="X425" s="181"/>
      <c r="Y425" s="176"/>
      <c r="Z425" s="181"/>
      <c r="AA425" s="181"/>
      <c r="AB425" s="176"/>
      <c r="AC425" s="181"/>
      <c r="AD425" s="181"/>
      <c r="AE425" s="176"/>
      <c r="AF425" s="176"/>
      <c r="AG425" s="176"/>
      <c r="AH425" s="176"/>
      <c r="AI425" s="181"/>
      <c r="AJ425" s="181"/>
      <c r="AK425" s="176"/>
      <c r="AL425" s="181"/>
      <c r="AM425" s="181"/>
      <c r="AN425" s="176"/>
      <c r="AO425" s="181"/>
      <c r="AP425" s="181"/>
    </row>
    <row r="426" ht="12.75" customHeight="1">
      <c r="A426" s="179"/>
      <c r="B426" s="459"/>
      <c r="C426" s="481"/>
      <c r="D426" s="180"/>
      <c r="E426" s="180"/>
      <c r="F426" s="180"/>
      <c r="G426" s="460"/>
      <c r="H426" s="181"/>
      <c r="I426" s="181"/>
      <c r="J426" s="181"/>
      <c r="K426" s="181"/>
      <c r="L426" s="181"/>
      <c r="M426" s="329"/>
      <c r="N426" s="181"/>
      <c r="O426" s="181"/>
      <c r="P426" s="176"/>
      <c r="Q426" s="181"/>
      <c r="R426" s="181"/>
      <c r="S426" s="176"/>
      <c r="T426" s="181"/>
      <c r="U426" s="181"/>
      <c r="V426" s="176"/>
      <c r="W426" s="181"/>
      <c r="X426" s="181"/>
      <c r="Y426" s="176"/>
      <c r="Z426" s="181"/>
      <c r="AA426" s="181"/>
      <c r="AB426" s="176"/>
      <c r="AC426" s="181"/>
      <c r="AD426" s="181"/>
      <c r="AE426" s="176"/>
      <c r="AF426" s="176"/>
      <c r="AG426" s="176"/>
      <c r="AH426" s="176"/>
      <c r="AI426" s="181"/>
      <c r="AJ426" s="181"/>
      <c r="AK426" s="176"/>
      <c r="AL426" s="181"/>
      <c r="AM426" s="181"/>
      <c r="AN426" s="176"/>
      <c r="AO426" s="181"/>
      <c r="AP426" s="181"/>
    </row>
    <row r="427" ht="12.75" customHeight="1">
      <c r="A427" s="179"/>
      <c r="B427" s="459"/>
      <c r="C427" s="481"/>
      <c r="D427" s="180"/>
      <c r="E427" s="180"/>
      <c r="F427" s="180"/>
      <c r="G427" s="460"/>
      <c r="H427" s="181"/>
      <c r="I427" s="181"/>
      <c r="J427" s="181"/>
      <c r="K427" s="181"/>
      <c r="L427" s="181"/>
      <c r="M427" s="329"/>
      <c r="N427" s="181"/>
      <c r="O427" s="181"/>
      <c r="P427" s="176"/>
      <c r="Q427" s="181"/>
      <c r="R427" s="181"/>
      <c r="S427" s="176"/>
      <c r="T427" s="181"/>
      <c r="U427" s="181"/>
      <c r="V427" s="176"/>
      <c r="W427" s="181"/>
      <c r="X427" s="181"/>
      <c r="Y427" s="176"/>
      <c r="Z427" s="181"/>
      <c r="AA427" s="181"/>
      <c r="AB427" s="176"/>
      <c r="AC427" s="181"/>
      <c r="AD427" s="181"/>
      <c r="AE427" s="176"/>
      <c r="AF427" s="176"/>
      <c r="AG427" s="176"/>
      <c r="AH427" s="176"/>
      <c r="AI427" s="181"/>
      <c r="AJ427" s="181"/>
      <c r="AK427" s="176"/>
      <c r="AL427" s="181"/>
      <c r="AM427" s="181"/>
      <c r="AN427" s="176"/>
      <c r="AO427" s="181"/>
      <c r="AP427" s="181"/>
    </row>
    <row r="428" ht="12.75" customHeight="1">
      <c r="A428" s="179"/>
      <c r="B428" s="459"/>
      <c r="C428" s="481"/>
      <c r="D428" s="180"/>
      <c r="E428" s="180"/>
      <c r="F428" s="180"/>
      <c r="G428" s="460"/>
      <c r="H428" s="181"/>
      <c r="I428" s="181"/>
      <c r="J428" s="181"/>
      <c r="K428" s="181"/>
      <c r="L428" s="181"/>
      <c r="M428" s="329"/>
      <c r="N428" s="181"/>
      <c r="O428" s="181"/>
      <c r="P428" s="176"/>
      <c r="Q428" s="181"/>
      <c r="R428" s="181"/>
      <c r="S428" s="176"/>
      <c r="T428" s="181"/>
      <c r="U428" s="181"/>
      <c r="V428" s="176"/>
      <c r="W428" s="181"/>
      <c r="X428" s="181"/>
      <c r="Y428" s="176"/>
      <c r="Z428" s="181"/>
      <c r="AA428" s="181"/>
      <c r="AB428" s="176"/>
      <c r="AC428" s="181"/>
      <c r="AD428" s="181"/>
      <c r="AE428" s="176"/>
      <c r="AF428" s="176"/>
      <c r="AG428" s="176"/>
      <c r="AH428" s="176"/>
      <c r="AI428" s="181"/>
      <c r="AJ428" s="181"/>
      <c r="AK428" s="176"/>
      <c r="AL428" s="181"/>
      <c r="AM428" s="181"/>
      <c r="AN428" s="176"/>
      <c r="AO428" s="181"/>
      <c r="AP428" s="181"/>
    </row>
    <row r="429" ht="12.75" customHeight="1">
      <c r="A429" s="179"/>
      <c r="B429" s="459"/>
      <c r="C429" s="481"/>
      <c r="D429" s="180"/>
      <c r="E429" s="180"/>
      <c r="F429" s="180"/>
      <c r="G429" s="460"/>
      <c r="H429" s="181"/>
      <c r="I429" s="181"/>
      <c r="J429" s="181"/>
      <c r="K429" s="181"/>
      <c r="L429" s="181"/>
      <c r="M429" s="329"/>
      <c r="N429" s="181"/>
      <c r="O429" s="181"/>
      <c r="P429" s="176"/>
      <c r="Q429" s="181"/>
      <c r="R429" s="181"/>
      <c r="S429" s="176"/>
      <c r="T429" s="181"/>
      <c r="U429" s="181"/>
      <c r="V429" s="176"/>
      <c r="W429" s="181"/>
      <c r="X429" s="181"/>
      <c r="Y429" s="176"/>
      <c r="Z429" s="181"/>
      <c r="AA429" s="181"/>
      <c r="AB429" s="176"/>
      <c r="AC429" s="181"/>
      <c r="AD429" s="181"/>
      <c r="AE429" s="176"/>
      <c r="AF429" s="176"/>
      <c r="AG429" s="176"/>
      <c r="AH429" s="176"/>
      <c r="AI429" s="181"/>
      <c r="AJ429" s="181"/>
      <c r="AK429" s="176"/>
      <c r="AL429" s="181"/>
      <c r="AM429" s="181"/>
      <c r="AN429" s="176"/>
      <c r="AO429" s="181"/>
      <c r="AP429" s="181"/>
    </row>
    <row r="430" ht="12.75" customHeight="1">
      <c r="A430" s="179"/>
      <c r="B430" s="459"/>
      <c r="C430" s="481"/>
      <c r="D430" s="180"/>
      <c r="E430" s="180"/>
      <c r="F430" s="180"/>
      <c r="G430" s="460"/>
      <c r="H430" s="181"/>
      <c r="I430" s="181"/>
      <c r="J430" s="181"/>
      <c r="K430" s="181"/>
      <c r="L430" s="181"/>
      <c r="M430" s="329"/>
      <c r="N430" s="181"/>
      <c r="O430" s="181"/>
      <c r="P430" s="176"/>
      <c r="Q430" s="181"/>
      <c r="R430" s="181"/>
      <c r="S430" s="176"/>
      <c r="T430" s="181"/>
      <c r="U430" s="181"/>
      <c r="V430" s="176"/>
      <c r="W430" s="181"/>
      <c r="X430" s="181"/>
      <c r="Y430" s="176"/>
      <c r="Z430" s="181"/>
      <c r="AA430" s="181"/>
      <c r="AB430" s="176"/>
      <c r="AC430" s="181"/>
      <c r="AD430" s="181"/>
      <c r="AE430" s="176"/>
      <c r="AF430" s="176"/>
      <c r="AG430" s="176"/>
      <c r="AH430" s="176"/>
      <c r="AI430" s="181"/>
      <c r="AJ430" s="181"/>
      <c r="AK430" s="176"/>
      <c r="AL430" s="181"/>
      <c r="AM430" s="181"/>
      <c r="AN430" s="176"/>
      <c r="AO430" s="181"/>
      <c r="AP430" s="181"/>
    </row>
    <row r="431" ht="12.75" customHeight="1">
      <c r="A431" s="179"/>
      <c r="B431" s="459"/>
      <c r="C431" s="481"/>
      <c r="D431" s="180"/>
      <c r="E431" s="180"/>
      <c r="F431" s="180"/>
      <c r="G431" s="460"/>
      <c r="H431" s="181"/>
      <c r="I431" s="181"/>
      <c r="J431" s="181"/>
      <c r="K431" s="181"/>
      <c r="L431" s="181"/>
      <c r="M431" s="329"/>
      <c r="N431" s="181"/>
      <c r="O431" s="181"/>
      <c r="P431" s="176"/>
      <c r="Q431" s="181"/>
      <c r="R431" s="181"/>
      <c r="S431" s="176"/>
      <c r="T431" s="181"/>
      <c r="U431" s="181"/>
      <c r="V431" s="176"/>
      <c r="W431" s="181"/>
      <c r="X431" s="181"/>
      <c r="Y431" s="176"/>
      <c r="Z431" s="181"/>
      <c r="AA431" s="181"/>
      <c r="AB431" s="176"/>
      <c r="AC431" s="181"/>
      <c r="AD431" s="181"/>
      <c r="AE431" s="176"/>
      <c r="AF431" s="176"/>
      <c r="AG431" s="176"/>
      <c r="AH431" s="176"/>
      <c r="AI431" s="181"/>
      <c r="AJ431" s="181"/>
      <c r="AK431" s="176"/>
      <c r="AL431" s="181"/>
      <c r="AM431" s="181"/>
      <c r="AN431" s="176"/>
      <c r="AO431" s="181"/>
      <c r="AP431" s="181"/>
    </row>
    <row r="432" ht="12.75" customHeight="1">
      <c r="A432" s="179"/>
      <c r="B432" s="459"/>
      <c r="C432" s="481"/>
      <c r="D432" s="180"/>
      <c r="E432" s="180"/>
      <c r="F432" s="180"/>
      <c r="G432" s="460"/>
      <c r="H432" s="181"/>
      <c r="I432" s="181"/>
      <c r="J432" s="181"/>
      <c r="K432" s="181"/>
      <c r="L432" s="181"/>
      <c r="M432" s="329"/>
      <c r="N432" s="181"/>
      <c r="O432" s="181"/>
      <c r="P432" s="176"/>
      <c r="Q432" s="181"/>
      <c r="R432" s="181"/>
      <c r="S432" s="176"/>
      <c r="T432" s="181"/>
      <c r="U432" s="181"/>
      <c r="V432" s="176"/>
      <c r="W432" s="181"/>
      <c r="X432" s="181"/>
      <c r="Y432" s="176"/>
      <c r="Z432" s="181"/>
      <c r="AA432" s="181"/>
      <c r="AB432" s="176"/>
      <c r="AC432" s="181"/>
      <c r="AD432" s="181"/>
      <c r="AE432" s="176"/>
      <c r="AF432" s="176"/>
      <c r="AG432" s="176"/>
      <c r="AH432" s="176"/>
      <c r="AI432" s="181"/>
      <c r="AJ432" s="181"/>
      <c r="AK432" s="176"/>
      <c r="AL432" s="181"/>
      <c r="AM432" s="181"/>
      <c r="AN432" s="176"/>
      <c r="AO432" s="181"/>
      <c r="AP432" s="181"/>
    </row>
    <row r="433" ht="12.75" customHeight="1">
      <c r="A433" s="179"/>
      <c r="B433" s="459"/>
      <c r="C433" s="481"/>
      <c r="D433" s="180"/>
      <c r="E433" s="180"/>
      <c r="F433" s="180"/>
      <c r="G433" s="460"/>
      <c r="H433" s="181"/>
      <c r="I433" s="181"/>
      <c r="J433" s="181"/>
      <c r="K433" s="181"/>
      <c r="L433" s="181"/>
      <c r="M433" s="329"/>
      <c r="N433" s="181"/>
      <c r="O433" s="181"/>
      <c r="P433" s="176"/>
      <c r="Q433" s="181"/>
      <c r="R433" s="181"/>
      <c r="S433" s="176"/>
      <c r="T433" s="181"/>
      <c r="U433" s="181"/>
      <c r="V433" s="176"/>
      <c r="W433" s="181"/>
      <c r="X433" s="181"/>
      <c r="Y433" s="176"/>
      <c r="Z433" s="181"/>
      <c r="AA433" s="181"/>
      <c r="AB433" s="176"/>
      <c r="AC433" s="181"/>
      <c r="AD433" s="181"/>
      <c r="AE433" s="176"/>
      <c r="AF433" s="176"/>
      <c r="AG433" s="176"/>
      <c r="AH433" s="176"/>
      <c r="AI433" s="181"/>
      <c r="AJ433" s="181"/>
      <c r="AK433" s="176"/>
      <c r="AL433" s="181"/>
      <c r="AM433" s="181"/>
      <c r="AN433" s="176"/>
      <c r="AO433" s="181"/>
      <c r="AP433" s="181"/>
    </row>
    <row r="434" ht="12.75" customHeight="1">
      <c r="A434" s="179"/>
      <c r="B434" s="459"/>
      <c r="C434" s="481"/>
      <c r="D434" s="180"/>
      <c r="E434" s="180"/>
      <c r="F434" s="180"/>
      <c r="G434" s="460"/>
      <c r="H434" s="181"/>
      <c r="I434" s="181"/>
      <c r="J434" s="181"/>
      <c r="K434" s="181"/>
      <c r="L434" s="181"/>
      <c r="M434" s="329"/>
      <c r="N434" s="181"/>
      <c r="O434" s="181"/>
      <c r="P434" s="176"/>
      <c r="Q434" s="181"/>
      <c r="R434" s="181"/>
      <c r="S434" s="176"/>
      <c r="T434" s="181"/>
      <c r="U434" s="181"/>
      <c r="V434" s="176"/>
      <c r="W434" s="181"/>
      <c r="X434" s="181"/>
      <c r="Y434" s="176"/>
      <c r="Z434" s="181"/>
      <c r="AA434" s="181"/>
      <c r="AB434" s="176"/>
      <c r="AC434" s="181"/>
      <c r="AD434" s="181"/>
      <c r="AE434" s="176"/>
      <c r="AF434" s="176"/>
      <c r="AG434" s="176"/>
      <c r="AH434" s="176"/>
      <c r="AI434" s="181"/>
      <c r="AJ434" s="181"/>
      <c r="AK434" s="176"/>
      <c r="AL434" s="181"/>
      <c r="AM434" s="181"/>
      <c r="AN434" s="176"/>
      <c r="AO434" s="181"/>
      <c r="AP434" s="181"/>
    </row>
    <row r="435" ht="12.75" customHeight="1">
      <c r="A435" s="179"/>
      <c r="B435" s="459"/>
      <c r="C435" s="481"/>
      <c r="D435" s="180"/>
      <c r="E435" s="180"/>
      <c r="F435" s="180"/>
      <c r="G435" s="460"/>
      <c r="H435" s="181"/>
      <c r="I435" s="181"/>
      <c r="J435" s="181"/>
      <c r="K435" s="181"/>
      <c r="L435" s="181"/>
      <c r="M435" s="329"/>
      <c r="N435" s="181"/>
      <c r="O435" s="181"/>
      <c r="P435" s="176"/>
      <c r="Q435" s="181"/>
      <c r="R435" s="181"/>
      <c r="S435" s="176"/>
      <c r="T435" s="181"/>
      <c r="U435" s="181"/>
      <c r="V435" s="176"/>
      <c r="W435" s="181"/>
      <c r="X435" s="181"/>
      <c r="Y435" s="176"/>
      <c r="Z435" s="181"/>
      <c r="AA435" s="181"/>
      <c r="AB435" s="176"/>
      <c r="AC435" s="181"/>
      <c r="AD435" s="181"/>
      <c r="AE435" s="176"/>
      <c r="AF435" s="176"/>
      <c r="AG435" s="176"/>
      <c r="AH435" s="176"/>
      <c r="AI435" s="181"/>
      <c r="AJ435" s="181"/>
      <c r="AK435" s="176"/>
      <c r="AL435" s="181"/>
      <c r="AM435" s="181"/>
      <c r="AN435" s="176"/>
      <c r="AO435" s="181"/>
      <c r="AP435" s="181"/>
    </row>
    <row r="436" ht="12.75" customHeight="1">
      <c r="A436" s="179"/>
      <c r="B436" s="459"/>
      <c r="C436" s="481"/>
      <c r="D436" s="180"/>
      <c r="E436" s="180"/>
      <c r="F436" s="180"/>
      <c r="G436" s="460"/>
      <c r="H436" s="181"/>
      <c r="I436" s="181"/>
      <c r="J436" s="181"/>
      <c r="K436" s="181"/>
      <c r="L436" s="181"/>
      <c r="M436" s="329"/>
      <c r="N436" s="181"/>
      <c r="O436" s="181"/>
      <c r="P436" s="176"/>
      <c r="Q436" s="181"/>
      <c r="R436" s="181"/>
      <c r="S436" s="176"/>
      <c r="T436" s="181"/>
      <c r="U436" s="181"/>
      <c r="V436" s="176"/>
      <c r="W436" s="181"/>
      <c r="X436" s="181"/>
      <c r="Y436" s="176"/>
      <c r="Z436" s="181"/>
      <c r="AA436" s="181"/>
      <c r="AB436" s="176"/>
      <c r="AC436" s="181"/>
      <c r="AD436" s="181"/>
      <c r="AE436" s="176"/>
      <c r="AF436" s="176"/>
      <c r="AG436" s="176"/>
      <c r="AH436" s="176"/>
      <c r="AI436" s="181"/>
      <c r="AJ436" s="181"/>
      <c r="AK436" s="176"/>
      <c r="AL436" s="181"/>
      <c r="AM436" s="181"/>
      <c r="AN436" s="176"/>
      <c r="AO436" s="181"/>
      <c r="AP436" s="181"/>
    </row>
    <row r="437" ht="12.75" customHeight="1">
      <c r="A437" s="179"/>
      <c r="B437" s="459"/>
      <c r="C437" s="481"/>
      <c r="D437" s="180"/>
      <c r="E437" s="180"/>
      <c r="F437" s="180"/>
      <c r="G437" s="460"/>
      <c r="H437" s="181"/>
      <c r="I437" s="181"/>
      <c r="J437" s="181"/>
      <c r="K437" s="181"/>
      <c r="L437" s="181"/>
      <c r="M437" s="329"/>
      <c r="N437" s="181"/>
      <c r="O437" s="181"/>
      <c r="P437" s="176"/>
      <c r="Q437" s="181"/>
      <c r="R437" s="181"/>
      <c r="S437" s="176"/>
      <c r="T437" s="181"/>
      <c r="U437" s="181"/>
      <c r="V437" s="176"/>
      <c r="W437" s="181"/>
      <c r="X437" s="181"/>
      <c r="Y437" s="176"/>
      <c r="Z437" s="181"/>
      <c r="AA437" s="181"/>
      <c r="AB437" s="176"/>
      <c r="AC437" s="181"/>
      <c r="AD437" s="181"/>
      <c r="AE437" s="176"/>
      <c r="AF437" s="176"/>
      <c r="AG437" s="176"/>
      <c r="AH437" s="176"/>
      <c r="AI437" s="181"/>
      <c r="AJ437" s="181"/>
      <c r="AK437" s="176"/>
      <c r="AL437" s="181"/>
      <c r="AM437" s="181"/>
      <c r="AN437" s="176"/>
      <c r="AO437" s="181"/>
      <c r="AP437" s="181"/>
    </row>
    <row r="438" ht="12.75" customHeight="1">
      <c r="A438" s="179"/>
      <c r="B438" s="459"/>
      <c r="C438" s="481"/>
      <c r="D438" s="180"/>
      <c r="E438" s="180"/>
      <c r="F438" s="180"/>
      <c r="G438" s="460"/>
      <c r="H438" s="181"/>
      <c r="I438" s="181"/>
      <c r="J438" s="181"/>
      <c r="K438" s="181"/>
      <c r="L438" s="181"/>
      <c r="M438" s="329"/>
      <c r="N438" s="181"/>
      <c r="O438" s="181"/>
      <c r="P438" s="176"/>
      <c r="Q438" s="181"/>
      <c r="R438" s="181"/>
      <c r="S438" s="176"/>
      <c r="T438" s="181"/>
      <c r="U438" s="181"/>
      <c r="V438" s="176"/>
      <c r="W438" s="181"/>
      <c r="X438" s="181"/>
      <c r="Y438" s="176"/>
      <c r="Z438" s="181"/>
      <c r="AA438" s="181"/>
      <c r="AB438" s="176"/>
      <c r="AC438" s="181"/>
      <c r="AD438" s="181"/>
      <c r="AE438" s="176"/>
      <c r="AF438" s="176"/>
      <c r="AG438" s="176"/>
      <c r="AH438" s="176"/>
      <c r="AI438" s="181"/>
      <c r="AJ438" s="181"/>
      <c r="AK438" s="176"/>
      <c r="AL438" s="181"/>
      <c r="AM438" s="181"/>
      <c r="AN438" s="176"/>
      <c r="AO438" s="181"/>
      <c r="AP438" s="181"/>
    </row>
    <row r="439" ht="12.75" customHeight="1">
      <c r="A439" s="179"/>
      <c r="B439" s="459"/>
      <c r="C439" s="481"/>
      <c r="D439" s="180"/>
      <c r="E439" s="180"/>
      <c r="F439" s="180"/>
      <c r="G439" s="460"/>
      <c r="H439" s="181"/>
      <c r="I439" s="181"/>
      <c r="J439" s="181"/>
      <c r="K439" s="181"/>
      <c r="L439" s="181"/>
      <c r="M439" s="329"/>
      <c r="N439" s="181"/>
      <c r="O439" s="181"/>
      <c r="P439" s="176"/>
      <c r="Q439" s="181"/>
      <c r="R439" s="181"/>
      <c r="S439" s="176"/>
      <c r="T439" s="181"/>
      <c r="U439" s="181"/>
      <c r="V439" s="176"/>
      <c r="W439" s="181"/>
      <c r="X439" s="181"/>
      <c r="Y439" s="176"/>
      <c r="Z439" s="181"/>
      <c r="AA439" s="181"/>
      <c r="AB439" s="176"/>
      <c r="AC439" s="181"/>
      <c r="AD439" s="181"/>
      <c r="AE439" s="176"/>
      <c r="AF439" s="176"/>
      <c r="AG439" s="176"/>
      <c r="AH439" s="176"/>
      <c r="AI439" s="181"/>
      <c r="AJ439" s="181"/>
      <c r="AK439" s="176"/>
      <c r="AL439" s="181"/>
      <c r="AM439" s="181"/>
      <c r="AN439" s="176"/>
      <c r="AO439" s="181"/>
      <c r="AP439" s="181"/>
    </row>
    <row r="440" ht="12.75" customHeight="1">
      <c r="A440" s="179"/>
      <c r="B440" s="459"/>
      <c r="C440" s="481"/>
      <c r="D440" s="180"/>
      <c r="E440" s="180"/>
      <c r="F440" s="180"/>
      <c r="G440" s="460"/>
      <c r="H440" s="181"/>
      <c r="I440" s="181"/>
      <c r="J440" s="181"/>
      <c r="K440" s="181"/>
      <c r="L440" s="181"/>
      <c r="M440" s="329"/>
      <c r="N440" s="181"/>
      <c r="O440" s="181"/>
      <c r="P440" s="176"/>
      <c r="Q440" s="181"/>
      <c r="R440" s="181"/>
      <c r="S440" s="176"/>
      <c r="T440" s="181"/>
      <c r="U440" s="181"/>
      <c r="V440" s="176"/>
      <c r="W440" s="181"/>
      <c r="X440" s="181"/>
      <c r="Y440" s="176"/>
      <c r="Z440" s="181"/>
      <c r="AA440" s="181"/>
      <c r="AB440" s="176"/>
      <c r="AC440" s="181"/>
      <c r="AD440" s="181"/>
      <c r="AE440" s="176"/>
      <c r="AF440" s="176"/>
      <c r="AG440" s="176"/>
      <c r="AH440" s="176"/>
      <c r="AI440" s="181"/>
      <c r="AJ440" s="181"/>
      <c r="AK440" s="176"/>
      <c r="AL440" s="181"/>
      <c r="AM440" s="181"/>
      <c r="AN440" s="176"/>
      <c r="AO440" s="181"/>
      <c r="AP440" s="181"/>
    </row>
    <row r="441" ht="12.75" customHeight="1">
      <c r="A441" s="179"/>
      <c r="B441" s="459"/>
      <c r="C441" s="481"/>
      <c r="D441" s="180"/>
      <c r="E441" s="180"/>
      <c r="F441" s="180"/>
      <c r="G441" s="460"/>
      <c r="H441" s="181"/>
      <c r="I441" s="181"/>
      <c r="J441" s="181"/>
      <c r="K441" s="181"/>
      <c r="L441" s="181"/>
      <c r="M441" s="329"/>
      <c r="N441" s="181"/>
      <c r="O441" s="181"/>
      <c r="P441" s="176"/>
      <c r="Q441" s="181"/>
      <c r="R441" s="181"/>
      <c r="S441" s="176"/>
      <c r="T441" s="181"/>
      <c r="U441" s="181"/>
      <c r="V441" s="176"/>
      <c r="W441" s="181"/>
      <c r="X441" s="181"/>
      <c r="Y441" s="176"/>
      <c r="Z441" s="181"/>
      <c r="AA441" s="181"/>
      <c r="AB441" s="176"/>
      <c r="AC441" s="181"/>
      <c r="AD441" s="181"/>
      <c r="AE441" s="176"/>
      <c r="AF441" s="176"/>
      <c r="AG441" s="176"/>
      <c r="AH441" s="176"/>
      <c r="AI441" s="181"/>
      <c r="AJ441" s="181"/>
      <c r="AK441" s="176"/>
      <c r="AL441" s="181"/>
      <c r="AM441" s="181"/>
      <c r="AN441" s="176"/>
      <c r="AO441" s="181"/>
      <c r="AP441" s="181"/>
    </row>
    <row r="442" ht="12.75" customHeight="1">
      <c r="A442" s="179"/>
      <c r="B442" s="459"/>
      <c r="C442" s="481"/>
      <c r="D442" s="180"/>
      <c r="E442" s="180"/>
      <c r="F442" s="180"/>
      <c r="G442" s="460"/>
      <c r="H442" s="181"/>
      <c r="I442" s="181"/>
      <c r="J442" s="181"/>
      <c r="K442" s="181"/>
      <c r="L442" s="181"/>
      <c r="M442" s="329"/>
      <c r="N442" s="181"/>
      <c r="O442" s="181"/>
      <c r="P442" s="176"/>
      <c r="Q442" s="181"/>
      <c r="R442" s="181"/>
      <c r="S442" s="176"/>
      <c r="T442" s="181"/>
      <c r="U442" s="181"/>
      <c r="V442" s="176"/>
      <c r="W442" s="181"/>
      <c r="X442" s="181"/>
      <c r="Y442" s="176"/>
      <c r="Z442" s="181"/>
      <c r="AA442" s="181"/>
      <c r="AB442" s="176"/>
      <c r="AC442" s="181"/>
      <c r="AD442" s="181"/>
      <c r="AE442" s="176"/>
      <c r="AF442" s="176"/>
      <c r="AG442" s="176"/>
      <c r="AH442" s="176"/>
      <c r="AI442" s="181"/>
      <c r="AJ442" s="181"/>
      <c r="AK442" s="176"/>
      <c r="AL442" s="181"/>
      <c r="AM442" s="181"/>
      <c r="AN442" s="176"/>
      <c r="AO442" s="181"/>
      <c r="AP442" s="181"/>
    </row>
    <row r="443" ht="12.75" customHeight="1">
      <c r="A443" s="179"/>
      <c r="B443" s="459"/>
      <c r="C443" s="481"/>
      <c r="D443" s="180"/>
      <c r="E443" s="180"/>
      <c r="F443" s="180"/>
      <c r="G443" s="460"/>
      <c r="H443" s="181"/>
      <c r="I443" s="181"/>
      <c r="J443" s="181"/>
      <c r="K443" s="181"/>
      <c r="L443" s="181"/>
      <c r="M443" s="329"/>
      <c r="N443" s="181"/>
      <c r="O443" s="181"/>
      <c r="P443" s="176"/>
      <c r="Q443" s="181"/>
      <c r="R443" s="181"/>
      <c r="S443" s="176"/>
      <c r="T443" s="181"/>
      <c r="U443" s="181"/>
      <c r="V443" s="176"/>
      <c r="W443" s="181"/>
      <c r="X443" s="181"/>
      <c r="Y443" s="176"/>
      <c r="Z443" s="181"/>
      <c r="AA443" s="181"/>
      <c r="AB443" s="176"/>
      <c r="AC443" s="181"/>
      <c r="AD443" s="181"/>
      <c r="AE443" s="176"/>
      <c r="AF443" s="176"/>
      <c r="AG443" s="176"/>
      <c r="AH443" s="176"/>
      <c r="AI443" s="181"/>
      <c r="AJ443" s="181"/>
      <c r="AK443" s="176"/>
      <c r="AL443" s="181"/>
      <c r="AM443" s="181"/>
      <c r="AN443" s="176"/>
      <c r="AO443" s="181"/>
      <c r="AP443" s="181"/>
    </row>
    <row r="444" ht="12.75" customHeight="1">
      <c r="A444" s="179"/>
      <c r="B444" s="459"/>
      <c r="C444" s="481"/>
      <c r="D444" s="180"/>
      <c r="E444" s="180"/>
      <c r="F444" s="180"/>
      <c r="G444" s="460"/>
      <c r="H444" s="181"/>
      <c r="I444" s="181"/>
      <c r="J444" s="181"/>
      <c r="K444" s="181"/>
      <c r="L444" s="181"/>
      <c r="M444" s="329"/>
      <c r="N444" s="181"/>
      <c r="O444" s="181"/>
      <c r="P444" s="176"/>
      <c r="Q444" s="181"/>
      <c r="R444" s="181"/>
      <c r="S444" s="176"/>
      <c r="T444" s="181"/>
      <c r="U444" s="181"/>
      <c r="V444" s="176"/>
      <c r="W444" s="181"/>
      <c r="X444" s="181"/>
      <c r="Y444" s="176"/>
      <c r="Z444" s="181"/>
      <c r="AA444" s="181"/>
      <c r="AB444" s="176"/>
      <c r="AC444" s="181"/>
      <c r="AD444" s="181"/>
      <c r="AE444" s="176"/>
      <c r="AF444" s="176"/>
      <c r="AG444" s="176"/>
      <c r="AH444" s="176"/>
      <c r="AI444" s="181"/>
      <c r="AJ444" s="181"/>
      <c r="AK444" s="176"/>
      <c r="AL444" s="181"/>
      <c r="AM444" s="181"/>
      <c r="AN444" s="176"/>
      <c r="AO444" s="181"/>
      <c r="AP444" s="181"/>
    </row>
    <row r="445" ht="12.75" customHeight="1">
      <c r="A445" s="179"/>
      <c r="B445" s="459"/>
      <c r="C445" s="481"/>
      <c r="D445" s="180"/>
      <c r="E445" s="180"/>
      <c r="F445" s="180"/>
      <c r="G445" s="460"/>
      <c r="H445" s="181"/>
      <c r="I445" s="181"/>
      <c r="J445" s="181"/>
      <c r="K445" s="181"/>
      <c r="L445" s="181"/>
      <c r="M445" s="329"/>
      <c r="N445" s="181"/>
      <c r="O445" s="181"/>
      <c r="P445" s="176"/>
      <c r="Q445" s="181"/>
      <c r="R445" s="181"/>
      <c r="S445" s="176"/>
      <c r="T445" s="181"/>
      <c r="U445" s="181"/>
      <c r="V445" s="176"/>
      <c r="W445" s="181"/>
      <c r="X445" s="181"/>
      <c r="Y445" s="176"/>
      <c r="Z445" s="181"/>
      <c r="AA445" s="181"/>
      <c r="AB445" s="176"/>
      <c r="AC445" s="181"/>
      <c r="AD445" s="181"/>
      <c r="AE445" s="176"/>
      <c r="AF445" s="176"/>
      <c r="AG445" s="176"/>
      <c r="AH445" s="176"/>
      <c r="AI445" s="181"/>
      <c r="AJ445" s="181"/>
      <c r="AK445" s="176"/>
      <c r="AL445" s="181"/>
      <c r="AM445" s="181"/>
      <c r="AN445" s="176"/>
      <c r="AO445" s="181"/>
      <c r="AP445" s="181"/>
    </row>
    <row r="446" ht="12.75" customHeight="1">
      <c r="A446" s="179"/>
      <c r="B446" s="459"/>
      <c r="C446" s="481"/>
      <c r="D446" s="180"/>
      <c r="E446" s="180"/>
      <c r="F446" s="180"/>
      <c r="G446" s="460"/>
      <c r="H446" s="181"/>
      <c r="I446" s="181"/>
      <c r="J446" s="181"/>
      <c r="K446" s="181"/>
      <c r="L446" s="181"/>
      <c r="M446" s="329"/>
      <c r="N446" s="181"/>
      <c r="O446" s="181"/>
      <c r="P446" s="176"/>
      <c r="Q446" s="181"/>
      <c r="R446" s="181"/>
      <c r="S446" s="176"/>
      <c r="T446" s="181"/>
      <c r="U446" s="181"/>
      <c r="V446" s="176"/>
      <c r="W446" s="181"/>
      <c r="X446" s="181"/>
      <c r="Y446" s="176"/>
      <c r="Z446" s="181"/>
      <c r="AA446" s="181"/>
      <c r="AB446" s="176"/>
      <c r="AC446" s="181"/>
      <c r="AD446" s="181"/>
      <c r="AE446" s="176"/>
      <c r="AF446" s="176"/>
      <c r="AG446" s="176"/>
      <c r="AH446" s="176"/>
      <c r="AI446" s="181"/>
      <c r="AJ446" s="181"/>
      <c r="AK446" s="176"/>
      <c r="AL446" s="181"/>
      <c r="AM446" s="181"/>
      <c r="AN446" s="176"/>
      <c r="AO446" s="181"/>
      <c r="AP446" s="181"/>
    </row>
    <row r="447" ht="12.75" customHeight="1">
      <c r="A447" s="179"/>
      <c r="B447" s="459"/>
      <c r="C447" s="481"/>
      <c r="D447" s="180"/>
      <c r="E447" s="180"/>
      <c r="F447" s="180"/>
      <c r="G447" s="460"/>
      <c r="H447" s="181"/>
      <c r="I447" s="181"/>
      <c r="J447" s="181"/>
      <c r="K447" s="181"/>
      <c r="L447" s="181"/>
      <c r="M447" s="329"/>
      <c r="N447" s="181"/>
      <c r="O447" s="181"/>
      <c r="P447" s="176"/>
      <c r="Q447" s="181"/>
      <c r="R447" s="181"/>
      <c r="S447" s="176"/>
      <c r="T447" s="181"/>
      <c r="U447" s="181"/>
      <c r="V447" s="176"/>
      <c r="W447" s="181"/>
      <c r="X447" s="181"/>
      <c r="Y447" s="176"/>
      <c r="Z447" s="181"/>
      <c r="AA447" s="181"/>
      <c r="AB447" s="176"/>
      <c r="AC447" s="181"/>
      <c r="AD447" s="181"/>
      <c r="AE447" s="176"/>
      <c r="AF447" s="176"/>
      <c r="AG447" s="176"/>
      <c r="AH447" s="176"/>
      <c r="AI447" s="181"/>
      <c r="AJ447" s="181"/>
      <c r="AK447" s="176"/>
      <c r="AL447" s="181"/>
      <c r="AM447" s="181"/>
      <c r="AN447" s="176"/>
      <c r="AO447" s="181"/>
      <c r="AP447" s="181"/>
    </row>
    <row r="448" ht="12.75" customHeight="1">
      <c r="A448" s="179"/>
      <c r="B448" s="459"/>
      <c r="C448" s="481"/>
      <c r="D448" s="180"/>
      <c r="E448" s="180"/>
      <c r="F448" s="180"/>
      <c r="G448" s="460"/>
      <c r="H448" s="181"/>
      <c r="I448" s="181"/>
      <c r="J448" s="181"/>
      <c r="K448" s="181"/>
      <c r="L448" s="181"/>
      <c r="M448" s="329"/>
      <c r="N448" s="181"/>
      <c r="O448" s="181"/>
      <c r="P448" s="176"/>
      <c r="Q448" s="181"/>
      <c r="R448" s="181"/>
      <c r="S448" s="176"/>
      <c r="T448" s="181"/>
      <c r="U448" s="181"/>
      <c r="V448" s="176"/>
      <c r="W448" s="181"/>
      <c r="X448" s="181"/>
      <c r="Y448" s="176"/>
      <c r="Z448" s="181"/>
      <c r="AA448" s="181"/>
      <c r="AB448" s="176"/>
      <c r="AC448" s="181"/>
      <c r="AD448" s="181"/>
      <c r="AE448" s="176"/>
      <c r="AF448" s="176"/>
      <c r="AG448" s="176"/>
      <c r="AH448" s="176"/>
      <c r="AI448" s="181"/>
      <c r="AJ448" s="181"/>
      <c r="AK448" s="176"/>
      <c r="AL448" s="181"/>
      <c r="AM448" s="181"/>
      <c r="AN448" s="176"/>
      <c r="AO448" s="181"/>
      <c r="AP448" s="181"/>
    </row>
    <row r="449" ht="12.75" customHeight="1">
      <c r="A449" s="179"/>
      <c r="B449" s="459"/>
      <c r="C449" s="481"/>
      <c r="D449" s="180"/>
      <c r="E449" s="180"/>
      <c r="F449" s="180"/>
      <c r="G449" s="460"/>
      <c r="H449" s="181"/>
      <c r="I449" s="181"/>
      <c r="J449" s="181"/>
      <c r="K449" s="181"/>
      <c r="L449" s="181"/>
      <c r="M449" s="329"/>
      <c r="N449" s="181"/>
      <c r="O449" s="181"/>
      <c r="P449" s="176"/>
      <c r="Q449" s="181"/>
      <c r="R449" s="181"/>
      <c r="S449" s="176"/>
      <c r="T449" s="181"/>
      <c r="U449" s="181"/>
      <c r="V449" s="176"/>
      <c r="W449" s="181"/>
      <c r="X449" s="181"/>
      <c r="Y449" s="176"/>
      <c r="Z449" s="181"/>
      <c r="AA449" s="181"/>
      <c r="AB449" s="176"/>
      <c r="AC449" s="181"/>
      <c r="AD449" s="181"/>
      <c r="AE449" s="176"/>
      <c r="AF449" s="176"/>
      <c r="AG449" s="176"/>
      <c r="AH449" s="176"/>
      <c r="AI449" s="181"/>
      <c r="AJ449" s="181"/>
      <c r="AK449" s="176"/>
      <c r="AL449" s="181"/>
      <c r="AM449" s="181"/>
      <c r="AN449" s="176"/>
      <c r="AO449" s="181"/>
      <c r="AP449" s="181"/>
    </row>
    <row r="450" ht="12.75" customHeight="1">
      <c r="A450" s="179"/>
      <c r="B450" s="459"/>
      <c r="C450" s="481"/>
      <c r="D450" s="180"/>
      <c r="E450" s="180"/>
      <c r="F450" s="180"/>
      <c r="G450" s="460"/>
      <c r="H450" s="181"/>
      <c r="I450" s="181"/>
      <c r="J450" s="181"/>
      <c r="K450" s="181"/>
      <c r="L450" s="181"/>
      <c r="M450" s="329"/>
      <c r="N450" s="181"/>
      <c r="O450" s="181"/>
      <c r="P450" s="176"/>
      <c r="Q450" s="181"/>
      <c r="R450" s="181"/>
      <c r="S450" s="176"/>
      <c r="T450" s="181"/>
      <c r="U450" s="181"/>
      <c r="V450" s="176"/>
      <c r="W450" s="181"/>
      <c r="X450" s="181"/>
      <c r="Y450" s="176"/>
      <c r="Z450" s="181"/>
      <c r="AA450" s="181"/>
      <c r="AB450" s="176"/>
      <c r="AC450" s="181"/>
      <c r="AD450" s="181"/>
      <c r="AE450" s="176"/>
      <c r="AF450" s="176"/>
      <c r="AG450" s="176"/>
      <c r="AH450" s="176"/>
      <c r="AI450" s="181"/>
      <c r="AJ450" s="181"/>
      <c r="AK450" s="176"/>
      <c r="AL450" s="181"/>
      <c r="AM450" s="181"/>
      <c r="AN450" s="176"/>
      <c r="AO450" s="181"/>
      <c r="AP450" s="181"/>
    </row>
    <row r="451" ht="12.75" customHeight="1">
      <c r="A451" s="179"/>
      <c r="B451" s="459"/>
      <c r="C451" s="481"/>
      <c r="D451" s="180"/>
      <c r="E451" s="180"/>
      <c r="F451" s="180"/>
      <c r="G451" s="460"/>
      <c r="H451" s="181"/>
      <c r="I451" s="181"/>
      <c r="J451" s="181"/>
      <c r="K451" s="181"/>
      <c r="L451" s="181"/>
      <c r="M451" s="329"/>
      <c r="N451" s="181"/>
      <c r="O451" s="181"/>
      <c r="P451" s="176"/>
      <c r="Q451" s="181"/>
      <c r="R451" s="181"/>
      <c r="S451" s="176"/>
      <c r="T451" s="181"/>
      <c r="U451" s="181"/>
      <c r="V451" s="176"/>
      <c r="W451" s="181"/>
      <c r="X451" s="181"/>
      <c r="Y451" s="176"/>
      <c r="Z451" s="181"/>
      <c r="AA451" s="181"/>
      <c r="AB451" s="176"/>
      <c r="AC451" s="181"/>
      <c r="AD451" s="181"/>
      <c r="AE451" s="176"/>
      <c r="AF451" s="176"/>
      <c r="AG451" s="176"/>
      <c r="AH451" s="176"/>
      <c r="AI451" s="181"/>
      <c r="AJ451" s="181"/>
      <c r="AK451" s="176"/>
      <c r="AL451" s="181"/>
      <c r="AM451" s="181"/>
      <c r="AN451" s="176"/>
      <c r="AO451" s="181"/>
      <c r="AP451" s="181"/>
    </row>
    <row r="452" ht="12.75" customHeight="1">
      <c r="A452" s="179"/>
      <c r="B452" s="459"/>
      <c r="C452" s="481"/>
      <c r="D452" s="180"/>
      <c r="E452" s="180"/>
      <c r="F452" s="180"/>
      <c r="G452" s="460"/>
      <c r="H452" s="181"/>
      <c r="I452" s="181"/>
      <c r="J452" s="181"/>
      <c r="K452" s="181"/>
      <c r="L452" s="181"/>
      <c r="M452" s="329"/>
      <c r="N452" s="181"/>
      <c r="O452" s="181"/>
      <c r="P452" s="176"/>
      <c r="Q452" s="181"/>
      <c r="R452" s="181"/>
      <c r="S452" s="176"/>
      <c r="T452" s="181"/>
      <c r="U452" s="181"/>
      <c r="V452" s="176"/>
      <c r="W452" s="181"/>
      <c r="X452" s="181"/>
      <c r="Y452" s="176"/>
      <c r="Z452" s="181"/>
      <c r="AA452" s="181"/>
      <c r="AB452" s="176"/>
      <c r="AC452" s="181"/>
      <c r="AD452" s="181"/>
      <c r="AE452" s="176"/>
      <c r="AF452" s="176"/>
      <c r="AG452" s="176"/>
      <c r="AH452" s="176"/>
      <c r="AI452" s="181"/>
      <c r="AJ452" s="181"/>
      <c r="AK452" s="176"/>
      <c r="AL452" s="181"/>
      <c r="AM452" s="181"/>
      <c r="AN452" s="176"/>
      <c r="AO452" s="181"/>
      <c r="AP452" s="181"/>
    </row>
    <row r="453" ht="12.75" customHeight="1">
      <c r="A453" s="179"/>
      <c r="B453" s="459"/>
      <c r="C453" s="481"/>
      <c r="D453" s="180"/>
      <c r="E453" s="180"/>
      <c r="F453" s="180"/>
      <c r="G453" s="460"/>
      <c r="H453" s="181"/>
      <c r="I453" s="181"/>
      <c r="J453" s="181"/>
      <c r="K453" s="181"/>
      <c r="L453" s="181"/>
      <c r="M453" s="329"/>
      <c r="N453" s="181"/>
      <c r="O453" s="181"/>
      <c r="P453" s="176"/>
      <c r="Q453" s="181"/>
      <c r="R453" s="181"/>
      <c r="S453" s="176"/>
      <c r="T453" s="181"/>
      <c r="U453" s="181"/>
      <c r="V453" s="176"/>
      <c r="W453" s="181"/>
      <c r="X453" s="181"/>
      <c r="Y453" s="176"/>
      <c r="Z453" s="181"/>
      <c r="AA453" s="181"/>
      <c r="AB453" s="176"/>
      <c r="AC453" s="181"/>
      <c r="AD453" s="181"/>
      <c r="AE453" s="176"/>
      <c r="AF453" s="176"/>
      <c r="AG453" s="176"/>
      <c r="AH453" s="176"/>
      <c r="AI453" s="181"/>
      <c r="AJ453" s="181"/>
      <c r="AK453" s="176"/>
      <c r="AL453" s="181"/>
      <c r="AM453" s="181"/>
      <c r="AN453" s="176"/>
      <c r="AO453" s="181"/>
      <c r="AP453" s="181"/>
    </row>
    <row r="454" ht="12.75" customHeight="1">
      <c r="A454" s="179"/>
      <c r="B454" s="459"/>
      <c r="C454" s="481"/>
      <c r="D454" s="180"/>
      <c r="E454" s="180"/>
      <c r="F454" s="180"/>
      <c r="G454" s="460"/>
      <c r="H454" s="181"/>
      <c r="I454" s="181"/>
      <c r="J454" s="181"/>
      <c r="K454" s="181"/>
      <c r="L454" s="181"/>
      <c r="M454" s="329"/>
      <c r="N454" s="181"/>
      <c r="O454" s="181"/>
      <c r="P454" s="176"/>
      <c r="Q454" s="181"/>
      <c r="R454" s="181"/>
      <c r="S454" s="176"/>
      <c r="T454" s="181"/>
      <c r="U454" s="181"/>
      <c r="V454" s="176"/>
      <c r="W454" s="181"/>
      <c r="X454" s="181"/>
      <c r="Y454" s="176"/>
      <c r="Z454" s="181"/>
      <c r="AA454" s="181"/>
      <c r="AB454" s="176"/>
      <c r="AC454" s="181"/>
      <c r="AD454" s="181"/>
      <c r="AE454" s="176"/>
      <c r="AF454" s="176"/>
      <c r="AG454" s="176"/>
      <c r="AH454" s="176"/>
      <c r="AI454" s="181"/>
      <c r="AJ454" s="181"/>
      <c r="AK454" s="176"/>
      <c r="AL454" s="181"/>
      <c r="AM454" s="181"/>
      <c r="AN454" s="176"/>
      <c r="AO454" s="181"/>
      <c r="AP454" s="181"/>
    </row>
    <row r="455" ht="12.75" customHeight="1">
      <c r="A455" s="179"/>
      <c r="B455" s="459"/>
      <c r="C455" s="481"/>
      <c r="D455" s="180"/>
      <c r="E455" s="180"/>
      <c r="F455" s="180"/>
      <c r="G455" s="460"/>
      <c r="H455" s="181"/>
      <c r="I455" s="181"/>
      <c r="J455" s="181"/>
      <c r="K455" s="181"/>
      <c r="L455" s="181"/>
      <c r="M455" s="329"/>
      <c r="N455" s="181"/>
      <c r="O455" s="181"/>
      <c r="P455" s="176"/>
      <c r="Q455" s="181"/>
      <c r="R455" s="181"/>
      <c r="S455" s="176"/>
      <c r="T455" s="181"/>
      <c r="U455" s="181"/>
      <c r="V455" s="176"/>
      <c r="W455" s="181"/>
      <c r="X455" s="181"/>
      <c r="Y455" s="176"/>
      <c r="Z455" s="181"/>
      <c r="AA455" s="181"/>
      <c r="AB455" s="176"/>
      <c r="AC455" s="181"/>
      <c r="AD455" s="181"/>
      <c r="AE455" s="176"/>
      <c r="AF455" s="176"/>
      <c r="AG455" s="176"/>
      <c r="AH455" s="176"/>
      <c r="AI455" s="181"/>
      <c r="AJ455" s="181"/>
      <c r="AK455" s="176"/>
      <c r="AL455" s="181"/>
      <c r="AM455" s="181"/>
      <c r="AN455" s="176"/>
      <c r="AO455" s="181"/>
      <c r="AP455" s="181"/>
    </row>
    <row r="456" ht="12.75" customHeight="1">
      <c r="A456" s="179"/>
      <c r="B456" s="459"/>
      <c r="C456" s="481"/>
      <c r="D456" s="180"/>
      <c r="E456" s="180"/>
      <c r="F456" s="180"/>
      <c r="G456" s="460"/>
      <c r="H456" s="181"/>
      <c r="I456" s="181"/>
      <c r="J456" s="181"/>
      <c r="K456" s="181"/>
      <c r="L456" s="181"/>
      <c r="M456" s="329"/>
      <c r="N456" s="181"/>
      <c r="O456" s="181"/>
      <c r="P456" s="176"/>
      <c r="Q456" s="181"/>
      <c r="R456" s="181"/>
      <c r="S456" s="176"/>
      <c r="T456" s="181"/>
      <c r="U456" s="181"/>
      <c r="V456" s="176"/>
      <c r="W456" s="181"/>
      <c r="X456" s="181"/>
      <c r="Y456" s="176"/>
      <c r="Z456" s="181"/>
      <c r="AA456" s="181"/>
      <c r="AB456" s="176"/>
      <c r="AC456" s="181"/>
      <c r="AD456" s="181"/>
      <c r="AE456" s="176"/>
      <c r="AF456" s="176"/>
      <c r="AG456" s="176"/>
      <c r="AH456" s="176"/>
      <c r="AI456" s="181"/>
      <c r="AJ456" s="181"/>
      <c r="AK456" s="176"/>
      <c r="AL456" s="181"/>
      <c r="AM456" s="181"/>
      <c r="AN456" s="176"/>
      <c r="AO456" s="181"/>
      <c r="AP456" s="181"/>
    </row>
    <row r="457" ht="12.75" customHeight="1">
      <c r="A457" s="179"/>
      <c r="B457" s="459"/>
      <c r="C457" s="481"/>
      <c r="D457" s="180"/>
      <c r="E457" s="180"/>
      <c r="F457" s="180"/>
      <c r="G457" s="460"/>
      <c r="H457" s="181"/>
      <c r="I457" s="181"/>
      <c r="J457" s="181"/>
      <c r="K457" s="181"/>
      <c r="L457" s="181"/>
      <c r="M457" s="329"/>
      <c r="N457" s="181"/>
      <c r="O457" s="181"/>
      <c r="P457" s="176"/>
      <c r="Q457" s="181"/>
      <c r="R457" s="181"/>
      <c r="S457" s="176"/>
      <c r="T457" s="181"/>
      <c r="U457" s="181"/>
      <c r="V457" s="176"/>
      <c r="W457" s="181"/>
      <c r="X457" s="181"/>
      <c r="Y457" s="176"/>
      <c r="Z457" s="181"/>
      <c r="AA457" s="181"/>
      <c r="AB457" s="176"/>
      <c r="AC457" s="181"/>
      <c r="AD457" s="181"/>
      <c r="AE457" s="176"/>
      <c r="AF457" s="176"/>
      <c r="AG457" s="176"/>
      <c r="AH457" s="176"/>
      <c r="AI457" s="181"/>
      <c r="AJ457" s="181"/>
      <c r="AK457" s="176"/>
      <c r="AL457" s="181"/>
      <c r="AM457" s="181"/>
      <c r="AN457" s="176"/>
      <c r="AO457" s="181"/>
      <c r="AP457" s="181"/>
    </row>
    <row r="458" ht="12.75" customHeight="1">
      <c r="A458" s="179"/>
      <c r="B458" s="459"/>
      <c r="C458" s="481"/>
      <c r="D458" s="180"/>
      <c r="E458" s="180"/>
      <c r="F458" s="180"/>
      <c r="G458" s="460"/>
      <c r="H458" s="181"/>
      <c r="I458" s="181"/>
      <c r="J458" s="181"/>
      <c r="K458" s="181"/>
      <c r="L458" s="181"/>
      <c r="M458" s="329"/>
      <c r="N458" s="181"/>
      <c r="O458" s="181"/>
      <c r="P458" s="176"/>
      <c r="Q458" s="181"/>
      <c r="R458" s="181"/>
      <c r="S458" s="176"/>
      <c r="T458" s="181"/>
      <c r="U458" s="181"/>
      <c r="V458" s="176"/>
      <c r="W458" s="181"/>
      <c r="X458" s="181"/>
      <c r="Y458" s="176"/>
      <c r="Z458" s="181"/>
      <c r="AA458" s="181"/>
      <c r="AB458" s="176"/>
      <c r="AC458" s="181"/>
      <c r="AD458" s="181"/>
      <c r="AE458" s="176"/>
      <c r="AF458" s="176"/>
      <c r="AG458" s="176"/>
      <c r="AH458" s="176"/>
      <c r="AI458" s="181"/>
      <c r="AJ458" s="181"/>
      <c r="AK458" s="176"/>
      <c r="AL458" s="181"/>
      <c r="AM458" s="181"/>
      <c r="AN458" s="176"/>
      <c r="AO458" s="181"/>
      <c r="AP458" s="181"/>
    </row>
    <row r="459" ht="12.75" customHeight="1">
      <c r="A459" s="179"/>
      <c r="B459" s="459"/>
      <c r="C459" s="481"/>
      <c r="D459" s="180"/>
      <c r="E459" s="180"/>
      <c r="F459" s="180"/>
      <c r="G459" s="460"/>
      <c r="H459" s="181"/>
      <c r="I459" s="181"/>
      <c r="J459" s="181"/>
      <c r="K459" s="181"/>
      <c r="L459" s="181"/>
      <c r="M459" s="329"/>
      <c r="N459" s="181"/>
      <c r="O459" s="181"/>
      <c r="P459" s="176"/>
      <c r="Q459" s="181"/>
      <c r="R459" s="181"/>
      <c r="S459" s="176"/>
      <c r="T459" s="181"/>
      <c r="U459" s="181"/>
      <c r="V459" s="176"/>
      <c r="W459" s="181"/>
      <c r="X459" s="181"/>
      <c r="Y459" s="176"/>
      <c r="Z459" s="181"/>
      <c r="AA459" s="181"/>
      <c r="AB459" s="176"/>
      <c r="AC459" s="181"/>
      <c r="AD459" s="181"/>
      <c r="AE459" s="176"/>
      <c r="AF459" s="176"/>
      <c r="AG459" s="176"/>
      <c r="AH459" s="176"/>
      <c r="AI459" s="181"/>
      <c r="AJ459" s="181"/>
      <c r="AK459" s="176"/>
      <c r="AL459" s="181"/>
      <c r="AM459" s="181"/>
      <c r="AN459" s="176"/>
      <c r="AO459" s="181"/>
      <c r="AP459" s="181"/>
    </row>
    <row r="460" ht="12.75" customHeight="1">
      <c r="A460" s="179"/>
      <c r="B460" s="459"/>
      <c r="C460" s="481"/>
      <c r="D460" s="180"/>
      <c r="E460" s="180"/>
      <c r="F460" s="180"/>
      <c r="G460" s="460"/>
      <c r="H460" s="181"/>
      <c r="I460" s="181"/>
      <c r="J460" s="181"/>
      <c r="K460" s="181"/>
      <c r="L460" s="181"/>
      <c r="M460" s="329"/>
      <c r="N460" s="181"/>
      <c r="O460" s="181"/>
      <c r="P460" s="176"/>
      <c r="Q460" s="181"/>
      <c r="R460" s="181"/>
      <c r="S460" s="176"/>
      <c r="T460" s="181"/>
      <c r="U460" s="181"/>
      <c r="V460" s="176"/>
      <c r="W460" s="181"/>
      <c r="X460" s="181"/>
      <c r="Y460" s="176"/>
      <c r="Z460" s="181"/>
      <c r="AA460" s="181"/>
      <c r="AB460" s="176"/>
      <c r="AC460" s="181"/>
      <c r="AD460" s="181"/>
      <c r="AE460" s="176"/>
      <c r="AF460" s="176"/>
      <c r="AG460" s="176"/>
      <c r="AH460" s="176"/>
      <c r="AI460" s="181"/>
      <c r="AJ460" s="181"/>
      <c r="AK460" s="176"/>
      <c r="AL460" s="181"/>
      <c r="AM460" s="181"/>
      <c r="AN460" s="176"/>
      <c r="AO460" s="181"/>
      <c r="AP460" s="181"/>
    </row>
    <row r="461" ht="12.75" customHeight="1">
      <c r="A461" s="179"/>
      <c r="B461" s="459"/>
      <c r="C461" s="481"/>
      <c r="D461" s="180"/>
      <c r="E461" s="180"/>
      <c r="F461" s="180"/>
      <c r="G461" s="460"/>
      <c r="H461" s="181"/>
      <c r="I461" s="181"/>
      <c r="J461" s="181"/>
      <c r="K461" s="181"/>
      <c r="L461" s="181"/>
      <c r="M461" s="329"/>
      <c r="N461" s="181"/>
      <c r="O461" s="181"/>
      <c r="P461" s="176"/>
      <c r="Q461" s="181"/>
      <c r="R461" s="181"/>
      <c r="S461" s="176"/>
      <c r="T461" s="181"/>
      <c r="U461" s="181"/>
      <c r="V461" s="176"/>
      <c r="W461" s="181"/>
      <c r="X461" s="181"/>
      <c r="Y461" s="176"/>
      <c r="Z461" s="181"/>
      <c r="AA461" s="181"/>
      <c r="AB461" s="176"/>
      <c r="AC461" s="181"/>
      <c r="AD461" s="181"/>
      <c r="AE461" s="176"/>
      <c r="AF461" s="176"/>
      <c r="AG461" s="176"/>
      <c r="AH461" s="176"/>
      <c r="AI461" s="181"/>
      <c r="AJ461" s="181"/>
      <c r="AK461" s="176"/>
      <c r="AL461" s="181"/>
      <c r="AM461" s="181"/>
      <c r="AN461" s="176"/>
      <c r="AO461" s="181"/>
      <c r="AP461" s="181"/>
    </row>
    <row r="462" ht="12.75" customHeight="1">
      <c r="A462" s="179"/>
      <c r="B462" s="459"/>
      <c r="C462" s="481"/>
      <c r="D462" s="180"/>
      <c r="E462" s="180"/>
      <c r="F462" s="180"/>
      <c r="G462" s="460"/>
      <c r="H462" s="181"/>
      <c r="I462" s="181"/>
      <c r="J462" s="181"/>
      <c r="K462" s="181"/>
      <c r="L462" s="181"/>
      <c r="M462" s="329"/>
      <c r="N462" s="181"/>
      <c r="O462" s="181"/>
      <c r="P462" s="176"/>
      <c r="Q462" s="181"/>
      <c r="R462" s="181"/>
      <c r="S462" s="176"/>
      <c r="T462" s="181"/>
      <c r="U462" s="181"/>
      <c r="V462" s="176"/>
      <c r="W462" s="181"/>
      <c r="X462" s="181"/>
      <c r="Y462" s="176"/>
      <c r="Z462" s="181"/>
      <c r="AA462" s="181"/>
      <c r="AB462" s="176"/>
      <c r="AC462" s="181"/>
      <c r="AD462" s="181"/>
      <c r="AE462" s="176"/>
      <c r="AF462" s="176"/>
      <c r="AG462" s="176"/>
      <c r="AH462" s="176"/>
      <c r="AI462" s="181"/>
      <c r="AJ462" s="181"/>
      <c r="AK462" s="176"/>
      <c r="AL462" s="181"/>
      <c r="AM462" s="181"/>
      <c r="AN462" s="176"/>
      <c r="AO462" s="181"/>
      <c r="AP462" s="181"/>
    </row>
    <row r="463" ht="12.75" customHeight="1">
      <c r="A463" s="179"/>
      <c r="B463" s="459"/>
      <c r="C463" s="481"/>
      <c r="D463" s="180"/>
      <c r="E463" s="180"/>
      <c r="F463" s="180"/>
      <c r="G463" s="460"/>
      <c r="H463" s="181"/>
      <c r="I463" s="181"/>
      <c r="J463" s="181"/>
      <c r="K463" s="181"/>
      <c r="L463" s="181"/>
      <c r="M463" s="329"/>
      <c r="N463" s="181"/>
      <c r="O463" s="181"/>
      <c r="P463" s="176"/>
      <c r="Q463" s="181"/>
      <c r="R463" s="181"/>
      <c r="S463" s="176"/>
      <c r="T463" s="181"/>
      <c r="U463" s="181"/>
      <c r="V463" s="176"/>
      <c r="W463" s="181"/>
      <c r="X463" s="181"/>
      <c r="Y463" s="176"/>
      <c r="Z463" s="181"/>
      <c r="AA463" s="181"/>
      <c r="AB463" s="176"/>
      <c r="AC463" s="181"/>
      <c r="AD463" s="181"/>
      <c r="AE463" s="176"/>
      <c r="AF463" s="176"/>
      <c r="AG463" s="176"/>
      <c r="AH463" s="176"/>
      <c r="AI463" s="181"/>
      <c r="AJ463" s="181"/>
      <c r="AK463" s="176"/>
      <c r="AL463" s="181"/>
      <c r="AM463" s="181"/>
      <c r="AN463" s="176"/>
      <c r="AO463" s="181"/>
      <c r="AP463" s="181"/>
    </row>
    <row r="464" ht="12.75" customHeight="1">
      <c r="A464" s="179"/>
      <c r="B464" s="459"/>
      <c r="C464" s="481"/>
      <c r="D464" s="180"/>
      <c r="E464" s="180"/>
      <c r="F464" s="180"/>
      <c r="G464" s="460"/>
      <c r="H464" s="181"/>
      <c r="I464" s="181"/>
      <c r="J464" s="181"/>
      <c r="K464" s="181"/>
      <c r="L464" s="181"/>
      <c r="M464" s="329"/>
      <c r="N464" s="181"/>
      <c r="O464" s="181"/>
      <c r="P464" s="176"/>
      <c r="Q464" s="181"/>
      <c r="R464" s="181"/>
      <c r="S464" s="176"/>
      <c r="T464" s="181"/>
      <c r="U464" s="181"/>
      <c r="V464" s="176"/>
      <c r="W464" s="181"/>
      <c r="X464" s="181"/>
      <c r="Y464" s="176"/>
      <c r="Z464" s="181"/>
      <c r="AA464" s="181"/>
      <c r="AB464" s="176"/>
      <c r="AC464" s="181"/>
      <c r="AD464" s="181"/>
      <c r="AE464" s="176"/>
      <c r="AF464" s="176"/>
      <c r="AG464" s="176"/>
      <c r="AH464" s="176"/>
      <c r="AI464" s="181"/>
      <c r="AJ464" s="181"/>
      <c r="AK464" s="176"/>
      <c r="AL464" s="181"/>
      <c r="AM464" s="181"/>
      <c r="AN464" s="176"/>
      <c r="AO464" s="181"/>
      <c r="AP464" s="181"/>
    </row>
    <row r="465" ht="12.75" customHeight="1">
      <c r="A465" s="179"/>
      <c r="B465" s="459"/>
      <c r="C465" s="481"/>
      <c r="D465" s="180"/>
      <c r="E465" s="180"/>
      <c r="F465" s="180"/>
      <c r="G465" s="460"/>
      <c r="H465" s="181"/>
      <c r="I465" s="181"/>
      <c r="J465" s="181"/>
      <c r="K465" s="181"/>
      <c r="L465" s="181"/>
      <c r="M465" s="329"/>
      <c r="N465" s="181"/>
      <c r="O465" s="181"/>
      <c r="P465" s="176"/>
      <c r="Q465" s="181"/>
      <c r="R465" s="181"/>
      <c r="S465" s="176"/>
      <c r="T465" s="181"/>
      <c r="U465" s="181"/>
      <c r="V465" s="176"/>
      <c r="W465" s="181"/>
      <c r="X465" s="181"/>
      <c r="Y465" s="176"/>
      <c r="Z465" s="181"/>
      <c r="AA465" s="181"/>
      <c r="AB465" s="176"/>
      <c r="AC465" s="181"/>
      <c r="AD465" s="181"/>
      <c r="AE465" s="176"/>
      <c r="AF465" s="176"/>
      <c r="AG465" s="176"/>
      <c r="AH465" s="176"/>
      <c r="AI465" s="181"/>
      <c r="AJ465" s="181"/>
      <c r="AK465" s="176"/>
      <c r="AL465" s="181"/>
      <c r="AM465" s="181"/>
      <c r="AN465" s="176"/>
      <c r="AO465" s="181"/>
      <c r="AP465" s="181"/>
    </row>
    <row r="466" ht="12.75" customHeight="1">
      <c r="A466" s="179"/>
      <c r="B466" s="459"/>
      <c r="C466" s="481"/>
      <c r="D466" s="180"/>
      <c r="E466" s="180"/>
      <c r="F466" s="180"/>
      <c r="G466" s="460"/>
      <c r="H466" s="181"/>
      <c r="I466" s="181"/>
      <c r="J466" s="181"/>
      <c r="K466" s="181"/>
      <c r="L466" s="181"/>
      <c r="M466" s="329"/>
      <c r="N466" s="181"/>
      <c r="O466" s="181"/>
      <c r="P466" s="176"/>
      <c r="Q466" s="181"/>
      <c r="R466" s="181"/>
      <c r="S466" s="176"/>
      <c r="T466" s="181"/>
      <c r="U466" s="181"/>
      <c r="V466" s="176"/>
      <c r="W466" s="181"/>
      <c r="X466" s="181"/>
      <c r="Y466" s="176"/>
      <c r="Z466" s="181"/>
      <c r="AA466" s="181"/>
      <c r="AB466" s="176"/>
      <c r="AC466" s="181"/>
      <c r="AD466" s="181"/>
      <c r="AE466" s="176"/>
      <c r="AF466" s="176"/>
      <c r="AG466" s="176"/>
      <c r="AH466" s="176"/>
      <c r="AI466" s="181"/>
      <c r="AJ466" s="181"/>
      <c r="AK466" s="176"/>
      <c r="AL466" s="181"/>
      <c r="AM466" s="181"/>
      <c r="AN466" s="176"/>
      <c r="AO466" s="181"/>
      <c r="AP466" s="181"/>
    </row>
    <row r="467" ht="12.75" customHeight="1">
      <c r="A467" s="179"/>
      <c r="B467" s="459"/>
      <c r="C467" s="481"/>
      <c r="D467" s="180"/>
      <c r="E467" s="180"/>
      <c r="F467" s="180"/>
      <c r="G467" s="460"/>
      <c r="H467" s="181"/>
      <c r="I467" s="181"/>
      <c r="J467" s="181"/>
      <c r="K467" s="181"/>
      <c r="L467" s="181"/>
      <c r="M467" s="329"/>
      <c r="N467" s="181"/>
      <c r="O467" s="181"/>
      <c r="P467" s="176"/>
      <c r="Q467" s="181"/>
      <c r="R467" s="181"/>
      <c r="S467" s="176"/>
      <c r="T467" s="181"/>
      <c r="U467" s="181"/>
      <c r="V467" s="176"/>
      <c r="W467" s="181"/>
      <c r="X467" s="181"/>
      <c r="Y467" s="176"/>
      <c r="Z467" s="181"/>
      <c r="AA467" s="181"/>
      <c r="AB467" s="176"/>
      <c r="AC467" s="181"/>
      <c r="AD467" s="181"/>
      <c r="AE467" s="176"/>
      <c r="AF467" s="176"/>
      <c r="AG467" s="176"/>
      <c r="AH467" s="176"/>
      <c r="AI467" s="181"/>
      <c r="AJ467" s="181"/>
      <c r="AK467" s="176"/>
      <c r="AL467" s="181"/>
      <c r="AM467" s="181"/>
      <c r="AN467" s="176"/>
      <c r="AO467" s="181"/>
      <c r="AP467" s="181"/>
    </row>
    <row r="468" ht="12.75" customHeight="1">
      <c r="A468" s="179"/>
      <c r="B468" s="459"/>
      <c r="C468" s="481"/>
      <c r="D468" s="180"/>
      <c r="E468" s="180"/>
      <c r="F468" s="180"/>
      <c r="G468" s="460"/>
      <c r="H468" s="181"/>
      <c r="I468" s="181"/>
      <c r="J468" s="181"/>
      <c r="K468" s="181"/>
      <c r="L468" s="181"/>
      <c r="M468" s="329"/>
      <c r="N468" s="181"/>
      <c r="O468" s="181"/>
      <c r="P468" s="176"/>
      <c r="Q468" s="181"/>
      <c r="R468" s="181"/>
      <c r="S468" s="176"/>
      <c r="T468" s="181"/>
      <c r="U468" s="181"/>
      <c r="V468" s="176"/>
      <c r="W468" s="181"/>
      <c r="X468" s="181"/>
      <c r="Y468" s="176"/>
      <c r="Z468" s="181"/>
      <c r="AA468" s="181"/>
      <c r="AB468" s="176"/>
      <c r="AC468" s="181"/>
      <c r="AD468" s="181"/>
      <c r="AE468" s="176"/>
      <c r="AF468" s="176"/>
      <c r="AG468" s="176"/>
      <c r="AH468" s="176"/>
      <c r="AI468" s="181"/>
      <c r="AJ468" s="181"/>
      <c r="AK468" s="176"/>
      <c r="AL468" s="181"/>
      <c r="AM468" s="181"/>
      <c r="AN468" s="176"/>
      <c r="AO468" s="181"/>
      <c r="AP468" s="181"/>
    </row>
    <row r="469" ht="12.75" customHeight="1">
      <c r="A469" s="179"/>
      <c r="B469" s="459"/>
      <c r="C469" s="481"/>
      <c r="D469" s="180"/>
      <c r="E469" s="180"/>
      <c r="F469" s="180"/>
      <c r="G469" s="460"/>
      <c r="H469" s="181"/>
      <c r="I469" s="181"/>
      <c r="J469" s="181"/>
      <c r="K469" s="181"/>
      <c r="L469" s="181"/>
      <c r="M469" s="329"/>
      <c r="N469" s="181"/>
      <c r="O469" s="181"/>
      <c r="P469" s="176"/>
      <c r="Q469" s="181"/>
      <c r="R469" s="181"/>
      <c r="S469" s="176"/>
      <c r="T469" s="181"/>
      <c r="U469" s="181"/>
      <c r="V469" s="176"/>
      <c r="W469" s="181"/>
      <c r="X469" s="181"/>
      <c r="Y469" s="176"/>
      <c r="Z469" s="181"/>
      <c r="AA469" s="181"/>
      <c r="AB469" s="176"/>
      <c r="AC469" s="181"/>
      <c r="AD469" s="181"/>
      <c r="AE469" s="176"/>
      <c r="AF469" s="176"/>
      <c r="AG469" s="176"/>
      <c r="AH469" s="176"/>
      <c r="AI469" s="181"/>
      <c r="AJ469" s="181"/>
      <c r="AK469" s="176"/>
      <c r="AL469" s="181"/>
      <c r="AM469" s="181"/>
      <c r="AN469" s="176"/>
      <c r="AO469" s="181"/>
      <c r="AP469" s="181"/>
    </row>
    <row r="470" ht="12.75" customHeight="1">
      <c r="A470" s="179"/>
      <c r="B470" s="459"/>
      <c r="C470" s="481"/>
      <c r="D470" s="180"/>
      <c r="E470" s="180"/>
      <c r="F470" s="180"/>
      <c r="G470" s="460"/>
      <c r="H470" s="181"/>
      <c r="I470" s="181"/>
      <c r="J470" s="181"/>
      <c r="K470" s="181"/>
      <c r="L470" s="181"/>
      <c r="M470" s="329"/>
      <c r="N470" s="181"/>
      <c r="O470" s="181"/>
      <c r="P470" s="176"/>
      <c r="Q470" s="181"/>
      <c r="R470" s="181"/>
      <c r="S470" s="176"/>
      <c r="T470" s="181"/>
      <c r="U470" s="181"/>
      <c r="V470" s="176"/>
      <c r="W470" s="181"/>
      <c r="X470" s="181"/>
      <c r="Y470" s="176"/>
      <c r="Z470" s="181"/>
      <c r="AA470" s="181"/>
      <c r="AB470" s="176"/>
      <c r="AC470" s="181"/>
      <c r="AD470" s="181"/>
      <c r="AE470" s="176"/>
      <c r="AF470" s="176"/>
      <c r="AG470" s="176"/>
      <c r="AH470" s="176"/>
      <c r="AI470" s="181"/>
      <c r="AJ470" s="181"/>
      <c r="AK470" s="176"/>
      <c r="AL470" s="181"/>
      <c r="AM470" s="181"/>
      <c r="AN470" s="176"/>
      <c r="AO470" s="181"/>
      <c r="AP470" s="181"/>
    </row>
    <row r="471" ht="12.75" customHeight="1">
      <c r="A471" s="179"/>
      <c r="B471" s="459"/>
      <c r="C471" s="481"/>
      <c r="D471" s="180"/>
      <c r="E471" s="180"/>
      <c r="F471" s="180"/>
      <c r="G471" s="460"/>
      <c r="H471" s="181"/>
      <c r="I471" s="181"/>
      <c r="J471" s="181"/>
      <c r="K471" s="181"/>
      <c r="L471" s="181"/>
      <c r="M471" s="329"/>
      <c r="N471" s="181"/>
      <c r="O471" s="181"/>
      <c r="P471" s="176"/>
      <c r="Q471" s="181"/>
      <c r="R471" s="181"/>
      <c r="S471" s="176"/>
      <c r="T471" s="181"/>
      <c r="U471" s="181"/>
      <c r="V471" s="176"/>
      <c r="W471" s="181"/>
      <c r="X471" s="181"/>
      <c r="Y471" s="176"/>
      <c r="Z471" s="181"/>
      <c r="AA471" s="181"/>
      <c r="AB471" s="176"/>
      <c r="AC471" s="181"/>
      <c r="AD471" s="181"/>
      <c r="AE471" s="176"/>
      <c r="AF471" s="176"/>
      <c r="AG471" s="176"/>
      <c r="AH471" s="176"/>
      <c r="AI471" s="181"/>
      <c r="AJ471" s="181"/>
      <c r="AK471" s="176"/>
      <c r="AL471" s="181"/>
      <c r="AM471" s="181"/>
      <c r="AN471" s="176"/>
      <c r="AO471" s="181"/>
      <c r="AP471" s="181"/>
    </row>
    <row r="472" ht="12.75" customHeight="1">
      <c r="A472" s="179"/>
      <c r="B472" s="459"/>
      <c r="C472" s="481"/>
      <c r="D472" s="180"/>
      <c r="E472" s="180"/>
      <c r="F472" s="180"/>
      <c r="G472" s="460"/>
      <c r="H472" s="181"/>
      <c r="I472" s="181"/>
      <c r="J472" s="181"/>
      <c r="K472" s="181"/>
      <c r="L472" s="181"/>
      <c r="M472" s="329"/>
      <c r="N472" s="181"/>
      <c r="O472" s="181"/>
      <c r="P472" s="176"/>
      <c r="Q472" s="181"/>
      <c r="R472" s="181"/>
      <c r="S472" s="176"/>
      <c r="T472" s="181"/>
      <c r="U472" s="181"/>
      <c r="V472" s="176"/>
      <c r="W472" s="181"/>
      <c r="X472" s="181"/>
      <c r="Y472" s="176"/>
      <c r="Z472" s="181"/>
      <c r="AA472" s="181"/>
      <c r="AB472" s="176"/>
      <c r="AC472" s="181"/>
      <c r="AD472" s="181"/>
      <c r="AE472" s="176"/>
      <c r="AF472" s="176"/>
      <c r="AG472" s="176"/>
      <c r="AH472" s="176"/>
      <c r="AI472" s="181"/>
      <c r="AJ472" s="181"/>
      <c r="AK472" s="176"/>
      <c r="AL472" s="181"/>
      <c r="AM472" s="181"/>
      <c r="AN472" s="176"/>
      <c r="AO472" s="181"/>
      <c r="AP472" s="181"/>
    </row>
    <row r="473" ht="12.75" customHeight="1">
      <c r="A473" s="179"/>
      <c r="B473" s="459"/>
      <c r="C473" s="481"/>
      <c r="D473" s="180"/>
      <c r="E473" s="180"/>
      <c r="F473" s="180"/>
      <c r="G473" s="460"/>
      <c r="H473" s="181"/>
      <c r="I473" s="181"/>
      <c r="J473" s="181"/>
      <c r="K473" s="181"/>
      <c r="L473" s="181"/>
      <c r="M473" s="329"/>
      <c r="N473" s="181"/>
      <c r="O473" s="181"/>
      <c r="P473" s="176"/>
      <c r="Q473" s="181"/>
      <c r="R473" s="181"/>
      <c r="S473" s="176"/>
      <c r="T473" s="181"/>
      <c r="U473" s="181"/>
      <c r="V473" s="176"/>
      <c r="W473" s="181"/>
      <c r="X473" s="181"/>
      <c r="Y473" s="176"/>
      <c r="Z473" s="181"/>
      <c r="AA473" s="181"/>
      <c r="AB473" s="176"/>
      <c r="AC473" s="181"/>
      <c r="AD473" s="181"/>
      <c r="AE473" s="176"/>
      <c r="AF473" s="176"/>
      <c r="AG473" s="176"/>
      <c r="AH473" s="176"/>
      <c r="AI473" s="181"/>
      <c r="AJ473" s="181"/>
      <c r="AK473" s="176"/>
      <c r="AL473" s="181"/>
      <c r="AM473" s="181"/>
      <c r="AN473" s="176"/>
      <c r="AO473" s="181"/>
      <c r="AP473" s="181"/>
    </row>
    <row r="474" ht="12.75" customHeight="1">
      <c r="A474" s="179"/>
      <c r="B474" s="459"/>
      <c r="C474" s="481"/>
      <c r="D474" s="180"/>
      <c r="E474" s="180"/>
      <c r="F474" s="180"/>
      <c r="G474" s="460"/>
      <c r="H474" s="181"/>
      <c r="I474" s="181"/>
      <c r="J474" s="181"/>
      <c r="K474" s="181"/>
      <c r="L474" s="181"/>
      <c r="M474" s="329"/>
      <c r="N474" s="181"/>
      <c r="O474" s="181"/>
      <c r="P474" s="176"/>
      <c r="Q474" s="181"/>
      <c r="R474" s="181"/>
      <c r="S474" s="176"/>
      <c r="T474" s="181"/>
      <c r="U474" s="181"/>
      <c r="V474" s="176"/>
      <c r="W474" s="181"/>
      <c r="X474" s="181"/>
      <c r="Y474" s="176"/>
      <c r="Z474" s="181"/>
      <c r="AA474" s="181"/>
      <c r="AB474" s="176"/>
      <c r="AC474" s="181"/>
      <c r="AD474" s="181"/>
      <c r="AE474" s="176"/>
      <c r="AF474" s="176"/>
      <c r="AG474" s="176"/>
      <c r="AH474" s="176"/>
      <c r="AI474" s="181"/>
      <c r="AJ474" s="181"/>
      <c r="AK474" s="176"/>
      <c r="AL474" s="181"/>
      <c r="AM474" s="181"/>
      <c r="AN474" s="176"/>
      <c r="AO474" s="181"/>
      <c r="AP474" s="181"/>
    </row>
    <row r="475" ht="12.75" customHeight="1">
      <c r="A475" s="179"/>
      <c r="B475" s="459"/>
      <c r="C475" s="481"/>
      <c r="D475" s="180"/>
      <c r="E475" s="180"/>
      <c r="F475" s="180"/>
      <c r="G475" s="460"/>
      <c r="H475" s="181"/>
      <c r="I475" s="181"/>
      <c r="J475" s="181"/>
      <c r="K475" s="181"/>
      <c r="L475" s="181"/>
      <c r="M475" s="329"/>
      <c r="N475" s="181"/>
      <c r="O475" s="181"/>
      <c r="P475" s="176"/>
      <c r="Q475" s="181"/>
      <c r="R475" s="181"/>
      <c r="S475" s="176"/>
      <c r="T475" s="181"/>
      <c r="U475" s="181"/>
      <c r="V475" s="176"/>
      <c r="W475" s="181"/>
      <c r="X475" s="181"/>
      <c r="Y475" s="176"/>
      <c r="Z475" s="181"/>
      <c r="AA475" s="181"/>
      <c r="AB475" s="176"/>
      <c r="AC475" s="181"/>
      <c r="AD475" s="181"/>
      <c r="AE475" s="176"/>
      <c r="AF475" s="176"/>
      <c r="AG475" s="176"/>
      <c r="AH475" s="176"/>
      <c r="AI475" s="181"/>
      <c r="AJ475" s="181"/>
      <c r="AK475" s="176"/>
      <c r="AL475" s="181"/>
      <c r="AM475" s="181"/>
      <c r="AN475" s="176"/>
      <c r="AO475" s="181"/>
      <c r="AP475" s="181"/>
    </row>
    <row r="476" ht="12.75" customHeight="1">
      <c r="A476" s="179"/>
      <c r="B476" s="459"/>
      <c r="C476" s="481"/>
      <c r="D476" s="180"/>
      <c r="E476" s="180"/>
      <c r="F476" s="180"/>
      <c r="G476" s="460"/>
      <c r="H476" s="181"/>
      <c r="I476" s="181"/>
      <c r="J476" s="181"/>
      <c r="K476" s="181"/>
      <c r="L476" s="181"/>
      <c r="M476" s="329"/>
      <c r="N476" s="181"/>
      <c r="O476" s="181"/>
      <c r="P476" s="176"/>
      <c r="Q476" s="181"/>
      <c r="R476" s="181"/>
      <c r="S476" s="176"/>
      <c r="T476" s="181"/>
      <c r="U476" s="181"/>
      <c r="V476" s="176"/>
      <c r="W476" s="181"/>
      <c r="X476" s="181"/>
      <c r="Y476" s="176"/>
      <c r="Z476" s="181"/>
      <c r="AA476" s="181"/>
      <c r="AB476" s="176"/>
      <c r="AC476" s="181"/>
      <c r="AD476" s="181"/>
      <c r="AE476" s="176"/>
      <c r="AF476" s="176"/>
      <c r="AG476" s="176"/>
      <c r="AH476" s="176"/>
      <c r="AI476" s="181"/>
      <c r="AJ476" s="181"/>
      <c r="AK476" s="176"/>
      <c r="AL476" s="181"/>
      <c r="AM476" s="181"/>
      <c r="AN476" s="176"/>
      <c r="AO476" s="181"/>
      <c r="AP476" s="181"/>
    </row>
    <row r="477" ht="12.75" customHeight="1">
      <c r="A477" s="179"/>
      <c r="B477" s="459"/>
      <c r="C477" s="481"/>
      <c r="D477" s="180"/>
      <c r="E477" s="180"/>
      <c r="F477" s="180"/>
      <c r="G477" s="460"/>
      <c r="H477" s="181"/>
      <c r="I477" s="181"/>
      <c r="J477" s="181"/>
      <c r="K477" s="181"/>
      <c r="L477" s="181"/>
      <c r="M477" s="329"/>
      <c r="N477" s="181"/>
      <c r="O477" s="181"/>
      <c r="P477" s="176"/>
      <c r="Q477" s="181"/>
      <c r="R477" s="181"/>
      <c r="S477" s="176"/>
      <c r="T477" s="181"/>
      <c r="U477" s="181"/>
      <c r="V477" s="176"/>
      <c r="W477" s="181"/>
      <c r="X477" s="181"/>
      <c r="Y477" s="176"/>
      <c r="Z477" s="181"/>
      <c r="AA477" s="181"/>
      <c r="AB477" s="176"/>
      <c r="AC477" s="181"/>
      <c r="AD477" s="181"/>
      <c r="AE477" s="176"/>
      <c r="AF477" s="176"/>
      <c r="AG477" s="176"/>
      <c r="AH477" s="176"/>
      <c r="AI477" s="181"/>
      <c r="AJ477" s="181"/>
      <c r="AK477" s="176"/>
      <c r="AL477" s="181"/>
      <c r="AM477" s="181"/>
      <c r="AN477" s="176"/>
      <c r="AO477" s="181"/>
      <c r="AP477" s="181"/>
    </row>
    <row r="478" ht="12.75" customHeight="1">
      <c r="A478" s="179"/>
      <c r="B478" s="459"/>
      <c r="C478" s="481"/>
      <c r="D478" s="180"/>
      <c r="E478" s="180"/>
      <c r="F478" s="180"/>
      <c r="G478" s="460"/>
      <c r="H478" s="181"/>
      <c r="I478" s="181"/>
      <c r="J478" s="181"/>
      <c r="K478" s="181"/>
      <c r="L478" s="181"/>
      <c r="M478" s="329"/>
      <c r="N478" s="181"/>
      <c r="O478" s="181"/>
      <c r="P478" s="176"/>
      <c r="Q478" s="181"/>
      <c r="R478" s="181"/>
      <c r="S478" s="176"/>
      <c r="T478" s="181"/>
      <c r="U478" s="181"/>
      <c r="V478" s="176"/>
      <c r="W478" s="181"/>
      <c r="X478" s="181"/>
      <c r="Y478" s="176"/>
      <c r="Z478" s="181"/>
      <c r="AA478" s="181"/>
      <c r="AB478" s="176"/>
      <c r="AC478" s="181"/>
      <c r="AD478" s="181"/>
      <c r="AE478" s="176"/>
      <c r="AF478" s="176"/>
      <c r="AG478" s="176"/>
      <c r="AH478" s="176"/>
      <c r="AI478" s="181"/>
      <c r="AJ478" s="181"/>
      <c r="AK478" s="176"/>
      <c r="AL478" s="181"/>
      <c r="AM478" s="181"/>
      <c r="AN478" s="176"/>
      <c r="AO478" s="181"/>
      <c r="AP478" s="181"/>
    </row>
    <row r="479" ht="12.75" customHeight="1">
      <c r="A479" s="179"/>
      <c r="B479" s="459"/>
      <c r="C479" s="481"/>
      <c r="D479" s="180"/>
      <c r="E479" s="180"/>
      <c r="F479" s="180"/>
      <c r="G479" s="460"/>
      <c r="H479" s="181"/>
      <c r="I479" s="181"/>
      <c r="J479" s="181"/>
      <c r="K479" s="181"/>
      <c r="L479" s="181"/>
      <c r="M479" s="329"/>
      <c r="N479" s="181"/>
      <c r="O479" s="181"/>
      <c r="P479" s="176"/>
      <c r="Q479" s="181"/>
      <c r="R479" s="181"/>
      <c r="S479" s="176"/>
      <c r="T479" s="181"/>
      <c r="U479" s="181"/>
      <c r="V479" s="176"/>
      <c r="W479" s="181"/>
      <c r="X479" s="181"/>
      <c r="Y479" s="176"/>
      <c r="Z479" s="181"/>
      <c r="AA479" s="181"/>
      <c r="AB479" s="176"/>
      <c r="AC479" s="181"/>
      <c r="AD479" s="181"/>
      <c r="AE479" s="176"/>
      <c r="AF479" s="176"/>
      <c r="AG479" s="176"/>
      <c r="AH479" s="176"/>
      <c r="AI479" s="181"/>
      <c r="AJ479" s="181"/>
      <c r="AK479" s="176"/>
      <c r="AL479" s="181"/>
      <c r="AM479" s="181"/>
      <c r="AN479" s="176"/>
      <c r="AO479" s="181"/>
      <c r="AP479" s="181"/>
    </row>
    <row r="480" ht="12.75" customHeight="1">
      <c r="A480" s="179"/>
      <c r="B480" s="459"/>
      <c r="C480" s="481"/>
      <c r="D480" s="180"/>
      <c r="E480" s="180"/>
      <c r="F480" s="180"/>
      <c r="G480" s="460"/>
      <c r="H480" s="181"/>
      <c r="I480" s="181"/>
      <c r="J480" s="181"/>
      <c r="K480" s="181"/>
      <c r="L480" s="181"/>
      <c r="M480" s="329"/>
      <c r="N480" s="181"/>
      <c r="O480" s="181"/>
      <c r="P480" s="176"/>
      <c r="Q480" s="181"/>
      <c r="R480" s="181"/>
      <c r="S480" s="176"/>
      <c r="T480" s="181"/>
      <c r="U480" s="181"/>
      <c r="V480" s="176"/>
      <c r="W480" s="181"/>
      <c r="X480" s="181"/>
      <c r="Y480" s="176"/>
      <c r="Z480" s="181"/>
      <c r="AA480" s="181"/>
      <c r="AB480" s="176"/>
      <c r="AC480" s="181"/>
      <c r="AD480" s="181"/>
      <c r="AE480" s="176"/>
      <c r="AF480" s="176"/>
      <c r="AG480" s="176"/>
      <c r="AH480" s="176"/>
      <c r="AI480" s="181"/>
      <c r="AJ480" s="181"/>
      <c r="AK480" s="176"/>
      <c r="AL480" s="181"/>
      <c r="AM480" s="181"/>
      <c r="AN480" s="176"/>
      <c r="AO480" s="181"/>
      <c r="AP480" s="181"/>
    </row>
    <row r="481" ht="12.75" customHeight="1">
      <c r="A481" s="179"/>
      <c r="B481" s="459"/>
      <c r="C481" s="481"/>
      <c r="D481" s="180"/>
      <c r="E481" s="180"/>
      <c r="F481" s="180"/>
      <c r="G481" s="460"/>
      <c r="H481" s="181"/>
      <c r="I481" s="181"/>
      <c r="J481" s="181"/>
      <c r="K481" s="181"/>
      <c r="L481" s="181"/>
      <c r="M481" s="329"/>
      <c r="N481" s="181"/>
      <c r="O481" s="181"/>
      <c r="P481" s="176"/>
      <c r="Q481" s="181"/>
      <c r="R481" s="181"/>
      <c r="S481" s="176"/>
      <c r="T481" s="181"/>
      <c r="U481" s="181"/>
      <c r="V481" s="176"/>
      <c r="W481" s="181"/>
      <c r="X481" s="181"/>
      <c r="Y481" s="176"/>
      <c r="Z481" s="181"/>
      <c r="AA481" s="181"/>
      <c r="AB481" s="176"/>
      <c r="AC481" s="181"/>
      <c r="AD481" s="181"/>
      <c r="AE481" s="176"/>
      <c r="AF481" s="176"/>
      <c r="AG481" s="176"/>
      <c r="AH481" s="176"/>
      <c r="AI481" s="181"/>
      <c r="AJ481" s="181"/>
      <c r="AK481" s="176"/>
      <c r="AL481" s="181"/>
      <c r="AM481" s="181"/>
      <c r="AN481" s="176"/>
      <c r="AO481" s="181"/>
      <c r="AP481" s="181"/>
    </row>
    <row r="482" ht="12.75" customHeight="1">
      <c r="A482" s="179"/>
      <c r="B482" s="459"/>
      <c r="C482" s="481"/>
      <c r="D482" s="180"/>
      <c r="E482" s="180"/>
      <c r="F482" s="180"/>
      <c r="G482" s="460"/>
      <c r="H482" s="181"/>
      <c r="I482" s="181"/>
      <c r="J482" s="181"/>
      <c r="K482" s="181"/>
      <c r="L482" s="181"/>
      <c r="M482" s="329"/>
      <c r="N482" s="181"/>
      <c r="O482" s="181"/>
      <c r="P482" s="176"/>
      <c r="Q482" s="181"/>
      <c r="R482" s="181"/>
      <c r="S482" s="176"/>
      <c r="T482" s="181"/>
      <c r="U482" s="181"/>
      <c r="V482" s="176"/>
      <c r="W482" s="181"/>
      <c r="X482" s="181"/>
      <c r="Y482" s="176"/>
      <c r="Z482" s="181"/>
      <c r="AA482" s="181"/>
      <c r="AB482" s="176"/>
      <c r="AC482" s="181"/>
      <c r="AD482" s="181"/>
      <c r="AE482" s="176"/>
      <c r="AF482" s="176"/>
      <c r="AG482" s="176"/>
      <c r="AH482" s="176"/>
      <c r="AI482" s="181"/>
      <c r="AJ482" s="181"/>
      <c r="AK482" s="176"/>
      <c r="AL482" s="181"/>
      <c r="AM482" s="181"/>
      <c r="AN482" s="176"/>
      <c r="AO482" s="181"/>
      <c r="AP482" s="181"/>
    </row>
    <row r="483" ht="12.75" customHeight="1">
      <c r="A483" s="179"/>
      <c r="B483" s="459"/>
      <c r="C483" s="481"/>
      <c r="D483" s="180"/>
      <c r="E483" s="180"/>
      <c r="F483" s="180"/>
      <c r="G483" s="460"/>
      <c r="H483" s="181"/>
      <c r="I483" s="181"/>
      <c r="J483" s="181"/>
      <c r="K483" s="181"/>
      <c r="L483" s="181"/>
      <c r="M483" s="329"/>
      <c r="N483" s="181"/>
      <c r="O483" s="181"/>
      <c r="P483" s="176"/>
      <c r="Q483" s="181"/>
      <c r="R483" s="181"/>
      <c r="S483" s="176"/>
      <c r="T483" s="181"/>
      <c r="U483" s="181"/>
      <c r="V483" s="176"/>
      <c r="W483" s="181"/>
      <c r="X483" s="181"/>
      <c r="Y483" s="176"/>
      <c r="Z483" s="181"/>
      <c r="AA483" s="181"/>
      <c r="AB483" s="176"/>
      <c r="AC483" s="181"/>
      <c r="AD483" s="181"/>
      <c r="AE483" s="176"/>
      <c r="AF483" s="176"/>
      <c r="AG483" s="176"/>
      <c r="AH483" s="176"/>
      <c r="AI483" s="181"/>
      <c r="AJ483" s="181"/>
      <c r="AK483" s="176"/>
      <c r="AL483" s="181"/>
      <c r="AM483" s="181"/>
      <c r="AN483" s="176"/>
      <c r="AO483" s="181"/>
      <c r="AP483" s="181"/>
    </row>
    <row r="484" ht="12.75" customHeight="1">
      <c r="A484" s="179"/>
      <c r="B484" s="459"/>
      <c r="C484" s="481"/>
      <c r="D484" s="180"/>
      <c r="E484" s="180"/>
      <c r="F484" s="180"/>
      <c r="G484" s="460"/>
      <c r="H484" s="181"/>
      <c r="I484" s="181"/>
      <c r="J484" s="181"/>
      <c r="K484" s="181"/>
      <c r="L484" s="181"/>
      <c r="M484" s="329"/>
      <c r="N484" s="181"/>
      <c r="O484" s="181"/>
      <c r="P484" s="176"/>
      <c r="Q484" s="181"/>
      <c r="R484" s="181"/>
      <c r="S484" s="176"/>
      <c r="T484" s="181"/>
      <c r="U484" s="181"/>
      <c r="V484" s="176"/>
      <c r="W484" s="181"/>
      <c r="X484" s="181"/>
      <c r="Y484" s="176"/>
      <c r="Z484" s="181"/>
      <c r="AA484" s="181"/>
      <c r="AB484" s="176"/>
      <c r="AC484" s="181"/>
      <c r="AD484" s="181"/>
      <c r="AE484" s="176"/>
      <c r="AF484" s="176"/>
      <c r="AG484" s="176"/>
      <c r="AH484" s="176"/>
      <c r="AI484" s="181"/>
      <c r="AJ484" s="181"/>
      <c r="AK484" s="176"/>
      <c r="AL484" s="181"/>
      <c r="AM484" s="181"/>
      <c r="AN484" s="176"/>
      <c r="AO484" s="181"/>
      <c r="AP484" s="181"/>
    </row>
    <row r="485" ht="12.75" customHeight="1">
      <c r="A485" s="179"/>
      <c r="B485" s="459"/>
      <c r="C485" s="481"/>
      <c r="D485" s="180"/>
      <c r="E485" s="180"/>
      <c r="F485" s="180"/>
      <c r="G485" s="460"/>
      <c r="H485" s="181"/>
      <c r="I485" s="181"/>
      <c r="J485" s="181"/>
      <c r="K485" s="181"/>
      <c r="L485" s="181"/>
      <c r="M485" s="329"/>
      <c r="N485" s="181"/>
      <c r="O485" s="181"/>
      <c r="P485" s="176"/>
      <c r="Q485" s="181"/>
      <c r="R485" s="181"/>
      <c r="S485" s="176"/>
      <c r="T485" s="181"/>
      <c r="U485" s="181"/>
      <c r="V485" s="176"/>
      <c r="W485" s="181"/>
      <c r="X485" s="181"/>
      <c r="Y485" s="176"/>
      <c r="Z485" s="181"/>
      <c r="AA485" s="181"/>
      <c r="AB485" s="176"/>
      <c r="AC485" s="181"/>
      <c r="AD485" s="181"/>
      <c r="AE485" s="176"/>
      <c r="AF485" s="176"/>
      <c r="AG485" s="176"/>
      <c r="AH485" s="176"/>
      <c r="AI485" s="181"/>
      <c r="AJ485" s="181"/>
      <c r="AK485" s="176"/>
      <c r="AL485" s="181"/>
      <c r="AM485" s="181"/>
      <c r="AN485" s="176"/>
      <c r="AO485" s="181"/>
      <c r="AP485" s="181"/>
    </row>
    <row r="486" ht="12.75" customHeight="1">
      <c r="A486" s="179"/>
      <c r="B486" s="459"/>
      <c r="C486" s="481"/>
      <c r="D486" s="180"/>
      <c r="E486" s="180"/>
      <c r="F486" s="180"/>
      <c r="G486" s="460"/>
      <c r="H486" s="181"/>
      <c r="I486" s="181"/>
      <c r="J486" s="181"/>
      <c r="K486" s="181"/>
      <c r="L486" s="181"/>
      <c r="M486" s="329"/>
      <c r="N486" s="181"/>
      <c r="O486" s="181"/>
      <c r="P486" s="176"/>
      <c r="Q486" s="181"/>
      <c r="R486" s="181"/>
      <c r="S486" s="176"/>
      <c r="T486" s="181"/>
      <c r="U486" s="181"/>
      <c r="V486" s="176"/>
      <c r="W486" s="181"/>
      <c r="X486" s="181"/>
      <c r="Y486" s="176"/>
      <c r="Z486" s="181"/>
      <c r="AA486" s="181"/>
      <c r="AB486" s="176"/>
      <c r="AC486" s="181"/>
      <c r="AD486" s="181"/>
      <c r="AE486" s="176"/>
      <c r="AF486" s="176"/>
      <c r="AG486" s="176"/>
      <c r="AH486" s="176"/>
      <c r="AI486" s="181"/>
      <c r="AJ486" s="181"/>
      <c r="AK486" s="176"/>
      <c r="AL486" s="181"/>
      <c r="AM486" s="181"/>
      <c r="AN486" s="176"/>
      <c r="AO486" s="181"/>
      <c r="AP486" s="181"/>
    </row>
    <row r="487" ht="12.75" customHeight="1">
      <c r="A487" s="179"/>
      <c r="B487" s="459"/>
      <c r="C487" s="481"/>
      <c r="D487" s="180"/>
      <c r="E487" s="180"/>
      <c r="F487" s="180"/>
      <c r="G487" s="460"/>
      <c r="H487" s="181"/>
      <c r="I487" s="181"/>
      <c r="J487" s="181"/>
      <c r="K487" s="181"/>
      <c r="L487" s="181"/>
      <c r="M487" s="329"/>
      <c r="N487" s="181"/>
      <c r="O487" s="181"/>
      <c r="P487" s="176"/>
      <c r="Q487" s="181"/>
      <c r="R487" s="181"/>
      <c r="S487" s="176"/>
      <c r="T487" s="181"/>
      <c r="U487" s="181"/>
      <c r="V487" s="176"/>
      <c r="W487" s="181"/>
      <c r="X487" s="181"/>
      <c r="Y487" s="176"/>
      <c r="Z487" s="181"/>
      <c r="AA487" s="181"/>
      <c r="AB487" s="176"/>
      <c r="AC487" s="181"/>
      <c r="AD487" s="181"/>
      <c r="AE487" s="176"/>
      <c r="AF487" s="176"/>
      <c r="AG487" s="176"/>
      <c r="AH487" s="176"/>
      <c r="AI487" s="181"/>
      <c r="AJ487" s="181"/>
      <c r="AK487" s="176"/>
      <c r="AL487" s="181"/>
      <c r="AM487" s="181"/>
      <c r="AN487" s="176"/>
      <c r="AO487" s="181"/>
      <c r="AP487" s="181"/>
    </row>
    <row r="488" ht="12.75" customHeight="1">
      <c r="A488" s="179"/>
      <c r="B488" s="459"/>
      <c r="C488" s="481"/>
      <c r="D488" s="180"/>
      <c r="E488" s="180"/>
      <c r="F488" s="180"/>
      <c r="G488" s="460"/>
      <c r="H488" s="181"/>
      <c r="I488" s="181"/>
      <c r="J488" s="181"/>
      <c r="K488" s="181"/>
      <c r="L488" s="181"/>
      <c r="M488" s="329"/>
      <c r="N488" s="181"/>
      <c r="O488" s="181"/>
      <c r="P488" s="176"/>
      <c r="Q488" s="181"/>
      <c r="R488" s="181"/>
      <c r="S488" s="176"/>
      <c r="T488" s="181"/>
      <c r="U488" s="181"/>
      <c r="V488" s="176"/>
      <c r="W488" s="181"/>
      <c r="X488" s="181"/>
      <c r="Y488" s="176"/>
      <c r="Z488" s="181"/>
      <c r="AA488" s="181"/>
      <c r="AB488" s="176"/>
      <c r="AC488" s="181"/>
      <c r="AD488" s="181"/>
      <c r="AE488" s="176"/>
      <c r="AF488" s="176"/>
      <c r="AG488" s="176"/>
      <c r="AH488" s="176"/>
      <c r="AI488" s="181"/>
      <c r="AJ488" s="181"/>
      <c r="AK488" s="176"/>
      <c r="AL488" s="181"/>
      <c r="AM488" s="181"/>
      <c r="AN488" s="176"/>
      <c r="AO488" s="181"/>
      <c r="AP488" s="181"/>
    </row>
    <row r="489" ht="12.75" customHeight="1">
      <c r="A489" s="179"/>
      <c r="B489" s="459"/>
      <c r="C489" s="481"/>
      <c r="D489" s="180"/>
      <c r="E489" s="180"/>
      <c r="F489" s="180"/>
      <c r="G489" s="460"/>
      <c r="H489" s="181"/>
      <c r="I489" s="181"/>
      <c r="J489" s="181"/>
      <c r="K489" s="181"/>
      <c r="L489" s="181"/>
      <c r="M489" s="329"/>
      <c r="N489" s="181"/>
      <c r="O489" s="181"/>
      <c r="P489" s="176"/>
      <c r="Q489" s="181"/>
      <c r="R489" s="181"/>
      <c r="S489" s="176"/>
      <c r="T489" s="181"/>
      <c r="U489" s="181"/>
      <c r="V489" s="176"/>
      <c r="W489" s="181"/>
      <c r="X489" s="181"/>
      <c r="Y489" s="176"/>
      <c r="Z489" s="181"/>
      <c r="AA489" s="181"/>
      <c r="AB489" s="176"/>
      <c r="AC489" s="181"/>
      <c r="AD489" s="181"/>
      <c r="AE489" s="176"/>
      <c r="AF489" s="176"/>
      <c r="AG489" s="176"/>
      <c r="AH489" s="176"/>
      <c r="AI489" s="181"/>
      <c r="AJ489" s="181"/>
      <c r="AK489" s="176"/>
      <c r="AL489" s="181"/>
      <c r="AM489" s="181"/>
      <c r="AN489" s="176"/>
      <c r="AO489" s="181"/>
      <c r="AP489" s="181"/>
    </row>
    <row r="490" ht="12.75" customHeight="1">
      <c r="A490" s="179"/>
      <c r="B490" s="459"/>
      <c r="C490" s="481"/>
      <c r="D490" s="180"/>
      <c r="E490" s="180"/>
      <c r="F490" s="180"/>
      <c r="G490" s="460"/>
      <c r="H490" s="181"/>
      <c r="I490" s="181"/>
      <c r="J490" s="181"/>
      <c r="K490" s="181"/>
      <c r="L490" s="181"/>
      <c r="M490" s="329"/>
      <c r="N490" s="181"/>
      <c r="O490" s="181"/>
      <c r="P490" s="176"/>
      <c r="Q490" s="181"/>
      <c r="R490" s="181"/>
      <c r="S490" s="176"/>
      <c r="T490" s="181"/>
      <c r="U490" s="181"/>
      <c r="V490" s="176"/>
      <c r="W490" s="181"/>
      <c r="X490" s="181"/>
      <c r="Y490" s="176"/>
      <c r="Z490" s="181"/>
      <c r="AA490" s="181"/>
      <c r="AB490" s="176"/>
      <c r="AC490" s="181"/>
      <c r="AD490" s="181"/>
      <c r="AE490" s="176"/>
      <c r="AF490" s="176"/>
      <c r="AG490" s="176"/>
      <c r="AH490" s="176"/>
      <c r="AI490" s="181"/>
      <c r="AJ490" s="181"/>
      <c r="AK490" s="176"/>
      <c r="AL490" s="181"/>
      <c r="AM490" s="181"/>
      <c r="AN490" s="176"/>
      <c r="AO490" s="181"/>
      <c r="AP490" s="181"/>
    </row>
    <row r="491" ht="12.75" customHeight="1">
      <c r="A491" s="179"/>
      <c r="B491" s="459"/>
      <c r="C491" s="481"/>
      <c r="D491" s="180"/>
      <c r="E491" s="180"/>
      <c r="F491" s="180"/>
      <c r="G491" s="460"/>
      <c r="H491" s="181"/>
      <c r="I491" s="181"/>
      <c r="J491" s="181"/>
      <c r="K491" s="181"/>
      <c r="L491" s="181"/>
      <c r="M491" s="329"/>
      <c r="N491" s="181"/>
      <c r="O491" s="181"/>
      <c r="P491" s="176"/>
      <c r="Q491" s="181"/>
      <c r="R491" s="181"/>
      <c r="S491" s="176"/>
      <c r="T491" s="181"/>
      <c r="U491" s="181"/>
      <c r="V491" s="176"/>
      <c r="W491" s="181"/>
      <c r="X491" s="181"/>
      <c r="Y491" s="176"/>
      <c r="Z491" s="181"/>
      <c r="AA491" s="181"/>
      <c r="AB491" s="176"/>
      <c r="AC491" s="181"/>
      <c r="AD491" s="181"/>
      <c r="AE491" s="176"/>
      <c r="AF491" s="176"/>
      <c r="AG491" s="176"/>
      <c r="AH491" s="176"/>
      <c r="AI491" s="181"/>
      <c r="AJ491" s="181"/>
      <c r="AK491" s="176"/>
      <c r="AL491" s="181"/>
      <c r="AM491" s="181"/>
      <c r="AN491" s="176"/>
      <c r="AO491" s="181"/>
      <c r="AP491" s="181"/>
    </row>
    <row r="492" ht="12.75" customHeight="1">
      <c r="A492" s="179"/>
      <c r="B492" s="459"/>
      <c r="C492" s="481"/>
      <c r="D492" s="180"/>
      <c r="E492" s="180"/>
      <c r="F492" s="180"/>
      <c r="G492" s="460"/>
      <c r="H492" s="181"/>
      <c r="I492" s="181"/>
      <c r="J492" s="181"/>
      <c r="K492" s="181"/>
      <c r="L492" s="181"/>
      <c r="M492" s="329"/>
      <c r="N492" s="181"/>
      <c r="O492" s="181"/>
      <c r="P492" s="176"/>
      <c r="Q492" s="181"/>
      <c r="R492" s="181"/>
      <c r="S492" s="176"/>
      <c r="T492" s="181"/>
      <c r="U492" s="181"/>
      <c r="V492" s="176"/>
      <c r="W492" s="181"/>
      <c r="X492" s="181"/>
      <c r="Y492" s="176"/>
      <c r="Z492" s="181"/>
      <c r="AA492" s="181"/>
      <c r="AB492" s="176"/>
      <c r="AC492" s="181"/>
      <c r="AD492" s="181"/>
      <c r="AE492" s="176"/>
      <c r="AF492" s="176"/>
      <c r="AG492" s="176"/>
      <c r="AH492" s="176"/>
      <c r="AI492" s="181"/>
      <c r="AJ492" s="181"/>
      <c r="AK492" s="176"/>
      <c r="AL492" s="181"/>
      <c r="AM492" s="181"/>
      <c r="AN492" s="176"/>
      <c r="AO492" s="181"/>
      <c r="AP492" s="181"/>
    </row>
    <row r="493" ht="12.75" customHeight="1">
      <c r="A493" s="179"/>
      <c r="B493" s="459"/>
      <c r="C493" s="481"/>
      <c r="D493" s="180"/>
      <c r="E493" s="180"/>
      <c r="F493" s="180"/>
      <c r="G493" s="460"/>
      <c r="H493" s="181"/>
      <c r="I493" s="181"/>
      <c r="J493" s="181"/>
      <c r="K493" s="181"/>
      <c r="L493" s="181"/>
      <c r="M493" s="329"/>
      <c r="N493" s="181"/>
      <c r="O493" s="181"/>
      <c r="P493" s="176"/>
      <c r="Q493" s="181"/>
      <c r="R493" s="181"/>
      <c r="S493" s="176"/>
      <c r="T493" s="181"/>
      <c r="U493" s="181"/>
      <c r="V493" s="176"/>
      <c r="W493" s="181"/>
      <c r="X493" s="181"/>
      <c r="Y493" s="176"/>
      <c r="Z493" s="181"/>
      <c r="AA493" s="181"/>
      <c r="AB493" s="176"/>
      <c r="AC493" s="181"/>
      <c r="AD493" s="181"/>
      <c r="AE493" s="176"/>
      <c r="AF493" s="176"/>
      <c r="AG493" s="176"/>
      <c r="AH493" s="176"/>
      <c r="AI493" s="181"/>
      <c r="AJ493" s="181"/>
      <c r="AK493" s="176"/>
      <c r="AL493" s="181"/>
      <c r="AM493" s="181"/>
      <c r="AN493" s="176"/>
      <c r="AO493" s="181"/>
      <c r="AP493" s="181"/>
    </row>
    <row r="494" ht="12.75" customHeight="1">
      <c r="A494" s="179"/>
      <c r="B494" s="459"/>
      <c r="C494" s="481"/>
      <c r="D494" s="180"/>
      <c r="E494" s="180"/>
      <c r="F494" s="180"/>
      <c r="G494" s="460"/>
      <c r="H494" s="181"/>
      <c r="I494" s="181"/>
      <c r="J494" s="181"/>
      <c r="K494" s="181"/>
      <c r="L494" s="181"/>
      <c r="M494" s="329"/>
      <c r="N494" s="181"/>
      <c r="O494" s="181"/>
      <c r="P494" s="176"/>
      <c r="Q494" s="181"/>
      <c r="R494" s="181"/>
      <c r="S494" s="176"/>
      <c r="T494" s="181"/>
      <c r="U494" s="181"/>
      <c r="V494" s="176"/>
      <c r="W494" s="181"/>
      <c r="X494" s="181"/>
      <c r="Y494" s="176"/>
      <c r="Z494" s="181"/>
      <c r="AA494" s="181"/>
      <c r="AB494" s="176"/>
      <c r="AC494" s="181"/>
      <c r="AD494" s="181"/>
      <c r="AE494" s="176"/>
      <c r="AF494" s="176"/>
      <c r="AG494" s="176"/>
      <c r="AH494" s="176"/>
      <c r="AI494" s="181"/>
      <c r="AJ494" s="181"/>
      <c r="AK494" s="176"/>
      <c r="AL494" s="181"/>
      <c r="AM494" s="181"/>
      <c r="AN494" s="176"/>
      <c r="AO494" s="181"/>
      <c r="AP494" s="181"/>
    </row>
    <row r="495" ht="12.75" customHeight="1">
      <c r="A495" s="179"/>
      <c r="B495" s="459"/>
      <c r="C495" s="481"/>
      <c r="D495" s="180"/>
      <c r="E495" s="180"/>
      <c r="F495" s="180"/>
      <c r="G495" s="460"/>
      <c r="H495" s="181"/>
      <c r="I495" s="181"/>
      <c r="J495" s="181"/>
      <c r="K495" s="181"/>
      <c r="L495" s="181"/>
      <c r="M495" s="329"/>
      <c r="N495" s="181"/>
      <c r="O495" s="181"/>
      <c r="P495" s="176"/>
      <c r="Q495" s="181"/>
      <c r="R495" s="181"/>
      <c r="S495" s="176"/>
      <c r="T495" s="181"/>
      <c r="U495" s="181"/>
      <c r="V495" s="176"/>
      <c r="W495" s="181"/>
      <c r="X495" s="181"/>
      <c r="Y495" s="176"/>
      <c r="Z495" s="181"/>
      <c r="AA495" s="181"/>
      <c r="AB495" s="176"/>
      <c r="AC495" s="181"/>
      <c r="AD495" s="181"/>
      <c r="AE495" s="176"/>
      <c r="AF495" s="176"/>
      <c r="AG495" s="176"/>
      <c r="AH495" s="176"/>
      <c r="AI495" s="181"/>
      <c r="AJ495" s="181"/>
      <c r="AK495" s="176"/>
      <c r="AL495" s="181"/>
      <c r="AM495" s="181"/>
      <c r="AN495" s="176"/>
      <c r="AO495" s="181"/>
      <c r="AP495" s="181"/>
    </row>
    <row r="496" ht="12.75" customHeight="1">
      <c r="A496" s="179"/>
      <c r="B496" s="459"/>
      <c r="C496" s="481"/>
      <c r="D496" s="180"/>
      <c r="E496" s="180"/>
      <c r="F496" s="180"/>
      <c r="G496" s="460"/>
      <c r="H496" s="181"/>
      <c r="I496" s="181"/>
      <c r="J496" s="181"/>
      <c r="K496" s="181"/>
      <c r="L496" s="181"/>
      <c r="M496" s="329"/>
      <c r="N496" s="181"/>
      <c r="O496" s="181"/>
      <c r="P496" s="176"/>
      <c r="Q496" s="181"/>
      <c r="R496" s="181"/>
      <c r="S496" s="176"/>
      <c r="T496" s="181"/>
      <c r="U496" s="181"/>
      <c r="V496" s="176"/>
      <c r="W496" s="181"/>
      <c r="X496" s="181"/>
      <c r="Y496" s="176"/>
      <c r="Z496" s="181"/>
      <c r="AA496" s="181"/>
      <c r="AB496" s="176"/>
      <c r="AC496" s="181"/>
      <c r="AD496" s="181"/>
      <c r="AE496" s="176"/>
      <c r="AF496" s="176"/>
      <c r="AG496" s="176"/>
      <c r="AH496" s="176"/>
      <c r="AI496" s="181"/>
      <c r="AJ496" s="181"/>
      <c r="AK496" s="176"/>
      <c r="AL496" s="181"/>
      <c r="AM496" s="181"/>
      <c r="AN496" s="176"/>
      <c r="AO496" s="181"/>
      <c r="AP496" s="181"/>
    </row>
    <row r="497" ht="12.75" customHeight="1">
      <c r="A497" s="179"/>
      <c r="B497" s="459"/>
      <c r="C497" s="481"/>
      <c r="D497" s="180"/>
      <c r="E497" s="180"/>
      <c r="F497" s="180"/>
      <c r="G497" s="460"/>
      <c r="H497" s="181"/>
      <c r="I497" s="181"/>
      <c r="J497" s="181"/>
      <c r="K497" s="181"/>
      <c r="L497" s="181"/>
      <c r="M497" s="329"/>
      <c r="N497" s="181"/>
      <c r="O497" s="181"/>
      <c r="P497" s="176"/>
      <c r="Q497" s="181"/>
      <c r="R497" s="181"/>
      <c r="S497" s="176"/>
      <c r="T497" s="181"/>
      <c r="U497" s="181"/>
      <c r="V497" s="176"/>
      <c r="W497" s="181"/>
      <c r="X497" s="181"/>
      <c r="Y497" s="176"/>
      <c r="Z497" s="181"/>
      <c r="AA497" s="181"/>
      <c r="AB497" s="176"/>
      <c r="AC497" s="181"/>
      <c r="AD497" s="181"/>
      <c r="AE497" s="176"/>
      <c r="AF497" s="176"/>
      <c r="AG497" s="176"/>
      <c r="AH497" s="176"/>
      <c r="AI497" s="181"/>
      <c r="AJ497" s="181"/>
      <c r="AK497" s="176"/>
      <c r="AL497" s="181"/>
      <c r="AM497" s="181"/>
      <c r="AN497" s="176"/>
      <c r="AO497" s="181"/>
      <c r="AP497" s="181"/>
    </row>
    <row r="498" ht="12.75" customHeight="1">
      <c r="A498" s="179"/>
      <c r="B498" s="459"/>
      <c r="C498" s="481"/>
      <c r="D498" s="180"/>
      <c r="E498" s="180"/>
      <c r="F498" s="180"/>
      <c r="G498" s="460"/>
      <c r="H498" s="181"/>
      <c r="I498" s="181"/>
      <c r="J498" s="181"/>
      <c r="K498" s="181"/>
      <c r="L498" s="181"/>
      <c r="M498" s="329"/>
      <c r="N498" s="181"/>
      <c r="O498" s="181"/>
      <c r="P498" s="176"/>
      <c r="Q498" s="181"/>
      <c r="R498" s="181"/>
      <c r="S498" s="176"/>
      <c r="T498" s="181"/>
      <c r="U498" s="181"/>
      <c r="V498" s="176"/>
      <c r="W498" s="181"/>
      <c r="X498" s="181"/>
      <c r="Y498" s="176"/>
      <c r="Z498" s="181"/>
      <c r="AA498" s="181"/>
      <c r="AB498" s="176"/>
      <c r="AC498" s="181"/>
      <c r="AD498" s="181"/>
      <c r="AE498" s="176"/>
      <c r="AF498" s="176"/>
      <c r="AG498" s="176"/>
      <c r="AH498" s="176"/>
      <c r="AI498" s="181"/>
      <c r="AJ498" s="181"/>
      <c r="AK498" s="176"/>
      <c r="AL498" s="181"/>
      <c r="AM498" s="181"/>
      <c r="AN498" s="176"/>
      <c r="AO498" s="181"/>
      <c r="AP498" s="181"/>
    </row>
    <row r="499" ht="12.75" customHeight="1">
      <c r="A499" s="179"/>
      <c r="B499" s="459"/>
      <c r="C499" s="481"/>
      <c r="D499" s="180"/>
      <c r="E499" s="180"/>
      <c r="F499" s="180"/>
      <c r="G499" s="460"/>
      <c r="H499" s="181"/>
      <c r="I499" s="181"/>
      <c r="J499" s="181"/>
      <c r="K499" s="181"/>
      <c r="L499" s="181"/>
      <c r="M499" s="329"/>
      <c r="N499" s="181"/>
      <c r="O499" s="181"/>
      <c r="P499" s="176"/>
      <c r="Q499" s="181"/>
      <c r="R499" s="181"/>
      <c r="S499" s="176"/>
      <c r="T499" s="181"/>
      <c r="U499" s="181"/>
      <c r="V499" s="176"/>
      <c r="W499" s="181"/>
      <c r="X499" s="181"/>
      <c r="Y499" s="176"/>
      <c r="Z499" s="181"/>
      <c r="AA499" s="181"/>
      <c r="AB499" s="176"/>
      <c r="AC499" s="181"/>
      <c r="AD499" s="181"/>
      <c r="AE499" s="176"/>
      <c r="AF499" s="176"/>
      <c r="AG499" s="176"/>
      <c r="AH499" s="176"/>
      <c r="AI499" s="181"/>
      <c r="AJ499" s="181"/>
      <c r="AK499" s="176"/>
      <c r="AL499" s="181"/>
      <c r="AM499" s="181"/>
      <c r="AN499" s="176"/>
      <c r="AO499" s="181"/>
      <c r="AP499" s="181"/>
    </row>
    <row r="500" ht="12.75" customHeight="1">
      <c r="A500" s="179"/>
      <c r="B500" s="459"/>
      <c r="C500" s="481"/>
      <c r="D500" s="180"/>
      <c r="E500" s="180"/>
      <c r="F500" s="180"/>
      <c r="G500" s="460"/>
      <c r="H500" s="181"/>
      <c r="I500" s="181"/>
      <c r="J500" s="181"/>
      <c r="K500" s="181"/>
      <c r="L500" s="181"/>
      <c r="M500" s="329"/>
      <c r="N500" s="181"/>
      <c r="O500" s="181"/>
      <c r="P500" s="176"/>
      <c r="Q500" s="181"/>
      <c r="R500" s="181"/>
      <c r="S500" s="176"/>
      <c r="T500" s="181"/>
      <c r="U500" s="181"/>
      <c r="V500" s="176"/>
      <c r="W500" s="181"/>
      <c r="X500" s="181"/>
      <c r="Y500" s="176"/>
      <c r="Z500" s="181"/>
      <c r="AA500" s="181"/>
      <c r="AB500" s="176"/>
      <c r="AC500" s="181"/>
      <c r="AD500" s="181"/>
      <c r="AE500" s="176"/>
      <c r="AF500" s="176"/>
      <c r="AG500" s="176"/>
      <c r="AH500" s="176"/>
      <c r="AI500" s="181"/>
      <c r="AJ500" s="181"/>
      <c r="AK500" s="176"/>
      <c r="AL500" s="181"/>
      <c r="AM500" s="181"/>
      <c r="AN500" s="176"/>
      <c r="AO500" s="181"/>
      <c r="AP500" s="181"/>
    </row>
    <row r="501" ht="12.75" customHeight="1">
      <c r="A501" s="179"/>
      <c r="B501" s="459"/>
      <c r="C501" s="481"/>
      <c r="D501" s="180"/>
      <c r="E501" s="180"/>
      <c r="F501" s="180"/>
      <c r="G501" s="460"/>
      <c r="H501" s="181"/>
      <c r="I501" s="181"/>
      <c r="J501" s="181"/>
      <c r="K501" s="181"/>
      <c r="L501" s="181"/>
      <c r="M501" s="329"/>
      <c r="N501" s="181"/>
      <c r="O501" s="181"/>
      <c r="P501" s="176"/>
      <c r="Q501" s="181"/>
      <c r="R501" s="181"/>
      <c r="S501" s="176"/>
      <c r="T501" s="181"/>
      <c r="U501" s="181"/>
      <c r="V501" s="176"/>
      <c r="W501" s="181"/>
      <c r="X501" s="181"/>
      <c r="Y501" s="176"/>
      <c r="Z501" s="181"/>
      <c r="AA501" s="181"/>
      <c r="AB501" s="176"/>
      <c r="AC501" s="181"/>
      <c r="AD501" s="181"/>
      <c r="AE501" s="176"/>
      <c r="AF501" s="176"/>
      <c r="AG501" s="176"/>
      <c r="AH501" s="176"/>
      <c r="AI501" s="181"/>
      <c r="AJ501" s="181"/>
      <c r="AK501" s="176"/>
      <c r="AL501" s="181"/>
      <c r="AM501" s="181"/>
      <c r="AN501" s="176"/>
      <c r="AO501" s="181"/>
      <c r="AP501" s="181"/>
    </row>
    <row r="502" ht="12.75" customHeight="1">
      <c r="A502" s="179"/>
      <c r="B502" s="459"/>
      <c r="C502" s="481"/>
      <c r="D502" s="180"/>
      <c r="E502" s="180"/>
      <c r="F502" s="180"/>
      <c r="G502" s="460"/>
      <c r="H502" s="181"/>
      <c r="I502" s="181"/>
      <c r="J502" s="181"/>
      <c r="K502" s="181"/>
      <c r="L502" s="181"/>
      <c r="M502" s="329"/>
      <c r="N502" s="181"/>
      <c r="O502" s="181"/>
      <c r="P502" s="176"/>
      <c r="Q502" s="181"/>
      <c r="R502" s="181"/>
      <c r="S502" s="176"/>
      <c r="T502" s="181"/>
      <c r="U502" s="181"/>
      <c r="V502" s="176"/>
      <c r="W502" s="181"/>
      <c r="X502" s="181"/>
      <c r="Y502" s="176"/>
      <c r="Z502" s="181"/>
      <c r="AA502" s="181"/>
      <c r="AB502" s="176"/>
      <c r="AC502" s="181"/>
      <c r="AD502" s="181"/>
      <c r="AE502" s="176"/>
      <c r="AF502" s="176"/>
      <c r="AG502" s="176"/>
      <c r="AH502" s="176"/>
      <c r="AI502" s="181"/>
      <c r="AJ502" s="181"/>
      <c r="AK502" s="176"/>
      <c r="AL502" s="181"/>
      <c r="AM502" s="181"/>
      <c r="AN502" s="176"/>
      <c r="AO502" s="181"/>
      <c r="AP502" s="181"/>
    </row>
    <row r="503" ht="12.75" customHeight="1">
      <c r="A503" s="179"/>
      <c r="B503" s="459"/>
      <c r="C503" s="481"/>
      <c r="D503" s="180"/>
      <c r="E503" s="180"/>
      <c r="F503" s="180"/>
      <c r="G503" s="460"/>
      <c r="H503" s="181"/>
      <c r="I503" s="181"/>
      <c r="J503" s="181"/>
      <c r="K503" s="181"/>
      <c r="L503" s="181"/>
      <c r="M503" s="329"/>
      <c r="N503" s="181"/>
      <c r="O503" s="181"/>
      <c r="P503" s="176"/>
      <c r="Q503" s="181"/>
      <c r="R503" s="181"/>
      <c r="S503" s="176"/>
      <c r="T503" s="181"/>
      <c r="U503" s="181"/>
      <c r="V503" s="176"/>
      <c r="W503" s="181"/>
      <c r="X503" s="181"/>
      <c r="Y503" s="176"/>
      <c r="Z503" s="181"/>
      <c r="AA503" s="181"/>
      <c r="AB503" s="176"/>
      <c r="AC503" s="181"/>
      <c r="AD503" s="181"/>
      <c r="AE503" s="176"/>
      <c r="AF503" s="176"/>
      <c r="AG503" s="176"/>
      <c r="AH503" s="176"/>
      <c r="AI503" s="181"/>
      <c r="AJ503" s="181"/>
      <c r="AK503" s="176"/>
      <c r="AL503" s="181"/>
      <c r="AM503" s="181"/>
      <c r="AN503" s="176"/>
      <c r="AO503" s="181"/>
      <c r="AP503" s="181"/>
    </row>
    <row r="504" ht="12.75" customHeight="1">
      <c r="A504" s="179"/>
      <c r="B504" s="459"/>
      <c r="C504" s="481"/>
      <c r="D504" s="180"/>
      <c r="E504" s="180"/>
      <c r="F504" s="180"/>
      <c r="G504" s="460"/>
      <c r="H504" s="181"/>
      <c r="I504" s="181"/>
      <c r="J504" s="181"/>
      <c r="K504" s="181"/>
      <c r="L504" s="181"/>
      <c r="M504" s="329"/>
      <c r="N504" s="181"/>
      <c r="O504" s="181"/>
      <c r="P504" s="176"/>
      <c r="Q504" s="181"/>
      <c r="R504" s="181"/>
      <c r="S504" s="176"/>
      <c r="T504" s="181"/>
      <c r="U504" s="181"/>
      <c r="V504" s="176"/>
      <c r="W504" s="181"/>
      <c r="X504" s="181"/>
      <c r="Y504" s="176"/>
      <c r="Z504" s="181"/>
      <c r="AA504" s="181"/>
      <c r="AB504" s="176"/>
      <c r="AC504" s="181"/>
      <c r="AD504" s="181"/>
      <c r="AE504" s="176"/>
      <c r="AF504" s="176"/>
      <c r="AG504" s="176"/>
      <c r="AH504" s="176"/>
      <c r="AI504" s="181"/>
      <c r="AJ504" s="181"/>
      <c r="AK504" s="176"/>
      <c r="AL504" s="181"/>
      <c r="AM504" s="181"/>
      <c r="AN504" s="176"/>
      <c r="AO504" s="181"/>
      <c r="AP504" s="181"/>
    </row>
    <row r="505" ht="12.75" customHeight="1">
      <c r="A505" s="179"/>
      <c r="B505" s="459"/>
      <c r="C505" s="481"/>
      <c r="D505" s="180"/>
      <c r="E505" s="180"/>
      <c r="F505" s="180"/>
      <c r="G505" s="460"/>
      <c r="H505" s="181"/>
      <c r="I505" s="181"/>
      <c r="J505" s="181"/>
      <c r="K505" s="181"/>
      <c r="L505" s="181"/>
      <c r="M505" s="329"/>
      <c r="N505" s="181"/>
      <c r="O505" s="181"/>
      <c r="P505" s="176"/>
      <c r="Q505" s="181"/>
      <c r="R505" s="181"/>
      <c r="S505" s="176"/>
      <c r="T505" s="181"/>
      <c r="U505" s="181"/>
      <c r="V505" s="176"/>
      <c r="W505" s="181"/>
      <c r="X505" s="181"/>
      <c r="Y505" s="176"/>
      <c r="Z505" s="181"/>
      <c r="AA505" s="181"/>
      <c r="AB505" s="176"/>
      <c r="AC505" s="181"/>
      <c r="AD505" s="181"/>
      <c r="AE505" s="176"/>
      <c r="AF505" s="176"/>
      <c r="AG505" s="176"/>
      <c r="AH505" s="176"/>
      <c r="AI505" s="181"/>
      <c r="AJ505" s="181"/>
      <c r="AK505" s="176"/>
      <c r="AL505" s="181"/>
      <c r="AM505" s="181"/>
      <c r="AN505" s="176"/>
      <c r="AO505" s="181"/>
      <c r="AP505" s="181"/>
    </row>
    <row r="506" ht="12.75" customHeight="1">
      <c r="A506" s="179"/>
      <c r="B506" s="459"/>
      <c r="C506" s="481"/>
      <c r="D506" s="180"/>
      <c r="E506" s="180"/>
      <c r="F506" s="180"/>
      <c r="G506" s="460"/>
      <c r="H506" s="181"/>
      <c r="I506" s="181"/>
      <c r="J506" s="181"/>
      <c r="K506" s="181"/>
      <c r="L506" s="181"/>
      <c r="M506" s="329"/>
      <c r="N506" s="181"/>
      <c r="O506" s="181"/>
      <c r="P506" s="176"/>
      <c r="Q506" s="181"/>
      <c r="R506" s="181"/>
      <c r="S506" s="176"/>
      <c r="T506" s="181"/>
      <c r="U506" s="181"/>
      <c r="V506" s="176"/>
      <c r="W506" s="181"/>
      <c r="X506" s="181"/>
      <c r="Y506" s="176"/>
      <c r="Z506" s="181"/>
      <c r="AA506" s="181"/>
      <c r="AB506" s="176"/>
      <c r="AC506" s="181"/>
      <c r="AD506" s="181"/>
      <c r="AE506" s="176"/>
      <c r="AF506" s="176"/>
      <c r="AG506" s="176"/>
      <c r="AH506" s="176"/>
      <c r="AI506" s="181"/>
      <c r="AJ506" s="181"/>
      <c r="AK506" s="176"/>
      <c r="AL506" s="181"/>
      <c r="AM506" s="181"/>
      <c r="AN506" s="176"/>
      <c r="AO506" s="181"/>
      <c r="AP506" s="181"/>
    </row>
    <row r="507" ht="12.75" customHeight="1">
      <c r="A507" s="179"/>
      <c r="B507" s="459"/>
      <c r="C507" s="481"/>
      <c r="D507" s="180"/>
      <c r="E507" s="180"/>
      <c r="F507" s="180"/>
      <c r="G507" s="460"/>
      <c r="H507" s="181"/>
      <c r="I507" s="181"/>
      <c r="J507" s="181"/>
      <c r="K507" s="181"/>
      <c r="L507" s="181"/>
      <c r="M507" s="329"/>
      <c r="N507" s="181"/>
      <c r="O507" s="181"/>
      <c r="P507" s="176"/>
      <c r="Q507" s="181"/>
      <c r="R507" s="181"/>
      <c r="S507" s="176"/>
      <c r="T507" s="181"/>
      <c r="U507" s="181"/>
      <c r="V507" s="176"/>
      <c r="W507" s="181"/>
      <c r="X507" s="181"/>
      <c r="Y507" s="176"/>
      <c r="Z507" s="181"/>
      <c r="AA507" s="181"/>
      <c r="AB507" s="176"/>
      <c r="AC507" s="181"/>
      <c r="AD507" s="181"/>
      <c r="AE507" s="176"/>
      <c r="AF507" s="176"/>
      <c r="AG507" s="176"/>
      <c r="AH507" s="176"/>
      <c r="AI507" s="181"/>
      <c r="AJ507" s="181"/>
      <c r="AK507" s="176"/>
      <c r="AL507" s="181"/>
      <c r="AM507" s="181"/>
      <c r="AN507" s="176"/>
      <c r="AO507" s="181"/>
      <c r="AP507" s="181"/>
    </row>
    <row r="508" ht="12.75" customHeight="1">
      <c r="A508" s="179"/>
      <c r="B508" s="459"/>
      <c r="C508" s="481"/>
      <c r="D508" s="180"/>
      <c r="E508" s="180"/>
      <c r="F508" s="180"/>
      <c r="G508" s="460"/>
      <c r="H508" s="181"/>
      <c r="I508" s="181"/>
      <c r="J508" s="181"/>
      <c r="K508" s="181"/>
      <c r="L508" s="181"/>
      <c r="M508" s="329"/>
      <c r="N508" s="181"/>
      <c r="O508" s="181"/>
      <c r="P508" s="176"/>
      <c r="Q508" s="181"/>
      <c r="R508" s="181"/>
      <c r="S508" s="176"/>
      <c r="T508" s="181"/>
      <c r="U508" s="181"/>
      <c r="V508" s="176"/>
      <c r="W508" s="181"/>
      <c r="X508" s="181"/>
      <c r="Y508" s="176"/>
      <c r="Z508" s="181"/>
      <c r="AA508" s="181"/>
      <c r="AB508" s="176"/>
      <c r="AC508" s="181"/>
      <c r="AD508" s="181"/>
      <c r="AE508" s="176"/>
      <c r="AF508" s="176"/>
      <c r="AG508" s="176"/>
      <c r="AH508" s="176"/>
      <c r="AI508" s="181"/>
      <c r="AJ508" s="181"/>
      <c r="AK508" s="176"/>
      <c r="AL508" s="181"/>
      <c r="AM508" s="181"/>
      <c r="AN508" s="176"/>
      <c r="AO508" s="181"/>
      <c r="AP508" s="181"/>
    </row>
    <row r="509" ht="12.75" customHeight="1">
      <c r="A509" s="179"/>
      <c r="B509" s="459"/>
      <c r="C509" s="481"/>
      <c r="D509" s="180"/>
      <c r="E509" s="180"/>
      <c r="F509" s="180"/>
      <c r="G509" s="460"/>
      <c r="H509" s="181"/>
      <c r="I509" s="181"/>
      <c r="J509" s="181"/>
      <c r="K509" s="181"/>
      <c r="L509" s="181"/>
      <c r="M509" s="329"/>
      <c r="N509" s="181"/>
      <c r="O509" s="181"/>
      <c r="P509" s="176"/>
      <c r="Q509" s="181"/>
      <c r="R509" s="181"/>
      <c r="S509" s="176"/>
      <c r="T509" s="181"/>
      <c r="U509" s="181"/>
      <c r="V509" s="176"/>
      <c r="W509" s="181"/>
      <c r="X509" s="181"/>
      <c r="Y509" s="176"/>
      <c r="Z509" s="181"/>
      <c r="AA509" s="181"/>
      <c r="AB509" s="176"/>
      <c r="AC509" s="181"/>
      <c r="AD509" s="181"/>
      <c r="AE509" s="176"/>
      <c r="AF509" s="176"/>
      <c r="AG509" s="176"/>
      <c r="AH509" s="176"/>
      <c r="AI509" s="181"/>
      <c r="AJ509" s="181"/>
      <c r="AK509" s="176"/>
      <c r="AL509" s="181"/>
      <c r="AM509" s="181"/>
      <c r="AN509" s="176"/>
      <c r="AO509" s="181"/>
      <c r="AP509" s="181"/>
    </row>
    <row r="510" ht="12.75" customHeight="1">
      <c r="A510" s="179"/>
      <c r="B510" s="459"/>
      <c r="C510" s="481"/>
      <c r="D510" s="180"/>
      <c r="E510" s="180"/>
      <c r="F510" s="180"/>
      <c r="G510" s="460"/>
      <c r="H510" s="181"/>
      <c r="I510" s="181"/>
      <c r="J510" s="181"/>
      <c r="K510" s="181"/>
      <c r="L510" s="181"/>
      <c r="M510" s="329"/>
      <c r="N510" s="181"/>
      <c r="O510" s="181"/>
      <c r="P510" s="176"/>
      <c r="Q510" s="181"/>
      <c r="R510" s="181"/>
      <c r="S510" s="176"/>
      <c r="T510" s="181"/>
      <c r="U510" s="181"/>
      <c r="V510" s="176"/>
      <c r="W510" s="181"/>
      <c r="X510" s="181"/>
      <c r="Y510" s="176"/>
      <c r="Z510" s="181"/>
      <c r="AA510" s="181"/>
      <c r="AB510" s="176"/>
      <c r="AC510" s="181"/>
      <c r="AD510" s="181"/>
      <c r="AE510" s="176"/>
      <c r="AF510" s="176"/>
      <c r="AG510" s="176"/>
      <c r="AH510" s="176"/>
      <c r="AI510" s="181"/>
      <c r="AJ510" s="181"/>
      <c r="AK510" s="176"/>
      <c r="AL510" s="181"/>
      <c r="AM510" s="181"/>
      <c r="AN510" s="176"/>
      <c r="AO510" s="181"/>
      <c r="AP510" s="181"/>
    </row>
    <row r="511" ht="12.75" customHeight="1">
      <c r="A511" s="179"/>
      <c r="B511" s="459"/>
      <c r="C511" s="481"/>
      <c r="D511" s="180"/>
      <c r="E511" s="180"/>
      <c r="F511" s="180"/>
      <c r="G511" s="460"/>
      <c r="H511" s="181"/>
      <c r="I511" s="181"/>
      <c r="J511" s="181"/>
      <c r="K511" s="181"/>
      <c r="L511" s="181"/>
      <c r="M511" s="329"/>
      <c r="N511" s="181"/>
      <c r="O511" s="181"/>
      <c r="P511" s="176"/>
      <c r="Q511" s="181"/>
      <c r="R511" s="181"/>
      <c r="S511" s="176"/>
      <c r="T511" s="181"/>
      <c r="U511" s="181"/>
      <c r="V511" s="176"/>
      <c r="W511" s="181"/>
      <c r="X511" s="181"/>
      <c r="Y511" s="176"/>
      <c r="Z511" s="181"/>
      <c r="AA511" s="181"/>
      <c r="AB511" s="176"/>
      <c r="AC511" s="181"/>
      <c r="AD511" s="181"/>
      <c r="AE511" s="176"/>
      <c r="AF511" s="176"/>
      <c r="AG511" s="176"/>
      <c r="AH511" s="176"/>
      <c r="AI511" s="181"/>
      <c r="AJ511" s="181"/>
      <c r="AK511" s="176"/>
      <c r="AL511" s="181"/>
      <c r="AM511" s="181"/>
      <c r="AN511" s="176"/>
      <c r="AO511" s="181"/>
      <c r="AP511" s="181"/>
    </row>
    <row r="512" ht="12.75" customHeight="1">
      <c r="A512" s="179"/>
      <c r="B512" s="459"/>
      <c r="C512" s="481"/>
      <c r="D512" s="180"/>
      <c r="E512" s="180"/>
      <c r="F512" s="180"/>
      <c r="G512" s="460"/>
      <c r="H512" s="181"/>
      <c r="I512" s="181"/>
      <c r="J512" s="181"/>
      <c r="K512" s="181"/>
      <c r="L512" s="181"/>
      <c r="M512" s="329"/>
      <c r="N512" s="181"/>
      <c r="O512" s="181"/>
      <c r="P512" s="176"/>
      <c r="Q512" s="181"/>
      <c r="R512" s="181"/>
      <c r="S512" s="176"/>
      <c r="T512" s="181"/>
      <c r="U512" s="181"/>
      <c r="V512" s="176"/>
      <c r="W512" s="181"/>
      <c r="X512" s="181"/>
      <c r="Y512" s="176"/>
      <c r="Z512" s="181"/>
      <c r="AA512" s="181"/>
      <c r="AB512" s="176"/>
      <c r="AC512" s="181"/>
      <c r="AD512" s="181"/>
      <c r="AE512" s="176"/>
      <c r="AF512" s="176"/>
      <c r="AG512" s="176"/>
      <c r="AH512" s="176"/>
      <c r="AI512" s="181"/>
      <c r="AJ512" s="181"/>
      <c r="AK512" s="176"/>
      <c r="AL512" s="181"/>
      <c r="AM512" s="181"/>
      <c r="AN512" s="176"/>
      <c r="AO512" s="181"/>
      <c r="AP512" s="181"/>
    </row>
    <row r="513" ht="12.75" customHeight="1">
      <c r="A513" s="179"/>
      <c r="B513" s="459"/>
      <c r="C513" s="481"/>
      <c r="D513" s="180"/>
      <c r="E513" s="180"/>
      <c r="F513" s="180"/>
      <c r="G513" s="460"/>
      <c r="H513" s="181"/>
      <c r="I513" s="181"/>
      <c r="J513" s="181"/>
      <c r="K513" s="181"/>
      <c r="L513" s="181"/>
      <c r="M513" s="329"/>
      <c r="N513" s="181"/>
      <c r="O513" s="181"/>
      <c r="P513" s="176"/>
      <c r="Q513" s="181"/>
      <c r="R513" s="181"/>
      <c r="S513" s="176"/>
      <c r="T513" s="181"/>
      <c r="U513" s="181"/>
      <c r="V513" s="176"/>
      <c r="W513" s="181"/>
      <c r="X513" s="181"/>
      <c r="Y513" s="176"/>
      <c r="Z513" s="181"/>
      <c r="AA513" s="181"/>
      <c r="AB513" s="176"/>
      <c r="AC513" s="181"/>
      <c r="AD513" s="181"/>
      <c r="AE513" s="176"/>
      <c r="AF513" s="176"/>
      <c r="AG513" s="176"/>
      <c r="AH513" s="176"/>
      <c r="AI513" s="181"/>
      <c r="AJ513" s="181"/>
      <c r="AK513" s="176"/>
      <c r="AL513" s="181"/>
      <c r="AM513" s="181"/>
      <c r="AN513" s="176"/>
      <c r="AO513" s="181"/>
      <c r="AP513" s="181"/>
    </row>
    <row r="514" ht="12.75" customHeight="1">
      <c r="A514" s="179"/>
      <c r="B514" s="459"/>
      <c r="C514" s="481"/>
      <c r="D514" s="180"/>
      <c r="E514" s="180"/>
      <c r="F514" s="180"/>
      <c r="G514" s="460"/>
      <c r="H514" s="181"/>
      <c r="I514" s="181"/>
      <c r="J514" s="181"/>
      <c r="K514" s="181"/>
      <c r="L514" s="181"/>
      <c r="M514" s="329"/>
      <c r="N514" s="181"/>
      <c r="O514" s="181"/>
      <c r="P514" s="176"/>
      <c r="Q514" s="181"/>
      <c r="R514" s="181"/>
      <c r="S514" s="176"/>
      <c r="T514" s="181"/>
      <c r="U514" s="181"/>
      <c r="V514" s="176"/>
      <c r="W514" s="181"/>
      <c r="X514" s="181"/>
      <c r="Y514" s="176"/>
      <c r="Z514" s="181"/>
      <c r="AA514" s="181"/>
      <c r="AB514" s="176"/>
      <c r="AC514" s="181"/>
      <c r="AD514" s="181"/>
      <c r="AE514" s="176"/>
      <c r="AF514" s="176"/>
      <c r="AG514" s="176"/>
      <c r="AH514" s="176"/>
      <c r="AI514" s="181"/>
      <c r="AJ514" s="181"/>
      <c r="AK514" s="176"/>
      <c r="AL514" s="181"/>
      <c r="AM514" s="181"/>
      <c r="AN514" s="176"/>
      <c r="AO514" s="181"/>
      <c r="AP514" s="181"/>
    </row>
    <row r="515" ht="12.75" customHeight="1">
      <c r="A515" s="179"/>
      <c r="B515" s="459"/>
      <c r="C515" s="481"/>
      <c r="D515" s="180"/>
      <c r="E515" s="180"/>
      <c r="F515" s="180"/>
      <c r="G515" s="460"/>
      <c r="H515" s="181"/>
      <c r="I515" s="181"/>
      <c r="J515" s="181"/>
      <c r="K515" s="181"/>
      <c r="L515" s="181"/>
      <c r="M515" s="329"/>
      <c r="N515" s="181"/>
      <c r="O515" s="181"/>
      <c r="P515" s="176"/>
      <c r="Q515" s="181"/>
      <c r="R515" s="181"/>
      <c r="S515" s="176"/>
      <c r="T515" s="181"/>
      <c r="U515" s="181"/>
      <c r="V515" s="176"/>
      <c r="W515" s="181"/>
      <c r="X515" s="181"/>
      <c r="Y515" s="176"/>
      <c r="Z515" s="181"/>
      <c r="AA515" s="181"/>
      <c r="AB515" s="176"/>
      <c r="AC515" s="181"/>
      <c r="AD515" s="181"/>
      <c r="AE515" s="176"/>
      <c r="AF515" s="176"/>
      <c r="AG515" s="176"/>
      <c r="AH515" s="176"/>
      <c r="AI515" s="181"/>
      <c r="AJ515" s="181"/>
      <c r="AK515" s="176"/>
      <c r="AL515" s="181"/>
      <c r="AM515" s="181"/>
      <c r="AN515" s="176"/>
      <c r="AO515" s="181"/>
      <c r="AP515" s="181"/>
    </row>
    <row r="516" ht="12.75" customHeight="1">
      <c r="A516" s="179"/>
      <c r="B516" s="459"/>
      <c r="C516" s="481"/>
      <c r="D516" s="180"/>
      <c r="E516" s="180"/>
      <c r="F516" s="180"/>
      <c r="G516" s="460"/>
      <c r="H516" s="181"/>
      <c r="I516" s="181"/>
      <c r="J516" s="181"/>
      <c r="K516" s="181"/>
      <c r="L516" s="181"/>
      <c r="M516" s="329"/>
      <c r="N516" s="181"/>
      <c r="O516" s="181"/>
      <c r="P516" s="176"/>
      <c r="Q516" s="181"/>
      <c r="R516" s="181"/>
      <c r="S516" s="176"/>
      <c r="T516" s="181"/>
      <c r="U516" s="181"/>
      <c r="V516" s="176"/>
      <c r="W516" s="181"/>
      <c r="X516" s="181"/>
      <c r="Y516" s="176"/>
      <c r="Z516" s="181"/>
      <c r="AA516" s="181"/>
      <c r="AB516" s="176"/>
      <c r="AC516" s="181"/>
      <c r="AD516" s="181"/>
      <c r="AE516" s="176"/>
      <c r="AF516" s="176"/>
      <c r="AG516" s="176"/>
      <c r="AH516" s="176"/>
      <c r="AI516" s="181"/>
      <c r="AJ516" s="181"/>
      <c r="AK516" s="176"/>
      <c r="AL516" s="181"/>
      <c r="AM516" s="181"/>
      <c r="AN516" s="176"/>
      <c r="AO516" s="181"/>
      <c r="AP516" s="181"/>
    </row>
    <row r="517" ht="12.75" customHeight="1">
      <c r="A517" s="179"/>
      <c r="B517" s="459"/>
      <c r="C517" s="481"/>
      <c r="D517" s="180"/>
      <c r="E517" s="180"/>
      <c r="F517" s="180"/>
      <c r="G517" s="460"/>
      <c r="H517" s="181"/>
      <c r="I517" s="181"/>
      <c r="J517" s="181"/>
      <c r="K517" s="181"/>
      <c r="L517" s="181"/>
      <c r="M517" s="329"/>
      <c r="N517" s="181"/>
      <c r="O517" s="181"/>
      <c r="P517" s="176"/>
      <c r="Q517" s="181"/>
      <c r="R517" s="181"/>
      <c r="S517" s="176"/>
      <c r="T517" s="181"/>
      <c r="U517" s="181"/>
      <c r="V517" s="176"/>
      <c r="W517" s="181"/>
      <c r="X517" s="181"/>
      <c r="Y517" s="176"/>
      <c r="Z517" s="181"/>
      <c r="AA517" s="181"/>
      <c r="AB517" s="176"/>
      <c r="AC517" s="181"/>
      <c r="AD517" s="181"/>
      <c r="AE517" s="176"/>
      <c r="AF517" s="176"/>
      <c r="AG517" s="176"/>
      <c r="AH517" s="176"/>
      <c r="AI517" s="181"/>
      <c r="AJ517" s="181"/>
      <c r="AK517" s="176"/>
      <c r="AL517" s="181"/>
      <c r="AM517" s="181"/>
      <c r="AN517" s="176"/>
      <c r="AO517" s="181"/>
      <c r="AP517" s="181"/>
    </row>
    <row r="518" ht="12.75" customHeight="1">
      <c r="A518" s="179"/>
      <c r="B518" s="459"/>
      <c r="C518" s="481"/>
      <c r="D518" s="180"/>
      <c r="E518" s="180"/>
      <c r="F518" s="180"/>
      <c r="G518" s="460"/>
      <c r="H518" s="181"/>
      <c r="I518" s="181"/>
      <c r="J518" s="181"/>
      <c r="K518" s="181"/>
      <c r="L518" s="181"/>
      <c r="M518" s="329"/>
      <c r="N518" s="181"/>
      <c r="O518" s="181"/>
      <c r="P518" s="176"/>
      <c r="Q518" s="181"/>
      <c r="R518" s="181"/>
      <c r="S518" s="176"/>
      <c r="T518" s="181"/>
      <c r="U518" s="181"/>
      <c r="V518" s="176"/>
      <c r="W518" s="181"/>
      <c r="X518" s="181"/>
      <c r="Y518" s="176"/>
      <c r="Z518" s="181"/>
      <c r="AA518" s="181"/>
      <c r="AB518" s="176"/>
      <c r="AC518" s="181"/>
      <c r="AD518" s="181"/>
      <c r="AE518" s="176"/>
      <c r="AF518" s="176"/>
      <c r="AG518" s="176"/>
      <c r="AH518" s="176"/>
      <c r="AI518" s="181"/>
      <c r="AJ518" s="181"/>
      <c r="AK518" s="176"/>
      <c r="AL518" s="181"/>
      <c r="AM518" s="181"/>
      <c r="AN518" s="176"/>
      <c r="AO518" s="181"/>
      <c r="AP518" s="181"/>
    </row>
    <row r="519" ht="12.75" customHeight="1">
      <c r="A519" s="179"/>
      <c r="B519" s="459"/>
      <c r="C519" s="481"/>
      <c r="D519" s="180"/>
      <c r="E519" s="180"/>
      <c r="F519" s="180"/>
      <c r="G519" s="460"/>
      <c r="H519" s="181"/>
      <c r="I519" s="181"/>
      <c r="J519" s="181"/>
      <c r="K519" s="181"/>
      <c r="L519" s="181"/>
      <c r="M519" s="329"/>
      <c r="N519" s="181"/>
      <c r="O519" s="181"/>
      <c r="P519" s="176"/>
      <c r="Q519" s="181"/>
      <c r="R519" s="181"/>
      <c r="S519" s="176"/>
      <c r="T519" s="181"/>
      <c r="U519" s="181"/>
      <c r="V519" s="176"/>
      <c r="W519" s="181"/>
      <c r="X519" s="181"/>
      <c r="Y519" s="176"/>
      <c r="Z519" s="181"/>
      <c r="AA519" s="181"/>
      <c r="AB519" s="176"/>
      <c r="AC519" s="181"/>
      <c r="AD519" s="181"/>
      <c r="AE519" s="176"/>
      <c r="AF519" s="176"/>
      <c r="AG519" s="176"/>
      <c r="AH519" s="176"/>
      <c r="AI519" s="181"/>
      <c r="AJ519" s="181"/>
      <c r="AK519" s="176"/>
      <c r="AL519" s="181"/>
      <c r="AM519" s="181"/>
      <c r="AN519" s="176"/>
      <c r="AO519" s="181"/>
      <c r="AP519" s="181"/>
    </row>
    <row r="520" ht="12.75" customHeight="1">
      <c r="A520" s="179"/>
      <c r="B520" s="459"/>
      <c r="C520" s="481"/>
      <c r="D520" s="180"/>
      <c r="E520" s="180"/>
      <c r="F520" s="180"/>
      <c r="G520" s="460"/>
      <c r="H520" s="181"/>
      <c r="I520" s="181"/>
      <c r="J520" s="181"/>
      <c r="K520" s="181"/>
      <c r="L520" s="181"/>
      <c r="M520" s="329"/>
      <c r="N520" s="181"/>
      <c r="O520" s="181"/>
      <c r="P520" s="176"/>
      <c r="Q520" s="181"/>
      <c r="R520" s="181"/>
      <c r="S520" s="176"/>
      <c r="T520" s="181"/>
      <c r="U520" s="181"/>
      <c r="V520" s="176"/>
      <c r="W520" s="181"/>
      <c r="X520" s="181"/>
      <c r="Y520" s="176"/>
      <c r="Z520" s="181"/>
      <c r="AA520" s="181"/>
      <c r="AB520" s="176"/>
      <c r="AC520" s="181"/>
      <c r="AD520" s="181"/>
      <c r="AE520" s="176"/>
      <c r="AF520" s="176"/>
      <c r="AG520" s="176"/>
      <c r="AH520" s="176"/>
      <c r="AI520" s="181"/>
      <c r="AJ520" s="181"/>
      <c r="AK520" s="176"/>
      <c r="AL520" s="181"/>
      <c r="AM520" s="181"/>
      <c r="AN520" s="176"/>
      <c r="AO520" s="181"/>
      <c r="AP520" s="181"/>
    </row>
    <row r="521" ht="12.75" customHeight="1">
      <c r="A521" s="179"/>
      <c r="B521" s="459"/>
      <c r="C521" s="481"/>
      <c r="D521" s="180"/>
      <c r="E521" s="180"/>
      <c r="F521" s="180"/>
      <c r="G521" s="460"/>
      <c r="H521" s="181"/>
      <c r="I521" s="181"/>
      <c r="J521" s="181"/>
      <c r="K521" s="181"/>
      <c r="L521" s="181"/>
      <c r="M521" s="329"/>
      <c r="N521" s="181"/>
      <c r="O521" s="181"/>
      <c r="P521" s="176"/>
      <c r="Q521" s="181"/>
      <c r="R521" s="181"/>
      <c r="S521" s="176"/>
      <c r="T521" s="181"/>
      <c r="U521" s="181"/>
      <c r="V521" s="176"/>
      <c r="W521" s="181"/>
      <c r="X521" s="181"/>
      <c r="Y521" s="176"/>
      <c r="Z521" s="181"/>
      <c r="AA521" s="181"/>
      <c r="AB521" s="176"/>
      <c r="AC521" s="181"/>
      <c r="AD521" s="181"/>
      <c r="AE521" s="176"/>
      <c r="AF521" s="176"/>
      <c r="AG521" s="176"/>
      <c r="AH521" s="176"/>
      <c r="AI521" s="181"/>
      <c r="AJ521" s="181"/>
      <c r="AK521" s="176"/>
      <c r="AL521" s="181"/>
      <c r="AM521" s="181"/>
      <c r="AN521" s="176"/>
      <c r="AO521" s="181"/>
      <c r="AP521" s="181"/>
    </row>
    <row r="522" ht="12.75" customHeight="1">
      <c r="A522" s="179"/>
      <c r="B522" s="459"/>
      <c r="C522" s="481"/>
      <c r="D522" s="180"/>
      <c r="E522" s="180"/>
      <c r="F522" s="180"/>
      <c r="G522" s="460"/>
      <c r="H522" s="181"/>
      <c r="I522" s="181"/>
      <c r="J522" s="181"/>
      <c r="K522" s="181"/>
      <c r="L522" s="181"/>
      <c r="M522" s="329"/>
      <c r="N522" s="181"/>
      <c r="O522" s="181"/>
      <c r="P522" s="176"/>
      <c r="Q522" s="181"/>
      <c r="R522" s="181"/>
      <c r="S522" s="176"/>
      <c r="T522" s="181"/>
      <c r="U522" s="181"/>
      <c r="V522" s="176"/>
      <c r="W522" s="181"/>
      <c r="X522" s="181"/>
      <c r="Y522" s="176"/>
      <c r="Z522" s="181"/>
      <c r="AA522" s="181"/>
      <c r="AB522" s="176"/>
      <c r="AC522" s="181"/>
      <c r="AD522" s="181"/>
      <c r="AE522" s="176"/>
      <c r="AF522" s="176"/>
      <c r="AG522" s="176"/>
      <c r="AH522" s="176"/>
      <c r="AI522" s="181"/>
      <c r="AJ522" s="181"/>
      <c r="AK522" s="176"/>
      <c r="AL522" s="181"/>
      <c r="AM522" s="181"/>
      <c r="AN522" s="176"/>
      <c r="AO522" s="181"/>
      <c r="AP522" s="181"/>
    </row>
    <row r="523" ht="12.75" customHeight="1">
      <c r="A523" s="179"/>
      <c r="B523" s="459"/>
      <c r="C523" s="481"/>
      <c r="D523" s="180"/>
      <c r="E523" s="180"/>
      <c r="F523" s="180"/>
      <c r="G523" s="460"/>
      <c r="H523" s="181"/>
      <c r="I523" s="181"/>
      <c r="J523" s="181"/>
      <c r="K523" s="181"/>
      <c r="L523" s="181"/>
      <c r="M523" s="329"/>
      <c r="N523" s="181"/>
      <c r="O523" s="181"/>
      <c r="P523" s="176"/>
      <c r="Q523" s="181"/>
      <c r="R523" s="181"/>
      <c r="S523" s="176"/>
      <c r="T523" s="181"/>
      <c r="U523" s="181"/>
      <c r="V523" s="176"/>
      <c r="W523" s="181"/>
      <c r="X523" s="181"/>
      <c r="Y523" s="176"/>
      <c r="Z523" s="181"/>
      <c r="AA523" s="181"/>
      <c r="AB523" s="176"/>
      <c r="AC523" s="181"/>
      <c r="AD523" s="181"/>
      <c r="AE523" s="176"/>
      <c r="AF523" s="176"/>
      <c r="AG523" s="176"/>
      <c r="AH523" s="176"/>
      <c r="AI523" s="181"/>
      <c r="AJ523" s="181"/>
      <c r="AK523" s="176"/>
      <c r="AL523" s="181"/>
      <c r="AM523" s="181"/>
      <c r="AN523" s="176"/>
      <c r="AO523" s="181"/>
      <c r="AP523" s="181"/>
    </row>
    <row r="524" ht="12.75" customHeight="1">
      <c r="A524" s="179"/>
      <c r="B524" s="459"/>
      <c r="C524" s="481"/>
      <c r="D524" s="180"/>
      <c r="E524" s="180"/>
      <c r="F524" s="180"/>
      <c r="G524" s="460"/>
      <c r="H524" s="181"/>
      <c r="I524" s="181"/>
      <c r="J524" s="181"/>
      <c r="K524" s="181"/>
      <c r="L524" s="181"/>
      <c r="M524" s="329"/>
      <c r="N524" s="181"/>
      <c r="O524" s="181"/>
      <c r="P524" s="176"/>
      <c r="Q524" s="181"/>
      <c r="R524" s="181"/>
      <c r="S524" s="176"/>
      <c r="T524" s="181"/>
      <c r="U524" s="181"/>
      <c r="V524" s="176"/>
      <c r="W524" s="181"/>
      <c r="X524" s="181"/>
      <c r="Y524" s="176"/>
      <c r="Z524" s="181"/>
      <c r="AA524" s="181"/>
      <c r="AB524" s="176"/>
      <c r="AC524" s="181"/>
      <c r="AD524" s="181"/>
      <c r="AE524" s="176"/>
      <c r="AF524" s="176"/>
      <c r="AG524" s="176"/>
      <c r="AH524" s="176"/>
      <c r="AI524" s="181"/>
      <c r="AJ524" s="181"/>
      <c r="AK524" s="176"/>
      <c r="AL524" s="181"/>
      <c r="AM524" s="181"/>
      <c r="AN524" s="176"/>
      <c r="AO524" s="181"/>
      <c r="AP524" s="181"/>
    </row>
    <row r="525" ht="12.75" customHeight="1">
      <c r="A525" s="179"/>
      <c r="B525" s="459"/>
      <c r="C525" s="481"/>
      <c r="D525" s="180"/>
      <c r="E525" s="180"/>
      <c r="F525" s="180"/>
      <c r="G525" s="460"/>
      <c r="H525" s="181"/>
      <c r="I525" s="181"/>
      <c r="J525" s="181"/>
      <c r="K525" s="181"/>
      <c r="L525" s="181"/>
      <c r="M525" s="329"/>
      <c r="N525" s="181"/>
      <c r="O525" s="181"/>
      <c r="P525" s="176"/>
      <c r="Q525" s="181"/>
      <c r="R525" s="181"/>
      <c r="S525" s="176"/>
      <c r="T525" s="181"/>
      <c r="U525" s="181"/>
      <c r="V525" s="176"/>
      <c r="W525" s="181"/>
      <c r="X525" s="181"/>
      <c r="Y525" s="176"/>
      <c r="Z525" s="181"/>
      <c r="AA525" s="181"/>
      <c r="AB525" s="176"/>
      <c r="AC525" s="181"/>
      <c r="AD525" s="181"/>
      <c r="AE525" s="176"/>
      <c r="AF525" s="176"/>
      <c r="AG525" s="176"/>
      <c r="AH525" s="176"/>
      <c r="AI525" s="181"/>
      <c r="AJ525" s="181"/>
      <c r="AK525" s="176"/>
      <c r="AL525" s="181"/>
      <c r="AM525" s="181"/>
      <c r="AN525" s="176"/>
      <c r="AO525" s="181"/>
      <c r="AP525" s="181"/>
    </row>
    <row r="526" ht="12.75" customHeight="1">
      <c r="A526" s="179"/>
      <c r="B526" s="459"/>
      <c r="C526" s="481"/>
      <c r="D526" s="180"/>
      <c r="E526" s="180"/>
      <c r="F526" s="180"/>
      <c r="G526" s="460"/>
      <c r="H526" s="181"/>
      <c r="I526" s="181"/>
      <c r="J526" s="181"/>
      <c r="K526" s="181"/>
      <c r="L526" s="181"/>
      <c r="M526" s="329"/>
      <c r="N526" s="181"/>
      <c r="O526" s="181"/>
      <c r="P526" s="176"/>
      <c r="Q526" s="181"/>
      <c r="R526" s="181"/>
      <c r="S526" s="176"/>
      <c r="T526" s="181"/>
      <c r="U526" s="181"/>
      <c r="V526" s="176"/>
      <c r="W526" s="181"/>
      <c r="X526" s="181"/>
      <c r="Y526" s="176"/>
      <c r="Z526" s="181"/>
      <c r="AA526" s="181"/>
      <c r="AB526" s="176"/>
      <c r="AC526" s="181"/>
      <c r="AD526" s="181"/>
      <c r="AE526" s="176"/>
      <c r="AF526" s="176"/>
      <c r="AG526" s="176"/>
      <c r="AH526" s="176"/>
      <c r="AI526" s="181"/>
      <c r="AJ526" s="181"/>
      <c r="AK526" s="176"/>
      <c r="AL526" s="181"/>
      <c r="AM526" s="181"/>
      <c r="AN526" s="176"/>
      <c r="AO526" s="181"/>
      <c r="AP526" s="181"/>
    </row>
    <row r="527" ht="12.75" customHeight="1">
      <c r="A527" s="179"/>
      <c r="B527" s="459"/>
      <c r="C527" s="481"/>
      <c r="D527" s="180"/>
      <c r="E527" s="180"/>
      <c r="F527" s="180"/>
      <c r="G527" s="460"/>
      <c r="H527" s="181"/>
      <c r="I527" s="181"/>
      <c r="J527" s="181"/>
      <c r="K527" s="181"/>
      <c r="L527" s="181"/>
      <c r="M527" s="329"/>
      <c r="N527" s="181"/>
      <c r="O527" s="181"/>
      <c r="P527" s="176"/>
      <c r="Q527" s="181"/>
      <c r="R527" s="181"/>
      <c r="S527" s="176"/>
      <c r="T527" s="181"/>
      <c r="U527" s="181"/>
      <c r="V527" s="176"/>
      <c r="W527" s="181"/>
      <c r="X527" s="181"/>
      <c r="Y527" s="176"/>
      <c r="Z527" s="181"/>
      <c r="AA527" s="181"/>
      <c r="AB527" s="176"/>
      <c r="AC527" s="181"/>
      <c r="AD527" s="181"/>
      <c r="AE527" s="176"/>
      <c r="AF527" s="176"/>
      <c r="AG527" s="176"/>
      <c r="AH527" s="176"/>
      <c r="AI527" s="181"/>
      <c r="AJ527" s="181"/>
      <c r="AK527" s="176"/>
      <c r="AL527" s="181"/>
      <c r="AM527" s="181"/>
      <c r="AN527" s="176"/>
      <c r="AO527" s="181"/>
      <c r="AP527" s="181"/>
    </row>
    <row r="528" ht="12.75" customHeight="1">
      <c r="A528" s="179"/>
      <c r="B528" s="459"/>
      <c r="C528" s="481"/>
      <c r="D528" s="180"/>
      <c r="E528" s="180"/>
      <c r="F528" s="180"/>
      <c r="G528" s="460"/>
      <c r="H528" s="181"/>
      <c r="I528" s="181"/>
      <c r="J528" s="181"/>
      <c r="K528" s="181"/>
      <c r="L528" s="181"/>
      <c r="M528" s="329"/>
      <c r="N528" s="181"/>
      <c r="O528" s="181"/>
      <c r="P528" s="176"/>
      <c r="Q528" s="181"/>
      <c r="R528" s="181"/>
      <c r="S528" s="176"/>
      <c r="T528" s="181"/>
      <c r="U528" s="181"/>
      <c r="V528" s="176"/>
      <c r="W528" s="181"/>
      <c r="X528" s="181"/>
      <c r="Y528" s="176"/>
      <c r="Z528" s="181"/>
      <c r="AA528" s="181"/>
      <c r="AB528" s="176"/>
      <c r="AC528" s="181"/>
      <c r="AD528" s="181"/>
      <c r="AE528" s="176"/>
      <c r="AF528" s="176"/>
      <c r="AG528" s="176"/>
      <c r="AH528" s="176"/>
      <c r="AI528" s="181"/>
      <c r="AJ528" s="181"/>
      <c r="AK528" s="176"/>
      <c r="AL528" s="181"/>
      <c r="AM528" s="181"/>
      <c r="AN528" s="176"/>
      <c r="AO528" s="181"/>
      <c r="AP528" s="181"/>
    </row>
    <row r="529" ht="12.75" customHeight="1">
      <c r="A529" s="179"/>
      <c r="B529" s="459"/>
      <c r="C529" s="481"/>
      <c r="D529" s="180"/>
      <c r="E529" s="180"/>
      <c r="F529" s="180"/>
      <c r="G529" s="460"/>
      <c r="H529" s="181"/>
      <c r="I529" s="181"/>
      <c r="J529" s="181"/>
      <c r="K529" s="181"/>
      <c r="L529" s="181"/>
      <c r="M529" s="329"/>
      <c r="N529" s="181"/>
      <c r="O529" s="181"/>
      <c r="P529" s="176"/>
      <c r="Q529" s="181"/>
      <c r="R529" s="181"/>
      <c r="S529" s="176"/>
      <c r="T529" s="181"/>
      <c r="U529" s="181"/>
      <c r="V529" s="176"/>
      <c r="W529" s="181"/>
      <c r="X529" s="181"/>
      <c r="Y529" s="176"/>
      <c r="Z529" s="181"/>
      <c r="AA529" s="181"/>
      <c r="AB529" s="176"/>
      <c r="AC529" s="181"/>
      <c r="AD529" s="181"/>
      <c r="AE529" s="176"/>
      <c r="AF529" s="176"/>
      <c r="AG529" s="176"/>
      <c r="AH529" s="176"/>
      <c r="AI529" s="181"/>
      <c r="AJ529" s="181"/>
      <c r="AK529" s="176"/>
      <c r="AL529" s="181"/>
      <c r="AM529" s="181"/>
      <c r="AN529" s="176"/>
      <c r="AO529" s="181"/>
      <c r="AP529" s="181"/>
    </row>
    <row r="530" ht="12.75" customHeight="1">
      <c r="A530" s="179"/>
      <c r="B530" s="459"/>
      <c r="C530" s="481"/>
      <c r="D530" s="180"/>
      <c r="E530" s="180"/>
      <c r="F530" s="180"/>
      <c r="G530" s="460"/>
      <c r="H530" s="181"/>
      <c r="I530" s="181"/>
      <c r="J530" s="181"/>
      <c r="K530" s="181"/>
      <c r="L530" s="181"/>
      <c r="M530" s="329"/>
      <c r="N530" s="181"/>
      <c r="O530" s="181"/>
      <c r="P530" s="176"/>
      <c r="Q530" s="181"/>
      <c r="R530" s="181"/>
      <c r="S530" s="176"/>
      <c r="T530" s="181"/>
      <c r="U530" s="181"/>
      <c r="V530" s="176"/>
      <c r="W530" s="181"/>
      <c r="X530" s="181"/>
      <c r="Y530" s="176"/>
      <c r="Z530" s="181"/>
      <c r="AA530" s="181"/>
      <c r="AB530" s="176"/>
      <c r="AC530" s="181"/>
      <c r="AD530" s="181"/>
      <c r="AE530" s="176"/>
      <c r="AF530" s="176"/>
      <c r="AG530" s="176"/>
      <c r="AH530" s="176"/>
      <c r="AI530" s="181"/>
      <c r="AJ530" s="181"/>
      <c r="AK530" s="176"/>
      <c r="AL530" s="181"/>
      <c r="AM530" s="181"/>
      <c r="AN530" s="176"/>
      <c r="AO530" s="181"/>
      <c r="AP530" s="181"/>
    </row>
    <row r="531" ht="12.75" customHeight="1">
      <c r="A531" s="179"/>
      <c r="B531" s="459"/>
      <c r="C531" s="481"/>
      <c r="D531" s="180"/>
      <c r="E531" s="180"/>
      <c r="F531" s="180"/>
      <c r="G531" s="460"/>
      <c r="H531" s="181"/>
      <c r="I531" s="181"/>
      <c r="J531" s="181"/>
      <c r="K531" s="181"/>
      <c r="L531" s="181"/>
      <c r="M531" s="329"/>
      <c r="N531" s="181"/>
      <c r="O531" s="181"/>
      <c r="P531" s="176"/>
      <c r="Q531" s="181"/>
      <c r="R531" s="181"/>
      <c r="S531" s="176"/>
      <c r="T531" s="181"/>
      <c r="U531" s="181"/>
      <c r="V531" s="176"/>
      <c r="W531" s="181"/>
      <c r="X531" s="181"/>
      <c r="Y531" s="176"/>
      <c r="Z531" s="181"/>
      <c r="AA531" s="181"/>
      <c r="AB531" s="176"/>
      <c r="AC531" s="181"/>
      <c r="AD531" s="181"/>
      <c r="AE531" s="176"/>
      <c r="AF531" s="176"/>
      <c r="AG531" s="176"/>
      <c r="AH531" s="176"/>
      <c r="AI531" s="181"/>
      <c r="AJ531" s="181"/>
      <c r="AK531" s="176"/>
      <c r="AL531" s="181"/>
      <c r="AM531" s="181"/>
      <c r="AN531" s="176"/>
      <c r="AO531" s="181"/>
      <c r="AP531" s="181"/>
    </row>
    <row r="532" ht="12.75" customHeight="1">
      <c r="A532" s="179"/>
      <c r="B532" s="459"/>
      <c r="C532" s="481"/>
      <c r="D532" s="180"/>
      <c r="E532" s="180"/>
      <c r="F532" s="180"/>
      <c r="G532" s="460"/>
      <c r="H532" s="181"/>
      <c r="I532" s="181"/>
      <c r="J532" s="181"/>
      <c r="K532" s="181"/>
      <c r="L532" s="181"/>
      <c r="M532" s="329"/>
      <c r="N532" s="181"/>
      <c r="O532" s="181"/>
      <c r="P532" s="176"/>
      <c r="Q532" s="181"/>
      <c r="R532" s="181"/>
      <c r="S532" s="176"/>
      <c r="T532" s="181"/>
      <c r="U532" s="181"/>
      <c r="V532" s="176"/>
      <c r="W532" s="181"/>
      <c r="X532" s="181"/>
      <c r="Y532" s="176"/>
      <c r="Z532" s="181"/>
      <c r="AA532" s="181"/>
      <c r="AB532" s="176"/>
      <c r="AC532" s="181"/>
      <c r="AD532" s="181"/>
      <c r="AE532" s="176"/>
      <c r="AF532" s="176"/>
      <c r="AG532" s="176"/>
      <c r="AH532" s="176"/>
      <c r="AI532" s="181"/>
      <c r="AJ532" s="181"/>
      <c r="AK532" s="176"/>
      <c r="AL532" s="181"/>
      <c r="AM532" s="181"/>
      <c r="AN532" s="176"/>
      <c r="AO532" s="181"/>
      <c r="AP532" s="181"/>
    </row>
    <row r="533" ht="12.75" customHeight="1">
      <c r="A533" s="179"/>
      <c r="B533" s="459"/>
      <c r="C533" s="481"/>
      <c r="D533" s="180"/>
      <c r="E533" s="180"/>
      <c r="F533" s="180"/>
      <c r="G533" s="460"/>
      <c r="H533" s="181"/>
      <c r="I533" s="181"/>
      <c r="J533" s="181"/>
      <c r="K533" s="181"/>
      <c r="L533" s="181"/>
      <c r="M533" s="329"/>
      <c r="N533" s="181"/>
      <c r="O533" s="181"/>
      <c r="P533" s="176"/>
      <c r="Q533" s="181"/>
      <c r="R533" s="181"/>
      <c r="S533" s="176"/>
      <c r="T533" s="181"/>
      <c r="U533" s="181"/>
      <c r="V533" s="176"/>
      <c r="W533" s="181"/>
      <c r="X533" s="181"/>
      <c r="Y533" s="176"/>
      <c r="Z533" s="181"/>
      <c r="AA533" s="181"/>
      <c r="AB533" s="176"/>
      <c r="AC533" s="181"/>
      <c r="AD533" s="181"/>
      <c r="AE533" s="176"/>
      <c r="AF533" s="176"/>
      <c r="AG533" s="176"/>
      <c r="AH533" s="176"/>
      <c r="AI533" s="181"/>
      <c r="AJ533" s="181"/>
      <c r="AK533" s="176"/>
      <c r="AL533" s="181"/>
      <c r="AM533" s="181"/>
      <c r="AN533" s="176"/>
      <c r="AO533" s="181"/>
      <c r="AP533" s="181"/>
    </row>
    <row r="534" ht="12.75" customHeight="1">
      <c r="A534" s="179"/>
      <c r="B534" s="459"/>
      <c r="C534" s="481"/>
      <c r="D534" s="180"/>
      <c r="E534" s="180"/>
      <c r="F534" s="180"/>
      <c r="G534" s="460"/>
      <c r="H534" s="181"/>
      <c r="I534" s="181"/>
      <c r="J534" s="181"/>
      <c r="K534" s="181"/>
      <c r="L534" s="181"/>
      <c r="M534" s="329"/>
      <c r="N534" s="181"/>
      <c r="O534" s="181"/>
      <c r="P534" s="176"/>
      <c r="Q534" s="181"/>
      <c r="R534" s="181"/>
      <c r="S534" s="176"/>
      <c r="T534" s="181"/>
      <c r="U534" s="181"/>
      <c r="V534" s="176"/>
      <c r="W534" s="181"/>
      <c r="X534" s="181"/>
      <c r="Y534" s="176"/>
      <c r="Z534" s="181"/>
      <c r="AA534" s="181"/>
      <c r="AB534" s="176"/>
      <c r="AC534" s="181"/>
      <c r="AD534" s="181"/>
      <c r="AE534" s="176"/>
      <c r="AF534" s="176"/>
      <c r="AG534" s="176"/>
      <c r="AH534" s="176"/>
      <c r="AI534" s="181"/>
      <c r="AJ534" s="181"/>
      <c r="AK534" s="176"/>
      <c r="AL534" s="181"/>
      <c r="AM534" s="181"/>
      <c r="AN534" s="176"/>
      <c r="AO534" s="181"/>
      <c r="AP534" s="181"/>
    </row>
    <row r="535" ht="12.75" customHeight="1">
      <c r="A535" s="179"/>
      <c r="B535" s="459"/>
      <c r="C535" s="481"/>
      <c r="D535" s="180"/>
      <c r="E535" s="180"/>
      <c r="F535" s="180"/>
      <c r="G535" s="460"/>
      <c r="H535" s="181"/>
      <c r="I535" s="181"/>
      <c r="J535" s="181"/>
      <c r="K535" s="181"/>
      <c r="L535" s="181"/>
      <c r="M535" s="329"/>
      <c r="N535" s="181"/>
      <c r="O535" s="181"/>
      <c r="P535" s="176"/>
      <c r="Q535" s="181"/>
      <c r="R535" s="181"/>
      <c r="S535" s="176"/>
      <c r="T535" s="181"/>
      <c r="U535" s="181"/>
      <c r="V535" s="176"/>
      <c r="W535" s="181"/>
      <c r="X535" s="181"/>
      <c r="Y535" s="176"/>
      <c r="Z535" s="181"/>
      <c r="AA535" s="181"/>
      <c r="AB535" s="176"/>
      <c r="AC535" s="181"/>
      <c r="AD535" s="181"/>
      <c r="AE535" s="176"/>
      <c r="AF535" s="176"/>
      <c r="AG535" s="176"/>
      <c r="AH535" s="176"/>
      <c r="AI535" s="181"/>
      <c r="AJ535" s="181"/>
      <c r="AK535" s="176"/>
      <c r="AL535" s="181"/>
      <c r="AM535" s="181"/>
      <c r="AN535" s="176"/>
      <c r="AO535" s="181"/>
      <c r="AP535" s="181"/>
    </row>
    <row r="536" ht="12.75" customHeight="1">
      <c r="A536" s="179"/>
      <c r="B536" s="459"/>
      <c r="C536" s="481"/>
      <c r="D536" s="180"/>
      <c r="E536" s="180"/>
      <c r="F536" s="180"/>
      <c r="G536" s="460"/>
      <c r="H536" s="181"/>
      <c r="I536" s="181"/>
      <c r="J536" s="181"/>
      <c r="K536" s="181"/>
      <c r="L536" s="181"/>
      <c r="M536" s="329"/>
      <c r="N536" s="181"/>
      <c r="O536" s="181"/>
      <c r="P536" s="176"/>
      <c r="Q536" s="181"/>
      <c r="R536" s="181"/>
      <c r="S536" s="176"/>
      <c r="T536" s="181"/>
      <c r="U536" s="181"/>
      <c r="V536" s="176"/>
      <c r="W536" s="181"/>
      <c r="X536" s="181"/>
      <c r="Y536" s="176"/>
      <c r="Z536" s="181"/>
      <c r="AA536" s="181"/>
      <c r="AB536" s="176"/>
      <c r="AC536" s="181"/>
      <c r="AD536" s="181"/>
      <c r="AE536" s="176"/>
      <c r="AF536" s="176"/>
      <c r="AG536" s="176"/>
      <c r="AH536" s="176"/>
      <c r="AI536" s="181"/>
      <c r="AJ536" s="181"/>
      <c r="AK536" s="176"/>
      <c r="AL536" s="181"/>
      <c r="AM536" s="181"/>
      <c r="AN536" s="176"/>
      <c r="AO536" s="181"/>
      <c r="AP536" s="181"/>
    </row>
    <row r="537" ht="12.75" customHeight="1">
      <c r="A537" s="179"/>
      <c r="B537" s="459"/>
      <c r="C537" s="481"/>
      <c r="D537" s="180"/>
      <c r="E537" s="180"/>
      <c r="F537" s="180"/>
      <c r="G537" s="460"/>
      <c r="H537" s="181"/>
      <c r="I537" s="181"/>
      <c r="J537" s="181"/>
      <c r="K537" s="181"/>
      <c r="L537" s="181"/>
      <c r="M537" s="329"/>
      <c r="N537" s="181"/>
      <c r="O537" s="181"/>
      <c r="P537" s="176"/>
      <c r="Q537" s="181"/>
      <c r="R537" s="181"/>
      <c r="S537" s="176"/>
      <c r="T537" s="181"/>
      <c r="U537" s="181"/>
      <c r="V537" s="176"/>
      <c r="W537" s="181"/>
      <c r="X537" s="181"/>
      <c r="Y537" s="176"/>
      <c r="Z537" s="181"/>
      <c r="AA537" s="181"/>
      <c r="AB537" s="176"/>
      <c r="AC537" s="181"/>
      <c r="AD537" s="181"/>
      <c r="AE537" s="176"/>
      <c r="AF537" s="176"/>
      <c r="AG537" s="176"/>
      <c r="AH537" s="176"/>
      <c r="AI537" s="181"/>
      <c r="AJ537" s="181"/>
      <c r="AK537" s="176"/>
      <c r="AL537" s="181"/>
      <c r="AM537" s="181"/>
      <c r="AN537" s="176"/>
      <c r="AO537" s="181"/>
      <c r="AP537" s="181"/>
    </row>
    <row r="538" ht="12.75" customHeight="1">
      <c r="A538" s="179"/>
      <c r="B538" s="459"/>
      <c r="C538" s="481"/>
      <c r="D538" s="180"/>
      <c r="E538" s="180"/>
      <c r="F538" s="180"/>
      <c r="G538" s="460"/>
      <c r="H538" s="181"/>
      <c r="I538" s="181"/>
      <c r="J538" s="181"/>
      <c r="K538" s="181"/>
      <c r="L538" s="181"/>
      <c r="M538" s="329"/>
      <c r="N538" s="181"/>
      <c r="O538" s="181"/>
      <c r="P538" s="176"/>
      <c r="Q538" s="181"/>
      <c r="R538" s="181"/>
      <c r="S538" s="176"/>
      <c r="T538" s="181"/>
      <c r="U538" s="181"/>
      <c r="V538" s="176"/>
      <c r="W538" s="181"/>
      <c r="X538" s="181"/>
      <c r="Y538" s="176"/>
      <c r="Z538" s="181"/>
      <c r="AA538" s="181"/>
      <c r="AB538" s="176"/>
      <c r="AC538" s="181"/>
      <c r="AD538" s="181"/>
      <c r="AE538" s="176"/>
      <c r="AF538" s="176"/>
      <c r="AG538" s="176"/>
      <c r="AH538" s="176"/>
      <c r="AI538" s="181"/>
      <c r="AJ538" s="181"/>
      <c r="AK538" s="176"/>
      <c r="AL538" s="181"/>
      <c r="AM538" s="181"/>
      <c r="AN538" s="176"/>
      <c r="AO538" s="181"/>
      <c r="AP538" s="181"/>
    </row>
    <row r="539" ht="12.75" customHeight="1">
      <c r="A539" s="179"/>
      <c r="B539" s="459"/>
      <c r="C539" s="481"/>
      <c r="D539" s="180"/>
      <c r="E539" s="180"/>
      <c r="F539" s="180"/>
      <c r="G539" s="460"/>
      <c r="H539" s="181"/>
      <c r="I539" s="181"/>
      <c r="J539" s="181"/>
      <c r="K539" s="181"/>
      <c r="L539" s="181"/>
      <c r="M539" s="329"/>
      <c r="N539" s="181"/>
      <c r="O539" s="181"/>
      <c r="P539" s="176"/>
      <c r="Q539" s="181"/>
      <c r="R539" s="181"/>
      <c r="S539" s="176"/>
      <c r="T539" s="181"/>
      <c r="U539" s="181"/>
      <c r="V539" s="176"/>
      <c r="W539" s="181"/>
      <c r="X539" s="181"/>
      <c r="Y539" s="176"/>
      <c r="Z539" s="181"/>
      <c r="AA539" s="181"/>
      <c r="AB539" s="176"/>
      <c r="AC539" s="181"/>
      <c r="AD539" s="181"/>
      <c r="AE539" s="176"/>
      <c r="AF539" s="176"/>
      <c r="AG539" s="176"/>
      <c r="AH539" s="176"/>
      <c r="AI539" s="181"/>
      <c r="AJ539" s="181"/>
      <c r="AK539" s="176"/>
      <c r="AL539" s="181"/>
      <c r="AM539" s="181"/>
      <c r="AN539" s="176"/>
      <c r="AO539" s="181"/>
      <c r="AP539" s="181"/>
    </row>
    <row r="540" ht="12.75" customHeight="1">
      <c r="A540" s="179"/>
      <c r="B540" s="459"/>
      <c r="C540" s="481"/>
      <c r="D540" s="180"/>
      <c r="E540" s="180"/>
      <c r="F540" s="180"/>
      <c r="G540" s="460"/>
      <c r="H540" s="181"/>
      <c r="I540" s="181"/>
      <c r="J540" s="181"/>
      <c r="K540" s="181"/>
      <c r="L540" s="181"/>
      <c r="M540" s="329"/>
      <c r="N540" s="181"/>
      <c r="O540" s="181"/>
      <c r="P540" s="176"/>
      <c r="Q540" s="181"/>
      <c r="R540" s="181"/>
      <c r="S540" s="176"/>
      <c r="T540" s="181"/>
      <c r="U540" s="181"/>
      <c r="V540" s="176"/>
      <c r="W540" s="181"/>
      <c r="X540" s="181"/>
      <c r="Y540" s="176"/>
      <c r="Z540" s="181"/>
      <c r="AA540" s="181"/>
      <c r="AB540" s="176"/>
      <c r="AC540" s="181"/>
      <c r="AD540" s="181"/>
      <c r="AE540" s="176"/>
      <c r="AF540" s="176"/>
      <c r="AG540" s="176"/>
      <c r="AH540" s="176"/>
      <c r="AI540" s="181"/>
      <c r="AJ540" s="181"/>
      <c r="AK540" s="176"/>
      <c r="AL540" s="181"/>
      <c r="AM540" s="181"/>
      <c r="AN540" s="176"/>
      <c r="AO540" s="181"/>
      <c r="AP540" s="181"/>
    </row>
    <row r="541" ht="12.75" customHeight="1">
      <c r="A541" s="179"/>
      <c r="B541" s="459"/>
      <c r="C541" s="481"/>
      <c r="D541" s="180"/>
      <c r="E541" s="180"/>
      <c r="F541" s="180"/>
      <c r="G541" s="460"/>
      <c r="H541" s="181"/>
      <c r="I541" s="181"/>
      <c r="J541" s="181"/>
      <c r="K541" s="181"/>
      <c r="L541" s="181"/>
      <c r="M541" s="329"/>
      <c r="N541" s="181"/>
      <c r="O541" s="181"/>
      <c r="P541" s="176"/>
      <c r="Q541" s="181"/>
      <c r="R541" s="181"/>
      <c r="S541" s="176"/>
      <c r="T541" s="181"/>
      <c r="U541" s="181"/>
      <c r="V541" s="176"/>
      <c r="W541" s="181"/>
      <c r="X541" s="181"/>
      <c r="Y541" s="176"/>
      <c r="Z541" s="181"/>
      <c r="AA541" s="181"/>
      <c r="AB541" s="176"/>
      <c r="AC541" s="181"/>
      <c r="AD541" s="181"/>
      <c r="AE541" s="176"/>
      <c r="AF541" s="176"/>
      <c r="AG541" s="176"/>
      <c r="AH541" s="176"/>
      <c r="AI541" s="181"/>
      <c r="AJ541" s="181"/>
      <c r="AK541" s="176"/>
      <c r="AL541" s="181"/>
      <c r="AM541" s="181"/>
      <c r="AN541" s="176"/>
      <c r="AO541" s="181"/>
      <c r="AP541" s="181"/>
    </row>
    <row r="542" ht="12.75" customHeight="1">
      <c r="A542" s="179"/>
      <c r="B542" s="459"/>
      <c r="C542" s="481"/>
      <c r="D542" s="180"/>
      <c r="E542" s="180"/>
      <c r="F542" s="180"/>
      <c r="G542" s="460"/>
      <c r="H542" s="181"/>
      <c r="I542" s="181"/>
      <c r="J542" s="181"/>
      <c r="K542" s="181"/>
      <c r="L542" s="181"/>
      <c r="M542" s="329"/>
      <c r="N542" s="181"/>
      <c r="O542" s="181"/>
      <c r="P542" s="176"/>
      <c r="Q542" s="181"/>
      <c r="R542" s="181"/>
      <c r="S542" s="176"/>
      <c r="T542" s="181"/>
      <c r="U542" s="181"/>
      <c r="V542" s="176"/>
      <c r="W542" s="181"/>
      <c r="X542" s="181"/>
      <c r="Y542" s="176"/>
      <c r="Z542" s="181"/>
      <c r="AA542" s="181"/>
      <c r="AB542" s="176"/>
      <c r="AC542" s="181"/>
      <c r="AD542" s="181"/>
      <c r="AE542" s="176"/>
      <c r="AF542" s="176"/>
      <c r="AG542" s="176"/>
      <c r="AH542" s="176"/>
      <c r="AI542" s="181"/>
      <c r="AJ542" s="181"/>
      <c r="AK542" s="176"/>
      <c r="AL542" s="181"/>
      <c r="AM542" s="181"/>
      <c r="AN542" s="176"/>
      <c r="AO542" s="181"/>
      <c r="AP542" s="181"/>
    </row>
    <row r="543" ht="12.75" customHeight="1">
      <c r="A543" s="179"/>
      <c r="B543" s="459"/>
      <c r="C543" s="481"/>
      <c r="D543" s="180"/>
      <c r="E543" s="180"/>
      <c r="F543" s="180"/>
      <c r="G543" s="460"/>
      <c r="H543" s="181"/>
      <c r="I543" s="181"/>
      <c r="J543" s="181"/>
      <c r="K543" s="181"/>
      <c r="L543" s="181"/>
      <c r="M543" s="329"/>
      <c r="N543" s="181"/>
      <c r="O543" s="181"/>
      <c r="P543" s="176"/>
      <c r="Q543" s="181"/>
      <c r="R543" s="181"/>
      <c r="S543" s="176"/>
      <c r="T543" s="181"/>
      <c r="U543" s="181"/>
      <c r="V543" s="176"/>
      <c r="W543" s="181"/>
      <c r="X543" s="181"/>
      <c r="Y543" s="176"/>
      <c r="Z543" s="181"/>
      <c r="AA543" s="181"/>
      <c r="AB543" s="176"/>
      <c r="AC543" s="181"/>
      <c r="AD543" s="181"/>
      <c r="AE543" s="176"/>
      <c r="AF543" s="176"/>
      <c r="AG543" s="176"/>
      <c r="AH543" s="176"/>
      <c r="AI543" s="181"/>
      <c r="AJ543" s="181"/>
      <c r="AK543" s="176"/>
      <c r="AL543" s="181"/>
      <c r="AM543" s="181"/>
      <c r="AN543" s="176"/>
      <c r="AO543" s="181"/>
      <c r="AP543" s="181"/>
    </row>
    <row r="544" ht="12.75" customHeight="1">
      <c r="A544" s="179"/>
      <c r="B544" s="459"/>
      <c r="C544" s="481"/>
      <c r="D544" s="180"/>
      <c r="E544" s="180"/>
      <c r="F544" s="180"/>
      <c r="G544" s="460"/>
      <c r="H544" s="181"/>
      <c r="I544" s="181"/>
      <c r="J544" s="181"/>
      <c r="K544" s="181"/>
      <c r="L544" s="181"/>
      <c r="M544" s="329"/>
      <c r="N544" s="181"/>
      <c r="O544" s="181"/>
      <c r="P544" s="176"/>
      <c r="Q544" s="181"/>
      <c r="R544" s="181"/>
      <c r="S544" s="176"/>
      <c r="T544" s="181"/>
      <c r="U544" s="181"/>
      <c r="V544" s="176"/>
      <c r="W544" s="181"/>
      <c r="X544" s="181"/>
      <c r="Y544" s="176"/>
      <c r="Z544" s="181"/>
      <c r="AA544" s="181"/>
      <c r="AB544" s="176"/>
      <c r="AC544" s="181"/>
      <c r="AD544" s="181"/>
      <c r="AE544" s="176"/>
      <c r="AF544" s="176"/>
      <c r="AG544" s="176"/>
      <c r="AH544" s="176"/>
      <c r="AI544" s="181"/>
      <c r="AJ544" s="181"/>
      <c r="AK544" s="176"/>
      <c r="AL544" s="181"/>
      <c r="AM544" s="181"/>
      <c r="AN544" s="176"/>
      <c r="AO544" s="181"/>
      <c r="AP544" s="181"/>
    </row>
    <row r="545" ht="12.75" customHeight="1">
      <c r="A545" s="179"/>
      <c r="B545" s="459"/>
      <c r="C545" s="481"/>
      <c r="D545" s="180"/>
      <c r="E545" s="180"/>
      <c r="F545" s="180"/>
      <c r="G545" s="460"/>
      <c r="H545" s="181"/>
      <c r="I545" s="181"/>
      <c r="J545" s="181"/>
      <c r="K545" s="181"/>
      <c r="L545" s="181"/>
      <c r="M545" s="329"/>
      <c r="N545" s="181"/>
      <c r="O545" s="181"/>
      <c r="P545" s="176"/>
      <c r="Q545" s="181"/>
      <c r="R545" s="181"/>
      <c r="S545" s="176"/>
      <c r="T545" s="181"/>
      <c r="U545" s="181"/>
      <c r="V545" s="176"/>
      <c r="W545" s="181"/>
      <c r="X545" s="181"/>
      <c r="Y545" s="176"/>
      <c r="Z545" s="181"/>
      <c r="AA545" s="181"/>
      <c r="AB545" s="176"/>
      <c r="AC545" s="181"/>
      <c r="AD545" s="181"/>
      <c r="AE545" s="176"/>
      <c r="AF545" s="176"/>
      <c r="AG545" s="176"/>
      <c r="AH545" s="176"/>
      <c r="AI545" s="181"/>
      <c r="AJ545" s="181"/>
      <c r="AK545" s="176"/>
      <c r="AL545" s="181"/>
      <c r="AM545" s="181"/>
      <c r="AN545" s="176"/>
      <c r="AO545" s="181"/>
      <c r="AP545" s="181"/>
    </row>
    <row r="546" ht="12.75" customHeight="1">
      <c r="A546" s="179"/>
      <c r="B546" s="459"/>
      <c r="C546" s="481"/>
      <c r="D546" s="180"/>
      <c r="E546" s="180"/>
      <c r="F546" s="180"/>
      <c r="G546" s="460"/>
      <c r="H546" s="181"/>
      <c r="I546" s="181"/>
      <c r="J546" s="181"/>
      <c r="K546" s="181"/>
      <c r="L546" s="181"/>
      <c r="M546" s="329"/>
      <c r="N546" s="181"/>
      <c r="O546" s="181"/>
      <c r="P546" s="176"/>
      <c r="Q546" s="181"/>
      <c r="R546" s="181"/>
      <c r="S546" s="176"/>
      <c r="T546" s="181"/>
      <c r="U546" s="181"/>
      <c r="V546" s="176"/>
      <c r="W546" s="181"/>
      <c r="X546" s="181"/>
      <c r="Y546" s="176"/>
      <c r="Z546" s="181"/>
      <c r="AA546" s="181"/>
      <c r="AB546" s="176"/>
      <c r="AC546" s="181"/>
      <c r="AD546" s="181"/>
      <c r="AE546" s="176"/>
      <c r="AF546" s="176"/>
      <c r="AG546" s="176"/>
      <c r="AH546" s="176"/>
      <c r="AI546" s="181"/>
      <c r="AJ546" s="181"/>
      <c r="AK546" s="176"/>
      <c r="AL546" s="181"/>
      <c r="AM546" s="181"/>
      <c r="AN546" s="176"/>
      <c r="AO546" s="181"/>
      <c r="AP546" s="181"/>
    </row>
    <row r="547" ht="12.75" customHeight="1">
      <c r="A547" s="179"/>
      <c r="B547" s="459"/>
      <c r="C547" s="481"/>
      <c r="D547" s="180"/>
      <c r="E547" s="180"/>
      <c r="F547" s="180"/>
      <c r="G547" s="460"/>
      <c r="H547" s="181"/>
      <c r="I547" s="181"/>
      <c r="J547" s="181"/>
      <c r="K547" s="181"/>
      <c r="L547" s="181"/>
      <c r="M547" s="329"/>
      <c r="N547" s="181"/>
      <c r="O547" s="181"/>
      <c r="P547" s="176"/>
      <c r="Q547" s="181"/>
      <c r="R547" s="181"/>
      <c r="S547" s="176"/>
      <c r="T547" s="181"/>
      <c r="U547" s="181"/>
      <c r="V547" s="176"/>
      <c r="W547" s="181"/>
      <c r="X547" s="181"/>
      <c r="Y547" s="176"/>
      <c r="Z547" s="181"/>
      <c r="AA547" s="181"/>
      <c r="AB547" s="176"/>
      <c r="AC547" s="181"/>
      <c r="AD547" s="181"/>
      <c r="AE547" s="176"/>
      <c r="AF547" s="176"/>
      <c r="AG547" s="176"/>
      <c r="AH547" s="176"/>
      <c r="AI547" s="181"/>
      <c r="AJ547" s="181"/>
      <c r="AK547" s="176"/>
      <c r="AL547" s="181"/>
      <c r="AM547" s="181"/>
      <c r="AN547" s="176"/>
      <c r="AO547" s="181"/>
      <c r="AP547" s="181"/>
    </row>
    <row r="548" ht="12.75" customHeight="1">
      <c r="A548" s="179"/>
      <c r="B548" s="459"/>
      <c r="C548" s="481"/>
      <c r="D548" s="180"/>
      <c r="E548" s="180"/>
      <c r="F548" s="180"/>
      <c r="G548" s="460"/>
      <c r="H548" s="181"/>
      <c r="I548" s="181"/>
      <c r="J548" s="181"/>
      <c r="K548" s="181"/>
      <c r="L548" s="181"/>
      <c r="M548" s="329"/>
      <c r="N548" s="181"/>
      <c r="O548" s="181"/>
      <c r="P548" s="176"/>
      <c r="Q548" s="181"/>
      <c r="R548" s="181"/>
      <c r="S548" s="176"/>
      <c r="T548" s="181"/>
      <c r="U548" s="181"/>
      <c r="V548" s="176"/>
      <c r="W548" s="181"/>
      <c r="X548" s="181"/>
      <c r="Y548" s="176"/>
      <c r="Z548" s="181"/>
      <c r="AA548" s="181"/>
      <c r="AB548" s="176"/>
      <c r="AC548" s="181"/>
      <c r="AD548" s="181"/>
      <c r="AE548" s="176"/>
      <c r="AF548" s="176"/>
      <c r="AG548" s="176"/>
      <c r="AH548" s="176"/>
      <c r="AI548" s="181"/>
      <c r="AJ548" s="181"/>
      <c r="AK548" s="176"/>
      <c r="AL548" s="181"/>
      <c r="AM548" s="181"/>
      <c r="AN548" s="176"/>
      <c r="AO548" s="181"/>
      <c r="AP548" s="181"/>
    </row>
    <row r="549" ht="12.75" customHeight="1">
      <c r="A549" s="179"/>
      <c r="B549" s="459"/>
      <c r="C549" s="481"/>
      <c r="D549" s="180"/>
      <c r="E549" s="180"/>
      <c r="F549" s="180"/>
      <c r="G549" s="460"/>
      <c r="H549" s="181"/>
      <c r="I549" s="181"/>
      <c r="J549" s="181"/>
      <c r="K549" s="181"/>
      <c r="L549" s="181"/>
      <c r="M549" s="329"/>
      <c r="N549" s="181"/>
      <c r="O549" s="181"/>
      <c r="P549" s="176"/>
      <c r="Q549" s="181"/>
      <c r="R549" s="181"/>
      <c r="S549" s="176"/>
      <c r="T549" s="181"/>
      <c r="U549" s="181"/>
      <c r="V549" s="176"/>
      <c r="W549" s="181"/>
      <c r="X549" s="181"/>
      <c r="Y549" s="176"/>
      <c r="Z549" s="181"/>
      <c r="AA549" s="181"/>
      <c r="AB549" s="176"/>
      <c r="AC549" s="181"/>
      <c r="AD549" s="181"/>
      <c r="AE549" s="176"/>
      <c r="AF549" s="176"/>
      <c r="AG549" s="176"/>
      <c r="AH549" s="176"/>
      <c r="AI549" s="181"/>
      <c r="AJ549" s="181"/>
      <c r="AK549" s="176"/>
      <c r="AL549" s="181"/>
      <c r="AM549" s="181"/>
      <c r="AN549" s="176"/>
      <c r="AO549" s="181"/>
      <c r="AP549" s="181"/>
    </row>
    <row r="550" ht="12.75" customHeight="1">
      <c r="A550" s="179"/>
      <c r="B550" s="459"/>
      <c r="C550" s="481"/>
      <c r="D550" s="180"/>
      <c r="E550" s="180"/>
      <c r="F550" s="180"/>
      <c r="G550" s="460"/>
      <c r="H550" s="181"/>
      <c r="I550" s="181"/>
      <c r="J550" s="181"/>
      <c r="K550" s="181"/>
      <c r="L550" s="181"/>
      <c r="M550" s="329"/>
      <c r="N550" s="181"/>
      <c r="O550" s="181"/>
      <c r="P550" s="176"/>
      <c r="Q550" s="181"/>
      <c r="R550" s="181"/>
      <c r="S550" s="176"/>
      <c r="T550" s="181"/>
      <c r="U550" s="181"/>
      <c r="V550" s="176"/>
      <c r="W550" s="181"/>
      <c r="X550" s="181"/>
      <c r="Y550" s="176"/>
      <c r="Z550" s="181"/>
      <c r="AA550" s="181"/>
      <c r="AB550" s="176"/>
      <c r="AC550" s="181"/>
      <c r="AD550" s="181"/>
      <c r="AE550" s="176"/>
      <c r="AF550" s="176"/>
      <c r="AG550" s="176"/>
      <c r="AH550" s="176"/>
      <c r="AI550" s="181"/>
      <c r="AJ550" s="181"/>
      <c r="AK550" s="176"/>
      <c r="AL550" s="181"/>
      <c r="AM550" s="181"/>
      <c r="AN550" s="176"/>
      <c r="AO550" s="181"/>
      <c r="AP550" s="181"/>
    </row>
    <row r="551" ht="12.75" customHeight="1">
      <c r="A551" s="179"/>
      <c r="B551" s="459"/>
      <c r="C551" s="481"/>
      <c r="D551" s="180"/>
      <c r="E551" s="180"/>
      <c r="F551" s="180"/>
      <c r="G551" s="460"/>
      <c r="H551" s="181"/>
      <c r="I551" s="181"/>
      <c r="J551" s="181"/>
      <c r="K551" s="181"/>
      <c r="L551" s="181"/>
      <c r="M551" s="329"/>
      <c r="N551" s="181"/>
      <c r="O551" s="181"/>
      <c r="P551" s="176"/>
      <c r="Q551" s="181"/>
      <c r="R551" s="181"/>
      <c r="S551" s="176"/>
      <c r="T551" s="181"/>
      <c r="U551" s="181"/>
      <c r="V551" s="176"/>
      <c r="W551" s="181"/>
      <c r="X551" s="181"/>
      <c r="Y551" s="176"/>
      <c r="Z551" s="181"/>
      <c r="AA551" s="181"/>
      <c r="AB551" s="176"/>
      <c r="AC551" s="181"/>
      <c r="AD551" s="181"/>
      <c r="AE551" s="176"/>
      <c r="AF551" s="176"/>
      <c r="AG551" s="176"/>
      <c r="AH551" s="176"/>
      <c r="AI551" s="181"/>
      <c r="AJ551" s="181"/>
      <c r="AK551" s="176"/>
      <c r="AL551" s="181"/>
      <c r="AM551" s="181"/>
      <c r="AN551" s="176"/>
      <c r="AO551" s="181"/>
      <c r="AP551" s="181"/>
    </row>
    <row r="552" ht="12.75" customHeight="1">
      <c r="A552" s="179"/>
      <c r="B552" s="459"/>
      <c r="C552" s="481"/>
      <c r="D552" s="180"/>
      <c r="E552" s="180"/>
      <c r="F552" s="180"/>
      <c r="G552" s="460"/>
      <c r="H552" s="181"/>
      <c r="I552" s="181"/>
      <c r="J552" s="181"/>
      <c r="K552" s="181"/>
      <c r="L552" s="181"/>
      <c r="M552" s="329"/>
      <c r="N552" s="181"/>
      <c r="O552" s="181"/>
      <c r="P552" s="176"/>
      <c r="Q552" s="181"/>
      <c r="R552" s="181"/>
      <c r="S552" s="176"/>
      <c r="T552" s="181"/>
      <c r="U552" s="181"/>
      <c r="V552" s="176"/>
      <c r="W552" s="181"/>
      <c r="X552" s="181"/>
      <c r="Y552" s="176"/>
      <c r="Z552" s="181"/>
      <c r="AA552" s="181"/>
      <c r="AB552" s="176"/>
      <c r="AC552" s="181"/>
      <c r="AD552" s="181"/>
      <c r="AE552" s="176"/>
      <c r="AF552" s="176"/>
      <c r="AG552" s="176"/>
      <c r="AH552" s="176"/>
      <c r="AI552" s="181"/>
      <c r="AJ552" s="181"/>
      <c r="AK552" s="176"/>
      <c r="AL552" s="181"/>
      <c r="AM552" s="181"/>
      <c r="AN552" s="176"/>
      <c r="AO552" s="181"/>
      <c r="AP552" s="181"/>
    </row>
    <row r="553" ht="12.75" customHeight="1">
      <c r="A553" s="179"/>
      <c r="B553" s="459"/>
      <c r="C553" s="481"/>
      <c r="D553" s="180"/>
      <c r="E553" s="180"/>
      <c r="F553" s="180"/>
      <c r="G553" s="460"/>
      <c r="H553" s="181"/>
      <c r="I553" s="181"/>
      <c r="J553" s="181"/>
      <c r="K553" s="181"/>
      <c r="L553" s="181"/>
      <c r="M553" s="329"/>
      <c r="N553" s="181"/>
      <c r="O553" s="181"/>
      <c r="P553" s="176"/>
      <c r="Q553" s="181"/>
      <c r="R553" s="181"/>
      <c r="S553" s="176"/>
      <c r="T553" s="181"/>
      <c r="U553" s="181"/>
      <c r="V553" s="176"/>
      <c r="W553" s="181"/>
      <c r="X553" s="181"/>
      <c r="Y553" s="176"/>
      <c r="Z553" s="181"/>
      <c r="AA553" s="181"/>
      <c r="AB553" s="176"/>
      <c r="AC553" s="181"/>
      <c r="AD553" s="181"/>
      <c r="AE553" s="176"/>
      <c r="AF553" s="176"/>
      <c r="AG553" s="176"/>
      <c r="AH553" s="176"/>
      <c r="AI553" s="181"/>
      <c r="AJ553" s="181"/>
      <c r="AK553" s="176"/>
      <c r="AL553" s="181"/>
      <c r="AM553" s="181"/>
      <c r="AN553" s="176"/>
      <c r="AO553" s="181"/>
      <c r="AP553" s="181"/>
    </row>
    <row r="554" ht="12.75" customHeight="1">
      <c r="A554" s="179"/>
      <c r="B554" s="459"/>
      <c r="C554" s="481"/>
      <c r="D554" s="180"/>
      <c r="E554" s="180"/>
      <c r="F554" s="180"/>
      <c r="G554" s="460"/>
      <c r="H554" s="181"/>
      <c r="I554" s="181"/>
      <c r="J554" s="181"/>
      <c r="K554" s="181"/>
      <c r="L554" s="181"/>
      <c r="M554" s="329"/>
      <c r="N554" s="181"/>
      <c r="O554" s="181"/>
      <c r="P554" s="176"/>
      <c r="Q554" s="181"/>
      <c r="R554" s="181"/>
      <c r="S554" s="176"/>
      <c r="T554" s="181"/>
      <c r="U554" s="181"/>
      <c r="V554" s="176"/>
      <c r="W554" s="181"/>
      <c r="X554" s="181"/>
      <c r="Y554" s="176"/>
      <c r="Z554" s="181"/>
      <c r="AA554" s="181"/>
      <c r="AB554" s="176"/>
      <c r="AC554" s="181"/>
      <c r="AD554" s="181"/>
      <c r="AE554" s="176"/>
      <c r="AF554" s="176"/>
      <c r="AG554" s="176"/>
      <c r="AH554" s="176"/>
      <c r="AI554" s="181"/>
      <c r="AJ554" s="181"/>
      <c r="AK554" s="176"/>
      <c r="AL554" s="181"/>
      <c r="AM554" s="181"/>
      <c r="AN554" s="176"/>
      <c r="AO554" s="181"/>
      <c r="AP554" s="181"/>
    </row>
    <row r="555" ht="12.75" customHeight="1">
      <c r="A555" s="179"/>
      <c r="B555" s="459"/>
      <c r="C555" s="481"/>
      <c r="D555" s="180"/>
      <c r="E555" s="180"/>
      <c r="F555" s="180"/>
      <c r="G555" s="460"/>
      <c r="H555" s="181"/>
      <c r="I555" s="181"/>
      <c r="J555" s="181"/>
      <c r="K555" s="181"/>
      <c r="L555" s="181"/>
      <c r="M555" s="329"/>
      <c r="N555" s="181"/>
      <c r="O555" s="181"/>
      <c r="P555" s="176"/>
      <c r="Q555" s="181"/>
      <c r="R555" s="181"/>
      <c r="S555" s="176"/>
      <c r="T555" s="181"/>
      <c r="U555" s="181"/>
      <c r="V555" s="176"/>
      <c r="W555" s="181"/>
      <c r="X555" s="181"/>
      <c r="Y555" s="176"/>
      <c r="Z555" s="181"/>
      <c r="AA555" s="181"/>
      <c r="AB555" s="176"/>
      <c r="AC555" s="181"/>
      <c r="AD555" s="181"/>
      <c r="AE555" s="176"/>
      <c r="AF555" s="176"/>
      <c r="AG555" s="176"/>
      <c r="AH555" s="176"/>
      <c r="AI555" s="181"/>
      <c r="AJ555" s="181"/>
      <c r="AK555" s="176"/>
      <c r="AL555" s="181"/>
      <c r="AM555" s="181"/>
      <c r="AN555" s="176"/>
      <c r="AO555" s="181"/>
      <c r="AP555" s="181"/>
    </row>
    <row r="556" ht="12.75" customHeight="1">
      <c r="A556" s="179"/>
      <c r="B556" s="459"/>
      <c r="C556" s="481"/>
      <c r="D556" s="180"/>
      <c r="E556" s="180"/>
      <c r="F556" s="180"/>
      <c r="G556" s="460"/>
      <c r="H556" s="181"/>
      <c r="I556" s="181"/>
      <c r="J556" s="181"/>
      <c r="K556" s="181"/>
      <c r="L556" s="181"/>
      <c r="M556" s="329"/>
      <c r="N556" s="181"/>
      <c r="O556" s="181"/>
      <c r="P556" s="176"/>
      <c r="Q556" s="181"/>
      <c r="R556" s="181"/>
      <c r="S556" s="176"/>
      <c r="T556" s="181"/>
      <c r="U556" s="181"/>
      <c r="V556" s="176"/>
      <c r="W556" s="181"/>
      <c r="X556" s="181"/>
      <c r="Y556" s="176"/>
      <c r="Z556" s="181"/>
      <c r="AA556" s="181"/>
      <c r="AB556" s="176"/>
      <c r="AC556" s="181"/>
      <c r="AD556" s="181"/>
      <c r="AE556" s="176"/>
      <c r="AF556" s="176"/>
      <c r="AG556" s="176"/>
      <c r="AH556" s="176"/>
      <c r="AI556" s="181"/>
      <c r="AJ556" s="181"/>
      <c r="AK556" s="176"/>
      <c r="AL556" s="181"/>
      <c r="AM556" s="181"/>
      <c r="AN556" s="176"/>
      <c r="AO556" s="181"/>
      <c r="AP556" s="181"/>
    </row>
    <row r="557" ht="12.75" customHeight="1">
      <c r="A557" s="179"/>
      <c r="B557" s="459"/>
      <c r="C557" s="481"/>
      <c r="D557" s="180"/>
      <c r="E557" s="180"/>
      <c r="F557" s="180"/>
      <c r="G557" s="460"/>
      <c r="H557" s="181"/>
      <c r="I557" s="181"/>
      <c r="J557" s="181"/>
      <c r="K557" s="181"/>
      <c r="L557" s="181"/>
      <c r="M557" s="329"/>
      <c r="N557" s="181"/>
      <c r="O557" s="181"/>
      <c r="P557" s="176"/>
      <c r="Q557" s="181"/>
      <c r="R557" s="181"/>
      <c r="S557" s="176"/>
      <c r="T557" s="181"/>
      <c r="U557" s="181"/>
      <c r="V557" s="176"/>
      <c r="W557" s="181"/>
      <c r="X557" s="181"/>
      <c r="Y557" s="176"/>
      <c r="Z557" s="181"/>
      <c r="AA557" s="181"/>
      <c r="AB557" s="176"/>
      <c r="AC557" s="181"/>
      <c r="AD557" s="181"/>
      <c r="AE557" s="176"/>
      <c r="AF557" s="176"/>
      <c r="AG557" s="176"/>
      <c r="AH557" s="176"/>
      <c r="AI557" s="181"/>
      <c r="AJ557" s="181"/>
      <c r="AK557" s="176"/>
      <c r="AL557" s="181"/>
      <c r="AM557" s="181"/>
      <c r="AN557" s="176"/>
      <c r="AO557" s="181"/>
      <c r="AP557" s="181"/>
    </row>
    <row r="558" ht="12.75" customHeight="1">
      <c r="A558" s="179"/>
      <c r="B558" s="459"/>
      <c r="C558" s="481"/>
      <c r="D558" s="180"/>
      <c r="E558" s="180"/>
      <c r="F558" s="180"/>
      <c r="G558" s="460"/>
      <c r="H558" s="181"/>
      <c r="I558" s="181"/>
      <c r="J558" s="181"/>
      <c r="K558" s="181"/>
      <c r="L558" s="181"/>
      <c r="M558" s="329"/>
      <c r="N558" s="181"/>
      <c r="O558" s="181"/>
      <c r="P558" s="176"/>
      <c r="Q558" s="181"/>
      <c r="R558" s="181"/>
      <c r="S558" s="176"/>
      <c r="T558" s="181"/>
      <c r="U558" s="181"/>
      <c r="V558" s="176"/>
      <c r="W558" s="181"/>
      <c r="X558" s="181"/>
      <c r="Y558" s="176"/>
      <c r="Z558" s="181"/>
      <c r="AA558" s="181"/>
      <c r="AB558" s="176"/>
      <c r="AC558" s="181"/>
      <c r="AD558" s="181"/>
      <c r="AE558" s="176"/>
      <c r="AF558" s="176"/>
      <c r="AG558" s="176"/>
      <c r="AH558" s="176"/>
      <c r="AI558" s="181"/>
      <c r="AJ558" s="181"/>
      <c r="AK558" s="176"/>
      <c r="AL558" s="181"/>
      <c r="AM558" s="181"/>
      <c r="AN558" s="176"/>
      <c r="AO558" s="181"/>
      <c r="AP558" s="181"/>
    </row>
    <row r="559" ht="12.75" customHeight="1">
      <c r="A559" s="179"/>
      <c r="B559" s="459"/>
      <c r="C559" s="481"/>
      <c r="D559" s="180"/>
      <c r="E559" s="180"/>
      <c r="F559" s="180"/>
      <c r="G559" s="460"/>
      <c r="H559" s="181"/>
      <c r="I559" s="181"/>
      <c r="J559" s="181"/>
      <c r="K559" s="181"/>
      <c r="L559" s="181"/>
      <c r="M559" s="329"/>
      <c r="N559" s="181"/>
      <c r="O559" s="181"/>
      <c r="P559" s="176"/>
      <c r="Q559" s="181"/>
      <c r="R559" s="181"/>
      <c r="S559" s="176"/>
      <c r="T559" s="181"/>
      <c r="U559" s="181"/>
      <c r="V559" s="176"/>
      <c r="W559" s="181"/>
      <c r="X559" s="181"/>
      <c r="Y559" s="176"/>
      <c r="Z559" s="181"/>
      <c r="AA559" s="181"/>
      <c r="AB559" s="176"/>
      <c r="AC559" s="181"/>
      <c r="AD559" s="181"/>
      <c r="AE559" s="176"/>
      <c r="AF559" s="176"/>
      <c r="AG559" s="176"/>
      <c r="AH559" s="176"/>
      <c r="AI559" s="181"/>
      <c r="AJ559" s="181"/>
      <c r="AK559" s="176"/>
      <c r="AL559" s="181"/>
      <c r="AM559" s="181"/>
      <c r="AN559" s="176"/>
      <c r="AO559" s="181"/>
      <c r="AP559" s="181"/>
    </row>
    <row r="560" ht="12.75" customHeight="1">
      <c r="A560" s="179"/>
      <c r="B560" s="459"/>
      <c r="C560" s="481"/>
      <c r="D560" s="180"/>
      <c r="E560" s="180"/>
      <c r="F560" s="180"/>
      <c r="G560" s="460"/>
      <c r="H560" s="181"/>
      <c r="I560" s="181"/>
      <c r="J560" s="181"/>
      <c r="K560" s="181"/>
      <c r="L560" s="181"/>
      <c r="M560" s="329"/>
      <c r="N560" s="181"/>
      <c r="O560" s="181"/>
      <c r="P560" s="176"/>
      <c r="Q560" s="181"/>
      <c r="R560" s="181"/>
      <c r="S560" s="176"/>
      <c r="T560" s="181"/>
      <c r="U560" s="181"/>
      <c r="V560" s="176"/>
      <c r="W560" s="181"/>
      <c r="X560" s="181"/>
      <c r="Y560" s="176"/>
      <c r="Z560" s="181"/>
      <c r="AA560" s="181"/>
      <c r="AB560" s="176"/>
      <c r="AC560" s="181"/>
      <c r="AD560" s="181"/>
      <c r="AE560" s="176"/>
      <c r="AF560" s="176"/>
      <c r="AG560" s="176"/>
      <c r="AH560" s="176"/>
      <c r="AI560" s="181"/>
      <c r="AJ560" s="181"/>
      <c r="AK560" s="176"/>
      <c r="AL560" s="181"/>
      <c r="AM560" s="181"/>
      <c r="AN560" s="176"/>
      <c r="AO560" s="181"/>
      <c r="AP560" s="181"/>
    </row>
    <row r="561" ht="12.75" customHeight="1">
      <c r="A561" s="179"/>
      <c r="B561" s="459"/>
      <c r="C561" s="481"/>
      <c r="D561" s="180"/>
      <c r="E561" s="180"/>
      <c r="F561" s="180"/>
      <c r="G561" s="460"/>
      <c r="H561" s="181"/>
      <c r="I561" s="181"/>
      <c r="J561" s="181"/>
      <c r="K561" s="181"/>
      <c r="L561" s="181"/>
      <c r="M561" s="329"/>
      <c r="N561" s="181"/>
      <c r="O561" s="181"/>
      <c r="P561" s="176"/>
      <c r="Q561" s="181"/>
      <c r="R561" s="181"/>
      <c r="S561" s="176"/>
      <c r="T561" s="181"/>
      <c r="U561" s="181"/>
      <c r="V561" s="176"/>
      <c r="W561" s="181"/>
      <c r="X561" s="181"/>
      <c r="Y561" s="176"/>
      <c r="Z561" s="181"/>
      <c r="AA561" s="181"/>
      <c r="AB561" s="176"/>
      <c r="AC561" s="181"/>
      <c r="AD561" s="181"/>
      <c r="AE561" s="176"/>
      <c r="AF561" s="176"/>
      <c r="AG561" s="176"/>
      <c r="AH561" s="176"/>
      <c r="AI561" s="181"/>
      <c r="AJ561" s="181"/>
      <c r="AK561" s="176"/>
      <c r="AL561" s="181"/>
      <c r="AM561" s="181"/>
      <c r="AN561" s="176"/>
      <c r="AO561" s="181"/>
      <c r="AP561" s="181"/>
    </row>
    <row r="562" ht="12.75" customHeight="1">
      <c r="A562" s="179"/>
      <c r="B562" s="459"/>
      <c r="C562" s="481"/>
      <c r="D562" s="180"/>
      <c r="E562" s="180"/>
      <c r="F562" s="180"/>
      <c r="G562" s="460"/>
      <c r="H562" s="181"/>
      <c r="I562" s="181"/>
      <c r="J562" s="181"/>
      <c r="K562" s="181"/>
      <c r="L562" s="181"/>
      <c r="M562" s="329"/>
      <c r="N562" s="181"/>
      <c r="O562" s="181"/>
      <c r="P562" s="176"/>
      <c r="Q562" s="181"/>
      <c r="R562" s="181"/>
      <c r="S562" s="176"/>
      <c r="T562" s="181"/>
      <c r="U562" s="181"/>
      <c r="V562" s="176"/>
      <c r="W562" s="181"/>
      <c r="X562" s="181"/>
      <c r="Y562" s="176"/>
      <c r="Z562" s="181"/>
      <c r="AA562" s="181"/>
      <c r="AB562" s="176"/>
      <c r="AC562" s="181"/>
      <c r="AD562" s="181"/>
      <c r="AE562" s="176"/>
      <c r="AF562" s="176"/>
      <c r="AG562" s="176"/>
      <c r="AH562" s="176"/>
      <c r="AI562" s="181"/>
      <c r="AJ562" s="181"/>
      <c r="AK562" s="176"/>
      <c r="AL562" s="181"/>
      <c r="AM562" s="181"/>
      <c r="AN562" s="176"/>
      <c r="AO562" s="181"/>
      <c r="AP562" s="181"/>
    </row>
    <row r="563" ht="12.75" customHeight="1">
      <c r="A563" s="179"/>
      <c r="B563" s="459"/>
      <c r="C563" s="481"/>
      <c r="D563" s="180"/>
      <c r="E563" s="180"/>
      <c r="F563" s="180"/>
      <c r="G563" s="460"/>
      <c r="H563" s="181"/>
      <c r="I563" s="181"/>
      <c r="J563" s="181"/>
      <c r="K563" s="181"/>
      <c r="L563" s="181"/>
      <c r="M563" s="329"/>
      <c r="N563" s="181"/>
      <c r="O563" s="181"/>
      <c r="P563" s="176"/>
      <c r="Q563" s="181"/>
      <c r="R563" s="181"/>
      <c r="S563" s="176"/>
      <c r="T563" s="181"/>
      <c r="U563" s="181"/>
      <c r="V563" s="176"/>
      <c r="W563" s="181"/>
      <c r="X563" s="181"/>
      <c r="Y563" s="176"/>
      <c r="Z563" s="181"/>
      <c r="AA563" s="181"/>
      <c r="AB563" s="176"/>
      <c r="AC563" s="181"/>
      <c r="AD563" s="181"/>
      <c r="AE563" s="176"/>
      <c r="AF563" s="176"/>
      <c r="AG563" s="176"/>
      <c r="AH563" s="176"/>
      <c r="AI563" s="181"/>
      <c r="AJ563" s="181"/>
      <c r="AK563" s="176"/>
      <c r="AL563" s="181"/>
      <c r="AM563" s="181"/>
      <c r="AN563" s="176"/>
      <c r="AO563" s="181"/>
      <c r="AP563" s="181"/>
    </row>
    <row r="564" ht="12.75" customHeight="1">
      <c r="A564" s="179"/>
      <c r="B564" s="459"/>
      <c r="C564" s="481"/>
      <c r="D564" s="180"/>
      <c r="E564" s="180"/>
      <c r="F564" s="180"/>
      <c r="G564" s="460"/>
      <c r="H564" s="181"/>
      <c r="I564" s="181"/>
      <c r="J564" s="181"/>
      <c r="K564" s="181"/>
      <c r="L564" s="181"/>
      <c r="M564" s="329"/>
      <c r="N564" s="181"/>
      <c r="O564" s="181"/>
      <c r="P564" s="176"/>
      <c r="Q564" s="181"/>
      <c r="R564" s="181"/>
      <c r="S564" s="176"/>
      <c r="T564" s="181"/>
      <c r="U564" s="181"/>
      <c r="V564" s="176"/>
      <c r="W564" s="181"/>
      <c r="X564" s="181"/>
      <c r="Y564" s="176"/>
      <c r="Z564" s="181"/>
      <c r="AA564" s="181"/>
      <c r="AB564" s="176"/>
      <c r="AC564" s="181"/>
      <c r="AD564" s="181"/>
      <c r="AE564" s="176"/>
      <c r="AF564" s="176"/>
      <c r="AG564" s="176"/>
      <c r="AH564" s="176"/>
      <c r="AI564" s="181"/>
      <c r="AJ564" s="181"/>
      <c r="AK564" s="176"/>
      <c r="AL564" s="181"/>
      <c r="AM564" s="181"/>
      <c r="AN564" s="176"/>
      <c r="AO564" s="181"/>
      <c r="AP564" s="181"/>
    </row>
    <row r="565" ht="12.75" customHeight="1">
      <c r="A565" s="179"/>
      <c r="B565" s="459"/>
      <c r="C565" s="481"/>
      <c r="D565" s="180"/>
      <c r="E565" s="180"/>
      <c r="F565" s="180"/>
      <c r="G565" s="460"/>
      <c r="H565" s="181"/>
      <c r="I565" s="181"/>
      <c r="J565" s="181"/>
      <c r="K565" s="181"/>
      <c r="L565" s="181"/>
      <c r="M565" s="329"/>
      <c r="N565" s="181"/>
      <c r="O565" s="181"/>
      <c r="P565" s="176"/>
      <c r="Q565" s="181"/>
      <c r="R565" s="181"/>
      <c r="S565" s="176"/>
      <c r="T565" s="181"/>
      <c r="U565" s="181"/>
      <c r="V565" s="176"/>
      <c r="W565" s="181"/>
      <c r="X565" s="181"/>
      <c r="Y565" s="176"/>
      <c r="Z565" s="181"/>
      <c r="AA565" s="181"/>
      <c r="AB565" s="176"/>
      <c r="AC565" s="181"/>
      <c r="AD565" s="181"/>
      <c r="AE565" s="176"/>
      <c r="AF565" s="176"/>
      <c r="AG565" s="176"/>
      <c r="AH565" s="176"/>
      <c r="AI565" s="181"/>
      <c r="AJ565" s="181"/>
      <c r="AK565" s="176"/>
      <c r="AL565" s="181"/>
      <c r="AM565" s="181"/>
      <c r="AN565" s="176"/>
      <c r="AO565" s="181"/>
      <c r="AP565" s="181"/>
    </row>
    <row r="566" ht="12.75" customHeight="1">
      <c r="A566" s="179"/>
      <c r="B566" s="459"/>
      <c r="C566" s="481"/>
      <c r="D566" s="180"/>
      <c r="E566" s="180"/>
      <c r="F566" s="180"/>
      <c r="G566" s="460"/>
      <c r="H566" s="181"/>
      <c r="I566" s="181"/>
      <c r="J566" s="181"/>
      <c r="K566" s="181"/>
      <c r="L566" s="181"/>
      <c r="M566" s="329"/>
      <c r="N566" s="181"/>
      <c r="O566" s="181"/>
      <c r="P566" s="176"/>
      <c r="Q566" s="181"/>
      <c r="R566" s="181"/>
      <c r="S566" s="176"/>
      <c r="T566" s="181"/>
      <c r="U566" s="181"/>
      <c r="V566" s="176"/>
      <c r="W566" s="181"/>
      <c r="X566" s="181"/>
      <c r="Y566" s="176"/>
      <c r="Z566" s="181"/>
      <c r="AA566" s="181"/>
      <c r="AB566" s="176"/>
      <c r="AC566" s="181"/>
      <c r="AD566" s="181"/>
      <c r="AE566" s="176"/>
      <c r="AF566" s="176"/>
      <c r="AG566" s="176"/>
      <c r="AH566" s="176"/>
      <c r="AI566" s="181"/>
      <c r="AJ566" s="181"/>
      <c r="AK566" s="176"/>
      <c r="AL566" s="181"/>
      <c r="AM566" s="181"/>
      <c r="AN566" s="176"/>
      <c r="AO566" s="181"/>
      <c r="AP566" s="181"/>
    </row>
    <row r="567" ht="12.75" customHeight="1">
      <c r="A567" s="179"/>
      <c r="B567" s="459"/>
      <c r="C567" s="481"/>
      <c r="D567" s="180"/>
      <c r="E567" s="180"/>
      <c r="F567" s="180"/>
      <c r="G567" s="460"/>
      <c r="H567" s="181"/>
      <c r="I567" s="181"/>
      <c r="J567" s="181"/>
      <c r="K567" s="181"/>
      <c r="L567" s="181"/>
      <c r="M567" s="329"/>
      <c r="N567" s="181"/>
      <c r="O567" s="181"/>
      <c r="P567" s="176"/>
      <c r="Q567" s="181"/>
      <c r="R567" s="181"/>
      <c r="S567" s="176"/>
      <c r="T567" s="181"/>
      <c r="U567" s="181"/>
      <c r="V567" s="176"/>
      <c r="W567" s="181"/>
      <c r="X567" s="181"/>
      <c r="Y567" s="176"/>
      <c r="Z567" s="181"/>
      <c r="AA567" s="181"/>
      <c r="AB567" s="176"/>
      <c r="AC567" s="181"/>
      <c r="AD567" s="181"/>
      <c r="AE567" s="176"/>
      <c r="AF567" s="176"/>
      <c r="AG567" s="176"/>
      <c r="AH567" s="176"/>
      <c r="AI567" s="181"/>
      <c r="AJ567" s="181"/>
      <c r="AK567" s="176"/>
      <c r="AL567" s="181"/>
      <c r="AM567" s="181"/>
      <c r="AN567" s="176"/>
      <c r="AO567" s="181"/>
      <c r="AP567" s="181"/>
    </row>
    <row r="568" ht="12.75" customHeight="1">
      <c r="A568" s="179"/>
      <c r="B568" s="459"/>
      <c r="C568" s="481"/>
      <c r="D568" s="180"/>
      <c r="E568" s="180"/>
      <c r="F568" s="180"/>
      <c r="G568" s="460"/>
      <c r="H568" s="181"/>
      <c r="I568" s="181"/>
      <c r="J568" s="181"/>
      <c r="K568" s="181"/>
      <c r="L568" s="181"/>
      <c r="M568" s="329"/>
      <c r="N568" s="181"/>
      <c r="O568" s="181"/>
      <c r="P568" s="176"/>
      <c r="Q568" s="181"/>
      <c r="R568" s="181"/>
      <c r="S568" s="176"/>
      <c r="T568" s="181"/>
      <c r="U568" s="181"/>
      <c r="V568" s="176"/>
      <c r="W568" s="181"/>
      <c r="X568" s="181"/>
      <c r="Y568" s="176"/>
      <c r="Z568" s="181"/>
      <c r="AA568" s="181"/>
      <c r="AB568" s="176"/>
      <c r="AC568" s="181"/>
      <c r="AD568" s="181"/>
      <c r="AE568" s="176"/>
      <c r="AF568" s="176"/>
      <c r="AG568" s="176"/>
      <c r="AH568" s="176"/>
      <c r="AI568" s="181"/>
      <c r="AJ568" s="181"/>
      <c r="AK568" s="176"/>
      <c r="AL568" s="181"/>
      <c r="AM568" s="181"/>
      <c r="AN568" s="176"/>
      <c r="AO568" s="181"/>
      <c r="AP568" s="181"/>
    </row>
    <row r="569" ht="12.75" customHeight="1">
      <c r="A569" s="179"/>
      <c r="B569" s="459"/>
      <c r="C569" s="481"/>
      <c r="D569" s="180"/>
      <c r="E569" s="180"/>
      <c r="F569" s="180"/>
      <c r="G569" s="460"/>
      <c r="H569" s="181"/>
      <c r="I569" s="181"/>
      <c r="J569" s="181"/>
      <c r="K569" s="181"/>
      <c r="L569" s="181"/>
      <c r="M569" s="329"/>
      <c r="N569" s="181"/>
      <c r="O569" s="181"/>
      <c r="P569" s="176"/>
      <c r="Q569" s="181"/>
      <c r="R569" s="181"/>
      <c r="S569" s="176"/>
      <c r="T569" s="181"/>
      <c r="U569" s="181"/>
      <c r="V569" s="176"/>
      <c r="W569" s="181"/>
      <c r="X569" s="181"/>
      <c r="Y569" s="176"/>
      <c r="Z569" s="181"/>
      <c r="AA569" s="181"/>
      <c r="AB569" s="176"/>
      <c r="AC569" s="181"/>
      <c r="AD569" s="181"/>
      <c r="AE569" s="176"/>
      <c r="AF569" s="176"/>
      <c r="AG569" s="176"/>
      <c r="AH569" s="176"/>
      <c r="AI569" s="181"/>
      <c r="AJ569" s="181"/>
      <c r="AK569" s="176"/>
      <c r="AL569" s="181"/>
      <c r="AM569" s="181"/>
      <c r="AN569" s="176"/>
      <c r="AO569" s="181"/>
      <c r="AP569" s="181"/>
    </row>
    <row r="570" ht="12.75" customHeight="1">
      <c r="A570" s="179"/>
      <c r="B570" s="459"/>
      <c r="C570" s="481"/>
      <c r="D570" s="180"/>
      <c r="E570" s="180"/>
      <c r="F570" s="180"/>
      <c r="G570" s="460"/>
      <c r="H570" s="181"/>
      <c r="I570" s="181"/>
      <c r="J570" s="181"/>
      <c r="K570" s="181"/>
      <c r="L570" s="181"/>
      <c r="M570" s="329"/>
      <c r="N570" s="181"/>
      <c r="O570" s="181"/>
      <c r="P570" s="176"/>
      <c r="Q570" s="181"/>
      <c r="R570" s="181"/>
      <c r="S570" s="176"/>
      <c r="T570" s="181"/>
      <c r="U570" s="181"/>
      <c r="V570" s="176"/>
      <c r="W570" s="181"/>
      <c r="X570" s="181"/>
      <c r="Y570" s="176"/>
      <c r="Z570" s="181"/>
      <c r="AA570" s="181"/>
      <c r="AB570" s="176"/>
      <c r="AC570" s="181"/>
      <c r="AD570" s="181"/>
      <c r="AE570" s="176"/>
      <c r="AF570" s="176"/>
      <c r="AG570" s="176"/>
      <c r="AH570" s="176"/>
      <c r="AI570" s="181"/>
      <c r="AJ570" s="181"/>
      <c r="AK570" s="176"/>
      <c r="AL570" s="181"/>
      <c r="AM570" s="181"/>
      <c r="AN570" s="176"/>
      <c r="AO570" s="181"/>
      <c r="AP570" s="181"/>
    </row>
    <row r="571" ht="12.75" customHeight="1">
      <c r="A571" s="179"/>
      <c r="B571" s="459"/>
      <c r="C571" s="481"/>
      <c r="D571" s="180"/>
      <c r="E571" s="180"/>
      <c r="F571" s="180"/>
      <c r="G571" s="460"/>
      <c r="H571" s="181"/>
      <c r="I571" s="181"/>
      <c r="J571" s="181"/>
      <c r="K571" s="181"/>
      <c r="L571" s="181"/>
      <c r="M571" s="329"/>
      <c r="N571" s="181"/>
      <c r="O571" s="181"/>
      <c r="P571" s="176"/>
      <c r="Q571" s="181"/>
      <c r="R571" s="181"/>
      <c r="S571" s="176"/>
      <c r="T571" s="181"/>
      <c r="U571" s="181"/>
      <c r="V571" s="176"/>
      <c r="W571" s="181"/>
      <c r="X571" s="181"/>
      <c r="Y571" s="176"/>
      <c r="Z571" s="181"/>
      <c r="AA571" s="181"/>
      <c r="AB571" s="176"/>
      <c r="AC571" s="181"/>
      <c r="AD571" s="181"/>
      <c r="AE571" s="176"/>
      <c r="AF571" s="176"/>
      <c r="AG571" s="176"/>
      <c r="AH571" s="176"/>
      <c r="AI571" s="181"/>
      <c r="AJ571" s="181"/>
      <c r="AK571" s="176"/>
      <c r="AL571" s="181"/>
      <c r="AM571" s="181"/>
      <c r="AN571" s="176"/>
      <c r="AO571" s="181"/>
      <c r="AP571" s="181"/>
    </row>
    <row r="572" ht="12.75" customHeight="1">
      <c r="A572" s="179"/>
      <c r="B572" s="459"/>
      <c r="C572" s="481"/>
      <c r="D572" s="180"/>
      <c r="E572" s="180"/>
      <c r="F572" s="180"/>
      <c r="G572" s="460"/>
      <c r="H572" s="181"/>
      <c r="I572" s="181"/>
      <c r="J572" s="181"/>
      <c r="K572" s="181"/>
      <c r="L572" s="181"/>
      <c r="M572" s="329"/>
      <c r="N572" s="181"/>
      <c r="O572" s="181"/>
      <c r="P572" s="176"/>
      <c r="Q572" s="181"/>
      <c r="R572" s="181"/>
      <c r="S572" s="176"/>
      <c r="T572" s="181"/>
      <c r="U572" s="181"/>
      <c r="V572" s="176"/>
      <c r="W572" s="181"/>
      <c r="X572" s="181"/>
      <c r="Y572" s="176"/>
      <c r="Z572" s="181"/>
      <c r="AA572" s="181"/>
      <c r="AB572" s="176"/>
      <c r="AC572" s="181"/>
      <c r="AD572" s="181"/>
      <c r="AE572" s="176"/>
      <c r="AF572" s="176"/>
      <c r="AG572" s="176"/>
      <c r="AH572" s="176"/>
      <c r="AI572" s="181"/>
      <c r="AJ572" s="181"/>
      <c r="AK572" s="176"/>
      <c r="AL572" s="181"/>
      <c r="AM572" s="181"/>
      <c r="AN572" s="176"/>
      <c r="AO572" s="181"/>
      <c r="AP572" s="181"/>
    </row>
    <row r="573" ht="12.75" customHeight="1">
      <c r="A573" s="179"/>
      <c r="B573" s="459"/>
      <c r="C573" s="481"/>
      <c r="D573" s="180"/>
      <c r="E573" s="180"/>
      <c r="F573" s="180"/>
      <c r="G573" s="460"/>
      <c r="H573" s="181"/>
      <c r="I573" s="181"/>
      <c r="J573" s="181"/>
      <c r="K573" s="181"/>
      <c r="L573" s="181"/>
      <c r="M573" s="329"/>
      <c r="N573" s="181"/>
      <c r="O573" s="181"/>
      <c r="P573" s="176"/>
      <c r="Q573" s="181"/>
      <c r="R573" s="181"/>
      <c r="S573" s="176"/>
      <c r="T573" s="181"/>
      <c r="U573" s="181"/>
      <c r="V573" s="176"/>
      <c r="W573" s="181"/>
      <c r="X573" s="181"/>
      <c r="Y573" s="176"/>
      <c r="Z573" s="181"/>
      <c r="AA573" s="181"/>
      <c r="AB573" s="176"/>
      <c r="AC573" s="181"/>
      <c r="AD573" s="181"/>
      <c r="AE573" s="176"/>
      <c r="AF573" s="176"/>
      <c r="AG573" s="176"/>
      <c r="AH573" s="176"/>
      <c r="AI573" s="181"/>
      <c r="AJ573" s="181"/>
      <c r="AK573" s="176"/>
      <c r="AL573" s="181"/>
      <c r="AM573" s="181"/>
      <c r="AN573" s="176"/>
      <c r="AO573" s="181"/>
      <c r="AP573" s="181"/>
    </row>
    <row r="574" ht="12.75" customHeight="1">
      <c r="A574" s="179"/>
      <c r="B574" s="459"/>
      <c r="C574" s="481"/>
      <c r="D574" s="180"/>
      <c r="E574" s="180"/>
      <c r="F574" s="180"/>
      <c r="G574" s="460"/>
      <c r="H574" s="181"/>
      <c r="I574" s="181"/>
      <c r="J574" s="181"/>
      <c r="K574" s="181"/>
      <c r="L574" s="181"/>
      <c r="M574" s="329"/>
      <c r="N574" s="181"/>
      <c r="O574" s="181"/>
      <c r="P574" s="176"/>
      <c r="Q574" s="181"/>
      <c r="R574" s="181"/>
      <c r="S574" s="176"/>
      <c r="T574" s="181"/>
      <c r="U574" s="181"/>
      <c r="V574" s="176"/>
      <c r="W574" s="181"/>
      <c r="X574" s="181"/>
      <c r="Y574" s="176"/>
      <c r="Z574" s="181"/>
      <c r="AA574" s="181"/>
      <c r="AB574" s="176"/>
      <c r="AC574" s="181"/>
      <c r="AD574" s="181"/>
      <c r="AE574" s="176"/>
      <c r="AF574" s="176"/>
      <c r="AG574" s="176"/>
      <c r="AH574" s="176"/>
      <c r="AI574" s="181"/>
      <c r="AJ574" s="181"/>
      <c r="AK574" s="176"/>
      <c r="AL574" s="181"/>
      <c r="AM574" s="181"/>
      <c r="AN574" s="176"/>
      <c r="AO574" s="181"/>
      <c r="AP574" s="181"/>
    </row>
    <row r="575" ht="12.75" customHeight="1">
      <c r="A575" s="179"/>
      <c r="B575" s="459"/>
      <c r="C575" s="481"/>
      <c r="D575" s="180"/>
      <c r="E575" s="180"/>
      <c r="F575" s="180"/>
      <c r="G575" s="460"/>
      <c r="H575" s="181"/>
      <c r="I575" s="181"/>
      <c r="J575" s="181"/>
      <c r="K575" s="181"/>
      <c r="L575" s="181"/>
      <c r="M575" s="329"/>
      <c r="N575" s="181"/>
      <c r="O575" s="181"/>
      <c r="P575" s="176"/>
      <c r="Q575" s="181"/>
      <c r="R575" s="181"/>
      <c r="S575" s="176"/>
      <c r="T575" s="181"/>
      <c r="U575" s="181"/>
      <c r="V575" s="176"/>
      <c r="W575" s="181"/>
      <c r="X575" s="181"/>
      <c r="Y575" s="176"/>
      <c r="Z575" s="181"/>
      <c r="AA575" s="181"/>
      <c r="AB575" s="176"/>
      <c r="AC575" s="181"/>
      <c r="AD575" s="181"/>
      <c r="AE575" s="176"/>
      <c r="AF575" s="176"/>
      <c r="AG575" s="176"/>
      <c r="AH575" s="176"/>
      <c r="AI575" s="181"/>
      <c r="AJ575" s="181"/>
      <c r="AK575" s="176"/>
      <c r="AL575" s="181"/>
      <c r="AM575" s="181"/>
      <c r="AN575" s="176"/>
      <c r="AO575" s="181"/>
      <c r="AP575" s="181"/>
    </row>
    <row r="576" ht="12.75" customHeight="1">
      <c r="A576" s="179"/>
      <c r="B576" s="459"/>
      <c r="C576" s="481"/>
      <c r="D576" s="180"/>
      <c r="E576" s="180"/>
      <c r="F576" s="180"/>
      <c r="G576" s="460"/>
      <c r="H576" s="181"/>
      <c r="I576" s="181"/>
      <c r="J576" s="181"/>
      <c r="K576" s="181"/>
      <c r="L576" s="181"/>
      <c r="M576" s="329"/>
      <c r="N576" s="181"/>
      <c r="O576" s="181"/>
      <c r="P576" s="176"/>
      <c r="Q576" s="181"/>
      <c r="R576" s="181"/>
      <c r="S576" s="176"/>
      <c r="T576" s="181"/>
      <c r="U576" s="181"/>
      <c r="V576" s="176"/>
      <c r="W576" s="181"/>
      <c r="X576" s="181"/>
      <c r="Y576" s="176"/>
      <c r="Z576" s="181"/>
      <c r="AA576" s="181"/>
      <c r="AB576" s="176"/>
      <c r="AC576" s="181"/>
      <c r="AD576" s="181"/>
      <c r="AE576" s="176"/>
      <c r="AF576" s="176"/>
      <c r="AG576" s="176"/>
      <c r="AH576" s="176"/>
      <c r="AI576" s="181"/>
      <c r="AJ576" s="181"/>
      <c r="AK576" s="176"/>
      <c r="AL576" s="181"/>
      <c r="AM576" s="181"/>
      <c r="AN576" s="176"/>
      <c r="AO576" s="181"/>
      <c r="AP576" s="181"/>
    </row>
    <row r="577" ht="12.75" customHeight="1">
      <c r="A577" s="179"/>
      <c r="B577" s="459"/>
      <c r="C577" s="481"/>
      <c r="D577" s="180"/>
      <c r="E577" s="180"/>
      <c r="F577" s="180"/>
      <c r="G577" s="460"/>
      <c r="H577" s="181"/>
      <c r="I577" s="181"/>
      <c r="J577" s="181"/>
      <c r="K577" s="181"/>
      <c r="L577" s="181"/>
      <c r="M577" s="329"/>
      <c r="N577" s="181"/>
      <c r="O577" s="181"/>
      <c r="P577" s="176"/>
      <c r="Q577" s="181"/>
      <c r="R577" s="181"/>
      <c r="S577" s="176"/>
      <c r="T577" s="181"/>
      <c r="U577" s="181"/>
      <c r="V577" s="176"/>
      <c r="W577" s="181"/>
      <c r="X577" s="181"/>
      <c r="Y577" s="176"/>
      <c r="Z577" s="181"/>
      <c r="AA577" s="181"/>
      <c r="AB577" s="176"/>
      <c r="AC577" s="181"/>
      <c r="AD577" s="181"/>
      <c r="AE577" s="176"/>
      <c r="AF577" s="176"/>
      <c r="AG577" s="176"/>
      <c r="AH577" s="176"/>
      <c r="AI577" s="181"/>
      <c r="AJ577" s="181"/>
      <c r="AK577" s="176"/>
      <c r="AL577" s="181"/>
      <c r="AM577" s="181"/>
      <c r="AN577" s="176"/>
      <c r="AO577" s="181"/>
      <c r="AP577" s="181"/>
    </row>
    <row r="578" ht="12.75" customHeight="1">
      <c r="A578" s="179"/>
      <c r="B578" s="459"/>
      <c r="C578" s="481"/>
      <c r="D578" s="180"/>
      <c r="E578" s="180"/>
      <c r="F578" s="180"/>
      <c r="G578" s="460"/>
      <c r="H578" s="181"/>
      <c r="I578" s="181"/>
      <c r="J578" s="181"/>
      <c r="K578" s="181"/>
      <c r="L578" s="181"/>
      <c r="M578" s="329"/>
      <c r="N578" s="181"/>
      <c r="O578" s="181"/>
      <c r="P578" s="176"/>
      <c r="Q578" s="181"/>
      <c r="R578" s="181"/>
      <c r="S578" s="176"/>
      <c r="T578" s="181"/>
      <c r="U578" s="181"/>
      <c r="V578" s="176"/>
      <c r="W578" s="181"/>
      <c r="X578" s="181"/>
      <c r="Y578" s="176"/>
      <c r="Z578" s="181"/>
      <c r="AA578" s="181"/>
      <c r="AB578" s="176"/>
      <c r="AC578" s="181"/>
      <c r="AD578" s="181"/>
      <c r="AE578" s="176"/>
      <c r="AF578" s="176"/>
      <c r="AG578" s="176"/>
      <c r="AH578" s="176"/>
      <c r="AI578" s="181"/>
      <c r="AJ578" s="181"/>
      <c r="AK578" s="176"/>
      <c r="AL578" s="181"/>
      <c r="AM578" s="181"/>
      <c r="AN578" s="176"/>
      <c r="AO578" s="181"/>
      <c r="AP578" s="181"/>
    </row>
    <row r="579" ht="12.75" customHeight="1">
      <c r="A579" s="179"/>
      <c r="B579" s="459"/>
      <c r="C579" s="481"/>
      <c r="D579" s="180"/>
      <c r="E579" s="180"/>
      <c r="F579" s="180"/>
      <c r="G579" s="460"/>
      <c r="H579" s="181"/>
      <c r="I579" s="181"/>
      <c r="J579" s="181"/>
      <c r="K579" s="181"/>
      <c r="L579" s="181"/>
      <c r="M579" s="329"/>
      <c r="N579" s="181"/>
      <c r="O579" s="181"/>
      <c r="P579" s="176"/>
      <c r="Q579" s="181"/>
      <c r="R579" s="181"/>
      <c r="S579" s="176"/>
      <c r="T579" s="181"/>
      <c r="U579" s="181"/>
      <c r="V579" s="176"/>
      <c r="W579" s="181"/>
      <c r="X579" s="181"/>
      <c r="Y579" s="176"/>
      <c r="Z579" s="181"/>
      <c r="AA579" s="181"/>
      <c r="AB579" s="176"/>
      <c r="AC579" s="181"/>
      <c r="AD579" s="181"/>
      <c r="AE579" s="176"/>
      <c r="AF579" s="176"/>
      <c r="AG579" s="176"/>
      <c r="AH579" s="176"/>
      <c r="AI579" s="181"/>
      <c r="AJ579" s="181"/>
      <c r="AK579" s="176"/>
      <c r="AL579" s="181"/>
      <c r="AM579" s="181"/>
      <c r="AN579" s="176"/>
      <c r="AO579" s="181"/>
      <c r="AP579" s="181"/>
    </row>
    <row r="580" ht="12.75" customHeight="1">
      <c r="A580" s="179"/>
      <c r="B580" s="459"/>
      <c r="C580" s="481"/>
      <c r="D580" s="180"/>
      <c r="E580" s="180"/>
      <c r="F580" s="180"/>
      <c r="G580" s="460"/>
      <c r="H580" s="181"/>
      <c r="I580" s="181"/>
      <c r="J580" s="181"/>
      <c r="K580" s="181"/>
      <c r="L580" s="181"/>
      <c r="M580" s="329"/>
      <c r="N580" s="181"/>
      <c r="O580" s="181"/>
      <c r="P580" s="176"/>
      <c r="Q580" s="181"/>
      <c r="R580" s="181"/>
      <c r="S580" s="176"/>
      <c r="T580" s="181"/>
      <c r="U580" s="181"/>
      <c r="V580" s="176"/>
      <c r="W580" s="181"/>
      <c r="X580" s="181"/>
      <c r="Y580" s="176"/>
      <c r="Z580" s="181"/>
      <c r="AA580" s="181"/>
      <c r="AB580" s="176"/>
      <c r="AC580" s="181"/>
      <c r="AD580" s="181"/>
      <c r="AE580" s="176"/>
      <c r="AF580" s="176"/>
      <c r="AG580" s="176"/>
      <c r="AH580" s="176"/>
      <c r="AI580" s="181"/>
      <c r="AJ580" s="181"/>
      <c r="AK580" s="176"/>
      <c r="AL580" s="181"/>
      <c r="AM580" s="181"/>
      <c r="AN580" s="176"/>
      <c r="AO580" s="181"/>
      <c r="AP580" s="181"/>
    </row>
    <row r="581" ht="12.75" customHeight="1">
      <c r="A581" s="179"/>
      <c r="B581" s="459"/>
      <c r="C581" s="481"/>
      <c r="D581" s="180"/>
      <c r="E581" s="180"/>
      <c r="F581" s="180"/>
      <c r="G581" s="460"/>
      <c r="H581" s="181"/>
      <c r="I581" s="181"/>
      <c r="J581" s="181"/>
      <c r="K581" s="181"/>
      <c r="L581" s="181"/>
      <c r="M581" s="329"/>
      <c r="N581" s="181"/>
      <c r="O581" s="181"/>
      <c r="P581" s="176"/>
      <c r="Q581" s="181"/>
      <c r="R581" s="181"/>
      <c r="S581" s="176"/>
      <c r="T581" s="181"/>
      <c r="U581" s="181"/>
      <c r="V581" s="176"/>
      <c r="W581" s="181"/>
      <c r="X581" s="181"/>
      <c r="Y581" s="176"/>
      <c r="Z581" s="181"/>
      <c r="AA581" s="181"/>
      <c r="AB581" s="176"/>
      <c r="AC581" s="181"/>
      <c r="AD581" s="181"/>
      <c r="AE581" s="176"/>
      <c r="AF581" s="176"/>
      <c r="AG581" s="176"/>
      <c r="AH581" s="176"/>
      <c r="AI581" s="181"/>
      <c r="AJ581" s="181"/>
      <c r="AK581" s="176"/>
      <c r="AL581" s="181"/>
      <c r="AM581" s="181"/>
      <c r="AN581" s="176"/>
      <c r="AO581" s="181"/>
      <c r="AP581" s="181"/>
    </row>
    <row r="582" ht="12.75" customHeight="1">
      <c r="A582" s="179"/>
      <c r="B582" s="459"/>
      <c r="C582" s="481"/>
      <c r="D582" s="180"/>
      <c r="E582" s="180"/>
      <c r="F582" s="180"/>
      <c r="G582" s="460"/>
      <c r="H582" s="181"/>
      <c r="I582" s="181"/>
      <c r="J582" s="181"/>
      <c r="K582" s="181"/>
      <c r="L582" s="181"/>
      <c r="M582" s="329"/>
      <c r="N582" s="181"/>
      <c r="O582" s="181"/>
      <c r="P582" s="176"/>
      <c r="Q582" s="181"/>
      <c r="R582" s="181"/>
      <c r="S582" s="176"/>
      <c r="T582" s="181"/>
      <c r="U582" s="181"/>
      <c r="V582" s="176"/>
      <c r="W582" s="181"/>
      <c r="X582" s="181"/>
      <c r="Y582" s="176"/>
      <c r="Z582" s="181"/>
      <c r="AA582" s="181"/>
      <c r="AB582" s="176"/>
      <c r="AC582" s="181"/>
      <c r="AD582" s="181"/>
      <c r="AE582" s="176"/>
      <c r="AF582" s="176"/>
      <c r="AG582" s="176"/>
      <c r="AH582" s="176"/>
      <c r="AI582" s="181"/>
      <c r="AJ582" s="181"/>
      <c r="AK582" s="176"/>
      <c r="AL582" s="181"/>
      <c r="AM582" s="181"/>
      <c r="AN582" s="176"/>
      <c r="AO582" s="181"/>
      <c r="AP582" s="181"/>
    </row>
    <row r="583" ht="12.75" customHeight="1">
      <c r="A583" s="179"/>
      <c r="B583" s="459"/>
      <c r="C583" s="481"/>
      <c r="D583" s="180"/>
      <c r="E583" s="180"/>
      <c r="F583" s="180"/>
      <c r="G583" s="460"/>
      <c r="H583" s="181"/>
      <c r="I583" s="181"/>
      <c r="J583" s="181"/>
      <c r="K583" s="181"/>
      <c r="L583" s="181"/>
      <c r="M583" s="329"/>
      <c r="N583" s="181"/>
      <c r="O583" s="181"/>
      <c r="P583" s="176"/>
      <c r="Q583" s="181"/>
      <c r="R583" s="181"/>
      <c r="S583" s="176"/>
      <c r="T583" s="181"/>
      <c r="U583" s="181"/>
      <c r="V583" s="176"/>
      <c r="W583" s="181"/>
      <c r="X583" s="181"/>
      <c r="Y583" s="176"/>
      <c r="Z583" s="181"/>
      <c r="AA583" s="181"/>
      <c r="AB583" s="176"/>
      <c r="AC583" s="181"/>
      <c r="AD583" s="181"/>
      <c r="AE583" s="176"/>
      <c r="AF583" s="176"/>
      <c r="AG583" s="176"/>
      <c r="AH583" s="176"/>
      <c r="AI583" s="181"/>
      <c r="AJ583" s="181"/>
      <c r="AK583" s="176"/>
      <c r="AL583" s="181"/>
      <c r="AM583" s="181"/>
      <c r="AN583" s="176"/>
      <c r="AO583" s="181"/>
      <c r="AP583" s="181"/>
    </row>
    <row r="584" ht="12.75" customHeight="1">
      <c r="A584" s="179"/>
      <c r="B584" s="459"/>
      <c r="C584" s="481"/>
      <c r="D584" s="180"/>
      <c r="E584" s="180"/>
      <c r="F584" s="180"/>
      <c r="G584" s="460"/>
      <c r="H584" s="181"/>
      <c r="I584" s="181"/>
      <c r="J584" s="181"/>
      <c r="K584" s="181"/>
      <c r="L584" s="181"/>
      <c r="M584" s="329"/>
      <c r="N584" s="181"/>
      <c r="O584" s="181"/>
      <c r="P584" s="176"/>
      <c r="Q584" s="181"/>
      <c r="R584" s="181"/>
      <c r="S584" s="176"/>
      <c r="T584" s="181"/>
      <c r="U584" s="181"/>
      <c r="V584" s="176"/>
      <c r="W584" s="181"/>
      <c r="X584" s="181"/>
      <c r="Y584" s="176"/>
      <c r="Z584" s="181"/>
      <c r="AA584" s="181"/>
      <c r="AB584" s="176"/>
      <c r="AC584" s="181"/>
      <c r="AD584" s="181"/>
      <c r="AE584" s="176"/>
      <c r="AF584" s="176"/>
      <c r="AG584" s="176"/>
      <c r="AH584" s="176"/>
      <c r="AI584" s="181"/>
      <c r="AJ584" s="181"/>
      <c r="AK584" s="176"/>
      <c r="AL584" s="181"/>
      <c r="AM584" s="181"/>
      <c r="AN584" s="176"/>
      <c r="AO584" s="181"/>
      <c r="AP584" s="181"/>
    </row>
    <row r="585" ht="12.75" customHeight="1">
      <c r="A585" s="179"/>
      <c r="B585" s="459"/>
      <c r="C585" s="481"/>
      <c r="D585" s="180"/>
      <c r="E585" s="180"/>
      <c r="F585" s="180"/>
      <c r="G585" s="460"/>
      <c r="H585" s="181"/>
      <c r="I585" s="181"/>
      <c r="J585" s="181"/>
      <c r="K585" s="181"/>
      <c r="L585" s="181"/>
      <c r="M585" s="329"/>
      <c r="N585" s="181"/>
      <c r="O585" s="181"/>
      <c r="P585" s="176"/>
      <c r="Q585" s="181"/>
      <c r="R585" s="181"/>
      <c r="S585" s="176"/>
      <c r="T585" s="181"/>
      <c r="U585" s="181"/>
      <c r="V585" s="176"/>
      <c r="W585" s="181"/>
      <c r="X585" s="181"/>
      <c r="Y585" s="176"/>
      <c r="Z585" s="181"/>
      <c r="AA585" s="181"/>
      <c r="AB585" s="176"/>
      <c r="AC585" s="181"/>
      <c r="AD585" s="181"/>
      <c r="AE585" s="176"/>
      <c r="AF585" s="176"/>
      <c r="AG585" s="176"/>
      <c r="AH585" s="176"/>
      <c r="AI585" s="181"/>
      <c r="AJ585" s="181"/>
      <c r="AK585" s="176"/>
      <c r="AL585" s="181"/>
      <c r="AM585" s="181"/>
      <c r="AN585" s="176"/>
      <c r="AO585" s="181"/>
      <c r="AP585" s="181"/>
    </row>
    <row r="586" ht="12.75" customHeight="1">
      <c r="A586" s="179"/>
      <c r="B586" s="459"/>
      <c r="C586" s="481"/>
      <c r="D586" s="180"/>
      <c r="E586" s="180"/>
      <c r="F586" s="180"/>
      <c r="G586" s="460"/>
      <c r="H586" s="181"/>
      <c r="I586" s="181"/>
      <c r="J586" s="181"/>
      <c r="K586" s="181"/>
      <c r="L586" s="181"/>
      <c r="M586" s="329"/>
      <c r="N586" s="181"/>
      <c r="O586" s="181"/>
      <c r="P586" s="176"/>
      <c r="Q586" s="181"/>
      <c r="R586" s="181"/>
      <c r="S586" s="176"/>
      <c r="T586" s="181"/>
      <c r="U586" s="181"/>
      <c r="V586" s="176"/>
      <c r="W586" s="181"/>
      <c r="X586" s="181"/>
      <c r="Y586" s="176"/>
      <c r="Z586" s="181"/>
      <c r="AA586" s="181"/>
      <c r="AB586" s="176"/>
      <c r="AC586" s="181"/>
      <c r="AD586" s="181"/>
      <c r="AE586" s="176"/>
      <c r="AF586" s="176"/>
      <c r="AG586" s="176"/>
      <c r="AH586" s="176"/>
      <c r="AI586" s="181"/>
      <c r="AJ586" s="181"/>
      <c r="AK586" s="176"/>
      <c r="AL586" s="181"/>
      <c r="AM586" s="181"/>
      <c r="AN586" s="176"/>
      <c r="AO586" s="181"/>
      <c r="AP586" s="181"/>
    </row>
    <row r="587" ht="12.75" customHeight="1">
      <c r="A587" s="179"/>
      <c r="B587" s="459"/>
      <c r="C587" s="481"/>
      <c r="D587" s="180"/>
      <c r="E587" s="180"/>
      <c r="F587" s="180"/>
      <c r="G587" s="460"/>
      <c r="H587" s="181"/>
      <c r="I587" s="181"/>
      <c r="J587" s="181"/>
      <c r="K587" s="181"/>
      <c r="L587" s="181"/>
      <c r="M587" s="329"/>
      <c r="N587" s="181"/>
      <c r="O587" s="181"/>
      <c r="P587" s="176"/>
      <c r="Q587" s="181"/>
      <c r="R587" s="181"/>
      <c r="S587" s="176"/>
      <c r="T587" s="181"/>
      <c r="U587" s="181"/>
      <c r="V587" s="176"/>
      <c r="W587" s="181"/>
      <c r="X587" s="181"/>
      <c r="Y587" s="176"/>
      <c r="Z587" s="181"/>
      <c r="AA587" s="181"/>
      <c r="AB587" s="176"/>
      <c r="AC587" s="181"/>
      <c r="AD587" s="181"/>
      <c r="AE587" s="176"/>
      <c r="AF587" s="176"/>
      <c r="AG587" s="176"/>
      <c r="AH587" s="176"/>
      <c r="AI587" s="181"/>
      <c r="AJ587" s="181"/>
      <c r="AK587" s="176"/>
      <c r="AL587" s="181"/>
      <c r="AM587" s="181"/>
      <c r="AN587" s="176"/>
      <c r="AO587" s="181"/>
      <c r="AP587" s="181"/>
    </row>
    <row r="588" ht="12.75" customHeight="1">
      <c r="A588" s="179"/>
      <c r="B588" s="459"/>
      <c r="C588" s="481"/>
      <c r="D588" s="180"/>
      <c r="E588" s="180"/>
      <c r="F588" s="180"/>
      <c r="G588" s="460"/>
      <c r="H588" s="181"/>
      <c r="I588" s="181"/>
      <c r="J588" s="181"/>
      <c r="K588" s="181"/>
      <c r="L588" s="181"/>
      <c r="M588" s="329"/>
      <c r="N588" s="181"/>
      <c r="O588" s="181"/>
      <c r="P588" s="176"/>
      <c r="Q588" s="181"/>
      <c r="R588" s="181"/>
      <c r="S588" s="176"/>
      <c r="T588" s="181"/>
      <c r="U588" s="181"/>
      <c r="V588" s="176"/>
      <c r="W588" s="181"/>
      <c r="X588" s="181"/>
      <c r="Y588" s="176"/>
      <c r="Z588" s="181"/>
      <c r="AA588" s="181"/>
      <c r="AB588" s="176"/>
      <c r="AC588" s="181"/>
      <c r="AD588" s="181"/>
      <c r="AE588" s="176"/>
      <c r="AF588" s="176"/>
      <c r="AG588" s="176"/>
      <c r="AH588" s="176"/>
      <c r="AI588" s="181"/>
      <c r="AJ588" s="181"/>
      <c r="AK588" s="176"/>
      <c r="AL588" s="181"/>
      <c r="AM588" s="181"/>
      <c r="AN588" s="176"/>
      <c r="AO588" s="181"/>
      <c r="AP588" s="181"/>
    </row>
    <row r="589" ht="12.75" customHeight="1">
      <c r="A589" s="179"/>
      <c r="B589" s="459"/>
      <c r="C589" s="481"/>
      <c r="D589" s="180"/>
      <c r="E589" s="180"/>
      <c r="F589" s="180"/>
      <c r="G589" s="460"/>
      <c r="H589" s="181"/>
      <c r="I589" s="181"/>
      <c r="J589" s="181"/>
      <c r="K589" s="181"/>
      <c r="L589" s="181"/>
      <c r="M589" s="329"/>
      <c r="N589" s="181"/>
      <c r="O589" s="181"/>
      <c r="P589" s="176"/>
      <c r="Q589" s="181"/>
      <c r="R589" s="181"/>
      <c r="S589" s="176"/>
      <c r="T589" s="181"/>
      <c r="U589" s="181"/>
      <c r="V589" s="176"/>
      <c r="W589" s="181"/>
      <c r="X589" s="181"/>
      <c r="Y589" s="176"/>
      <c r="Z589" s="181"/>
      <c r="AA589" s="181"/>
      <c r="AB589" s="176"/>
      <c r="AC589" s="181"/>
      <c r="AD589" s="181"/>
      <c r="AE589" s="176"/>
      <c r="AF589" s="176"/>
      <c r="AG589" s="176"/>
      <c r="AH589" s="176"/>
      <c r="AI589" s="181"/>
      <c r="AJ589" s="181"/>
      <c r="AK589" s="176"/>
      <c r="AL589" s="181"/>
      <c r="AM589" s="181"/>
      <c r="AN589" s="176"/>
      <c r="AO589" s="181"/>
      <c r="AP589" s="181"/>
    </row>
    <row r="590" ht="12.75" customHeight="1">
      <c r="A590" s="179"/>
      <c r="B590" s="459"/>
      <c r="C590" s="481"/>
      <c r="D590" s="180"/>
      <c r="E590" s="180"/>
      <c r="F590" s="180"/>
      <c r="G590" s="460"/>
      <c r="H590" s="181"/>
      <c r="I590" s="181"/>
      <c r="J590" s="181"/>
      <c r="K590" s="181"/>
      <c r="L590" s="181"/>
      <c r="M590" s="329"/>
      <c r="N590" s="181"/>
      <c r="O590" s="181"/>
      <c r="P590" s="176"/>
      <c r="Q590" s="181"/>
      <c r="R590" s="181"/>
      <c r="S590" s="176"/>
      <c r="T590" s="181"/>
      <c r="U590" s="181"/>
      <c r="V590" s="176"/>
      <c r="W590" s="181"/>
      <c r="X590" s="181"/>
      <c r="Y590" s="176"/>
      <c r="Z590" s="181"/>
      <c r="AA590" s="181"/>
      <c r="AB590" s="176"/>
      <c r="AC590" s="181"/>
      <c r="AD590" s="181"/>
      <c r="AE590" s="176"/>
      <c r="AF590" s="176"/>
      <c r="AG590" s="176"/>
      <c r="AH590" s="176"/>
      <c r="AI590" s="181"/>
      <c r="AJ590" s="181"/>
      <c r="AK590" s="176"/>
      <c r="AL590" s="181"/>
      <c r="AM590" s="181"/>
      <c r="AN590" s="176"/>
      <c r="AO590" s="181"/>
      <c r="AP590" s="181"/>
    </row>
    <row r="591" ht="12.75" customHeight="1">
      <c r="A591" s="179"/>
      <c r="B591" s="459"/>
      <c r="C591" s="481"/>
      <c r="D591" s="180"/>
      <c r="E591" s="180"/>
      <c r="F591" s="180"/>
      <c r="G591" s="460"/>
      <c r="H591" s="181"/>
      <c r="I591" s="181"/>
      <c r="J591" s="181"/>
      <c r="K591" s="181"/>
      <c r="L591" s="181"/>
      <c r="M591" s="329"/>
      <c r="N591" s="181"/>
      <c r="O591" s="181"/>
      <c r="P591" s="176"/>
      <c r="Q591" s="181"/>
      <c r="R591" s="181"/>
      <c r="S591" s="176"/>
      <c r="T591" s="181"/>
      <c r="U591" s="181"/>
      <c r="V591" s="176"/>
      <c r="W591" s="181"/>
      <c r="X591" s="181"/>
      <c r="Y591" s="176"/>
      <c r="Z591" s="181"/>
      <c r="AA591" s="181"/>
      <c r="AB591" s="176"/>
      <c r="AC591" s="181"/>
      <c r="AD591" s="181"/>
      <c r="AE591" s="176"/>
      <c r="AF591" s="176"/>
      <c r="AG591" s="176"/>
      <c r="AH591" s="176"/>
      <c r="AI591" s="181"/>
      <c r="AJ591" s="181"/>
      <c r="AK591" s="176"/>
      <c r="AL591" s="181"/>
      <c r="AM591" s="181"/>
      <c r="AN591" s="176"/>
      <c r="AO591" s="181"/>
      <c r="AP591" s="181"/>
    </row>
    <row r="592" ht="12.75" customHeight="1">
      <c r="A592" s="179"/>
      <c r="B592" s="459"/>
      <c r="C592" s="481"/>
      <c r="D592" s="180"/>
      <c r="E592" s="180"/>
      <c r="F592" s="180"/>
      <c r="G592" s="460"/>
      <c r="H592" s="181"/>
      <c r="I592" s="181"/>
      <c r="J592" s="181"/>
      <c r="K592" s="181"/>
      <c r="L592" s="181"/>
      <c r="M592" s="329"/>
      <c r="N592" s="181"/>
      <c r="O592" s="181"/>
      <c r="P592" s="176"/>
      <c r="Q592" s="181"/>
      <c r="R592" s="181"/>
      <c r="S592" s="176"/>
      <c r="T592" s="181"/>
      <c r="U592" s="181"/>
      <c r="V592" s="176"/>
      <c r="W592" s="181"/>
      <c r="X592" s="181"/>
      <c r="Y592" s="176"/>
      <c r="Z592" s="181"/>
      <c r="AA592" s="181"/>
      <c r="AB592" s="176"/>
      <c r="AC592" s="181"/>
      <c r="AD592" s="181"/>
      <c r="AE592" s="176"/>
      <c r="AF592" s="176"/>
      <c r="AG592" s="176"/>
      <c r="AH592" s="176"/>
      <c r="AI592" s="181"/>
      <c r="AJ592" s="181"/>
      <c r="AK592" s="176"/>
      <c r="AL592" s="181"/>
      <c r="AM592" s="181"/>
      <c r="AN592" s="176"/>
      <c r="AO592" s="181"/>
      <c r="AP592" s="181"/>
    </row>
    <row r="593" ht="12.75" customHeight="1">
      <c r="A593" s="179"/>
      <c r="B593" s="459"/>
      <c r="C593" s="481"/>
      <c r="D593" s="180"/>
      <c r="E593" s="180"/>
      <c r="F593" s="180"/>
      <c r="G593" s="460"/>
      <c r="H593" s="181"/>
      <c r="I593" s="181"/>
      <c r="J593" s="181"/>
      <c r="K593" s="181"/>
      <c r="L593" s="181"/>
      <c r="M593" s="329"/>
      <c r="N593" s="181"/>
      <c r="O593" s="181"/>
      <c r="P593" s="176"/>
      <c r="Q593" s="181"/>
      <c r="R593" s="181"/>
      <c r="S593" s="176"/>
      <c r="T593" s="181"/>
      <c r="U593" s="181"/>
      <c r="V593" s="176"/>
      <c r="W593" s="181"/>
      <c r="X593" s="181"/>
      <c r="Y593" s="176"/>
      <c r="Z593" s="181"/>
      <c r="AA593" s="181"/>
      <c r="AB593" s="176"/>
      <c r="AC593" s="181"/>
      <c r="AD593" s="181"/>
      <c r="AE593" s="176"/>
      <c r="AF593" s="176"/>
      <c r="AG593" s="176"/>
      <c r="AH593" s="176"/>
      <c r="AI593" s="181"/>
      <c r="AJ593" s="181"/>
      <c r="AK593" s="176"/>
      <c r="AL593" s="181"/>
      <c r="AM593" s="181"/>
      <c r="AN593" s="176"/>
      <c r="AO593" s="181"/>
      <c r="AP593" s="181"/>
    </row>
    <row r="594" ht="12.75" customHeight="1">
      <c r="A594" s="179"/>
      <c r="B594" s="459"/>
      <c r="C594" s="481"/>
      <c r="D594" s="180"/>
      <c r="E594" s="180"/>
      <c r="F594" s="180"/>
      <c r="G594" s="460"/>
      <c r="H594" s="181"/>
      <c r="I594" s="181"/>
      <c r="J594" s="181"/>
      <c r="K594" s="181"/>
      <c r="L594" s="181"/>
      <c r="M594" s="329"/>
      <c r="N594" s="181"/>
      <c r="O594" s="181"/>
      <c r="P594" s="176"/>
      <c r="Q594" s="181"/>
      <c r="R594" s="181"/>
      <c r="S594" s="176"/>
      <c r="T594" s="181"/>
      <c r="U594" s="181"/>
      <c r="V594" s="176"/>
      <c r="W594" s="181"/>
      <c r="X594" s="181"/>
      <c r="Y594" s="176"/>
      <c r="Z594" s="181"/>
      <c r="AA594" s="181"/>
      <c r="AB594" s="176"/>
      <c r="AC594" s="181"/>
      <c r="AD594" s="181"/>
      <c r="AE594" s="176"/>
      <c r="AF594" s="176"/>
      <c r="AG594" s="176"/>
      <c r="AH594" s="176"/>
      <c r="AI594" s="181"/>
      <c r="AJ594" s="181"/>
      <c r="AK594" s="176"/>
      <c r="AL594" s="181"/>
      <c r="AM594" s="181"/>
      <c r="AN594" s="176"/>
      <c r="AO594" s="181"/>
      <c r="AP594" s="181"/>
    </row>
    <row r="595" ht="12.75" customHeight="1">
      <c r="A595" s="179"/>
      <c r="B595" s="459"/>
      <c r="C595" s="481"/>
      <c r="D595" s="180"/>
      <c r="E595" s="180"/>
      <c r="F595" s="180"/>
      <c r="G595" s="460"/>
      <c r="H595" s="181"/>
      <c r="I595" s="181"/>
      <c r="J595" s="181"/>
      <c r="K595" s="181"/>
      <c r="L595" s="181"/>
      <c r="M595" s="329"/>
      <c r="N595" s="181"/>
      <c r="O595" s="181"/>
      <c r="P595" s="176"/>
      <c r="Q595" s="181"/>
      <c r="R595" s="181"/>
      <c r="S595" s="176"/>
      <c r="T595" s="181"/>
      <c r="U595" s="181"/>
      <c r="V595" s="176"/>
      <c r="W595" s="181"/>
      <c r="X595" s="181"/>
      <c r="Y595" s="176"/>
      <c r="Z595" s="181"/>
      <c r="AA595" s="181"/>
      <c r="AB595" s="176"/>
      <c r="AC595" s="181"/>
      <c r="AD595" s="181"/>
      <c r="AE595" s="176"/>
      <c r="AF595" s="176"/>
      <c r="AG595" s="176"/>
      <c r="AH595" s="176"/>
      <c r="AI595" s="181"/>
      <c r="AJ595" s="181"/>
      <c r="AK595" s="176"/>
      <c r="AL595" s="181"/>
      <c r="AM595" s="181"/>
      <c r="AN595" s="176"/>
      <c r="AO595" s="181"/>
      <c r="AP595" s="181"/>
    </row>
    <row r="596" ht="12.75" customHeight="1">
      <c r="A596" s="179"/>
      <c r="B596" s="459"/>
      <c r="C596" s="481"/>
      <c r="D596" s="180"/>
      <c r="E596" s="180"/>
      <c r="F596" s="180"/>
      <c r="G596" s="460"/>
      <c r="H596" s="181"/>
      <c r="I596" s="181"/>
      <c r="J596" s="181"/>
      <c r="K596" s="181"/>
      <c r="L596" s="181"/>
      <c r="M596" s="329"/>
      <c r="N596" s="181"/>
      <c r="O596" s="181"/>
      <c r="P596" s="176"/>
      <c r="Q596" s="181"/>
      <c r="R596" s="181"/>
      <c r="S596" s="176"/>
      <c r="T596" s="181"/>
      <c r="U596" s="181"/>
      <c r="V596" s="176"/>
      <c r="W596" s="181"/>
      <c r="X596" s="181"/>
      <c r="Y596" s="176"/>
      <c r="Z596" s="181"/>
      <c r="AA596" s="181"/>
      <c r="AB596" s="176"/>
      <c r="AC596" s="181"/>
      <c r="AD596" s="181"/>
      <c r="AE596" s="176"/>
      <c r="AF596" s="176"/>
      <c r="AG596" s="176"/>
      <c r="AH596" s="176"/>
      <c r="AI596" s="181"/>
      <c r="AJ596" s="181"/>
      <c r="AK596" s="176"/>
      <c r="AL596" s="181"/>
      <c r="AM596" s="181"/>
      <c r="AN596" s="176"/>
      <c r="AO596" s="181"/>
      <c r="AP596" s="181"/>
    </row>
    <row r="597" ht="12.75" customHeight="1">
      <c r="A597" s="179"/>
      <c r="B597" s="459"/>
      <c r="C597" s="481"/>
      <c r="D597" s="180"/>
      <c r="E597" s="180"/>
      <c r="F597" s="180"/>
      <c r="G597" s="460"/>
      <c r="H597" s="181"/>
      <c r="I597" s="181"/>
      <c r="J597" s="181"/>
      <c r="K597" s="181"/>
      <c r="L597" s="181"/>
      <c r="M597" s="329"/>
      <c r="N597" s="181"/>
      <c r="O597" s="181"/>
      <c r="P597" s="176"/>
      <c r="Q597" s="181"/>
      <c r="R597" s="181"/>
      <c r="S597" s="176"/>
      <c r="T597" s="181"/>
      <c r="U597" s="181"/>
      <c r="V597" s="176"/>
      <c r="W597" s="181"/>
      <c r="X597" s="181"/>
      <c r="Y597" s="176"/>
      <c r="Z597" s="181"/>
      <c r="AA597" s="181"/>
      <c r="AB597" s="176"/>
      <c r="AC597" s="181"/>
      <c r="AD597" s="181"/>
      <c r="AE597" s="176"/>
      <c r="AF597" s="176"/>
      <c r="AG597" s="176"/>
      <c r="AH597" s="176"/>
      <c r="AI597" s="181"/>
      <c r="AJ597" s="181"/>
      <c r="AK597" s="176"/>
      <c r="AL597" s="181"/>
      <c r="AM597" s="181"/>
      <c r="AN597" s="176"/>
      <c r="AO597" s="181"/>
      <c r="AP597" s="181"/>
    </row>
    <row r="598" ht="12.75" customHeight="1">
      <c r="A598" s="179"/>
      <c r="B598" s="459"/>
      <c r="C598" s="481"/>
      <c r="D598" s="180"/>
      <c r="E598" s="180"/>
      <c r="F598" s="180"/>
      <c r="G598" s="460"/>
      <c r="H598" s="181"/>
      <c r="I598" s="181"/>
      <c r="J598" s="181"/>
      <c r="K598" s="181"/>
      <c r="L598" s="181"/>
      <c r="M598" s="329"/>
      <c r="N598" s="181"/>
      <c r="O598" s="181"/>
      <c r="P598" s="176"/>
      <c r="Q598" s="181"/>
      <c r="R598" s="181"/>
      <c r="S598" s="176"/>
      <c r="T598" s="181"/>
      <c r="U598" s="181"/>
      <c r="V598" s="176"/>
      <c r="W598" s="181"/>
      <c r="X598" s="181"/>
      <c r="Y598" s="176"/>
      <c r="Z598" s="181"/>
      <c r="AA598" s="181"/>
      <c r="AB598" s="176"/>
      <c r="AC598" s="181"/>
      <c r="AD598" s="181"/>
      <c r="AE598" s="176"/>
      <c r="AF598" s="176"/>
      <c r="AG598" s="176"/>
      <c r="AH598" s="176"/>
      <c r="AI598" s="181"/>
      <c r="AJ598" s="181"/>
      <c r="AK598" s="176"/>
      <c r="AL598" s="181"/>
      <c r="AM598" s="181"/>
      <c r="AN598" s="176"/>
      <c r="AO598" s="181"/>
      <c r="AP598" s="181"/>
    </row>
    <row r="599" ht="12.75" customHeight="1">
      <c r="A599" s="179"/>
      <c r="B599" s="459"/>
      <c r="C599" s="481"/>
      <c r="D599" s="180"/>
      <c r="E599" s="180"/>
      <c r="F599" s="180"/>
      <c r="G599" s="460"/>
      <c r="H599" s="181"/>
      <c r="I599" s="181"/>
      <c r="J599" s="181"/>
      <c r="K599" s="181"/>
      <c r="L599" s="181"/>
      <c r="M599" s="329"/>
      <c r="N599" s="181"/>
      <c r="O599" s="181"/>
      <c r="P599" s="176"/>
      <c r="Q599" s="181"/>
      <c r="R599" s="181"/>
      <c r="S599" s="176"/>
      <c r="T599" s="181"/>
      <c r="U599" s="181"/>
      <c r="V599" s="176"/>
      <c r="W599" s="181"/>
      <c r="X599" s="181"/>
      <c r="Y599" s="176"/>
      <c r="Z599" s="181"/>
      <c r="AA599" s="181"/>
      <c r="AB599" s="176"/>
      <c r="AC599" s="181"/>
      <c r="AD599" s="181"/>
      <c r="AE599" s="176"/>
      <c r="AF599" s="176"/>
      <c r="AG599" s="176"/>
      <c r="AH599" s="176"/>
      <c r="AI599" s="181"/>
      <c r="AJ599" s="181"/>
      <c r="AK599" s="176"/>
      <c r="AL599" s="181"/>
      <c r="AM599" s="181"/>
      <c r="AN599" s="176"/>
      <c r="AO599" s="181"/>
      <c r="AP599" s="181"/>
    </row>
    <row r="600" ht="12.75" customHeight="1">
      <c r="A600" s="179"/>
      <c r="B600" s="459"/>
      <c r="C600" s="481"/>
      <c r="D600" s="180"/>
      <c r="E600" s="180"/>
      <c r="F600" s="180"/>
      <c r="G600" s="460"/>
      <c r="H600" s="181"/>
      <c r="I600" s="181"/>
      <c r="J600" s="181"/>
      <c r="K600" s="181"/>
      <c r="L600" s="181"/>
      <c r="M600" s="329"/>
      <c r="N600" s="181"/>
      <c r="O600" s="181"/>
      <c r="P600" s="176"/>
      <c r="Q600" s="181"/>
      <c r="R600" s="181"/>
      <c r="S600" s="176"/>
      <c r="T600" s="181"/>
      <c r="U600" s="181"/>
      <c r="V600" s="176"/>
      <c r="W600" s="181"/>
      <c r="X600" s="181"/>
      <c r="Y600" s="176"/>
      <c r="Z600" s="181"/>
      <c r="AA600" s="181"/>
      <c r="AB600" s="176"/>
      <c r="AC600" s="181"/>
      <c r="AD600" s="181"/>
      <c r="AE600" s="176"/>
      <c r="AF600" s="176"/>
      <c r="AG600" s="176"/>
      <c r="AH600" s="176"/>
      <c r="AI600" s="181"/>
      <c r="AJ600" s="181"/>
      <c r="AK600" s="176"/>
      <c r="AL600" s="181"/>
      <c r="AM600" s="181"/>
      <c r="AN600" s="176"/>
      <c r="AO600" s="181"/>
      <c r="AP600" s="181"/>
    </row>
    <row r="601" ht="12.75" customHeight="1">
      <c r="A601" s="179"/>
      <c r="B601" s="459"/>
      <c r="C601" s="481"/>
      <c r="D601" s="180"/>
      <c r="E601" s="180"/>
      <c r="F601" s="180"/>
      <c r="G601" s="460"/>
      <c r="H601" s="181"/>
      <c r="I601" s="181"/>
      <c r="J601" s="181"/>
      <c r="K601" s="181"/>
      <c r="L601" s="181"/>
      <c r="M601" s="329"/>
      <c r="N601" s="181"/>
      <c r="O601" s="181"/>
      <c r="P601" s="176"/>
      <c r="Q601" s="181"/>
      <c r="R601" s="181"/>
      <c r="S601" s="176"/>
      <c r="T601" s="181"/>
      <c r="U601" s="181"/>
      <c r="V601" s="176"/>
      <c r="W601" s="181"/>
      <c r="X601" s="181"/>
      <c r="Y601" s="176"/>
      <c r="Z601" s="181"/>
      <c r="AA601" s="181"/>
      <c r="AB601" s="176"/>
      <c r="AC601" s="181"/>
      <c r="AD601" s="181"/>
      <c r="AE601" s="176"/>
      <c r="AF601" s="176"/>
      <c r="AG601" s="176"/>
      <c r="AH601" s="176"/>
      <c r="AI601" s="181"/>
      <c r="AJ601" s="181"/>
      <c r="AK601" s="176"/>
      <c r="AL601" s="181"/>
      <c r="AM601" s="181"/>
      <c r="AN601" s="176"/>
      <c r="AO601" s="181"/>
      <c r="AP601" s="181"/>
    </row>
    <row r="602" ht="12.75" customHeight="1">
      <c r="A602" s="179"/>
      <c r="B602" s="459"/>
      <c r="C602" s="481"/>
      <c r="D602" s="180"/>
      <c r="E602" s="180"/>
      <c r="F602" s="180"/>
      <c r="G602" s="460"/>
      <c r="H602" s="181"/>
      <c r="I602" s="181"/>
      <c r="J602" s="181"/>
      <c r="K602" s="181"/>
      <c r="L602" s="181"/>
      <c r="M602" s="329"/>
      <c r="N602" s="181"/>
      <c r="O602" s="181"/>
      <c r="P602" s="176"/>
      <c r="Q602" s="181"/>
      <c r="R602" s="181"/>
      <c r="S602" s="176"/>
      <c r="T602" s="181"/>
      <c r="U602" s="181"/>
      <c r="V602" s="176"/>
      <c r="W602" s="181"/>
      <c r="X602" s="181"/>
      <c r="Y602" s="176"/>
      <c r="Z602" s="181"/>
      <c r="AA602" s="181"/>
      <c r="AB602" s="176"/>
      <c r="AC602" s="181"/>
      <c r="AD602" s="181"/>
      <c r="AE602" s="176"/>
      <c r="AF602" s="176"/>
      <c r="AG602" s="176"/>
      <c r="AH602" s="176"/>
      <c r="AI602" s="181"/>
      <c r="AJ602" s="181"/>
      <c r="AK602" s="176"/>
      <c r="AL602" s="181"/>
      <c r="AM602" s="181"/>
      <c r="AN602" s="176"/>
      <c r="AO602" s="181"/>
      <c r="AP602" s="181"/>
    </row>
    <row r="603" ht="12.75" customHeight="1">
      <c r="A603" s="179"/>
      <c r="B603" s="459"/>
      <c r="C603" s="481"/>
      <c r="D603" s="180"/>
      <c r="E603" s="180"/>
      <c r="F603" s="180"/>
      <c r="G603" s="460"/>
      <c r="H603" s="181"/>
      <c r="I603" s="181"/>
      <c r="J603" s="181"/>
      <c r="K603" s="181"/>
      <c r="L603" s="181"/>
      <c r="M603" s="329"/>
      <c r="N603" s="181"/>
      <c r="O603" s="181"/>
      <c r="P603" s="176"/>
      <c r="Q603" s="181"/>
      <c r="R603" s="181"/>
      <c r="S603" s="176"/>
      <c r="T603" s="181"/>
      <c r="U603" s="181"/>
      <c r="V603" s="176"/>
      <c r="W603" s="181"/>
      <c r="X603" s="181"/>
      <c r="Y603" s="176"/>
      <c r="Z603" s="181"/>
      <c r="AA603" s="181"/>
      <c r="AB603" s="176"/>
      <c r="AC603" s="181"/>
      <c r="AD603" s="181"/>
      <c r="AE603" s="176"/>
      <c r="AF603" s="176"/>
      <c r="AG603" s="176"/>
      <c r="AH603" s="176"/>
      <c r="AI603" s="181"/>
      <c r="AJ603" s="181"/>
      <c r="AK603" s="176"/>
      <c r="AL603" s="181"/>
      <c r="AM603" s="181"/>
      <c r="AN603" s="176"/>
      <c r="AO603" s="181"/>
      <c r="AP603" s="181"/>
    </row>
    <row r="604" ht="12.75" customHeight="1">
      <c r="A604" s="179"/>
      <c r="B604" s="459"/>
      <c r="C604" s="481"/>
      <c r="D604" s="180"/>
      <c r="E604" s="180"/>
      <c r="F604" s="180"/>
      <c r="G604" s="460"/>
      <c r="H604" s="181"/>
      <c r="I604" s="181"/>
      <c r="J604" s="181"/>
      <c r="K604" s="181"/>
      <c r="L604" s="181"/>
      <c r="M604" s="329"/>
      <c r="N604" s="181"/>
      <c r="O604" s="181"/>
      <c r="P604" s="176"/>
      <c r="Q604" s="181"/>
      <c r="R604" s="181"/>
      <c r="S604" s="176"/>
      <c r="T604" s="181"/>
      <c r="U604" s="181"/>
      <c r="V604" s="176"/>
      <c r="W604" s="181"/>
      <c r="X604" s="181"/>
      <c r="Y604" s="176"/>
      <c r="Z604" s="181"/>
      <c r="AA604" s="181"/>
      <c r="AB604" s="176"/>
      <c r="AC604" s="181"/>
      <c r="AD604" s="181"/>
      <c r="AE604" s="176"/>
      <c r="AF604" s="176"/>
      <c r="AG604" s="176"/>
      <c r="AH604" s="176"/>
      <c r="AI604" s="181"/>
      <c r="AJ604" s="181"/>
      <c r="AK604" s="176"/>
      <c r="AL604" s="181"/>
      <c r="AM604" s="181"/>
      <c r="AN604" s="176"/>
      <c r="AO604" s="181"/>
      <c r="AP604" s="181"/>
    </row>
    <row r="605" ht="12.75" customHeight="1">
      <c r="A605" s="179"/>
      <c r="B605" s="459"/>
      <c r="C605" s="481"/>
      <c r="D605" s="180"/>
      <c r="E605" s="180"/>
      <c r="F605" s="180"/>
      <c r="G605" s="460"/>
      <c r="H605" s="181"/>
      <c r="I605" s="181"/>
      <c r="J605" s="181"/>
      <c r="K605" s="181"/>
      <c r="L605" s="181"/>
      <c r="M605" s="329"/>
      <c r="N605" s="181"/>
      <c r="O605" s="181"/>
      <c r="P605" s="176"/>
      <c r="Q605" s="181"/>
      <c r="R605" s="181"/>
      <c r="S605" s="176"/>
      <c r="T605" s="181"/>
      <c r="U605" s="181"/>
      <c r="V605" s="176"/>
      <c r="W605" s="181"/>
      <c r="X605" s="181"/>
      <c r="Y605" s="176"/>
      <c r="Z605" s="181"/>
      <c r="AA605" s="181"/>
      <c r="AB605" s="176"/>
      <c r="AC605" s="181"/>
      <c r="AD605" s="181"/>
      <c r="AE605" s="176"/>
      <c r="AF605" s="176"/>
      <c r="AG605" s="176"/>
      <c r="AH605" s="176"/>
      <c r="AI605" s="181"/>
      <c r="AJ605" s="181"/>
      <c r="AK605" s="176"/>
      <c r="AL605" s="181"/>
      <c r="AM605" s="181"/>
      <c r="AN605" s="176"/>
      <c r="AO605" s="181"/>
      <c r="AP605" s="181"/>
    </row>
    <row r="606" ht="12.75" customHeight="1">
      <c r="A606" s="179"/>
      <c r="B606" s="459"/>
      <c r="C606" s="481"/>
      <c r="D606" s="180"/>
      <c r="E606" s="180"/>
      <c r="F606" s="180"/>
      <c r="G606" s="460"/>
      <c r="H606" s="181"/>
      <c r="I606" s="181"/>
      <c r="J606" s="181"/>
      <c r="K606" s="181"/>
      <c r="L606" s="181"/>
      <c r="M606" s="329"/>
      <c r="N606" s="181"/>
      <c r="O606" s="181"/>
      <c r="P606" s="176"/>
      <c r="Q606" s="181"/>
      <c r="R606" s="181"/>
      <c r="S606" s="176"/>
      <c r="T606" s="181"/>
      <c r="U606" s="181"/>
      <c r="V606" s="176"/>
      <c r="W606" s="181"/>
      <c r="X606" s="181"/>
      <c r="Y606" s="176"/>
      <c r="Z606" s="181"/>
      <c r="AA606" s="181"/>
      <c r="AB606" s="176"/>
      <c r="AC606" s="181"/>
      <c r="AD606" s="181"/>
      <c r="AE606" s="176"/>
      <c r="AF606" s="176"/>
      <c r="AG606" s="176"/>
      <c r="AH606" s="176"/>
      <c r="AI606" s="181"/>
      <c r="AJ606" s="181"/>
      <c r="AK606" s="176"/>
      <c r="AL606" s="181"/>
      <c r="AM606" s="181"/>
      <c r="AN606" s="176"/>
      <c r="AO606" s="181"/>
      <c r="AP606" s="181"/>
    </row>
    <row r="607" ht="12.75" customHeight="1">
      <c r="A607" s="179"/>
      <c r="B607" s="459"/>
      <c r="C607" s="481"/>
      <c r="D607" s="180"/>
      <c r="E607" s="180"/>
      <c r="F607" s="180"/>
      <c r="G607" s="460"/>
      <c r="H607" s="181"/>
      <c r="I607" s="181"/>
      <c r="J607" s="181"/>
      <c r="K607" s="181"/>
      <c r="L607" s="181"/>
      <c r="M607" s="329"/>
      <c r="N607" s="181"/>
      <c r="O607" s="181"/>
      <c r="P607" s="176"/>
      <c r="Q607" s="181"/>
      <c r="R607" s="181"/>
      <c r="S607" s="176"/>
      <c r="T607" s="181"/>
      <c r="U607" s="181"/>
      <c r="V607" s="176"/>
      <c r="W607" s="181"/>
      <c r="X607" s="181"/>
      <c r="Y607" s="176"/>
      <c r="Z607" s="181"/>
      <c r="AA607" s="181"/>
      <c r="AB607" s="176"/>
      <c r="AC607" s="181"/>
      <c r="AD607" s="181"/>
      <c r="AE607" s="176"/>
      <c r="AF607" s="176"/>
      <c r="AG607" s="176"/>
      <c r="AH607" s="176"/>
      <c r="AI607" s="181"/>
      <c r="AJ607" s="181"/>
      <c r="AK607" s="176"/>
      <c r="AL607" s="181"/>
      <c r="AM607" s="181"/>
      <c r="AN607" s="176"/>
      <c r="AO607" s="181"/>
      <c r="AP607" s="181"/>
    </row>
    <row r="608" ht="12.75" customHeight="1">
      <c r="A608" s="179"/>
      <c r="B608" s="459"/>
      <c r="C608" s="481"/>
      <c r="D608" s="180"/>
      <c r="E608" s="180"/>
      <c r="F608" s="180"/>
      <c r="G608" s="460"/>
      <c r="H608" s="181"/>
      <c r="I608" s="181"/>
      <c r="J608" s="181"/>
      <c r="K608" s="181"/>
      <c r="L608" s="181"/>
      <c r="M608" s="329"/>
      <c r="N608" s="181"/>
      <c r="O608" s="181"/>
      <c r="P608" s="176"/>
      <c r="Q608" s="181"/>
      <c r="R608" s="181"/>
      <c r="S608" s="176"/>
      <c r="T608" s="181"/>
      <c r="U608" s="181"/>
      <c r="V608" s="176"/>
      <c r="W608" s="181"/>
      <c r="X608" s="181"/>
      <c r="Y608" s="176"/>
      <c r="Z608" s="181"/>
      <c r="AA608" s="181"/>
      <c r="AB608" s="176"/>
      <c r="AC608" s="181"/>
      <c r="AD608" s="181"/>
      <c r="AE608" s="176"/>
      <c r="AF608" s="176"/>
      <c r="AG608" s="176"/>
      <c r="AH608" s="176"/>
      <c r="AI608" s="181"/>
      <c r="AJ608" s="181"/>
      <c r="AK608" s="176"/>
      <c r="AL608" s="181"/>
      <c r="AM608" s="181"/>
      <c r="AN608" s="176"/>
      <c r="AO608" s="181"/>
      <c r="AP608" s="181"/>
    </row>
    <row r="609" ht="12.75" customHeight="1">
      <c r="A609" s="179"/>
      <c r="B609" s="459"/>
      <c r="C609" s="481"/>
      <c r="D609" s="180"/>
      <c r="E609" s="180"/>
      <c r="F609" s="180"/>
      <c r="G609" s="460"/>
      <c r="H609" s="181"/>
      <c r="I609" s="181"/>
      <c r="J609" s="181"/>
      <c r="K609" s="181"/>
      <c r="L609" s="181"/>
      <c r="M609" s="329"/>
      <c r="N609" s="181"/>
      <c r="O609" s="181"/>
      <c r="P609" s="176"/>
      <c r="Q609" s="181"/>
      <c r="R609" s="181"/>
      <c r="S609" s="176"/>
      <c r="T609" s="181"/>
      <c r="U609" s="181"/>
      <c r="V609" s="176"/>
      <c r="W609" s="181"/>
      <c r="X609" s="181"/>
      <c r="Y609" s="176"/>
      <c r="Z609" s="181"/>
      <c r="AA609" s="181"/>
      <c r="AB609" s="176"/>
      <c r="AC609" s="181"/>
      <c r="AD609" s="181"/>
      <c r="AE609" s="176"/>
      <c r="AF609" s="176"/>
      <c r="AG609" s="176"/>
      <c r="AH609" s="176"/>
      <c r="AI609" s="181"/>
      <c r="AJ609" s="181"/>
      <c r="AK609" s="176"/>
      <c r="AL609" s="181"/>
      <c r="AM609" s="181"/>
      <c r="AN609" s="176"/>
      <c r="AO609" s="181"/>
      <c r="AP609" s="181"/>
    </row>
    <row r="610" ht="12.75" customHeight="1">
      <c r="A610" s="179"/>
      <c r="B610" s="459"/>
      <c r="C610" s="481"/>
      <c r="D610" s="180"/>
      <c r="E610" s="180"/>
      <c r="F610" s="180"/>
      <c r="G610" s="460"/>
      <c r="H610" s="181"/>
      <c r="I610" s="181"/>
      <c r="J610" s="181"/>
      <c r="K610" s="181"/>
      <c r="L610" s="181"/>
      <c r="M610" s="329"/>
      <c r="N610" s="181"/>
      <c r="O610" s="181"/>
      <c r="P610" s="176"/>
      <c r="Q610" s="181"/>
      <c r="R610" s="181"/>
      <c r="S610" s="176"/>
      <c r="T610" s="181"/>
      <c r="U610" s="181"/>
      <c r="V610" s="176"/>
      <c r="W610" s="181"/>
      <c r="X610" s="181"/>
      <c r="Y610" s="176"/>
      <c r="Z610" s="181"/>
      <c r="AA610" s="181"/>
      <c r="AB610" s="176"/>
      <c r="AC610" s="181"/>
      <c r="AD610" s="181"/>
      <c r="AE610" s="176"/>
      <c r="AF610" s="176"/>
      <c r="AG610" s="176"/>
      <c r="AH610" s="176"/>
      <c r="AI610" s="181"/>
      <c r="AJ610" s="181"/>
      <c r="AK610" s="176"/>
      <c r="AL610" s="181"/>
      <c r="AM610" s="181"/>
      <c r="AN610" s="176"/>
      <c r="AO610" s="181"/>
      <c r="AP610" s="181"/>
    </row>
    <row r="611" ht="12.75" customHeight="1">
      <c r="A611" s="179"/>
      <c r="B611" s="459"/>
      <c r="C611" s="481"/>
      <c r="D611" s="180"/>
      <c r="E611" s="180"/>
      <c r="F611" s="180"/>
      <c r="G611" s="460"/>
      <c r="H611" s="181"/>
      <c r="I611" s="181"/>
      <c r="J611" s="181"/>
      <c r="K611" s="181"/>
      <c r="L611" s="181"/>
      <c r="M611" s="329"/>
      <c r="N611" s="181"/>
      <c r="O611" s="181"/>
      <c r="P611" s="176"/>
      <c r="Q611" s="181"/>
      <c r="R611" s="181"/>
      <c r="S611" s="176"/>
      <c r="T611" s="181"/>
      <c r="U611" s="181"/>
      <c r="V611" s="176"/>
      <c r="W611" s="181"/>
      <c r="X611" s="181"/>
      <c r="Y611" s="176"/>
      <c r="Z611" s="181"/>
      <c r="AA611" s="181"/>
      <c r="AB611" s="176"/>
      <c r="AC611" s="181"/>
      <c r="AD611" s="181"/>
      <c r="AE611" s="176"/>
      <c r="AF611" s="176"/>
      <c r="AG611" s="176"/>
      <c r="AH611" s="176"/>
      <c r="AI611" s="181"/>
      <c r="AJ611" s="181"/>
      <c r="AK611" s="176"/>
      <c r="AL611" s="181"/>
      <c r="AM611" s="181"/>
      <c r="AN611" s="176"/>
      <c r="AO611" s="181"/>
      <c r="AP611" s="181"/>
    </row>
    <row r="612" ht="12.75" customHeight="1">
      <c r="A612" s="179"/>
      <c r="B612" s="459"/>
      <c r="C612" s="481"/>
      <c r="D612" s="180"/>
      <c r="E612" s="180"/>
      <c r="F612" s="180"/>
      <c r="G612" s="460"/>
      <c r="H612" s="181"/>
      <c r="I612" s="181"/>
      <c r="J612" s="181"/>
      <c r="K612" s="181"/>
      <c r="L612" s="181"/>
      <c r="M612" s="329"/>
      <c r="N612" s="181"/>
      <c r="O612" s="181"/>
      <c r="P612" s="176"/>
      <c r="Q612" s="181"/>
      <c r="R612" s="181"/>
      <c r="S612" s="176"/>
      <c r="T612" s="181"/>
      <c r="U612" s="181"/>
      <c r="V612" s="176"/>
      <c r="W612" s="181"/>
      <c r="X612" s="181"/>
      <c r="Y612" s="176"/>
      <c r="Z612" s="181"/>
      <c r="AA612" s="181"/>
      <c r="AB612" s="176"/>
      <c r="AC612" s="181"/>
      <c r="AD612" s="181"/>
      <c r="AE612" s="176"/>
      <c r="AF612" s="176"/>
      <c r="AG612" s="176"/>
      <c r="AH612" s="176"/>
      <c r="AI612" s="181"/>
      <c r="AJ612" s="181"/>
      <c r="AK612" s="176"/>
      <c r="AL612" s="181"/>
      <c r="AM612" s="181"/>
      <c r="AN612" s="176"/>
      <c r="AO612" s="181"/>
      <c r="AP612" s="181"/>
    </row>
    <row r="613" ht="12.75" customHeight="1">
      <c r="A613" s="179"/>
      <c r="B613" s="459"/>
      <c r="C613" s="481"/>
      <c r="D613" s="180"/>
      <c r="E613" s="180"/>
      <c r="F613" s="180"/>
      <c r="G613" s="460"/>
      <c r="H613" s="181"/>
      <c r="I613" s="181"/>
      <c r="J613" s="181"/>
      <c r="K613" s="181"/>
      <c r="L613" s="181"/>
      <c r="M613" s="329"/>
      <c r="N613" s="181"/>
      <c r="O613" s="181"/>
      <c r="P613" s="176"/>
      <c r="Q613" s="181"/>
      <c r="R613" s="181"/>
      <c r="S613" s="176"/>
      <c r="T613" s="181"/>
      <c r="U613" s="181"/>
      <c r="V613" s="176"/>
      <c r="W613" s="181"/>
      <c r="X613" s="181"/>
      <c r="Y613" s="176"/>
      <c r="Z613" s="181"/>
      <c r="AA613" s="181"/>
      <c r="AB613" s="176"/>
      <c r="AC613" s="181"/>
      <c r="AD613" s="181"/>
      <c r="AE613" s="176"/>
      <c r="AF613" s="176"/>
      <c r="AG613" s="176"/>
      <c r="AH613" s="176"/>
      <c r="AI613" s="181"/>
      <c r="AJ613" s="181"/>
      <c r="AK613" s="176"/>
      <c r="AL613" s="181"/>
      <c r="AM613" s="181"/>
      <c r="AN613" s="176"/>
      <c r="AO613" s="181"/>
      <c r="AP613" s="181"/>
    </row>
    <row r="614" ht="12.75" customHeight="1">
      <c r="A614" s="179"/>
      <c r="B614" s="459"/>
      <c r="C614" s="481"/>
      <c r="D614" s="180"/>
      <c r="E614" s="180"/>
      <c r="F614" s="180"/>
      <c r="G614" s="460"/>
      <c r="H614" s="181"/>
      <c r="I614" s="181"/>
      <c r="J614" s="181"/>
      <c r="K614" s="181"/>
      <c r="L614" s="181"/>
      <c r="M614" s="329"/>
      <c r="N614" s="181"/>
      <c r="O614" s="181"/>
      <c r="P614" s="176"/>
      <c r="Q614" s="181"/>
      <c r="R614" s="181"/>
      <c r="S614" s="176"/>
      <c r="T614" s="181"/>
      <c r="U614" s="181"/>
      <c r="V614" s="176"/>
      <c r="W614" s="181"/>
      <c r="X614" s="181"/>
      <c r="Y614" s="176"/>
      <c r="Z614" s="181"/>
      <c r="AA614" s="181"/>
      <c r="AB614" s="176"/>
      <c r="AC614" s="181"/>
      <c r="AD614" s="181"/>
      <c r="AE614" s="176"/>
      <c r="AF614" s="176"/>
      <c r="AG614" s="176"/>
      <c r="AH614" s="176"/>
      <c r="AI614" s="181"/>
      <c r="AJ614" s="181"/>
      <c r="AK614" s="176"/>
      <c r="AL614" s="181"/>
      <c r="AM614" s="181"/>
      <c r="AN614" s="176"/>
      <c r="AO614" s="181"/>
      <c r="AP614" s="181"/>
    </row>
    <row r="615" ht="12.75" customHeight="1">
      <c r="A615" s="179"/>
      <c r="B615" s="459"/>
      <c r="C615" s="481"/>
      <c r="D615" s="180"/>
      <c r="E615" s="180"/>
      <c r="F615" s="180"/>
      <c r="G615" s="460"/>
      <c r="H615" s="181"/>
      <c r="I615" s="181"/>
      <c r="J615" s="181"/>
      <c r="K615" s="181"/>
      <c r="L615" s="181"/>
      <c r="M615" s="329"/>
      <c r="N615" s="181"/>
      <c r="O615" s="181"/>
      <c r="P615" s="176"/>
      <c r="Q615" s="181"/>
      <c r="R615" s="181"/>
      <c r="S615" s="176"/>
      <c r="T615" s="181"/>
      <c r="U615" s="181"/>
      <c r="V615" s="176"/>
      <c r="W615" s="181"/>
      <c r="X615" s="181"/>
      <c r="Y615" s="176"/>
      <c r="Z615" s="181"/>
      <c r="AA615" s="181"/>
      <c r="AB615" s="176"/>
      <c r="AC615" s="181"/>
      <c r="AD615" s="181"/>
      <c r="AE615" s="176"/>
      <c r="AF615" s="176"/>
      <c r="AG615" s="176"/>
      <c r="AH615" s="176"/>
      <c r="AI615" s="181"/>
      <c r="AJ615" s="181"/>
      <c r="AK615" s="176"/>
      <c r="AL615" s="181"/>
      <c r="AM615" s="181"/>
      <c r="AN615" s="176"/>
      <c r="AO615" s="181"/>
      <c r="AP615" s="181"/>
    </row>
    <row r="616" ht="12.75" customHeight="1">
      <c r="A616" s="179"/>
      <c r="B616" s="459"/>
      <c r="C616" s="481"/>
      <c r="D616" s="180"/>
      <c r="E616" s="180"/>
      <c r="F616" s="180"/>
      <c r="G616" s="460"/>
      <c r="H616" s="181"/>
      <c r="I616" s="181"/>
      <c r="J616" s="181"/>
      <c r="K616" s="181"/>
      <c r="L616" s="181"/>
      <c r="M616" s="329"/>
      <c r="N616" s="181"/>
      <c r="O616" s="181"/>
      <c r="P616" s="176"/>
      <c r="Q616" s="181"/>
      <c r="R616" s="181"/>
      <c r="S616" s="176"/>
      <c r="T616" s="181"/>
      <c r="U616" s="181"/>
      <c r="V616" s="176"/>
      <c r="W616" s="181"/>
      <c r="X616" s="181"/>
      <c r="Y616" s="176"/>
      <c r="Z616" s="181"/>
      <c r="AA616" s="181"/>
      <c r="AB616" s="176"/>
      <c r="AC616" s="181"/>
      <c r="AD616" s="181"/>
      <c r="AE616" s="176"/>
      <c r="AF616" s="176"/>
      <c r="AG616" s="176"/>
      <c r="AH616" s="176"/>
      <c r="AI616" s="181"/>
      <c r="AJ616" s="181"/>
      <c r="AK616" s="176"/>
      <c r="AL616" s="181"/>
      <c r="AM616" s="181"/>
      <c r="AN616" s="176"/>
      <c r="AO616" s="181"/>
      <c r="AP616" s="181"/>
    </row>
    <row r="617" ht="12.75" customHeight="1">
      <c r="A617" s="179"/>
      <c r="B617" s="459"/>
      <c r="C617" s="481"/>
      <c r="D617" s="180"/>
      <c r="E617" s="180"/>
      <c r="F617" s="180"/>
      <c r="G617" s="460"/>
      <c r="H617" s="181"/>
      <c r="I617" s="181"/>
      <c r="J617" s="181"/>
      <c r="K617" s="181"/>
      <c r="L617" s="181"/>
      <c r="M617" s="329"/>
      <c r="N617" s="181"/>
      <c r="O617" s="181"/>
      <c r="P617" s="176"/>
      <c r="Q617" s="181"/>
      <c r="R617" s="181"/>
      <c r="S617" s="176"/>
      <c r="T617" s="181"/>
      <c r="U617" s="181"/>
      <c r="V617" s="176"/>
      <c r="W617" s="181"/>
      <c r="X617" s="181"/>
      <c r="Y617" s="176"/>
      <c r="Z617" s="181"/>
      <c r="AA617" s="181"/>
      <c r="AB617" s="176"/>
      <c r="AC617" s="181"/>
      <c r="AD617" s="181"/>
      <c r="AE617" s="176"/>
      <c r="AF617" s="176"/>
      <c r="AG617" s="176"/>
      <c r="AH617" s="176"/>
      <c r="AI617" s="181"/>
      <c r="AJ617" s="181"/>
      <c r="AK617" s="176"/>
      <c r="AL617" s="181"/>
      <c r="AM617" s="181"/>
      <c r="AN617" s="176"/>
      <c r="AO617" s="181"/>
      <c r="AP617" s="181"/>
    </row>
    <row r="618" ht="12.75" customHeight="1">
      <c r="A618" s="179"/>
      <c r="B618" s="459"/>
      <c r="C618" s="481"/>
      <c r="D618" s="180"/>
      <c r="E618" s="180"/>
      <c r="F618" s="180"/>
      <c r="G618" s="460"/>
      <c r="H618" s="181"/>
      <c r="I618" s="181"/>
      <c r="J618" s="181"/>
      <c r="K618" s="181"/>
      <c r="L618" s="181"/>
      <c r="M618" s="329"/>
      <c r="N618" s="181"/>
      <c r="O618" s="181"/>
      <c r="P618" s="176"/>
      <c r="Q618" s="181"/>
      <c r="R618" s="181"/>
      <c r="S618" s="176"/>
      <c r="T618" s="181"/>
      <c r="U618" s="181"/>
      <c r="V618" s="176"/>
      <c r="W618" s="181"/>
      <c r="X618" s="181"/>
      <c r="Y618" s="176"/>
      <c r="Z618" s="181"/>
      <c r="AA618" s="181"/>
      <c r="AB618" s="176"/>
      <c r="AC618" s="181"/>
      <c r="AD618" s="181"/>
      <c r="AE618" s="176"/>
      <c r="AF618" s="176"/>
      <c r="AG618" s="176"/>
      <c r="AH618" s="176"/>
      <c r="AI618" s="181"/>
      <c r="AJ618" s="181"/>
      <c r="AK618" s="176"/>
      <c r="AL618" s="181"/>
      <c r="AM618" s="181"/>
      <c r="AN618" s="176"/>
      <c r="AO618" s="181"/>
      <c r="AP618" s="181"/>
    </row>
    <row r="619" ht="12.75" customHeight="1">
      <c r="A619" s="179"/>
      <c r="B619" s="459"/>
      <c r="C619" s="481"/>
      <c r="D619" s="180"/>
      <c r="E619" s="180"/>
      <c r="F619" s="180"/>
      <c r="G619" s="460"/>
      <c r="H619" s="181"/>
      <c r="I619" s="181"/>
      <c r="J619" s="181"/>
      <c r="K619" s="181"/>
      <c r="L619" s="181"/>
      <c r="M619" s="329"/>
      <c r="N619" s="181"/>
      <c r="O619" s="181"/>
      <c r="P619" s="176"/>
      <c r="Q619" s="181"/>
      <c r="R619" s="181"/>
      <c r="S619" s="176"/>
      <c r="T619" s="181"/>
      <c r="U619" s="181"/>
      <c r="V619" s="176"/>
      <c r="W619" s="181"/>
      <c r="X619" s="181"/>
      <c r="Y619" s="176"/>
      <c r="Z619" s="181"/>
      <c r="AA619" s="181"/>
      <c r="AB619" s="176"/>
      <c r="AC619" s="181"/>
      <c r="AD619" s="181"/>
      <c r="AE619" s="176"/>
      <c r="AF619" s="176"/>
      <c r="AG619" s="176"/>
      <c r="AH619" s="176"/>
      <c r="AI619" s="181"/>
      <c r="AJ619" s="181"/>
      <c r="AK619" s="176"/>
      <c r="AL619" s="181"/>
      <c r="AM619" s="181"/>
      <c r="AN619" s="176"/>
      <c r="AO619" s="181"/>
      <c r="AP619" s="181"/>
    </row>
    <row r="620" ht="12.75" customHeight="1">
      <c r="A620" s="179"/>
      <c r="B620" s="459"/>
      <c r="C620" s="481"/>
      <c r="D620" s="180"/>
      <c r="E620" s="180"/>
      <c r="F620" s="180"/>
      <c r="G620" s="460"/>
      <c r="H620" s="181"/>
      <c r="I620" s="181"/>
      <c r="J620" s="181"/>
      <c r="K620" s="181"/>
      <c r="L620" s="181"/>
      <c r="M620" s="329"/>
      <c r="N620" s="181"/>
      <c r="O620" s="181"/>
      <c r="P620" s="176"/>
      <c r="Q620" s="181"/>
      <c r="R620" s="181"/>
      <c r="S620" s="176"/>
      <c r="T620" s="181"/>
      <c r="U620" s="181"/>
      <c r="V620" s="176"/>
      <c r="W620" s="181"/>
      <c r="X620" s="181"/>
      <c r="Y620" s="176"/>
      <c r="Z620" s="181"/>
      <c r="AA620" s="181"/>
      <c r="AB620" s="176"/>
      <c r="AC620" s="181"/>
      <c r="AD620" s="181"/>
      <c r="AE620" s="176"/>
      <c r="AF620" s="176"/>
      <c r="AG620" s="176"/>
      <c r="AH620" s="176"/>
      <c r="AI620" s="181"/>
      <c r="AJ620" s="181"/>
      <c r="AK620" s="176"/>
      <c r="AL620" s="181"/>
      <c r="AM620" s="181"/>
      <c r="AN620" s="176"/>
      <c r="AO620" s="181"/>
      <c r="AP620" s="181"/>
    </row>
    <row r="621" ht="12.75" customHeight="1">
      <c r="A621" s="179"/>
      <c r="B621" s="459"/>
      <c r="C621" s="481"/>
      <c r="D621" s="180"/>
      <c r="E621" s="180"/>
      <c r="F621" s="180"/>
      <c r="G621" s="460"/>
      <c r="H621" s="181"/>
      <c r="I621" s="181"/>
      <c r="J621" s="181"/>
      <c r="K621" s="181"/>
      <c r="L621" s="181"/>
      <c r="M621" s="329"/>
      <c r="N621" s="181"/>
      <c r="O621" s="181"/>
      <c r="P621" s="176"/>
      <c r="Q621" s="181"/>
      <c r="R621" s="181"/>
      <c r="S621" s="176"/>
      <c r="T621" s="181"/>
      <c r="U621" s="181"/>
      <c r="V621" s="176"/>
      <c r="W621" s="181"/>
      <c r="X621" s="181"/>
      <c r="Y621" s="176"/>
      <c r="Z621" s="181"/>
      <c r="AA621" s="181"/>
      <c r="AB621" s="176"/>
      <c r="AC621" s="181"/>
      <c r="AD621" s="181"/>
      <c r="AE621" s="176"/>
      <c r="AF621" s="176"/>
      <c r="AG621" s="176"/>
      <c r="AH621" s="176"/>
      <c r="AI621" s="181"/>
      <c r="AJ621" s="181"/>
      <c r="AK621" s="176"/>
      <c r="AL621" s="181"/>
      <c r="AM621" s="181"/>
      <c r="AN621" s="176"/>
      <c r="AO621" s="181"/>
      <c r="AP621" s="181"/>
    </row>
    <row r="622" ht="12.75" customHeight="1">
      <c r="A622" s="179"/>
      <c r="B622" s="459"/>
      <c r="C622" s="481"/>
      <c r="D622" s="180"/>
      <c r="E622" s="180"/>
      <c r="F622" s="180"/>
      <c r="G622" s="460"/>
      <c r="H622" s="181"/>
      <c r="I622" s="181"/>
      <c r="J622" s="181"/>
      <c r="K622" s="181"/>
      <c r="L622" s="181"/>
      <c r="M622" s="329"/>
      <c r="N622" s="181"/>
      <c r="O622" s="181"/>
      <c r="P622" s="176"/>
      <c r="Q622" s="181"/>
      <c r="R622" s="181"/>
      <c r="S622" s="176"/>
      <c r="T622" s="181"/>
      <c r="U622" s="181"/>
      <c r="V622" s="176"/>
      <c r="W622" s="181"/>
      <c r="X622" s="181"/>
      <c r="Y622" s="176"/>
      <c r="Z622" s="181"/>
      <c r="AA622" s="181"/>
      <c r="AB622" s="176"/>
      <c r="AC622" s="181"/>
      <c r="AD622" s="181"/>
      <c r="AE622" s="176"/>
      <c r="AF622" s="176"/>
      <c r="AG622" s="176"/>
      <c r="AH622" s="176"/>
      <c r="AI622" s="181"/>
      <c r="AJ622" s="181"/>
      <c r="AK622" s="176"/>
      <c r="AL622" s="181"/>
      <c r="AM622" s="181"/>
      <c r="AN622" s="176"/>
      <c r="AO622" s="181"/>
      <c r="AP622" s="181"/>
    </row>
    <row r="623" ht="12.75" customHeight="1">
      <c r="A623" s="179"/>
      <c r="B623" s="459"/>
      <c r="C623" s="481"/>
      <c r="D623" s="180"/>
      <c r="E623" s="180"/>
      <c r="F623" s="180"/>
      <c r="G623" s="460"/>
      <c r="H623" s="181"/>
      <c r="I623" s="181"/>
      <c r="J623" s="181"/>
      <c r="K623" s="181"/>
      <c r="L623" s="181"/>
      <c r="M623" s="329"/>
      <c r="N623" s="181"/>
      <c r="O623" s="181"/>
      <c r="P623" s="176"/>
      <c r="Q623" s="181"/>
      <c r="R623" s="181"/>
      <c r="S623" s="176"/>
      <c r="T623" s="181"/>
      <c r="U623" s="181"/>
      <c r="V623" s="176"/>
      <c r="W623" s="181"/>
      <c r="X623" s="181"/>
      <c r="Y623" s="176"/>
      <c r="Z623" s="181"/>
      <c r="AA623" s="181"/>
      <c r="AB623" s="176"/>
      <c r="AC623" s="181"/>
      <c r="AD623" s="181"/>
      <c r="AE623" s="176"/>
      <c r="AF623" s="176"/>
      <c r="AG623" s="176"/>
      <c r="AH623" s="176"/>
      <c r="AI623" s="181"/>
      <c r="AJ623" s="181"/>
      <c r="AK623" s="176"/>
      <c r="AL623" s="181"/>
      <c r="AM623" s="181"/>
      <c r="AN623" s="176"/>
      <c r="AO623" s="181"/>
      <c r="AP623" s="181"/>
    </row>
    <row r="624" ht="12.75" customHeight="1">
      <c r="A624" s="179"/>
      <c r="B624" s="459"/>
      <c r="C624" s="481"/>
      <c r="D624" s="180"/>
      <c r="E624" s="180"/>
      <c r="F624" s="180"/>
      <c r="G624" s="460"/>
      <c r="H624" s="181"/>
      <c r="I624" s="181"/>
      <c r="J624" s="181"/>
      <c r="K624" s="181"/>
      <c r="L624" s="181"/>
      <c r="M624" s="329"/>
      <c r="N624" s="181"/>
      <c r="O624" s="181"/>
      <c r="P624" s="176"/>
      <c r="Q624" s="181"/>
      <c r="R624" s="181"/>
      <c r="S624" s="176"/>
      <c r="T624" s="181"/>
      <c r="U624" s="181"/>
      <c r="V624" s="176"/>
      <c r="W624" s="181"/>
      <c r="X624" s="181"/>
      <c r="Y624" s="176"/>
      <c r="Z624" s="181"/>
      <c r="AA624" s="181"/>
      <c r="AB624" s="176"/>
      <c r="AC624" s="181"/>
      <c r="AD624" s="181"/>
      <c r="AE624" s="176"/>
      <c r="AF624" s="176"/>
      <c r="AG624" s="176"/>
      <c r="AH624" s="176"/>
      <c r="AI624" s="181"/>
      <c r="AJ624" s="181"/>
      <c r="AK624" s="176"/>
      <c r="AL624" s="181"/>
      <c r="AM624" s="181"/>
      <c r="AN624" s="176"/>
      <c r="AO624" s="181"/>
      <c r="AP624" s="181"/>
    </row>
    <row r="625" ht="12.75" customHeight="1">
      <c r="A625" s="179"/>
      <c r="B625" s="459"/>
      <c r="C625" s="481"/>
      <c r="D625" s="180"/>
      <c r="E625" s="180"/>
      <c r="F625" s="180"/>
      <c r="G625" s="460"/>
      <c r="H625" s="181"/>
      <c r="I625" s="181"/>
      <c r="J625" s="181"/>
      <c r="K625" s="181"/>
      <c r="L625" s="181"/>
      <c r="M625" s="329"/>
      <c r="N625" s="181"/>
      <c r="O625" s="181"/>
      <c r="P625" s="176"/>
      <c r="Q625" s="181"/>
      <c r="R625" s="181"/>
      <c r="S625" s="176"/>
      <c r="T625" s="181"/>
      <c r="U625" s="181"/>
      <c r="V625" s="176"/>
      <c r="W625" s="181"/>
      <c r="X625" s="181"/>
      <c r="Y625" s="176"/>
      <c r="Z625" s="181"/>
      <c r="AA625" s="181"/>
      <c r="AB625" s="176"/>
      <c r="AC625" s="181"/>
      <c r="AD625" s="181"/>
      <c r="AE625" s="176"/>
      <c r="AF625" s="176"/>
      <c r="AG625" s="176"/>
      <c r="AH625" s="176"/>
      <c r="AI625" s="181"/>
      <c r="AJ625" s="181"/>
      <c r="AK625" s="176"/>
      <c r="AL625" s="181"/>
      <c r="AM625" s="181"/>
      <c r="AN625" s="176"/>
      <c r="AO625" s="181"/>
      <c r="AP625" s="181"/>
    </row>
    <row r="626" ht="12.75" customHeight="1">
      <c r="A626" s="179"/>
      <c r="B626" s="459"/>
      <c r="C626" s="481"/>
      <c r="D626" s="180"/>
      <c r="E626" s="180"/>
      <c r="F626" s="180"/>
      <c r="G626" s="460"/>
      <c r="H626" s="181"/>
      <c r="I626" s="181"/>
      <c r="J626" s="181"/>
      <c r="K626" s="181"/>
      <c r="L626" s="181"/>
      <c r="M626" s="329"/>
      <c r="N626" s="181"/>
      <c r="O626" s="181"/>
      <c r="P626" s="176"/>
      <c r="Q626" s="181"/>
      <c r="R626" s="181"/>
      <c r="S626" s="176"/>
      <c r="T626" s="181"/>
      <c r="U626" s="181"/>
      <c r="V626" s="176"/>
      <c r="W626" s="181"/>
      <c r="X626" s="181"/>
      <c r="Y626" s="176"/>
      <c r="Z626" s="181"/>
      <c r="AA626" s="181"/>
      <c r="AB626" s="176"/>
      <c r="AC626" s="181"/>
      <c r="AD626" s="181"/>
      <c r="AE626" s="176"/>
      <c r="AF626" s="176"/>
      <c r="AG626" s="176"/>
      <c r="AH626" s="176"/>
      <c r="AI626" s="181"/>
      <c r="AJ626" s="181"/>
      <c r="AK626" s="176"/>
      <c r="AL626" s="181"/>
      <c r="AM626" s="181"/>
      <c r="AN626" s="176"/>
      <c r="AO626" s="181"/>
      <c r="AP626" s="181"/>
    </row>
    <row r="627" ht="12.75" customHeight="1">
      <c r="A627" s="179"/>
      <c r="B627" s="459"/>
      <c r="C627" s="481"/>
      <c r="D627" s="180"/>
      <c r="E627" s="180"/>
      <c r="F627" s="180"/>
      <c r="G627" s="460"/>
      <c r="H627" s="181"/>
      <c r="I627" s="181"/>
      <c r="J627" s="181"/>
      <c r="K627" s="181"/>
      <c r="L627" s="181"/>
      <c r="M627" s="329"/>
      <c r="N627" s="181"/>
      <c r="O627" s="181"/>
      <c r="P627" s="176"/>
      <c r="Q627" s="181"/>
      <c r="R627" s="181"/>
      <c r="S627" s="176"/>
      <c r="T627" s="181"/>
      <c r="U627" s="181"/>
      <c r="V627" s="176"/>
      <c r="W627" s="181"/>
      <c r="X627" s="181"/>
      <c r="Y627" s="176"/>
      <c r="Z627" s="181"/>
      <c r="AA627" s="181"/>
      <c r="AB627" s="176"/>
      <c r="AC627" s="181"/>
      <c r="AD627" s="181"/>
      <c r="AE627" s="176"/>
      <c r="AF627" s="176"/>
      <c r="AG627" s="176"/>
      <c r="AH627" s="176"/>
      <c r="AI627" s="181"/>
      <c r="AJ627" s="181"/>
      <c r="AK627" s="176"/>
      <c r="AL627" s="181"/>
      <c r="AM627" s="181"/>
      <c r="AN627" s="176"/>
      <c r="AO627" s="181"/>
      <c r="AP627" s="181"/>
    </row>
    <row r="628" ht="12.75" customHeight="1">
      <c r="A628" s="179"/>
      <c r="B628" s="459"/>
      <c r="C628" s="481"/>
      <c r="D628" s="180"/>
      <c r="E628" s="180"/>
      <c r="F628" s="180"/>
      <c r="G628" s="460"/>
      <c r="H628" s="181"/>
      <c r="I628" s="181"/>
      <c r="J628" s="181"/>
      <c r="K628" s="181"/>
      <c r="L628" s="181"/>
      <c r="M628" s="329"/>
      <c r="N628" s="181"/>
      <c r="O628" s="181"/>
      <c r="P628" s="176"/>
      <c r="Q628" s="181"/>
      <c r="R628" s="181"/>
      <c r="S628" s="176"/>
      <c r="T628" s="181"/>
      <c r="U628" s="181"/>
      <c r="V628" s="176"/>
      <c r="W628" s="181"/>
      <c r="X628" s="181"/>
      <c r="Y628" s="176"/>
      <c r="Z628" s="181"/>
      <c r="AA628" s="181"/>
      <c r="AB628" s="176"/>
      <c r="AC628" s="181"/>
      <c r="AD628" s="181"/>
      <c r="AE628" s="176"/>
      <c r="AF628" s="176"/>
      <c r="AG628" s="176"/>
      <c r="AH628" s="176"/>
      <c r="AI628" s="181"/>
      <c r="AJ628" s="181"/>
      <c r="AK628" s="176"/>
      <c r="AL628" s="181"/>
      <c r="AM628" s="181"/>
      <c r="AN628" s="176"/>
      <c r="AO628" s="181"/>
      <c r="AP628" s="181"/>
    </row>
    <row r="629" ht="12.75" customHeight="1">
      <c r="A629" s="179"/>
      <c r="B629" s="459"/>
      <c r="C629" s="481"/>
      <c r="D629" s="180"/>
      <c r="E629" s="180"/>
      <c r="F629" s="180"/>
      <c r="G629" s="460"/>
      <c r="H629" s="181"/>
      <c r="I629" s="181"/>
      <c r="J629" s="181"/>
      <c r="K629" s="181"/>
      <c r="L629" s="181"/>
      <c r="M629" s="329"/>
      <c r="N629" s="181"/>
      <c r="O629" s="181"/>
      <c r="P629" s="176"/>
      <c r="Q629" s="181"/>
      <c r="R629" s="181"/>
      <c r="S629" s="176"/>
      <c r="T629" s="181"/>
      <c r="U629" s="181"/>
      <c r="V629" s="176"/>
      <c r="W629" s="181"/>
      <c r="X629" s="181"/>
      <c r="Y629" s="176"/>
      <c r="Z629" s="181"/>
      <c r="AA629" s="181"/>
      <c r="AB629" s="176"/>
      <c r="AC629" s="181"/>
      <c r="AD629" s="181"/>
      <c r="AE629" s="176"/>
      <c r="AF629" s="176"/>
      <c r="AG629" s="176"/>
      <c r="AH629" s="176"/>
      <c r="AI629" s="181"/>
      <c r="AJ629" s="181"/>
      <c r="AK629" s="176"/>
      <c r="AL629" s="181"/>
      <c r="AM629" s="181"/>
      <c r="AN629" s="176"/>
      <c r="AO629" s="181"/>
      <c r="AP629" s="181"/>
    </row>
    <row r="630" ht="12.75" customHeight="1">
      <c r="A630" s="179"/>
      <c r="B630" s="459"/>
      <c r="C630" s="481"/>
      <c r="D630" s="180"/>
      <c r="E630" s="180"/>
      <c r="F630" s="180"/>
      <c r="G630" s="460"/>
      <c r="H630" s="181"/>
      <c r="I630" s="181"/>
      <c r="J630" s="181"/>
      <c r="K630" s="181"/>
      <c r="L630" s="181"/>
      <c r="M630" s="329"/>
      <c r="N630" s="181"/>
      <c r="O630" s="181"/>
      <c r="P630" s="176"/>
      <c r="Q630" s="181"/>
      <c r="R630" s="181"/>
      <c r="S630" s="176"/>
      <c r="T630" s="181"/>
      <c r="U630" s="181"/>
      <c r="V630" s="176"/>
      <c r="W630" s="181"/>
      <c r="X630" s="181"/>
      <c r="Y630" s="176"/>
      <c r="Z630" s="181"/>
      <c r="AA630" s="181"/>
      <c r="AB630" s="176"/>
      <c r="AC630" s="181"/>
      <c r="AD630" s="181"/>
      <c r="AE630" s="176"/>
      <c r="AF630" s="176"/>
      <c r="AG630" s="176"/>
      <c r="AH630" s="176"/>
      <c r="AI630" s="181"/>
      <c r="AJ630" s="181"/>
      <c r="AK630" s="176"/>
      <c r="AL630" s="181"/>
      <c r="AM630" s="181"/>
      <c r="AN630" s="176"/>
      <c r="AO630" s="181"/>
      <c r="AP630" s="181"/>
    </row>
    <row r="631" ht="12.75" customHeight="1">
      <c r="A631" s="179"/>
      <c r="B631" s="459"/>
      <c r="C631" s="481"/>
      <c r="D631" s="180"/>
      <c r="E631" s="180"/>
      <c r="F631" s="180"/>
      <c r="G631" s="460"/>
      <c r="H631" s="181"/>
      <c r="I631" s="181"/>
      <c r="J631" s="181"/>
      <c r="K631" s="181"/>
      <c r="L631" s="181"/>
      <c r="M631" s="329"/>
      <c r="N631" s="181"/>
      <c r="O631" s="181"/>
      <c r="P631" s="176"/>
      <c r="Q631" s="181"/>
      <c r="R631" s="181"/>
      <c r="S631" s="176"/>
      <c r="T631" s="181"/>
      <c r="U631" s="181"/>
      <c r="V631" s="176"/>
      <c r="W631" s="181"/>
      <c r="X631" s="181"/>
      <c r="Y631" s="176"/>
      <c r="Z631" s="181"/>
      <c r="AA631" s="181"/>
      <c r="AB631" s="176"/>
      <c r="AC631" s="181"/>
      <c r="AD631" s="181"/>
      <c r="AE631" s="176"/>
      <c r="AF631" s="176"/>
      <c r="AG631" s="176"/>
      <c r="AH631" s="176"/>
      <c r="AI631" s="181"/>
      <c r="AJ631" s="181"/>
      <c r="AK631" s="176"/>
      <c r="AL631" s="181"/>
      <c r="AM631" s="181"/>
      <c r="AN631" s="176"/>
      <c r="AO631" s="181"/>
      <c r="AP631" s="181"/>
    </row>
    <row r="632" ht="12.75" customHeight="1">
      <c r="A632" s="179"/>
      <c r="B632" s="459"/>
      <c r="C632" s="481"/>
      <c r="D632" s="180"/>
      <c r="E632" s="180"/>
      <c r="F632" s="180"/>
      <c r="G632" s="460"/>
      <c r="H632" s="181"/>
      <c r="I632" s="181"/>
      <c r="J632" s="181"/>
      <c r="K632" s="181"/>
      <c r="L632" s="181"/>
      <c r="M632" s="329"/>
      <c r="N632" s="181"/>
      <c r="O632" s="181"/>
      <c r="P632" s="176"/>
      <c r="Q632" s="181"/>
      <c r="R632" s="181"/>
      <c r="S632" s="176"/>
      <c r="T632" s="181"/>
      <c r="U632" s="181"/>
      <c r="V632" s="176"/>
      <c r="W632" s="181"/>
      <c r="X632" s="181"/>
      <c r="Y632" s="176"/>
      <c r="Z632" s="181"/>
      <c r="AA632" s="181"/>
      <c r="AB632" s="176"/>
      <c r="AC632" s="181"/>
      <c r="AD632" s="181"/>
      <c r="AE632" s="176"/>
      <c r="AF632" s="176"/>
      <c r="AG632" s="176"/>
      <c r="AH632" s="176"/>
      <c r="AI632" s="181"/>
      <c r="AJ632" s="181"/>
      <c r="AK632" s="176"/>
      <c r="AL632" s="181"/>
      <c r="AM632" s="181"/>
      <c r="AN632" s="176"/>
      <c r="AO632" s="181"/>
      <c r="AP632" s="181"/>
    </row>
    <row r="633" ht="12.75" customHeight="1">
      <c r="A633" s="179"/>
      <c r="B633" s="459"/>
      <c r="C633" s="481"/>
      <c r="D633" s="180"/>
      <c r="E633" s="180"/>
      <c r="F633" s="180"/>
      <c r="G633" s="460"/>
      <c r="H633" s="181"/>
      <c r="I633" s="181"/>
      <c r="J633" s="181"/>
      <c r="K633" s="181"/>
      <c r="L633" s="181"/>
      <c r="M633" s="329"/>
      <c r="N633" s="181"/>
      <c r="O633" s="181"/>
      <c r="P633" s="176"/>
      <c r="Q633" s="181"/>
      <c r="R633" s="181"/>
      <c r="S633" s="176"/>
      <c r="T633" s="181"/>
      <c r="U633" s="181"/>
      <c r="V633" s="176"/>
      <c r="W633" s="181"/>
      <c r="X633" s="181"/>
      <c r="Y633" s="176"/>
      <c r="Z633" s="181"/>
      <c r="AA633" s="181"/>
      <c r="AB633" s="176"/>
      <c r="AC633" s="181"/>
      <c r="AD633" s="181"/>
      <c r="AE633" s="176"/>
      <c r="AF633" s="176"/>
      <c r="AG633" s="176"/>
      <c r="AH633" s="176"/>
      <c r="AI633" s="181"/>
      <c r="AJ633" s="181"/>
      <c r="AK633" s="176"/>
      <c r="AL633" s="181"/>
      <c r="AM633" s="181"/>
      <c r="AN633" s="176"/>
      <c r="AO633" s="181"/>
      <c r="AP633" s="181"/>
    </row>
    <row r="634" ht="12.75" customHeight="1">
      <c r="A634" s="179"/>
      <c r="B634" s="459"/>
      <c r="C634" s="481"/>
      <c r="D634" s="180"/>
      <c r="E634" s="180"/>
      <c r="F634" s="180"/>
      <c r="G634" s="460"/>
      <c r="H634" s="181"/>
      <c r="I634" s="181"/>
      <c r="J634" s="181"/>
      <c r="K634" s="181"/>
      <c r="L634" s="181"/>
      <c r="M634" s="329"/>
      <c r="N634" s="181"/>
      <c r="O634" s="181"/>
      <c r="P634" s="176"/>
      <c r="Q634" s="181"/>
      <c r="R634" s="181"/>
      <c r="S634" s="176"/>
      <c r="T634" s="181"/>
      <c r="U634" s="181"/>
      <c r="V634" s="176"/>
      <c r="W634" s="181"/>
      <c r="X634" s="181"/>
      <c r="Y634" s="176"/>
      <c r="Z634" s="181"/>
      <c r="AA634" s="181"/>
      <c r="AB634" s="176"/>
      <c r="AC634" s="181"/>
      <c r="AD634" s="181"/>
      <c r="AE634" s="176"/>
      <c r="AF634" s="176"/>
      <c r="AG634" s="176"/>
      <c r="AH634" s="176"/>
      <c r="AI634" s="181"/>
      <c r="AJ634" s="181"/>
      <c r="AK634" s="176"/>
      <c r="AL634" s="181"/>
      <c r="AM634" s="181"/>
      <c r="AN634" s="176"/>
      <c r="AO634" s="181"/>
      <c r="AP634" s="181"/>
    </row>
    <row r="635" ht="12.75" customHeight="1">
      <c r="A635" s="179"/>
      <c r="B635" s="459"/>
      <c r="C635" s="481"/>
      <c r="D635" s="180"/>
      <c r="E635" s="180"/>
      <c r="F635" s="180"/>
      <c r="G635" s="460"/>
      <c r="H635" s="181"/>
      <c r="I635" s="181"/>
      <c r="J635" s="181"/>
      <c r="K635" s="181"/>
      <c r="L635" s="181"/>
      <c r="M635" s="329"/>
      <c r="N635" s="181"/>
      <c r="O635" s="181"/>
      <c r="P635" s="176"/>
      <c r="Q635" s="181"/>
      <c r="R635" s="181"/>
      <c r="S635" s="176"/>
      <c r="T635" s="181"/>
      <c r="U635" s="181"/>
      <c r="V635" s="176"/>
      <c r="W635" s="181"/>
      <c r="X635" s="181"/>
      <c r="Y635" s="176"/>
      <c r="Z635" s="181"/>
      <c r="AA635" s="181"/>
      <c r="AB635" s="176"/>
      <c r="AC635" s="181"/>
      <c r="AD635" s="181"/>
      <c r="AE635" s="176"/>
      <c r="AF635" s="176"/>
      <c r="AG635" s="176"/>
      <c r="AH635" s="176"/>
      <c r="AI635" s="181"/>
      <c r="AJ635" s="181"/>
      <c r="AK635" s="176"/>
      <c r="AL635" s="181"/>
      <c r="AM635" s="181"/>
      <c r="AN635" s="176"/>
      <c r="AO635" s="181"/>
      <c r="AP635" s="181"/>
    </row>
    <row r="636" ht="12.75" customHeight="1">
      <c r="A636" s="179"/>
      <c r="B636" s="459"/>
      <c r="C636" s="481"/>
      <c r="D636" s="180"/>
      <c r="E636" s="180"/>
      <c r="F636" s="180"/>
      <c r="G636" s="460"/>
      <c r="H636" s="181"/>
      <c r="I636" s="181"/>
      <c r="J636" s="181"/>
      <c r="K636" s="181"/>
      <c r="L636" s="181"/>
      <c r="M636" s="329"/>
      <c r="N636" s="181"/>
      <c r="O636" s="181"/>
      <c r="P636" s="176"/>
      <c r="Q636" s="181"/>
      <c r="R636" s="181"/>
      <c r="S636" s="176"/>
      <c r="T636" s="181"/>
      <c r="U636" s="181"/>
      <c r="V636" s="176"/>
      <c r="W636" s="181"/>
      <c r="X636" s="181"/>
      <c r="Y636" s="176"/>
      <c r="Z636" s="181"/>
      <c r="AA636" s="181"/>
      <c r="AB636" s="176"/>
      <c r="AC636" s="181"/>
      <c r="AD636" s="181"/>
      <c r="AE636" s="176"/>
      <c r="AF636" s="176"/>
      <c r="AG636" s="176"/>
      <c r="AH636" s="176"/>
      <c r="AI636" s="181"/>
      <c r="AJ636" s="181"/>
      <c r="AK636" s="176"/>
      <c r="AL636" s="181"/>
      <c r="AM636" s="181"/>
      <c r="AN636" s="176"/>
      <c r="AO636" s="181"/>
      <c r="AP636" s="181"/>
    </row>
    <row r="637" ht="12.75" customHeight="1">
      <c r="A637" s="179"/>
      <c r="B637" s="459"/>
      <c r="C637" s="481"/>
      <c r="D637" s="180"/>
      <c r="E637" s="180"/>
      <c r="F637" s="180"/>
      <c r="G637" s="460"/>
      <c r="H637" s="181"/>
      <c r="I637" s="181"/>
      <c r="J637" s="181"/>
      <c r="K637" s="181"/>
      <c r="L637" s="181"/>
      <c r="M637" s="329"/>
      <c r="N637" s="181"/>
      <c r="O637" s="181"/>
      <c r="P637" s="176"/>
      <c r="Q637" s="181"/>
      <c r="R637" s="181"/>
      <c r="S637" s="176"/>
      <c r="T637" s="181"/>
      <c r="U637" s="181"/>
      <c r="V637" s="176"/>
      <c r="W637" s="181"/>
      <c r="X637" s="181"/>
      <c r="Y637" s="176"/>
      <c r="Z637" s="181"/>
      <c r="AA637" s="181"/>
      <c r="AB637" s="176"/>
      <c r="AC637" s="181"/>
      <c r="AD637" s="181"/>
      <c r="AE637" s="176"/>
      <c r="AF637" s="176"/>
      <c r="AG637" s="176"/>
      <c r="AH637" s="176"/>
      <c r="AI637" s="181"/>
      <c r="AJ637" s="181"/>
      <c r="AK637" s="176"/>
      <c r="AL637" s="181"/>
      <c r="AM637" s="181"/>
      <c r="AN637" s="176"/>
      <c r="AO637" s="181"/>
      <c r="AP637" s="181"/>
    </row>
    <row r="638" ht="12.75" customHeight="1">
      <c r="A638" s="179"/>
      <c r="B638" s="459"/>
      <c r="C638" s="481"/>
      <c r="D638" s="180"/>
      <c r="E638" s="180"/>
      <c r="F638" s="180"/>
      <c r="G638" s="460"/>
      <c r="H638" s="181"/>
      <c r="I638" s="181"/>
      <c r="J638" s="181"/>
      <c r="K638" s="181"/>
      <c r="L638" s="181"/>
      <c r="M638" s="329"/>
      <c r="N638" s="181"/>
      <c r="O638" s="181"/>
      <c r="P638" s="176"/>
      <c r="Q638" s="181"/>
      <c r="R638" s="181"/>
      <c r="S638" s="176"/>
      <c r="T638" s="181"/>
      <c r="U638" s="181"/>
      <c r="V638" s="176"/>
      <c r="W638" s="181"/>
      <c r="X638" s="181"/>
      <c r="Y638" s="176"/>
      <c r="Z638" s="181"/>
      <c r="AA638" s="181"/>
      <c r="AB638" s="176"/>
      <c r="AC638" s="181"/>
      <c r="AD638" s="181"/>
      <c r="AE638" s="176"/>
      <c r="AF638" s="176"/>
      <c r="AG638" s="176"/>
      <c r="AH638" s="176"/>
      <c r="AI638" s="181"/>
      <c r="AJ638" s="181"/>
      <c r="AK638" s="176"/>
      <c r="AL638" s="181"/>
      <c r="AM638" s="181"/>
      <c r="AN638" s="176"/>
      <c r="AO638" s="181"/>
      <c r="AP638" s="181"/>
    </row>
    <row r="639" ht="12.75" customHeight="1">
      <c r="A639" s="179"/>
      <c r="B639" s="459"/>
      <c r="C639" s="481"/>
      <c r="D639" s="180"/>
      <c r="E639" s="180"/>
      <c r="F639" s="180"/>
      <c r="G639" s="460"/>
      <c r="H639" s="181"/>
      <c r="I639" s="181"/>
      <c r="J639" s="181"/>
      <c r="K639" s="181"/>
      <c r="L639" s="181"/>
      <c r="M639" s="329"/>
      <c r="N639" s="181"/>
      <c r="O639" s="181"/>
      <c r="P639" s="176"/>
      <c r="Q639" s="181"/>
      <c r="R639" s="181"/>
      <c r="S639" s="176"/>
      <c r="T639" s="181"/>
      <c r="U639" s="181"/>
      <c r="V639" s="176"/>
      <c r="W639" s="181"/>
      <c r="X639" s="181"/>
      <c r="Y639" s="176"/>
      <c r="Z639" s="181"/>
      <c r="AA639" s="181"/>
      <c r="AB639" s="176"/>
      <c r="AC639" s="181"/>
      <c r="AD639" s="181"/>
      <c r="AE639" s="176"/>
      <c r="AF639" s="176"/>
      <c r="AG639" s="176"/>
      <c r="AH639" s="176"/>
      <c r="AI639" s="181"/>
      <c r="AJ639" s="181"/>
      <c r="AK639" s="176"/>
      <c r="AL639" s="181"/>
      <c r="AM639" s="181"/>
      <c r="AN639" s="176"/>
      <c r="AO639" s="181"/>
      <c r="AP639" s="181"/>
    </row>
    <row r="640" ht="12.75" customHeight="1">
      <c r="A640" s="179"/>
      <c r="B640" s="459"/>
      <c r="C640" s="481"/>
      <c r="D640" s="180"/>
      <c r="E640" s="180"/>
      <c r="F640" s="180"/>
      <c r="G640" s="460"/>
      <c r="H640" s="181"/>
      <c r="I640" s="181"/>
      <c r="J640" s="181"/>
      <c r="K640" s="181"/>
      <c r="L640" s="181"/>
      <c r="M640" s="329"/>
      <c r="N640" s="181"/>
      <c r="O640" s="181"/>
      <c r="P640" s="176"/>
      <c r="Q640" s="181"/>
      <c r="R640" s="181"/>
      <c r="S640" s="176"/>
      <c r="T640" s="181"/>
      <c r="U640" s="181"/>
      <c r="V640" s="176"/>
      <c r="W640" s="181"/>
      <c r="X640" s="181"/>
      <c r="Y640" s="176"/>
      <c r="Z640" s="181"/>
      <c r="AA640" s="181"/>
      <c r="AB640" s="176"/>
      <c r="AC640" s="181"/>
      <c r="AD640" s="181"/>
      <c r="AE640" s="176"/>
      <c r="AF640" s="176"/>
      <c r="AG640" s="176"/>
      <c r="AH640" s="176"/>
      <c r="AI640" s="181"/>
      <c r="AJ640" s="181"/>
      <c r="AK640" s="176"/>
      <c r="AL640" s="181"/>
      <c r="AM640" s="181"/>
      <c r="AN640" s="176"/>
      <c r="AO640" s="181"/>
      <c r="AP640" s="181"/>
    </row>
    <row r="641" ht="12.75" customHeight="1">
      <c r="A641" s="179"/>
      <c r="B641" s="459"/>
      <c r="C641" s="481"/>
      <c r="D641" s="180"/>
      <c r="E641" s="180"/>
      <c r="F641" s="180"/>
      <c r="G641" s="460"/>
      <c r="H641" s="181"/>
      <c r="I641" s="181"/>
      <c r="J641" s="181"/>
      <c r="K641" s="181"/>
      <c r="L641" s="181"/>
      <c r="M641" s="329"/>
      <c r="N641" s="181"/>
      <c r="O641" s="181"/>
      <c r="P641" s="176"/>
      <c r="Q641" s="181"/>
      <c r="R641" s="181"/>
      <c r="S641" s="176"/>
      <c r="T641" s="181"/>
      <c r="U641" s="181"/>
      <c r="V641" s="176"/>
      <c r="W641" s="181"/>
      <c r="X641" s="181"/>
      <c r="Y641" s="176"/>
      <c r="Z641" s="181"/>
      <c r="AA641" s="181"/>
      <c r="AB641" s="176"/>
      <c r="AC641" s="181"/>
      <c r="AD641" s="181"/>
      <c r="AE641" s="176"/>
      <c r="AF641" s="176"/>
      <c r="AG641" s="176"/>
      <c r="AH641" s="176"/>
      <c r="AI641" s="181"/>
      <c r="AJ641" s="181"/>
      <c r="AK641" s="176"/>
      <c r="AL641" s="181"/>
      <c r="AM641" s="181"/>
      <c r="AN641" s="176"/>
      <c r="AO641" s="181"/>
      <c r="AP641" s="181"/>
    </row>
    <row r="642" ht="12.75" customHeight="1">
      <c r="A642" s="179"/>
      <c r="B642" s="459"/>
      <c r="C642" s="481"/>
      <c r="D642" s="180"/>
      <c r="E642" s="180"/>
      <c r="F642" s="180"/>
      <c r="G642" s="460"/>
      <c r="H642" s="181"/>
      <c r="I642" s="181"/>
      <c r="J642" s="181"/>
      <c r="K642" s="181"/>
      <c r="L642" s="181"/>
      <c r="M642" s="329"/>
      <c r="N642" s="181"/>
      <c r="O642" s="181"/>
      <c r="P642" s="176"/>
      <c r="Q642" s="181"/>
      <c r="R642" s="181"/>
      <c r="S642" s="176"/>
      <c r="T642" s="181"/>
      <c r="U642" s="181"/>
      <c r="V642" s="176"/>
      <c r="W642" s="181"/>
      <c r="X642" s="181"/>
      <c r="Y642" s="176"/>
      <c r="Z642" s="181"/>
      <c r="AA642" s="181"/>
      <c r="AB642" s="176"/>
      <c r="AC642" s="181"/>
      <c r="AD642" s="181"/>
      <c r="AE642" s="176"/>
      <c r="AF642" s="176"/>
      <c r="AG642" s="176"/>
      <c r="AH642" s="176"/>
      <c r="AI642" s="181"/>
      <c r="AJ642" s="181"/>
      <c r="AK642" s="176"/>
      <c r="AL642" s="181"/>
      <c r="AM642" s="181"/>
      <c r="AN642" s="176"/>
      <c r="AO642" s="181"/>
      <c r="AP642" s="181"/>
    </row>
    <row r="643" ht="12.75" customHeight="1">
      <c r="A643" s="179"/>
      <c r="B643" s="459"/>
      <c r="C643" s="481"/>
      <c r="D643" s="180"/>
      <c r="E643" s="180"/>
      <c r="F643" s="180"/>
      <c r="G643" s="460"/>
      <c r="H643" s="181"/>
      <c r="I643" s="181"/>
      <c r="J643" s="181"/>
      <c r="K643" s="181"/>
      <c r="L643" s="181"/>
      <c r="M643" s="329"/>
      <c r="N643" s="181"/>
      <c r="O643" s="181"/>
      <c r="P643" s="176"/>
      <c r="Q643" s="181"/>
      <c r="R643" s="181"/>
      <c r="S643" s="176"/>
      <c r="T643" s="181"/>
      <c r="U643" s="181"/>
      <c r="V643" s="176"/>
      <c r="W643" s="181"/>
      <c r="X643" s="181"/>
      <c r="Y643" s="176"/>
      <c r="Z643" s="181"/>
      <c r="AA643" s="181"/>
      <c r="AB643" s="176"/>
      <c r="AC643" s="181"/>
      <c r="AD643" s="181"/>
      <c r="AE643" s="176"/>
      <c r="AF643" s="176"/>
      <c r="AG643" s="176"/>
      <c r="AH643" s="176"/>
      <c r="AI643" s="181"/>
      <c r="AJ643" s="181"/>
      <c r="AK643" s="176"/>
      <c r="AL643" s="181"/>
      <c r="AM643" s="181"/>
      <c r="AN643" s="176"/>
      <c r="AO643" s="181"/>
      <c r="AP643" s="181"/>
    </row>
    <row r="644" ht="12.75" customHeight="1">
      <c r="A644" s="179"/>
      <c r="B644" s="459"/>
      <c r="C644" s="481"/>
      <c r="D644" s="180"/>
      <c r="E644" s="180"/>
      <c r="F644" s="180"/>
      <c r="G644" s="460"/>
      <c r="H644" s="181"/>
      <c r="I644" s="181"/>
      <c r="J644" s="181"/>
      <c r="K644" s="181"/>
      <c r="L644" s="181"/>
      <c r="M644" s="329"/>
      <c r="N644" s="181"/>
      <c r="O644" s="181"/>
      <c r="P644" s="176"/>
      <c r="Q644" s="181"/>
      <c r="R644" s="181"/>
      <c r="S644" s="176"/>
      <c r="T644" s="181"/>
      <c r="U644" s="181"/>
      <c r="V644" s="176"/>
      <c r="W644" s="181"/>
      <c r="X644" s="181"/>
      <c r="Y644" s="176"/>
      <c r="Z644" s="181"/>
      <c r="AA644" s="181"/>
      <c r="AB644" s="176"/>
      <c r="AC644" s="181"/>
      <c r="AD644" s="181"/>
      <c r="AE644" s="176"/>
      <c r="AF644" s="176"/>
      <c r="AG644" s="176"/>
      <c r="AH644" s="176"/>
      <c r="AI644" s="181"/>
      <c r="AJ644" s="181"/>
      <c r="AK644" s="176"/>
      <c r="AL644" s="181"/>
      <c r="AM644" s="181"/>
      <c r="AN644" s="176"/>
      <c r="AO644" s="181"/>
      <c r="AP644" s="181"/>
    </row>
    <row r="645" ht="12.75" customHeight="1">
      <c r="A645" s="179"/>
      <c r="B645" s="459"/>
      <c r="C645" s="481"/>
      <c r="D645" s="180"/>
      <c r="E645" s="180"/>
      <c r="F645" s="180"/>
      <c r="G645" s="460"/>
      <c r="H645" s="181"/>
      <c r="I645" s="181"/>
      <c r="J645" s="181"/>
      <c r="K645" s="181"/>
      <c r="L645" s="181"/>
      <c r="M645" s="329"/>
      <c r="N645" s="181"/>
      <c r="O645" s="181"/>
      <c r="P645" s="176"/>
      <c r="Q645" s="181"/>
      <c r="R645" s="181"/>
      <c r="S645" s="176"/>
      <c r="T645" s="181"/>
      <c r="U645" s="181"/>
      <c r="V645" s="176"/>
      <c r="W645" s="181"/>
      <c r="X645" s="181"/>
      <c r="Y645" s="176"/>
      <c r="Z645" s="181"/>
      <c r="AA645" s="181"/>
      <c r="AB645" s="176"/>
      <c r="AC645" s="181"/>
      <c r="AD645" s="181"/>
      <c r="AE645" s="176"/>
      <c r="AF645" s="176"/>
      <c r="AG645" s="176"/>
      <c r="AH645" s="176"/>
      <c r="AI645" s="181"/>
      <c r="AJ645" s="181"/>
      <c r="AK645" s="176"/>
      <c r="AL645" s="181"/>
      <c r="AM645" s="181"/>
      <c r="AN645" s="176"/>
      <c r="AO645" s="181"/>
      <c r="AP645" s="181"/>
    </row>
    <row r="646" ht="12.75" customHeight="1">
      <c r="A646" s="179"/>
      <c r="B646" s="459"/>
      <c r="C646" s="481"/>
      <c r="D646" s="180"/>
      <c r="E646" s="180"/>
      <c r="F646" s="180"/>
      <c r="G646" s="460"/>
      <c r="H646" s="181"/>
      <c r="I646" s="181"/>
      <c r="J646" s="181"/>
      <c r="K646" s="181"/>
      <c r="L646" s="181"/>
      <c r="M646" s="329"/>
      <c r="N646" s="181"/>
      <c r="O646" s="181"/>
      <c r="P646" s="176"/>
      <c r="Q646" s="181"/>
      <c r="R646" s="181"/>
      <c r="S646" s="176"/>
      <c r="T646" s="181"/>
      <c r="U646" s="181"/>
      <c r="V646" s="176"/>
      <c r="W646" s="181"/>
      <c r="X646" s="181"/>
      <c r="Y646" s="176"/>
      <c r="Z646" s="181"/>
      <c r="AA646" s="181"/>
      <c r="AB646" s="176"/>
      <c r="AC646" s="181"/>
      <c r="AD646" s="181"/>
      <c r="AE646" s="176"/>
      <c r="AF646" s="176"/>
      <c r="AG646" s="176"/>
      <c r="AH646" s="176"/>
      <c r="AI646" s="181"/>
      <c r="AJ646" s="181"/>
      <c r="AK646" s="176"/>
      <c r="AL646" s="181"/>
      <c r="AM646" s="181"/>
      <c r="AN646" s="176"/>
      <c r="AO646" s="181"/>
      <c r="AP646" s="181"/>
    </row>
    <row r="647" ht="12.75" customHeight="1">
      <c r="A647" s="179"/>
      <c r="B647" s="459"/>
      <c r="C647" s="481"/>
      <c r="D647" s="180"/>
      <c r="E647" s="180"/>
      <c r="F647" s="180"/>
      <c r="G647" s="460"/>
      <c r="H647" s="181"/>
      <c r="I647" s="181"/>
      <c r="J647" s="181"/>
      <c r="K647" s="181"/>
      <c r="L647" s="181"/>
      <c r="M647" s="329"/>
      <c r="N647" s="181"/>
      <c r="O647" s="181"/>
      <c r="P647" s="176"/>
      <c r="Q647" s="181"/>
      <c r="R647" s="181"/>
      <c r="S647" s="176"/>
      <c r="T647" s="181"/>
      <c r="U647" s="181"/>
      <c r="V647" s="176"/>
      <c r="W647" s="181"/>
      <c r="X647" s="181"/>
      <c r="Y647" s="176"/>
      <c r="Z647" s="181"/>
      <c r="AA647" s="181"/>
      <c r="AB647" s="176"/>
      <c r="AC647" s="181"/>
      <c r="AD647" s="181"/>
      <c r="AE647" s="176"/>
      <c r="AF647" s="176"/>
      <c r="AG647" s="176"/>
      <c r="AH647" s="176"/>
      <c r="AI647" s="181"/>
      <c r="AJ647" s="181"/>
      <c r="AK647" s="176"/>
      <c r="AL647" s="181"/>
      <c r="AM647" s="181"/>
      <c r="AN647" s="176"/>
      <c r="AO647" s="181"/>
      <c r="AP647" s="181"/>
    </row>
    <row r="648" ht="12.75" customHeight="1">
      <c r="A648" s="179"/>
      <c r="B648" s="459"/>
      <c r="C648" s="481"/>
      <c r="D648" s="180"/>
      <c r="E648" s="180"/>
      <c r="F648" s="180"/>
      <c r="G648" s="460"/>
      <c r="H648" s="181"/>
      <c r="I648" s="181"/>
      <c r="J648" s="181"/>
      <c r="K648" s="181"/>
      <c r="L648" s="181"/>
      <c r="M648" s="329"/>
      <c r="N648" s="181"/>
      <c r="O648" s="181"/>
      <c r="P648" s="176"/>
      <c r="Q648" s="181"/>
      <c r="R648" s="181"/>
      <c r="S648" s="176"/>
      <c r="T648" s="181"/>
      <c r="U648" s="181"/>
      <c r="V648" s="176"/>
      <c r="W648" s="181"/>
      <c r="X648" s="181"/>
      <c r="Y648" s="176"/>
      <c r="Z648" s="181"/>
      <c r="AA648" s="181"/>
      <c r="AB648" s="176"/>
      <c r="AC648" s="181"/>
      <c r="AD648" s="181"/>
      <c r="AE648" s="176"/>
      <c r="AF648" s="176"/>
      <c r="AG648" s="176"/>
      <c r="AH648" s="176"/>
      <c r="AI648" s="181"/>
      <c r="AJ648" s="181"/>
      <c r="AK648" s="176"/>
      <c r="AL648" s="181"/>
      <c r="AM648" s="181"/>
      <c r="AN648" s="176"/>
      <c r="AO648" s="181"/>
      <c r="AP648" s="181"/>
    </row>
    <row r="649" ht="12.75" customHeight="1">
      <c r="A649" s="179"/>
      <c r="B649" s="459"/>
      <c r="C649" s="481"/>
      <c r="D649" s="180"/>
      <c r="E649" s="180"/>
      <c r="F649" s="180"/>
      <c r="G649" s="460"/>
      <c r="H649" s="181"/>
      <c r="I649" s="181"/>
      <c r="J649" s="181"/>
      <c r="K649" s="181"/>
      <c r="L649" s="181"/>
      <c r="M649" s="329"/>
      <c r="N649" s="181"/>
      <c r="O649" s="181"/>
      <c r="P649" s="176"/>
      <c r="Q649" s="181"/>
      <c r="R649" s="181"/>
      <c r="S649" s="176"/>
      <c r="T649" s="181"/>
      <c r="U649" s="181"/>
      <c r="V649" s="176"/>
      <c r="W649" s="181"/>
      <c r="X649" s="181"/>
      <c r="Y649" s="176"/>
      <c r="Z649" s="181"/>
      <c r="AA649" s="181"/>
      <c r="AB649" s="176"/>
      <c r="AC649" s="181"/>
      <c r="AD649" s="181"/>
      <c r="AE649" s="176"/>
      <c r="AF649" s="176"/>
      <c r="AG649" s="176"/>
      <c r="AH649" s="176"/>
      <c r="AI649" s="181"/>
      <c r="AJ649" s="181"/>
      <c r="AK649" s="176"/>
      <c r="AL649" s="181"/>
      <c r="AM649" s="181"/>
      <c r="AN649" s="176"/>
      <c r="AO649" s="181"/>
      <c r="AP649" s="181"/>
    </row>
    <row r="650" ht="12.75" customHeight="1">
      <c r="A650" s="179"/>
      <c r="B650" s="459"/>
      <c r="C650" s="481"/>
      <c r="D650" s="180"/>
      <c r="E650" s="180"/>
      <c r="F650" s="180"/>
      <c r="G650" s="460"/>
      <c r="H650" s="181"/>
      <c r="I650" s="181"/>
      <c r="J650" s="181"/>
      <c r="K650" s="181"/>
      <c r="L650" s="181"/>
      <c r="M650" s="329"/>
      <c r="N650" s="181"/>
      <c r="O650" s="181"/>
      <c r="P650" s="176"/>
      <c r="Q650" s="181"/>
      <c r="R650" s="181"/>
      <c r="S650" s="176"/>
      <c r="T650" s="181"/>
      <c r="U650" s="181"/>
      <c r="V650" s="176"/>
      <c r="W650" s="181"/>
      <c r="X650" s="181"/>
      <c r="Y650" s="176"/>
      <c r="Z650" s="181"/>
      <c r="AA650" s="181"/>
      <c r="AB650" s="176"/>
      <c r="AC650" s="181"/>
      <c r="AD650" s="181"/>
      <c r="AE650" s="176"/>
      <c r="AF650" s="176"/>
      <c r="AG650" s="176"/>
      <c r="AH650" s="176"/>
      <c r="AI650" s="181"/>
      <c r="AJ650" s="181"/>
      <c r="AK650" s="176"/>
      <c r="AL650" s="181"/>
      <c r="AM650" s="181"/>
      <c r="AN650" s="176"/>
      <c r="AO650" s="181"/>
      <c r="AP650" s="181"/>
    </row>
    <row r="651" ht="12.75" customHeight="1">
      <c r="A651" s="179"/>
      <c r="B651" s="459"/>
      <c r="C651" s="481"/>
      <c r="D651" s="180"/>
      <c r="E651" s="180"/>
      <c r="F651" s="180"/>
      <c r="G651" s="460"/>
      <c r="H651" s="181"/>
      <c r="I651" s="181"/>
      <c r="J651" s="181"/>
      <c r="K651" s="181"/>
      <c r="L651" s="181"/>
      <c r="M651" s="329"/>
      <c r="N651" s="181"/>
      <c r="O651" s="181"/>
      <c r="P651" s="176"/>
      <c r="Q651" s="181"/>
      <c r="R651" s="181"/>
      <c r="S651" s="176"/>
      <c r="T651" s="181"/>
      <c r="U651" s="181"/>
      <c r="V651" s="176"/>
      <c r="W651" s="181"/>
      <c r="X651" s="181"/>
      <c r="Y651" s="176"/>
      <c r="Z651" s="181"/>
      <c r="AA651" s="181"/>
      <c r="AB651" s="176"/>
      <c r="AC651" s="181"/>
      <c r="AD651" s="181"/>
      <c r="AE651" s="176"/>
      <c r="AF651" s="176"/>
      <c r="AG651" s="176"/>
      <c r="AH651" s="176"/>
      <c r="AI651" s="181"/>
      <c r="AJ651" s="181"/>
      <c r="AK651" s="176"/>
      <c r="AL651" s="181"/>
      <c r="AM651" s="181"/>
      <c r="AN651" s="176"/>
      <c r="AO651" s="181"/>
      <c r="AP651" s="181"/>
    </row>
    <row r="652" ht="12.75" customHeight="1">
      <c r="A652" s="179"/>
      <c r="B652" s="459"/>
      <c r="C652" s="481"/>
      <c r="D652" s="180"/>
      <c r="E652" s="180"/>
      <c r="F652" s="180"/>
      <c r="G652" s="460"/>
      <c r="H652" s="181"/>
      <c r="I652" s="181"/>
      <c r="J652" s="181"/>
      <c r="K652" s="181"/>
      <c r="L652" s="181"/>
      <c r="M652" s="329"/>
      <c r="N652" s="181"/>
      <c r="O652" s="181"/>
      <c r="P652" s="176"/>
      <c r="Q652" s="181"/>
      <c r="R652" s="181"/>
      <c r="S652" s="176"/>
      <c r="T652" s="181"/>
      <c r="U652" s="181"/>
      <c r="V652" s="176"/>
      <c r="W652" s="181"/>
      <c r="X652" s="181"/>
      <c r="Y652" s="176"/>
      <c r="Z652" s="181"/>
      <c r="AA652" s="181"/>
      <c r="AB652" s="176"/>
      <c r="AC652" s="181"/>
      <c r="AD652" s="181"/>
      <c r="AE652" s="176"/>
      <c r="AF652" s="176"/>
      <c r="AG652" s="176"/>
      <c r="AH652" s="176"/>
      <c r="AI652" s="181"/>
      <c r="AJ652" s="181"/>
      <c r="AK652" s="176"/>
      <c r="AL652" s="181"/>
      <c r="AM652" s="181"/>
      <c r="AN652" s="176"/>
      <c r="AO652" s="181"/>
      <c r="AP652" s="181"/>
    </row>
    <row r="653" ht="12.75" customHeight="1">
      <c r="A653" s="179"/>
      <c r="B653" s="459"/>
      <c r="C653" s="481"/>
      <c r="D653" s="180"/>
      <c r="E653" s="180"/>
      <c r="F653" s="180"/>
      <c r="G653" s="460"/>
      <c r="H653" s="181"/>
      <c r="I653" s="181"/>
      <c r="J653" s="181"/>
      <c r="K653" s="181"/>
      <c r="L653" s="181"/>
      <c r="M653" s="329"/>
      <c r="N653" s="181"/>
      <c r="O653" s="181"/>
      <c r="P653" s="176"/>
      <c r="Q653" s="181"/>
      <c r="R653" s="181"/>
      <c r="S653" s="176"/>
      <c r="T653" s="181"/>
      <c r="U653" s="181"/>
      <c r="V653" s="176"/>
      <c r="W653" s="181"/>
      <c r="X653" s="181"/>
      <c r="Y653" s="176"/>
      <c r="Z653" s="181"/>
      <c r="AA653" s="181"/>
      <c r="AB653" s="176"/>
      <c r="AC653" s="181"/>
      <c r="AD653" s="181"/>
      <c r="AE653" s="176"/>
      <c r="AF653" s="176"/>
      <c r="AG653" s="176"/>
      <c r="AH653" s="176"/>
      <c r="AI653" s="181"/>
      <c r="AJ653" s="181"/>
      <c r="AK653" s="176"/>
      <c r="AL653" s="181"/>
      <c r="AM653" s="181"/>
      <c r="AN653" s="176"/>
      <c r="AO653" s="181"/>
      <c r="AP653" s="181"/>
    </row>
    <row r="654" ht="12.75" customHeight="1">
      <c r="A654" s="179"/>
      <c r="B654" s="459"/>
      <c r="C654" s="481"/>
      <c r="D654" s="180"/>
      <c r="E654" s="180"/>
      <c r="F654" s="180"/>
      <c r="G654" s="460"/>
      <c r="H654" s="181"/>
      <c r="I654" s="181"/>
      <c r="J654" s="181"/>
      <c r="K654" s="181"/>
      <c r="L654" s="181"/>
      <c r="M654" s="329"/>
      <c r="N654" s="181"/>
      <c r="O654" s="181"/>
      <c r="P654" s="176"/>
      <c r="Q654" s="181"/>
      <c r="R654" s="181"/>
      <c r="S654" s="176"/>
      <c r="T654" s="181"/>
      <c r="U654" s="181"/>
      <c r="V654" s="176"/>
      <c r="W654" s="181"/>
      <c r="X654" s="181"/>
      <c r="Y654" s="176"/>
      <c r="Z654" s="181"/>
      <c r="AA654" s="181"/>
      <c r="AB654" s="176"/>
      <c r="AC654" s="181"/>
      <c r="AD654" s="181"/>
      <c r="AE654" s="176"/>
      <c r="AF654" s="176"/>
      <c r="AG654" s="176"/>
      <c r="AH654" s="176"/>
      <c r="AI654" s="181"/>
      <c r="AJ654" s="181"/>
      <c r="AK654" s="176"/>
      <c r="AL654" s="181"/>
      <c r="AM654" s="181"/>
      <c r="AN654" s="176"/>
      <c r="AO654" s="181"/>
      <c r="AP654" s="181"/>
    </row>
    <row r="655" ht="12.75" customHeight="1">
      <c r="A655" s="179"/>
      <c r="B655" s="459"/>
      <c r="C655" s="481"/>
      <c r="D655" s="180"/>
      <c r="E655" s="180"/>
      <c r="F655" s="180"/>
      <c r="G655" s="460"/>
      <c r="H655" s="181"/>
      <c r="I655" s="181"/>
      <c r="J655" s="181"/>
      <c r="K655" s="181"/>
      <c r="L655" s="181"/>
      <c r="M655" s="329"/>
      <c r="N655" s="181"/>
      <c r="O655" s="181"/>
      <c r="P655" s="176"/>
      <c r="Q655" s="181"/>
      <c r="R655" s="181"/>
      <c r="S655" s="176"/>
      <c r="T655" s="181"/>
      <c r="U655" s="181"/>
      <c r="V655" s="176"/>
      <c r="W655" s="181"/>
      <c r="X655" s="181"/>
      <c r="Y655" s="176"/>
      <c r="Z655" s="181"/>
      <c r="AA655" s="181"/>
      <c r="AB655" s="176"/>
      <c r="AC655" s="181"/>
      <c r="AD655" s="181"/>
      <c r="AE655" s="176"/>
      <c r="AF655" s="176"/>
      <c r="AG655" s="176"/>
      <c r="AH655" s="176"/>
      <c r="AI655" s="181"/>
      <c r="AJ655" s="181"/>
      <c r="AK655" s="176"/>
      <c r="AL655" s="181"/>
      <c r="AM655" s="181"/>
      <c r="AN655" s="176"/>
      <c r="AO655" s="181"/>
      <c r="AP655" s="181"/>
    </row>
    <row r="656" ht="12.75" customHeight="1">
      <c r="A656" s="179"/>
      <c r="B656" s="459"/>
      <c r="C656" s="481"/>
      <c r="D656" s="180"/>
      <c r="E656" s="180"/>
      <c r="F656" s="180"/>
      <c r="G656" s="460"/>
      <c r="H656" s="181"/>
      <c r="I656" s="181"/>
      <c r="J656" s="181"/>
      <c r="K656" s="181"/>
      <c r="L656" s="181"/>
      <c r="M656" s="329"/>
      <c r="N656" s="181"/>
      <c r="O656" s="181"/>
      <c r="P656" s="176"/>
      <c r="Q656" s="181"/>
      <c r="R656" s="181"/>
      <c r="S656" s="176"/>
      <c r="T656" s="181"/>
      <c r="U656" s="181"/>
      <c r="V656" s="176"/>
      <c r="W656" s="181"/>
      <c r="X656" s="181"/>
      <c r="Y656" s="176"/>
      <c r="Z656" s="181"/>
      <c r="AA656" s="181"/>
      <c r="AB656" s="176"/>
      <c r="AC656" s="181"/>
      <c r="AD656" s="181"/>
      <c r="AE656" s="176"/>
      <c r="AF656" s="176"/>
      <c r="AG656" s="176"/>
      <c r="AH656" s="176"/>
      <c r="AI656" s="181"/>
      <c r="AJ656" s="181"/>
      <c r="AK656" s="176"/>
      <c r="AL656" s="181"/>
      <c r="AM656" s="181"/>
      <c r="AN656" s="176"/>
      <c r="AO656" s="181"/>
      <c r="AP656" s="181"/>
    </row>
    <row r="657" ht="12.75" customHeight="1">
      <c r="A657" s="179"/>
      <c r="B657" s="459"/>
      <c r="C657" s="481"/>
      <c r="D657" s="180"/>
      <c r="E657" s="180"/>
      <c r="F657" s="180"/>
      <c r="G657" s="460"/>
      <c r="H657" s="181"/>
      <c r="I657" s="181"/>
      <c r="J657" s="181"/>
      <c r="K657" s="181"/>
      <c r="L657" s="181"/>
      <c r="M657" s="329"/>
      <c r="N657" s="181"/>
      <c r="O657" s="181"/>
      <c r="P657" s="176"/>
      <c r="Q657" s="181"/>
      <c r="R657" s="181"/>
      <c r="S657" s="176"/>
      <c r="T657" s="181"/>
      <c r="U657" s="181"/>
      <c r="V657" s="176"/>
      <c r="W657" s="181"/>
      <c r="X657" s="181"/>
      <c r="Y657" s="176"/>
      <c r="Z657" s="181"/>
      <c r="AA657" s="181"/>
      <c r="AB657" s="176"/>
      <c r="AC657" s="181"/>
      <c r="AD657" s="181"/>
      <c r="AE657" s="176"/>
      <c r="AF657" s="176"/>
      <c r="AG657" s="176"/>
      <c r="AH657" s="176"/>
      <c r="AI657" s="181"/>
      <c r="AJ657" s="181"/>
      <c r="AK657" s="176"/>
      <c r="AL657" s="181"/>
      <c r="AM657" s="181"/>
      <c r="AN657" s="176"/>
      <c r="AO657" s="181"/>
      <c r="AP657" s="181"/>
    </row>
    <row r="658" ht="12.75" customHeight="1">
      <c r="A658" s="179"/>
      <c r="B658" s="459"/>
      <c r="C658" s="481"/>
      <c r="D658" s="180"/>
      <c r="E658" s="180"/>
      <c r="F658" s="180"/>
      <c r="G658" s="460"/>
      <c r="H658" s="181"/>
      <c r="I658" s="181"/>
      <c r="J658" s="181"/>
      <c r="K658" s="181"/>
      <c r="L658" s="181"/>
      <c r="M658" s="329"/>
      <c r="N658" s="181"/>
      <c r="O658" s="181"/>
      <c r="P658" s="176"/>
      <c r="Q658" s="181"/>
      <c r="R658" s="181"/>
      <c r="S658" s="176"/>
      <c r="T658" s="181"/>
      <c r="U658" s="181"/>
      <c r="V658" s="176"/>
      <c r="W658" s="181"/>
      <c r="X658" s="181"/>
      <c r="Y658" s="176"/>
      <c r="Z658" s="181"/>
      <c r="AA658" s="181"/>
      <c r="AB658" s="176"/>
      <c r="AC658" s="181"/>
      <c r="AD658" s="181"/>
      <c r="AE658" s="176"/>
      <c r="AF658" s="176"/>
      <c r="AG658" s="176"/>
      <c r="AH658" s="176"/>
      <c r="AI658" s="181"/>
      <c r="AJ658" s="181"/>
      <c r="AK658" s="176"/>
      <c r="AL658" s="181"/>
      <c r="AM658" s="181"/>
      <c r="AN658" s="176"/>
      <c r="AO658" s="181"/>
      <c r="AP658" s="181"/>
    </row>
    <row r="659" ht="12.75" customHeight="1">
      <c r="A659" s="179"/>
      <c r="B659" s="459"/>
      <c r="C659" s="481"/>
      <c r="D659" s="180"/>
      <c r="E659" s="180"/>
      <c r="F659" s="180"/>
      <c r="G659" s="460"/>
      <c r="H659" s="181"/>
      <c r="I659" s="181"/>
      <c r="J659" s="181"/>
      <c r="K659" s="181"/>
      <c r="L659" s="181"/>
      <c r="M659" s="329"/>
      <c r="N659" s="181"/>
      <c r="O659" s="181"/>
      <c r="P659" s="176"/>
      <c r="Q659" s="181"/>
      <c r="R659" s="181"/>
      <c r="S659" s="176"/>
      <c r="T659" s="181"/>
      <c r="U659" s="181"/>
      <c r="V659" s="176"/>
      <c r="W659" s="181"/>
      <c r="X659" s="181"/>
      <c r="Y659" s="176"/>
      <c r="Z659" s="181"/>
      <c r="AA659" s="181"/>
      <c r="AB659" s="176"/>
      <c r="AC659" s="181"/>
      <c r="AD659" s="181"/>
      <c r="AE659" s="176"/>
      <c r="AF659" s="176"/>
      <c r="AG659" s="176"/>
      <c r="AH659" s="176"/>
      <c r="AI659" s="181"/>
      <c r="AJ659" s="181"/>
      <c r="AK659" s="176"/>
      <c r="AL659" s="181"/>
      <c r="AM659" s="181"/>
      <c r="AN659" s="176"/>
      <c r="AO659" s="181"/>
      <c r="AP659" s="181"/>
    </row>
    <row r="660" ht="12.75" customHeight="1">
      <c r="A660" s="179"/>
      <c r="B660" s="459"/>
      <c r="C660" s="481"/>
      <c r="D660" s="180"/>
      <c r="E660" s="180"/>
      <c r="F660" s="180"/>
      <c r="G660" s="460"/>
      <c r="H660" s="181"/>
      <c r="I660" s="181"/>
      <c r="J660" s="181"/>
      <c r="K660" s="181"/>
      <c r="L660" s="181"/>
      <c r="M660" s="329"/>
      <c r="N660" s="181"/>
      <c r="O660" s="181"/>
      <c r="P660" s="176"/>
      <c r="Q660" s="181"/>
      <c r="R660" s="181"/>
      <c r="S660" s="176"/>
      <c r="T660" s="181"/>
      <c r="U660" s="181"/>
      <c r="V660" s="176"/>
      <c r="W660" s="181"/>
      <c r="X660" s="181"/>
      <c r="Y660" s="176"/>
      <c r="Z660" s="181"/>
      <c r="AA660" s="181"/>
      <c r="AB660" s="176"/>
      <c r="AC660" s="181"/>
      <c r="AD660" s="181"/>
      <c r="AE660" s="176"/>
      <c r="AF660" s="176"/>
      <c r="AG660" s="176"/>
      <c r="AH660" s="176"/>
      <c r="AI660" s="181"/>
      <c r="AJ660" s="181"/>
      <c r="AK660" s="176"/>
      <c r="AL660" s="181"/>
      <c r="AM660" s="181"/>
      <c r="AN660" s="176"/>
      <c r="AO660" s="181"/>
      <c r="AP660" s="181"/>
    </row>
    <row r="661" ht="12.75" customHeight="1">
      <c r="A661" s="179"/>
      <c r="B661" s="459"/>
      <c r="C661" s="481"/>
      <c r="D661" s="180"/>
      <c r="E661" s="180"/>
      <c r="F661" s="180"/>
      <c r="G661" s="460"/>
      <c r="H661" s="181"/>
      <c r="I661" s="181"/>
      <c r="J661" s="181"/>
      <c r="K661" s="181"/>
      <c r="L661" s="181"/>
      <c r="M661" s="329"/>
      <c r="N661" s="181"/>
      <c r="O661" s="181"/>
      <c r="P661" s="176"/>
      <c r="Q661" s="181"/>
      <c r="R661" s="181"/>
      <c r="S661" s="176"/>
      <c r="T661" s="181"/>
      <c r="U661" s="181"/>
      <c r="V661" s="176"/>
      <c r="W661" s="181"/>
      <c r="X661" s="181"/>
      <c r="Y661" s="176"/>
      <c r="Z661" s="181"/>
      <c r="AA661" s="181"/>
      <c r="AB661" s="176"/>
      <c r="AC661" s="181"/>
      <c r="AD661" s="181"/>
      <c r="AE661" s="176"/>
      <c r="AF661" s="176"/>
      <c r="AG661" s="176"/>
      <c r="AH661" s="176"/>
      <c r="AI661" s="181"/>
      <c r="AJ661" s="181"/>
      <c r="AK661" s="176"/>
      <c r="AL661" s="181"/>
      <c r="AM661" s="181"/>
      <c r="AN661" s="176"/>
      <c r="AO661" s="181"/>
      <c r="AP661" s="181"/>
    </row>
    <row r="662" ht="12.75" customHeight="1">
      <c r="A662" s="179"/>
      <c r="B662" s="459"/>
      <c r="C662" s="481"/>
      <c r="D662" s="180"/>
      <c r="E662" s="180"/>
      <c r="F662" s="180"/>
      <c r="G662" s="460"/>
      <c r="H662" s="181"/>
      <c r="I662" s="181"/>
      <c r="J662" s="181"/>
      <c r="K662" s="181"/>
      <c r="L662" s="181"/>
      <c r="M662" s="329"/>
      <c r="N662" s="181"/>
      <c r="O662" s="181"/>
      <c r="P662" s="176"/>
      <c r="Q662" s="181"/>
      <c r="R662" s="181"/>
      <c r="S662" s="176"/>
      <c r="T662" s="181"/>
      <c r="U662" s="181"/>
      <c r="V662" s="176"/>
      <c r="W662" s="181"/>
      <c r="X662" s="181"/>
      <c r="Y662" s="176"/>
      <c r="Z662" s="181"/>
      <c r="AA662" s="181"/>
      <c r="AB662" s="176"/>
      <c r="AC662" s="181"/>
      <c r="AD662" s="181"/>
      <c r="AE662" s="176"/>
      <c r="AF662" s="176"/>
      <c r="AG662" s="176"/>
      <c r="AH662" s="176"/>
      <c r="AI662" s="181"/>
      <c r="AJ662" s="181"/>
      <c r="AK662" s="176"/>
      <c r="AL662" s="181"/>
      <c r="AM662" s="181"/>
      <c r="AN662" s="176"/>
      <c r="AO662" s="181"/>
      <c r="AP662" s="181"/>
    </row>
    <row r="663" ht="12.75" customHeight="1">
      <c r="A663" s="179"/>
      <c r="B663" s="459"/>
      <c r="C663" s="481"/>
      <c r="D663" s="180"/>
      <c r="E663" s="180"/>
      <c r="F663" s="180"/>
      <c r="G663" s="460"/>
      <c r="H663" s="181"/>
      <c r="I663" s="181"/>
      <c r="J663" s="181"/>
      <c r="K663" s="181"/>
      <c r="L663" s="181"/>
      <c r="M663" s="329"/>
      <c r="N663" s="181"/>
      <c r="O663" s="181"/>
      <c r="P663" s="176"/>
      <c r="Q663" s="181"/>
      <c r="R663" s="181"/>
      <c r="S663" s="176"/>
      <c r="T663" s="181"/>
      <c r="U663" s="181"/>
      <c r="V663" s="176"/>
      <c r="W663" s="181"/>
      <c r="X663" s="181"/>
      <c r="Y663" s="176"/>
      <c r="Z663" s="181"/>
      <c r="AA663" s="181"/>
      <c r="AB663" s="176"/>
      <c r="AC663" s="181"/>
      <c r="AD663" s="181"/>
      <c r="AE663" s="176"/>
      <c r="AF663" s="176"/>
      <c r="AG663" s="176"/>
      <c r="AH663" s="176"/>
      <c r="AI663" s="181"/>
      <c r="AJ663" s="181"/>
      <c r="AK663" s="176"/>
      <c r="AL663" s="181"/>
      <c r="AM663" s="181"/>
      <c r="AN663" s="176"/>
      <c r="AO663" s="181"/>
      <c r="AP663" s="181"/>
    </row>
    <row r="664" ht="12.75" customHeight="1">
      <c r="A664" s="179"/>
      <c r="B664" s="459"/>
      <c r="C664" s="481"/>
      <c r="D664" s="180"/>
      <c r="E664" s="180"/>
      <c r="F664" s="180"/>
      <c r="G664" s="460"/>
      <c r="H664" s="181"/>
      <c r="I664" s="181"/>
      <c r="J664" s="181"/>
      <c r="K664" s="181"/>
      <c r="L664" s="181"/>
      <c r="M664" s="329"/>
      <c r="N664" s="181"/>
      <c r="O664" s="181"/>
      <c r="P664" s="176"/>
      <c r="Q664" s="181"/>
      <c r="R664" s="181"/>
      <c r="S664" s="176"/>
      <c r="T664" s="181"/>
      <c r="U664" s="181"/>
      <c r="V664" s="176"/>
      <c r="W664" s="181"/>
      <c r="X664" s="181"/>
      <c r="Y664" s="176"/>
      <c r="Z664" s="181"/>
      <c r="AA664" s="181"/>
      <c r="AB664" s="176"/>
      <c r="AC664" s="181"/>
      <c r="AD664" s="181"/>
      <c r="AE664" s="176"/>
      <c r="AF664" s="176"/>
      <c r="AG664" s="176"/>
      <c r="AH664" s="176"/>
      <c r="AI664" s="181"/>
      <c r="AJ664" s="181"/>
      <c r="AK664" s="176"/>
      <c r="AL664" s="181"/>
      <c r="AM664" s="181"/>
      <c r="AN664" s="176"/>
      <c r="AO664" s="181"/>
      <c r="AP664" s="181"/>
    </row>
    <row r="665" ht="12.75" customHeight="1">
      <c r="A665" s="179"/>
      <c r="B665" s="459"/>
      <c r="C665" s="481"/>
      <c r="D665" s="180"/>
      <c r="E665" s="180"/>
      <c r="F665" s="180"/>
      <c r="G665" s="460"/>
      <c r="H665" s="181"/>
      <c r="I665" s="181"/>
      <c r="J665" s="181"/>
      <c r="K665" s="181"/>
      <c r="L665" s="181"/>
      <c r="M665" s="329"/>
      <c r="N665" s="181"/>
      <c r="O665" s="181"/>
      <c r="P665" s="176"/>
      <c r="Q665" s="181"/>
      <c r="R665" s="181"/>
      <c r="S665" s="176"/>
      <c r="T665" s="181"/>
      <c r="U665" s="181"/>
      <c r="V665" s="176"/>
      <c r="W665" s="181"/>
      <c r="X665" s="181"/>
      <c r="Y665" s="176"/>
      <c r="Z665" s="181"/>
      <c r="AA665" s="181"/>
      <c r="AB665" s="176"/>
      <c r="AC665" s="181"/>
      <c r="AD665" s="181"/>
      <c r="AE665" s="176"/>
      <c r="AF665" s="176"/>
      <c r="AG665" s="176"/>
      <c r="AH665" s="176"/>
      <c r="AI665" s="181"/>
      <c r="AJ665" s="181"/>
      <c r="AK665" s="176"/>
      <c r="AL665" s="181"/>
      <c r="AM665" s="181"/>
      <c r="AN665" s="176"/>
      <c r="AO665" s="181"/>
      <c r="AP665" s="181"/>
    </row>
    <row r="666" ht="12.75" customHeight="1">
      <c r="A666" s="179"/>
      <c r="B666" s="459"/>
      <c r="C666" s="481"/>
      <c r="D666" s="180"/>
      <c r="E666" s="180"/>
      <c r="F666" s="180"/>
      <c r="G666" s="460"/>
      <c r="H666" s="181"/>
      <c r="I666" s="181"/>
      <c r="J666" s="181"/>
      <c r="K666" s="181"/>
      <c r="L666" s="181"/>
      <c r="M666" s="329"/>
      <c r="N666" s="181"/>
      <c r="O666" s="181"/>
      <c r="P666" s="176"/>
      <c r="Q666" s="181"/>
      <c r="R666" s="181"/>
      <c r="S666" s="176"/>
      <c r="T666" s="181"/>
      <c r="U666" s="181"/>
      <c r="V666" s="176"/>
      <c r="W666" s="181"/>
      <c r="X666" s="181"/>
      <c r="Y666" s="176"/>
      <c r="Z666" s="181"/>
      <c r="AA666" s="181"/>
      <c r="AB666" s="176"/>
      <c r="AC666" s="181"/>
      <c r="AD666" s="181"/>
      <c r="AE666" s="176"/>
      <c r="AF666" s="176"/>
      <c r="AG666" s="176"/>
      <c r="AH666" s="176"/>
      <c r="AI666" s="181"/>
      <c r="AJ666" s="181"/>
      <c r="AK666" s="176"/>
      <c r="AL666" s="181"/>
      <c r="AM666" s="181"/>
      <c r="AN666" s="176"/>
      <c r="AO666" s="181"/>
      <c r="AP666" s="181"/>
    </row>
    <row r="667" ht="12.75" customHeight="1">
      <c r="A667" s="179"/>
      <c r="B667" s="459"/>
      <c r="C667" s="481"/>
      <c r="D667" s="180"/>
      <c r="E667" s="180"/>
      <c r="F667" s="180"/>
      <c r="G667" s="460"/>
      <c r="H667" s="181"/>
      <c r="I667" s="181"/>
      <c r="J667" s="181"/>
      <c r="K667" s="181"/>
      <c r="L667" s="181"/>
      <c r="M667" s="329"/>
      <c r="N667" s="181"/>
      <c r="O667" s="181"/>
      <c r="P667" s="176"/>
      <c r="Q667" s="181"/>
      <c r="R667" s="181"/>
      <c r="S667" s="176"/>
      <c r="T667" s="181"/>
      <c r="U667" s="181"/>
      <c r="V667" s="176"/>
      <c r="W667" s="181"/>
      <c r="X667" s="181"/>
      <c r="Y667" s="176"/>
      <c r="Z667" s="181"/>
      <c r="AA667" s="181"/>
      <c r="AB667" s="176"/>
      <c r="AC667" s="181"/>
      <c r="AD667" s="181"/>
      <c r="AE667" s="176"/>
      <c r="AF667" s="176"/>
      <c r="AG667" s="176"/>
      <c r="AH667" s="176"/>
      <c r="AI667" s="181"/>
      <c r="AJ667" s="181"/>
      <c r="AK667" s="176"/>
      <c r="AL667" s="181"/>
      <c r="AM667" s="181"/>
      <c r="AN667" s="176"/>
      <c r="AO667" s="181"/>
      <c r="AP667" s="181"/>
    </row>
    <row r="668" ht="12.75" customHeight="1">
      <c r="A668" s="179"/>
      <c r="B668" s="459"/>
      <c r="C668" s="481"/>
      <c r="D668" s="180"/>
      <c r="E668" s="180"/>
      <c r="F668" s="180"/>
      <c r="G668" s="460"/>
      <c r="H668" s="181"/>
      <c r="I668" s="181"/>
      <c r="J668" s="181"/>
      <c r="K668" s="181"/>
      <c r="L668" s="181"/>
      <c r="M668" s="329"/>
      <c r="N668" s="181"/>
      <c r="O668" s="181"/>
      <c r="P668" s="176"/>
      <c r="Q668" s="181"/>
      <c r="R668" s="181"/>
      <c r="S668" s="176"/>
      <c r="T668" s="181"/>
      <c r="U668" s="181"/>
      <c r="V668" s="176"/>
      <c r="W668" s="181"/>
      <c r="X668" s="181"/>
      <c r="Y668" s="176"/>
      <c r="Z668" s="181"/>
      <c r="AA668" s="181"/>
      <c r="AB668" s="176"/>
      <c r="AC668" s="181"/>
      <c r="AD668" s="181"/>
      <c r="AE668" s="176"/>
      <c r="AF668" s="176"/>
      <c r="AG668" s="176"/>
      <c r="AH668" s="176"/>
      <c r="AI668" s="181"/>
      <c r="AJ668" s="181"/>
      <c r="AK668" s="176"/>
      <c r="AL668" s="181"/>
      <c r="AM668" s="181"/>
      <c r="AN668" s="176"/>
      <c r="AO668" s="181"/>
      <c r="AP668" s="181"/>
    </row>
    <row r="669" ht="12.75" customHeight="1">
      <c r="A669" s="179"/>
      <c r="B669" s="459"/>
      <c r="C669" s="481"/>
      <c r="D669" s="180"/>
      <c r="E669" s="180"/>
      <c r="F669" s="180"/>
      <c r="G669" s="460"/>
      <c r="H669" s="181"/>
      <c r="I669" s="181"/>
      <c r="J669" s="181"/>
      <c r="K669" s="181"/>
      <c r="L669" s="181"/>
      <c r="M669" s="329"/>
      <c r="N669" s="181"/>
      <c r="O669" s="181"/>
      <c r="P669" s="176"/>
      <c r="Q669" s="181"/>
      <c r="R669" s="181"/>
      <c r="S669" s="176"/>
      <c r="T669" s="181"/>
      <c r="U669" s="181"/>
      <c r="V669" s="176"/>
      <c r="W669" s="181"/>
      <c r="X669" s="181"/>
      <c r="Y669" s="176"/>
      <c r="Z669" s="181"/>
      <c r="AA669" s="181"/>
      <c r="AB669" s="176"/>
      <c r="AC669" s="181"/>
      <c r="AD669" s="181"/>
      <c r="AE669" s="176"/>
      <c r="AF669" s="176"/>
      <c r="AG669" s="176"/>
      <c r="AH669" s="176"/>
      <c r="AI669" s="181"/>
      <c r="AJ669" s="181"/>
      <c r="AK669" s="176"/>
      <c r="AL669" s="181"/>
      <c r="AM669" s="181"/>
      <c r="AN669" s="176"/>
      <c r="AO669" s="181"/>
      <c r="AP669" s="181"/>
    </row>
    <row r="670" ht="12.75" customHeight="1">
      <c r="A670" s="179"/>
      <c r="B670" s="459"/>
      <c r="C670" s="481"/>
      <c r="D670" s="180"/>
      <c r="E670" s="180"/>
      <c r="F670" s="180"/>
      <c r="G670" s="460"/>
      <c r="H670" s="181"/>
      <c r="I670" s="181"/>
      <c r="J670" s="181"/>
      <c r="K670" s="181"/>
      <c r="L670" s="181"/>
      <c r="M670" s="329"/>
      <c r="N670" s="181"/>
      <c r="O670" s="181"/>
      <c r="P670" s="176"/>
      <c r="Q670" s="181"/>
      <c r="R670" s="181"/>
      <c r="S670" s="176"/>
      <c r="T670" s="181"/>
      <c r="U670" s="181"/>
      <c r="V670" s="176"/>
      <c r="W670" s="181"/>
      <c r="X670" s="181"/>
      <c r="Y670" s="176"/>
      <c r="Z670" s="181"/>
      <c r="AA670" s="181"/>
      <c r="AB670" s="176"/>
      <c r="AC670" s="181"/>
      <c r="AD670" s="181"/>
      <c r="AE670" s="176"/>
      <c r="AF670" s="176"/>
      <c r="AG670" s="176"/>
      <c r="AH670" s="176"/>
      <c r="AI670" s="181"/>
      <c r="AJ670" s="181"/>
      <c r="AK670" s="176"/>
      <c r="AL670" s="181"/>
      <c r="AM670" s="181"/>
      <c r="AN670" s="176"/>
      <c r="AO670" s="181"/>
      <c r="AP670" s="181"/>
    </row>
    <row r="671" ht="12.75" customHeight="1">
      <c r="A671" s="179"/>
      <c r="B671" s="459"/>
      <c r="C671" s="481"/>
      <c r="D671" s="180"/>
      <c r="E671" s="180"/>
      <c r="F671" s="180"/>
      <c r="G671" s="460"/>
      <c r="H671" s="181"/>
      <c r="I671" s="181"/>
      <c r="J671" s="181"/>
      <c r="K671" s="181"/>
      <c r="L671" s="181"/>
      <c r="M671" s="329"/>
      <c r="N671" s="181"/>
      <c r="O671" s="181"/>
      <c r="P671" s="176"/>
      <c r="Q671" s="181"/>
      <c r="R671" s="181"/>
      <c r="S671" s="176"/>
      <c r="T671" s="181"/>
      <c r="U671" s="181"/>
      <c r="V671" s="176"/>
      <c r="W671" s="181"/>
      <c r="X671" s="181"/>
      <c r="Y671" s="176"/>
      <c r="Z671" s="181"/>
      <c r="AA671" s="181"/>
      <c r="AB671" s="176"/>
      <c r="AC671" s="181"/>
      <c r="AD671" s="181"/>
      <c r="AE671" s="176"/>
      <c r="AF671" s="176"/>
      <c r="AG671" s="176"/>
      <c r="AH671" s="176"/>
      <c r="AI671" s="181"/>
      <c r="AJ671" s="181"/>
      <c r="AK671" s="176"/>
      <c r="AL671" s="181"/>
      <c r="AM671" s="181"/>
      <c r="AN671" s="176"/>
      <c r="AO671" s="181"/>
      <c r="AP671" s="181"/>
    </row>
    <row r="672" ht="12.75" customHeight="1">
      <c r="A672" s="179"/>
      <c r="B672" s="459"/>
      <c r="C672" s="481"/>
      <c r="D672" s="180"/>
      <c r="E672" s="180"/>
      <c r="F672" s="180"/>
      <c r="G672" s="460"/>
      <c r="H672" s="181"/>
      <c r="I672" s="181"/>
      <c r="J672" s="181"/>
      <c r="K672" s="181"/>
      <c r="L672" s="181"/>
      <c r="M672" s="329"/>
      <c r="N672" s="181"/>
      <c r="O672" s="181"/>
      <c r="P672" s="176"/>
      <c r="Q672" s="181"/>
      <c r="R672" s="181"/>
      <c r="S672" s="176"/>
      <c r="T672" s="181"/>
      <c r="U672" s="181"/>
      <c r="V672" s="176"/>
      <c r="W672" s="181"/>
      <c r="X672" s="181"/>
      <c r="Y672" s="176"/>
      <c r="Z672" s="181"/>
      <c r="AA672" s="181"/>
      <c r="AB672" s="176"/>
      <c r="AC672" s="181"/>
      <c r="AD672" s="181"/>
      <c r="AE672" s="176"/>
      <c r="AF672" s="176"/>
      <c r="AG672" s="176"/>
      <c r="AH672" s="176"/>
      <c r="AI672" s="181"/>
      <c r="AJ672" s="181"/>
      <c r="AK672" s="176"/>
      <c r="AL672" s="181"/>
      <c r="AM672" s="181"/>
      <c r="AN672" s="176"/>
      <c r="AO672" s="181"/>
      <c r="AP672" s="181"/>
    </row>
    <row r="673" ht="12.75" customHeight="1">
      <c r="A673" s="179"/>
      <c r="B673" s="459"/>
      <c r="C673" s="481"/>
      <c r="D673" s="180"/>
      <c r="E673" s="180"/>
      <c r="F673" s="180"/>
      <c r="G673" s="460"/>
      <c r="H673" s="181"/>
      <c r="I673" s="181"/>
      <c r="J673" s="181"/>
      <c r="K673" s="181"/>
      <c r="L673" s="181"/>
      <c r="M673" s="329"/>
      <c r="N673" s="181"/>
      <c r="O673" s="181"/>
      <c r="P673" s="176"/>
      <c r="Q673" s="181"/>
      <c r="R673" s="181"/>
      <c r="S673" s="176"/>
      <c r="T673" s="181"/>
      <c r="U673" s="181"/>
      <c r="V673" s="176"/>
      <c r="W673" s="181"/>
      <c r="X673" s="181"/>
      <c r="Y673" s="176"/>
      <c r="Z673" s="181"/>
      <c r="AA673" s="181"/>
      <c r="AB673" s="176"/>
      <c r="AC673" s="181"/>
      <c r="AD673" s="181"/>
      <c r="AE673" s="176"/>
      <c r="AF673" s="176"/>
      <c r="AG673" s="176"/>
      <c r="AH673" s="176"/>
      <c r="AI673" s="181"/>
      <c r="AJ673" s="181"/>
      <c r="AK673" s="176"/>
      <c r="AL673" s="181"/>
      <c r="AM673" s="181"/>
      <c r="AN673" s="176"/>
      <c r="AO673" s="181"/>
      <c r="AP673" s="181"/>
    </row>
    <row r="674" ht="12.75" customHeight="1">
      <c r="A674" s="179"/>
      <c r="B674" s="459"/>
      <c r="C674" s="481"/>
      <c r="D674" s="180"/>
      <c r="E674" s="180"/>
      <c r="F674" s="180"/>
      <c r="G674" s="460"/>
      <c r="H674" s="181"/>
      <c r="I674" s="181"/>
      <c r="J674" s="181"/>
      <c r="K674" s="181"/>
      <c r="L674" s="181"/>
      <c r="M674" s="329"/>
      <c r="N674" s="181"/>
      <c r="O674" s="181"/>
      <c r="P674" s="176"/>
      <c r="Q674" s="181"/>
      <c r="R674" s="181"/>
      <c r="S674" s="176"/>
      <c r="T674" s="181"/>
      <c r="U674" s="181"/>
      <c r="V674" s="176"/>
      <c r="W674" s="181"/>
      <c r="X674" s="181"/>
      <c r="Y674" s="176"/>
      <c r="Z674" s="181"/>
      <c r="AA674" s="181"/>
      <c r="AB674" s="176"/>
      <c r="AC674" s="181"/>
      <c r="AD674" s="181"/>
      <c r="AE674" s="176"/>
      <c r="AF674" s="176"/>
      <c r="AG674" s="176"/>
      <c r="AH674" s="176"/>
      <c r="AI674" s="181"/>
      <c r="AJ674" s="181"/>
      <c r="AK674" s="176"/>
      <c r="AL674" s="181"/>
      <c r="AM674" s="181"/>
      <c r="AN674" s="176"/>
      <c r="AO674" s="181"/>
      <c r="AP674" s="181"/>
    </row>
    <row r="675" ht="12.75" customHeight="1">
      <c r="A675" s="179"/>
      <c r="B675" s="459"/>
      <c r="C675" s="481"/>
      <c r="D675" s="180"/>
      <c r="E675" s="180"/>
      <c r="F675" s="180"/>
      <c r="G675" s="460"/>
      <c r="H675" s="181"/>
      <c r="I675" s="181"/>
      <c r="J675" s="181"/>
      <c r="K675" s="181"/>
      <c r="L675" s="181"/>
      <c r="M675" s="329"/>
      <c r="N675" s="181"/>
      <c r="O675" s="181"/>
      <c r="P675" s="176"/>
      <c r="Q675" s="181"/>
      <c r="R675" s="181"/>
      <c r="S675" s="176"/>
      <c r="T675" s="181"/>
      <c r="U675" s="181"/>
      <c r="V675" s="176"/>
      <c r="W675" s="181"/>
      <c r="X675" s="181"/>
      <c r="Y675" s="176"/>
      <c r="Z675" s="181"/>
      <c r="AA675" s="181"/>
      <c r="AB675" s="176"/>
      <c r="AC675" s="181"/>
      <c r="AD675" s="181"/>
      <c r="AE675" s="176"/>
      <c r="AF675" s="176"/>
      <c r="AG675" s="176"/>
      <c r="AH675" s="176"/>
      <c r="AI675" s="181"/>
      <c r="AJ675" s="181"/>
      <c r="AK675" s="176"/>
      <c r="AL675" s="181"/>
      <c r="AM675" s="181"/>
      <c r="AN675" s="176"/>
      <c r="AO675" s="181"/>
      <c r="AP675" s="181"/>
    </row>
    <row r="676" ht="12.75" customHeight="1">
      <c r="A676" s="179"/>
      <c r="B676" s="459"/>
      <c r="C676" s="481"/>
      <c r="D676" s="180"/>
      <c r="E676" s="180"/>
      <c r="F676" s="180"/>
      <c r="G676" s="460"/>
      <c r="H676" s="181"/>
      <c r="I676" s="181"/>
      <c r="J676" s="181"/>
      <c r="K676" s="181"/>
      <c r="L676" s="181"/>
      <c r="M676" s="329"/>
      <c r="N676" s="181"/>
      <c r="O676" s="181"/>
      <c r="P676" s="176"/>
      <c r="Q676" s="181"/>
      <c r="R676" s="181"/>
      <c r="S676" s="176"/>
      <c r="T676" s="181"/>
      <c r="U676" s="181"/>
      <c r="V676" s="176"/>
      <c r="W676" s="181"/>
      <c r="X676" s="181"/>
      <c r="Y676" s="176"/>
      <c r="Z676" s="181"/>
      <c r="AA676" s="181"/>
      <c r="AB676" s="176"/>
      <c r="AC676" s="181"/>
      <c r="AD676" s="181"/>
      <c r="AE676" s="176"/>
      <c r="AF676" s="176"/>
      <c r="AG676" s="176"/>
      <c r="AH676" s="176"/>
      <c r="AI676" s="181"/>
      <c r="AJ676" s="181"/>
      <c r="AK676" s="176"/>
      <c r="AL676" s="181"/>
      <c r="AM676" s="181"/>
      <c r="AN676" s="176"/>
      <c r="AO676" s="181"/>
      <c r="AP676" s="181"/>
    </row>
    <row r="677" ht="12.75" customHeight="1">
      <c r="A677" s="179"/>
      <c r="B677" s="459"/>
      <c r="C677" s="481"/>
      <c r="D677" s="180"/>
      <c r="E677" s="180"/>
      <c r="F677" s="180"/>
      <c r="G677" s="460"/>
      <c r="H677" s="181"/>
      <c r="I677" s="181"/>
      <c r="J677" s="181"/>
      <c r="K677" s="181"/>
      <c r="L677" s="181"/>
      <c r="M677" s="329"/>
      <c r="N677" s="181"/>
      <c r="O677" s="181"/>
      <c r="P677" s="176"/>
      <c r="Q677" s="181"/>
      <c r="R677" s="181"/>
      <c r="S677" s="176"/>
      <c r="T677" s="181"/>
      <c r="U677" s="181"/>
      <c r="V677" s="176"/>
      <c r="W677" s="181"/>
      <c r="X677" s="181"/>
      <c r="Y677" s="176"/>
      <c r="Z677" s="181"/>
      <c r="AA677" s="181"/>
      <c r="AB677" s="176"/>
      <c r="AC677" s="181"/>
      <c r="AD677" s="181"/>
      <c r="AE677" s="176"/>
      <c r="AF677" s="176"/>
      <c r="AG677" s="176"/>
      <c r="AH677" s="176"/>
      <c r="AI677" s="181"/>
      <c r="AJ677" s="181"/>
      <c r="AK677" s="176"/>
      <c r="AL677" s="181"/>
      <c r="AM677" s="181"/>
      <c r="AN677" s="176"/>
      <c r="AO677" s="181"/>
      <c r="AP677" s="181"/>
    </row>
    <row r="678" ht="12.75" customHeight="1">
      <c r="A678" s="179"/>
      <c r="B678" s="459"/>
      <c r="C678" s="481"/>
      <c r="D678" s="180"/>
      <c r="E678" s="180"/>
      <c r="F678" s="180"/>
      <c r="G678" s="460"/>
      <c r="H678" s="181"/>
      <c r="I678" s="181"/>
      <c r="J678" s="181"/>
      <c r="K678" s="181"/>
      <c r="L678" s="181"/>
      <c r="M678" s="329"/>
      <c r="N678" s="181"/>
      <c r="O678" s="181"/>
      <c r="P678" s="176"/>
      <c r="Q678" s="181"/>
      <c r="R678" s="181"/>
      <c r="S678" s="176"/>
      <c r="T678" s="181"/>
      <c r="U678" s="181"/>
      <c r="V678" s="176"/>
      <c r="W678" s="181"/>
      <c r="X678" s="181"/>
      <c r="Y678" s="176"/>
      <c r="Z678" s="181"/>
      <c r="AA678" s="181"/>
      <c r="AB678" s="176"/>
      <c r="AC678" s="181"/>
      <c r="AD678" s="181"/>
      <c r="AE678" s="176"/>
      <c r="AF678" s="176"/>
      <c r="AG678" s="176"/>
      <c r="AH678" s="176"/>
      <c r="AI678" s="181"/>
      <c r="AJ678" s="181"/>
      <c r="AK678" s="176"/>
      <c r="AL678" s="181"/>
      <c r="AM678" s="181"/>
      <c r="AN678" s="176"/>
      <c r="AO678" s="181"/>
      <c r="AP678" s="181"/>
    </row>
    <row r="679" ht="12.75" customHeight="1">
      <c r="A679" s="179"/>
      <c r="B679" s="459"/>
      <c r="C679" s="481"/>
      <c r="D679" s="180"/>
      <c r="E679" s="180"/>
      <c r="F679" s="180"/>
      <c r="G679" s="460"/>
      <c r="H679" s="181"/>
      <c r="I679" s="181"/>
      <c r="J679" s="181"/>
      <c r="K679" s="181"/>
      <c r="L679" s="181"/>
      <c r="M679" s="329"/>
      <c r="N679" s="181"/>
      <c r="O679" s="181"/>
      <c r="P679" s="176"/>
      <c r="Q679" s="181"/>
      <c r="R679" s="181"/>
      <c r="S679" s="176"/>
      <c r="T679" s="181"/>
      <c r="U679" s="181"/>
      <c r="V679" s="176"/>
      <c r="W679" s="181"/>
      <c r="X679" s="181"/>
      <c r="Y679" s="176"/>
      <c r="Z679" s="181"/>
      <c r="AA679" s="181"/>
      <c r="AB679" s="176"/>
      <c r="AC679" s="181"/>
      <c r="AD679" s="181"/>
      <c r="AE679" s="176"/>
      <c r="AF679" s="176"/>
      <c r="AG679" s="176"/>
      <c r="AH679" s="176"/>
      <c r="AI679" s="181"/>
      <c r="AJ679" s="181"/>
      <c r="AK679" s="176"/>
      <c r="AL679" s="181"/>
      <c r="AM679" s="181"/>
      <c r="AN679" s="176"/>
      <c r="AO679" s="181"/>
      <c r="AP679" s="181"/>
    </row>
    <row r="680" ht="12.75" customHeight="1">
      <c r="A680" s="179"/>
      <c r="B680" s="459"/>
      <c r="C680" s="481"/>
      <c r="D680" s="180"/>
      <c r="E680" s="180"/>
      <c r="F680" s="180"/>
      <c r="G680" s="460"/>
      <c r="H680" s="181"/>
      <c r="I680" s="181"/>
      <c r="J680" s="181"/>
      <c r="K680" s="181"/>
      <c r="L680" s="181"/>
      <c r="M680" s="329"/>
      <c r="N680" s="181"/>
      <c r="O680" s="181"/>
      <c r="P680" s="176"/>
      <c r="Q680" s="181"/>
      <c r="R680" s="181"/>
      <c r="S680" s="176"/>
      <c r="T680" s="181"/>
      <c r="U680" s="181"/>
      <c r="V680" s="176"/>
      <c r="W680" s="181"/>
      <c r="X680" s="181"/>
      <c r="Y680" s="176"/>
      <c r="Z680" s="181"/>
      <c r="AA680" s="181"/>
      <c r="AB680" s="176"/>
      <c r="AC680" s="181"/>
      <c r="AD680" s="181"/>
      <c r="AE680" s="176"/>
      <c r="AF680" s="176"/>
      <c r="AG680" s="176"/>
      <c r="AH680" s="176"/>
      <c r="AI680" s="181"/>
      <c r="AJ680" s="181"/>
      <c r="AK680" s="176"/>
      <c r="AL680" s="181"/>
      <c r="AM680" s="181"/>
      <c r="AN680" s="176"/>
      <c r="AO680" s="181"/>
      <c r="AP680" s="181"/>
    </row>
    <row r="681" ht="12.75" customHeight="1">
      <c r="A681" s="179"/>
      <c r="B681" s="459"/>
      <c r="C681" s="481"/>
      <c r="D681" s="180"/>
      <c r="E681" s="180"/>
      <c r="F681" s="180"/>
      <c r="G681" s="460"/>
      <c r="H681" s="181"/>
      <c r="I681" s="181"/>
      <c r="J681" s="181"/>
      <c r="K681" s="181"/>
      <c r="L681" s="181"/>
      <c r="M681" s="329"/>
      <c r="N681" s="181"/>
      <c r="O681" s="181"/>
      <c r="P681" s="176"/>
      <c r="Q681" s="181"/>
      <c r="R681" s="181"/>
      <c r="S681" s="176"/>
      <c r="T681" s="181"/>
      <c r="U681" s="181"/>
      <c r="V681" s="176"/>
      <c r="W681" s="181"/>
      <c r="X681" s="181"/>
      <c r="Y681" s="176"/>
      <c r="Z681" s="181"/>
      <c r="AA681" s="181"/>
      <c r="AB681" s="176"/>
      <c r="AC681" s="181"/>
      <c r="AD681" s="181"/>
      <c r="AE681" s="176"/>
      <c r="AF681" s="176"/>
      <c r="AG681" s="176"/>
      <c r="AH681" s="176"/>
      <c r="AI681" s="181"/>
      <c r="AJ681" s="181"/>
      <c r="AK681" s="176"/>
      <c r="AL681" s="181"/>
      <c r="AM681" s="181"/>
      <c r="AN681" s="176"/>
      <c r="AO681" s="181"/>
      <c r="AP681" s="181"/>
    </row>
    <row r="682" ht="12.75" customHeight="1">
      <c r="A682" s="179"/>
      <c r="B682" s="459"/>
      <c r="C682" s="481"/>
      <c r="D682" s="180"/>
      <c r="E682" s="180"/>
      <c r="F682" s="180"/>
      <c r="G682" s="460"/>
      <c r="H682" s="181"/>
      <c r="I682" s="181"/>
      <c r="J682" s="181"/>
      <c r="K682" s="181"/>
      <c r="L682" s="181"/>
      <c r="M682" s="329"/>
      <c r="N682" s="181"/>
      <c r="O682" s="181"/>
      <c r="P682" s="176"/>
      <c r="Q682" s="181"/>
      <c r="R682" s="181"/>
      <c r="S682" s="176"/>
      <c r="T682" s="181"/>
      <c r="U682" s="181"/>
      <c r="V682" s="176"/>
      <c r="W682" s="181"/>
      <c r="X682" s="181"/>
      <c r="Y682" s="176"/>
      <c r="Z682" s="181"/>
      <c r="AA682" s="181"/>
      <c r="AB682" s="176"/>
      <c r="AC682" s="181"/>
      <c r="AD682" s="181"/>
      <c r="AE682" s="176"/>
      <c r="AF682" s="176"/>
      <c r="AG682" s="176"/>
      <c r="AH682" s="176"/>
      <c r="AI682" s="181"/>
      <c r="AJ682" s="181"/>
      <c r="AK682" s="176"/>
      <c r="AL682" s="181"/>
      <c r="AM682" s="181"/>
      <c r="AN682" s="176"/>
      <c r="AO682" s="181"/>
      <c r="AP682" s="181"/>
    </row>
    <row r="683" ht="12.75" customHeight="1">
      <c r="A683" s="179"/>
      <c r="B683" s="459"/>
      <c r="C683" s="481"/>
      <c r="D683" s="180"/>
      <c r="E683" s="180"/>
      <c r="F683" s="180"/>
      <c r="G683" s="460"/>
      <c r="H683" s="181"/>
      <c r="I683" s="181"/>
      <c r="J683" s="181"/>
      <c r="K683" s="181"/>
      <c r="L683" s="181"/>
      <c r="M683" s="329"/>
      <c r="N683" s="181"/>
      <c r="O683" s="181"/>
      <c r="P683" s="176"/>
      <c r="Q683" s="181"/>
      <c r="R683" s="181"/>
      <c r="S683" s="176"/>
      <c r="T683" s="181"/>
      <c r="U683" s="181"/>
      <c r="V683" s="176"/>
      <c r="W683" s="181"/>
      <c r="X683" s="181"/>
      <c r="Y683" s="176"/>
      <c r="Z683" s="181"/>
      <c r="AA683" s="181"/>
      <c r="AB683" s="176"/>
      <c r="AC683" s="181"/>
      <c r="AD683" s="181"/>
      <c r="AE683" s="176"/>
      <c r="AF683" s="176"/>
      <c r="AG683" s="176"/>
      <c r="AH683" s="176"/>
      <c r="AI683" s="181"/>
      <c r="AJ683" s="181"/>
      <c r="AK683" s="176"/>
      <c r="AL683" s="181"/>
      <c r="AM683" s="181"/>
      <c r="AN683" s="176"/>
      <c r="AO683" s="181"/>
      <c r="AP683" s="181"/>
    </row>
    <row r="684" ht="12.75" customHeight="1">
      <c r="A684" s="179"/>
      <c r="B684" s="459"/>
      <c r="C684" s="481"/>
      <c r="D684" s="180"/>
      <c r="E684" s="180"/>
      <c r="F684" s="180"/>
      <c r="G684" s="460"/>
      <c r="H684" s="181"/>
      <c r="I684" s="181"/>
      <c r="J684" s="181"/>
      <c r="K684" s="181"/>
      <c r="L684" s="181"/>
      <c r="M684" s="329"/>
      <c r="N684" s="181"/>
      <c r="O684" s="181"/>
      <c r="P684" s="176"/>
      <c r="Q684" s="181"/>
      <c r="R684" s="181"/>
      <c r="S684" s="176"/>
      <c r="T684" s="181"/>
      <c r="U684" s="181"/>
      <c r="V684" s="176"/>
      <c r="W684" s="181"/>
      <c r="X684" s="181"/>
      <c r="Y684" s="176"/>
      <c r="Z684" s="181"/>
      <c r="AA684" s="181"/>
      <c r="AB684" s="176"/>
      <c r="AC684" s="181"/>
      <c r="AD684" s="181"/>
      <c r="AE684" s="176"/>
      <c r="AF684" s="176"/>
      <c r="AG684" s="176"/>
      <c r="AH684" s="176"/>
      <c r="AI684" s="181"/>
      <c r="AJ684" s="181"/>
      <c r="AK684" s="176"/>
      <c r="AL684" s="181"/>
      <c r="AM684" s="181"/>
      <c r="AN684" s="176"/>
      <c r="AO684" s="181"/>
      <c r="AP684" s="181"/>
    </row>
    <row r="685" ht="12.75" customHeight="1">
      <c r="A685" s="179"/>
      <c r="B685" s="459"/>
      <c r="C685" s="481"/>
      <c r="D685" s="180"/>
      <c r="E685" s="180"/>
      <c r="F685" s="180"/>
      <c r="G685" s="460"/>
      <c r="H685" s="181"/>
      <c r="I685" s="181"/>
      <c r="J685" s="181"/>
      <c r="K685" s="181"/>
      <c r="L685" s="181"/>
      <c r="M685" s="329"/>
      <c r="N685" s="181"/>
      <c r="O685" s="181"/>
      <c r="P685" s="176"/>
      <c r="Q685" s="181"/>
      <c r="R685" s="181"/>
      <c r="S685" s="176"/>
      <c r="T685" s="181"/>
      <c r="U685" s="181"/>
      <c r="V685" s="176"/>
      <c r="W685" s="181"/>
      <c r="X685" s="181"/>
      <c r="Y685" s="176"/>
      <c r="Z685" s="181"/>
      <c r="AA685" s="181"/>
      <c r="AB685" s="176"/>
      <c r="AC685" s="181"/>
      <c r="AD685" s="181"/>
      <c r="AE685" s="176"/>
      <c r="AF685" s="176"/>
      <c r="AG685" s="176"/>
      <c r="AH685" s="176"/>
      <c r="AI685" s="181"/>
      <c r="AJ685" s="181"/>
      <c r="AK685" s="176"/>
      <c r="AL685" s="181"/>
      <c r="AM685" s="181"/>
      <c r="AN685" s="176"/>
      <c r="AO685" s="181"/>
      <c r="AP685" s="181"/>
    </row>
    <row r="686" ht="12.75" customHeight="1">
      <c r="A686" s="179"/>
      <c r="B686" s="459"/>
      <c r="C686" s="481"/>
      <c r="D686" s="180"/>
      <c r="E686" s="180"/>
      <c r="F686" s="180"/>
      <c r="G686" s="460"/>
      <c r="H686" s="181"/>
      <c r="I686" s="181"/>
      <c r="J686" s="181"/>
      <c r="K686" s="181"/>
      <c r="L686" s="181"/>
      <c r="M686" s="329"/>
      <c r="N686" s="181"/>
      <c r="O686" s="181"/>
      <c r="P686" s="176"/>
      <c r="Q686" s="181"/>
      <c r="R686" s="181"/>
      <c r="S686" s="176"/>
      <c r="T686" s="181"/>
      <c r="U686" s="181"/>
      <c r="V686" s="176"/>
      <c r="W686" s="181"/>
      <c r="X686" s="181"/>
      <c r="Y686" s="176"/>
      <c r="Z686" s="181"/>
      <c r="AA686" s="181"/>
      <c r="AB686" s="176"/>
      <c r="AC686" s="181"/>
      <c r="AD686" s="181"/>
      <c r="AE686" s="176"/>
      <c r="AF686" s="176"/>
      <c r="AG686" s="176"/>
      <c r="AH686" s="176"/>
      <c r="AI686" s="181"/>
      <c r="AJ686" s="181"/>
      <c r="AK686" s="176"/>
      <c r="AL686" s="181"/>
      <c r="AM686" s="181"/>
      <c r="AN686" s="176"/>
      <c r="AO686" s="181"/>
      <c r="AP686" s="181"/>
    </row>
    <row r="687" ht="12.75" customHeight="1">
      <c r="A687" s="179"/>
      <c r="B687" s="459"/>
      <c r="C687" s="481"/>
      <c r="D687" s="180"/>
      <c r="E687" s="180"/>
      <c r="F687" s="180"/>
      <c r="G687" s="460"/>
      <c r="H687" s="181"/>
      <c r="I687" s="181"/>
      <c r="J687" s="181"/>
      <c r="K687" s="181"/>
      <c r="L687" s="181"/>
      <c r="M687" s="329"/>
      <c r="N687" s="181"/>
      <c r="O687" s="181"/>
      <c r="P687" s="176"/>
      <c r="Q687" s="181"/>
      <c r="R687" s="181"/>
      <c r="S687" s="176"/>
      <c r="T687" s="181"/>
      <c r="U687" s="181"/>
      <c r="V687" s="176"/>
      <c r="W687" s="181"/>
      <c r="X687" s="181"/>
      <c r="Y687" s="176"/>
      <c r="Z687" s="181"/>
      <c r="AA687" s="181"/>
      <c r="AB687" s="176"/>
      <c r="AC687" s="181"/>
      <c r="AD687" s="181"/>
      <c r="AE687" s="176"/>
      <c r="AF687" s="176"/>
      <c r="AG687" s="176"/>
      <c r="AH687" s="176"/>
      <c r="AI687" s="181"/>
      <c r="AJ687" s="181"/>
      <c r="AK687" s="176"/>
      <c r="AL687" s="181"/>
      <c r="AM687" s="181"/>
      <c r="AN687" s="176"/>
      <c r="AO687" s="181"/>
      <c r="AP687" s="181"/>
    </row>
    <row r="688" ht="12.75" customHeight="1">
      <c r="A688" s="179"/>
      <c r="B688" s="459"/>
      <c r="C688" s="481"/>
      <c r="D688" s="180"/>
      <c r="E688" s="180"/>
      <c r="F688" s="180"/>
      <c r="G688" s="460"/>
      <c r="H688" s="181"/>
      <c r="I688" s="181"/>
      <c r="J688" s="181"/>
      <c r="K688" s="181"/>
      <c r="L688" s="181"/>
      <c r="M688" s="329"/>
      <c r="N688" s="181"/>
      <c r="O688" s="181"/>
      <c r="P688" s="176"/>
      <c r="Q688" s="181"/>
      <c r="R688" s="181"/>
      <c r="S688" s="176"/>
      <c r="T688" s="181"/>
      <c r="U688" s="181"/>
      <c r="V688" s="176"/>
      <c r="W688" s="181"/>
      <c r="X688" s="181"/>
      <c r="Y688" s="176"/>
      <c r="Z688" s="181"/>
      <c r="AA688" s="181"/>
      <c r="AB688" s="176"/>
      <c r="AC688" s="181"/>
      <c r="AD688" s="181"/>
      <c r="AE688" s="176"/>
      <c r="AF688" s="176"/>
      <c r="AG688" s="176"/>
      <c r="AH688" s="176"/>
      <c r="AI688" s="181"/>
      <c r="AJ688" s="181"/>
      <c r="AK688" s="176"/>
      <c r="AL688" s="181"/>
      <c r="AM688" s="181"/>
      <c r="AN688" s="176"/>
      <c r="AO688" s="181"/>
      <c r="AP688" s="181"/>
    </row>
    <row r="689" ht="12.75" customHeight="1">
      <c r="A689" s="179"/>
      <c r="B689" s="459"/>
      <c r="C689" s="481"/>
      <c r="D689" s="180"/>
      <c r="E689" s="180"/>
      <c r="F689" s="180"/>
      <c r="G689" s="460"/>
      <c r="H689" s="181"/>
      <c r="I689" s="181"/>
      <c r="J689" s="181"/>
      <c r="K689" s="181"/>
      <c r="L689" s="181"/>
      <c r="M689" s="329"/>
      <c r="N689" s="181"/>
      <c r="O689" s="181"/>
      <c r="P689" s="176"/>
      <c r="Q689" s="181"/>
      <c r="R689" s="181"/>
      <c r="S689" s="176"/>
      <c r="T689" s="181"/>
      <c r="U689" s="181"/>
      <c r="V689" s="176"/>
      <c r="W689" s="181"/>
      <c r="X689" s="181"/>
      <c r="Y689" s="176"/>
      <c r="Z689" s="181"/>
      <c r="AA689" s="181"/>
      <c r="AB689" s="176"/>
      <c r="AC689" s="181"/>
      <c r="AD689" s="181"/>
      <c r="AE689" s="176"/>
      <c r="AF689" s="176"/>
      <c r="AG689" s="176"/>
      <c r="AH689" s="176"/>
      <c r="AI689" s="181"/>
      <c r="AJ689" s="181"/>
      <c r="AK689" s="176"/>
      <c r="AL689" s="181"/>
      <c r="AM689" s="181"/>
      <c r="AN689" s="176"/>
      <c r="AO689" s="181"/>
      <c r="AP689" s="181"/>
    </row>
    <row r="690" ht="12.75" customHeight="1">
      <c r="A690" s="179"/>
      <c r="B690" s="459"/>
      <c r="C690" s="481"/>
      <c r="D690" s="180"/>
      <c r="E690" s="180"/>
      <c r="F690" s="180"/>
      <c r="G690" s="460"/>
      <c r="H690" s="181"/>
      <c r="I690" s="181"/>
      <c r="J690" s="181"/>
      <c r="K690" s="181"/>
      <c r="L690" s="181"/>
      <c r="M690" s="329"/>
      <c r="N690" s="181"/>
      <c r="O690" s="181"/>
      <c r="P690" s="176"/>
      <c r="Q690" s="181"/>
      <c r="R690" s="181"/>
      <c r="S690" s="176"/>
      <c r="T690" s="181"/>
      <c r="U690" s="181"/>
      <c r="V690" s="176"/>
      <c r="W690" s="181"/>
      <c r="X690" s="181"/>
      <c r="Y690" s="176"/>
      <c r="Z690" s="181"/>
      <c r="AA690" s="181"/>
      <c r="AB690" s="176"/>
      <c r="AC690" s="181"/>
      <c r="AD690" s="181"/>
      <c r="AE690" s="176"/>
      <c r="AF690" s="176"/>
      <c r="AG690" s="176"/>
      <c r="AH690" s="176"/>
      <c r="AI690" s="181"/>
      <c r="AJ690" s="181"/>
      <c r="AK690" s="176"/>
      <c r="AL690" s="181"/>
      <c r="AM690" s="181"/>
      <c r="AN690" s="176"/>
      <c r="AO690" s="181"/>
      <c r="AP690" s="181"/>
    </row>
    <row r="691" ht="12.75" customHeight="1">
      <c r="A691" s="179"/>
      <c r="B691" s="459"/>
      <c r="C691" s="481"/>
      <c r="D691" s="180"/>
      <c r="E691" s="180"/>
      <c r="F691" s="180"/>
      <c r="G691" s="460"/>
      <c r="H691" s="181"/>
      <c r="I691" s="181"/>
      <c r="J691" s="181"/>
      <c r="K691" s="181"/>
      <c r="L691" s="181"/>
      <c r="M691" s="329"/>
      <c r="N691" s="181"/>
      <c r="O691" s="181"/>
      <c r="P691" s="176"/>
      <c r="Q691" s="181"/>
      <c r="R691" s="181"/>
      <c r="S691" s="176"/>
      <c r="T691" s="181"/>
      <c r="U691" s="181"/>
      <c r="V691" s="176"/>
      <c r="W691" s="181"/>
      <c r="X691" s="181"/>
      <c r="Y691" s="176"/>
      <c r="Z691" s="181"/>
      <c r="AA691" s="181"/>
      <c r="AB691" s="176"/>
      <c r="AC691" s="181"/>
      <c r="AD691" s="181"/>
      <c r="AE691" s="176"/>
      <c r="AF691" s="176"/>
      <c r="AG691" s="176"/>
      <c r="AH691" s="176"/>
      <c r="AI691" s="181"/>
      <c r="AJ691" s="181"/>
      <c r="AK691" s="176"/>
      <c r="AL691" s="181"/>
      <c r="AM691" s="181"/>
      <c r="AN691" s="176"/>
      <c r="AO691" s="181"/>
      <c r="AP691" s="181"/>
    </row>
    <row r="692" ht="12.75" customHeight="1">
      <c r="A692" s="179"/>
      <c r="B692" s="459"/>
      <c r="C692" s="481"/>
      <c r="D692" s="180"/>
      <c r="E692" s="180"/>
      <c r="F692" s="180"/>
      <c r="G692" s="460"/>
      <c r="H692" s="181"/>
      <c r="I692" s="181"/>
      <c r="J692" s="181"/>
      <c r="K692" s="181"/>
      <c r="L692" s="181"/>
      <c r="M692" s="329"/>
      <c r="N692" s="181"/>
      <c r="O692" s="181"/>
      <c r="P692" s="176"/>
      <c r="Q692" s="181"/>
      <c r="R692" s="181"/>
      <c r="S692" s="176"/>
      <c r="T692" s="181"/>
      <c r="U692" s="181"/>
      <c r="V692" s="176"/>
      <c r="W692" s="181"/>
      <c r="X692" s="181"/>
      <c r="Y692" s="176"/>
      <c r="Z692" s="181"/>
      <c r="AA692" s="181"/>
      <c r="AB692" s="176"/>
      <c r="AC692" s="181"/>
      <c r="AD692" s="181"/>
      <c r="AE692" s="176"/>
      <c r="AF692" s="176"/>
      <c r="AG692" s="176"/>
      <c r="AH692" s="176"/>
      <c r="AI692" s="181"/>
      <c r="AJ692" s="181"/>
      <c r="AK692" s="176"/>
      <c r="AL692" s="181"/>
      <c r="AM692" s="181"/>
      <c r="AN692" s="176"/>
      <c r="AO692" s="181"/>
      <c r="AP692" s="181"/>
    </row>
    <row r="693" ht="12.75" customHeight="1">
      <c r="A693" s="179"/>
      <c r="B693" s="459"/>
      <c r="C693" s="481"/>
      <c r="D693" s="180"/>
      <c r="E693" s="180"/>
      <c r="F693" s="180"/>
      <c r="G693" s="460"/>
      <c r="H693" s="181"/>
      <c r="I693" s="181"/>
      <c r="J693" s="181"/>
      <c r="K693" s="181"/>
      <c r="L693" s="181"/>
      <c r="M693" s="329"/>
      <c r="N693" s="181"/>
      <c r="O693" s="181"/>
      <c r="P693" s="176"/>
      <c r="Q693" s="181"/>
      <c r="R693" s="181"/>
      <c r="S693" s="176"/>
      <c r="T693" s="181"/>
      <c r="U693" s="181"/>
      <c r="V693" s="176"/>
      <c r="W693" s="181"/>
      <c r="X693" s="181"/>
      <c r="Y693" s="176"/>
      <c r="Z693" s="181"/>
      <c r="AA693" s="181"/>
      <c r="AB693" s="176"/>
      <c r="AC693" s="181"/>
      <c r="AD693" s="181"/>
      <c r="AE693" s="176"/>
      <c r="AF693" s="176"/>
      <c r="AG693" s="176"/>
      <c r="AH693" s="176"/>
      <c r="AI693" s="181"/>
      <c r="AJ693" s="181"/>
      <c r="AK693" s="176"/>
      <c r="AL693" s="181"/>
      <c r="AM693" s="181"/>
      <c r="AN693" s="176"/>
      <c r="AO693" s="181"/>
      <c r="AP693" s="181"/>
    </row>
    <row r="694" ht="12.75" customHeight="1">
      <c r="A694" s="179"/>
      <c r="B694" s="459"/>
      <c r="C694" s="481"/>
      <c r="D694" s="180"/>
      <c r="E694" s="180"/>
      <c r="F694" s="180"/>
      <c r="G694" s="460"/>
      <c r="H694" s="181"/>
      <c r="I694" s="181"/>
      <c r="J694" s="181"/>
      <c r="K694" s="181"/>
      <c r="L694" s="181"/>
      <c r="M694" s="329"/>
      <c r="N694" s="181"/>
      <c r="O694" s="181"/>
      <c r="P694" s="176"/>
      <c r="Q694" s="181"/>
      <c r="R694" s="181"/>
      <c r="S694" s="176"/>
      <c r="T694" s="181"/>
      <c r="U694" s="181"/>
      <c r="V694" s="176"/>
      <c r="W694" s="181"/>
      <c r="X694" s="181"/>
      <c r="Y694" s="176"/>
      <c r="Z694" s="181"/>
      <c r="AA694" s="181"/>
      <c r="AB694" s="176"/>
      <c r="AC694" s="181"/>
      <c r="AD694" s="181"/>
      <c r="AE694" s="176"/>
      <c r="AF694" s="176"/>
      <c r="AG694" s="176"/>
      <c r="AH694" s="176"/>
      <c r="AI694" s="181"/>
      <c r="AJ694" s="181"/>
      <c r="AK694" s="176"/>
      <c r="AL694" s="181"/>
      <c r="AM694" s="181"/>
      <c r="AN694" s="176"/>
      <c r="AO694" s="181"/>
      <c r="AP694" s="181"/>
    </row>
    <row r="695" ht="12.75" customHeight="1">
      <c r="A695" s="179"/>
      <c r="B695" s="459"/>
      <c r="C695" s="481"/>
      <c r="D695" s="180"/>
      <c r="E695" s="180"/>
      <c r="F695" s="180"/>
      <c r="G695" s="460"/>
      <c r="H695" s="181"/>
      <c r="I695" s="181"/>
      <c r="J695" s="181"/>
      <c r="K695" s="181"/>
      <c r="L695" s="181"/>
      <c r="M695" s="329"/>
      <c r="N695" s="181"/>
      <c r="O695" s="181"/>
      <c r="P695" s="176"/>
      <c r="Q695" s="181"/>
      <c r="R695" s="181"/>
      <c r="S695" s="176"/>
      <c r="T695" s="181"/>
      <c r="U695" s="181"/>
      <c r="V695" s="176"/>
      <c r="W695" s="181"/>
      <c r="X695" s="181"/>
      <c r="Y695" s="176"/>
      <c r="Z695" s="181"/>
      <c r="AA695" s="181"/>
      <c r="AB695" s="176"/>
      <c r="AC695" s="181"/>
      <c r="AD695" s="181"/>
      <c r="AE695" s="176"/>
      <c r="AF695" s="176"/>
      <c r="AG695" s="176"/>
      <c r="AH695" s="176"/>
      <c r="AI695" s="181"/>
      <c r="AJ695" s="181"/>
      <c r="AK695" s="176"/>
      <c r="AL695" s="181"/>
      <c r="AM695" s="181"/>
      <c r="AN695" s="176"/>
      <c r="AO695" s="181"/>
      <c r="AP695" s="181"/>
    </row>
    <row r="696" ht="12.75" customHeight="1">
      <c r="A696" s="179"/>
      <c r="B696" s="459"/>
      <c r="C696" s="481"/>
      <c r="D696" s="180"/>
      <c r="E696" s="180"/>
      <c r="F696" s="180"/>
      <c r="G696" s="460"/>
      <c r="H696" s="181"/>
      <c r="I696" s="181"/>
      <c r="J696" s="181"/>
      <c r="K696" s="181"/>
      <c r="L696" s="181"/>
      <c r="M696" s="329"/>
      <c r="N696" s="181"/>
      <c r="O696" s="181"/>
      <c r="P696" s="176"/>
      <c r="Q696" s="181"/>
      <c r="R696" s="181"/>
      <c r="S696" s="176"/>
      <c r="T696" s="181"/>
      <c r="U696" s="181"/>
      <c r="V696" s="176"/>
      <c r="W696" s="181"/>
      <c r="X696" s="181"/>
      <c r="Y696" s="176"/>
      <c r="Z696" s="181"/>
      <c r="AA696" s="181"/>
      <c r="AB696" s="176"/>
      <c r="AC696" s="181"/>
      <c r="AD696" s="181"/>
      <c r="AE696" s="176"/>
      <c r="AF696" s="176"/>
      <c r="AG696" s="176"/>
      <c r="AH696" s="176"/>
      <c r="AI696" s="181"/>
      <c r="AJ696" s="181"/>
      <c r="AK696" s="176"/>
      <c r="AL696" s="181"/>
      <c r="AM696" s="181"/>
      <c r="AN696" s="176"/>
      <c r="AO696" s="181"/>
      <c r="AP696" s="181"/>
    </row>
    <row r="697" ht="12.75" customHeight="1">
      <c r="A697" s="179"/>
      <c r="B697" s="459"/>
      <c r="C697" s="481"/>
      <c r="D697" s="180"/>
      <c r="E697" s="180"/>
      <c r="F697" s="180"/>
      <c r="G697" s="460"/>
      <c r="H697" s="181"/>
      <c r="I697" s="181"/>
      <c r="J697" s="181"/>
      <c r="K697" s="181"/>
      <c r="L697" s="181"/>
      <c r="M697" s="329"/>
      <c r="N697" s="181"/>
      <c r="O697" s="181"/>
      <c r="P697" s="176"/>
      <c r="Q697" s="181"/>
      <c r="R697" s="181"/>
      <c r="S697" s="176"/>
      <c r="T697" s="181"/>
      <c r="U697" s="181"/>
      <c r="V697" s="176"/>
      <c r="W697" s="181"/>
      <c r="X697" s="181"/>
      <c r="Y697" s="176"/>
      <c r="Z697" s="181"/>
      <c r="AA697" s="181"/>
      <c r="AB697" s="176"/>
      <c r="AC697" s="181"/>
      <c r="AD697" s="181"/>
      <c r="AE697" s="176"/>
      <c r="AF697" s="176"/>
      <c r="AG697" s="176"/>
      <c r="AH697" s="176"/>
      <c r="AI697" s="181"/>
      <c r="AJ697" s="181"/>
      <c r="AK697" s="176"/>
      <c r="AL697" s="181"/>
      <c r="AM697" s="181"/>
      <c r="AN697" s="176"/>
      <c r="AO697" s="181"/>
      <c r="AP697" s="181"/>
    </row>
    <row r="698" ht="12.75" customHeight="1">
      <c r="A698" s="179"/>
      <c r="B698" s="459"/>
      <c r="C698" s="481"/>
      <c r="D698" s="180"/>
      <c r="E698" s="180"/>
      <c r="F698" s="180"/>
      <c r="G698" s="460"/>
      <c r="H698" s="181"/>
      <c r="I698" s="181"/>
      <c r="J698" s="181"/>
      <c r="K698" s="181"/>
      <c r="L698" s="181"/>
      <c r="M698" s="329"/>
      <c r="N698" s="181"/>
      <c r="O698" s="181"/>
      <c r="P698" s="176"/>
      <c r="Q698" s="181"/>
      <c r="R698" s="181"/>
      <c r="S698" s="176"/>
      <c r="T698" s="181"/>
      <c r="U698" s="181"/>
      <c r="V698" s="176"/>
      <c r="W698" s="181"/>
      <c r="X698" s="181"/>
      <c r="Y698" s="176"/>
      <c r="Z698" s="181"/>
      <c r="AA698" s="181"/>
      <c r="AB698" s="176"/>
      <c r="AC698" s="181"/>
      <c r="AD698" s="181"/>
      <c r="AE698" s="176"/>
      <c r="AF698" s="176"/>
      <c r="AG698" s="176"/>
      <c r="AH698" s="176"/>
      <c r="AI698" s="181"/>
      <c r="AJ698" s="181"/>
      <c r="AK698" s="176"/>
      <c r="AL698" s="181"/>
      <c r="AM698" s="181"/>
      <c r="AN698" s="176"/>
      <c r="AO698" s="181"/>
      <c r="AP698" s="181"/>
    </row>
    <row r="699" ht="12.75" customHeight="1">
      <c r="A699" s="179"/>
      <c r="B699" s="459"/>
      <c r="C699" s="481"/>
      <c r="D699" s="180"/>
      <c r="E699" s="180"/>
      <c r="F699" s="180"/>
      <c r="G699" s="460"/>
      <c r="H699" s="181"/>
      <c r="I699" s="181"/>
      <c r="J699" s="181"/>
      <c r="K699" s="181"/>
      <c r="L699" s="181"/>
      <c r="M699" s="329"/>
      <c r="N699" s="181"/>
      <c r="O699" s="181"/>
      <c r="P699" s="176"/>
      <c r="Q699" s="181"/>
      <c r="R699" s="181"/>
      <c r="S699" s="176"/>
      <c r="T699" s="181"/>
      <c r="U699" s="181"/>
      <c r="V699" s="176"/>
      <c r="W699" s="181"/>
      <c r="X699" s="181"/>
      <c r="Y699" s="176"/>
      <c r="Z699" s="181"/>
      <c r="AA699" s="181"/>
      <c r="AB699" s="176"/>
      <c r="AC699" s="181"/>
      <c r="AD699" s="181"/>
      <c r="AE699" s="176"/>
      <c r="AF699" s="176"/>
      <c r="AG699" s="176"/>
      <c r="AH699" s="176"/>
      <c r="AI699" s="181"/>
      <c r="AJ699" s="181"/>
      <c r="AK699" s="176"/>
      <c r="AL699" s="181"/>
      <c r="AM699" s="181"/>
      <c r="AN699" s="176"/>
      <c r="AO699" s="181"/>
      <c r="AP699" s="181"/>
    </row>
    <row r="700" ht="12.75" customHeight="1">
      <c r="A700" s="179"/>
      <c r="B700" s="459"/>
      <c r="C700" s="481"/>
      <c r="D700" s="180"/>
      <c r="E700" s="180"/>
      <c r="F700" s="180"/>
      <c r="G700" s="460"/>
      <c r="H700" s="181"/>
      <c r="I700" s="181"/>
      <c r="J700" s="181"/>
      <c r="K700" s="181"/>
      <c r="L700" s="181"/>
      <c r="M700" s="329"/>
      <c r="N700" s="181"/>
      <c r="O700" s="181"/>
      <c r="P700" s="176"/>
      <c r="Q700" s="181"/>
      <c r="R700" s="181"/>
      <c r="S700" s="176"/>
      <c r="T700" s="181"/>
      <c r="U700" s="181"/>
      <c r="V700" s="176"/>
      <c r="W700" s="181"/>
      <c r="X700" s="181"/>
      <c r="Y700" s="176"/>
      <c r="Z700" s="181"/>
      <c r="AA700" s="181"/>
      <c r="AB700" s="176"/>
      <c r="AC700" s="181"/>
      <c r="AD700" s="181"/>
      <c r="AE700" s="176"/>
      <c r="AF700" s="176"/>
      <c r="AG700" s="176"/>
      <c r="AH700" s="176"/>
      <c r="AI700" s="181"/>
      <c r="AJ700" s="181"/>
      <c r="AK700" s="176"/>
      <c r="AL700" s="181"/>
      <c r="AM700" s="181"/>
      <c r="AN700" s="176"/>
      <c r="AO700" s="181"/>
      <c r="AP700" s="181"/>
    </row>
    <row r="701" ht="12.75" customHeight="1">
      <c r="A701" s="179"/>
      <c r="B701" s="459"/>
      <c r="C701" s="481"/>
      <c r="D701" s="180"/>
      <c r="E701" s="180"/>
      <c r="F701" s="180"/>
      <c r="G701" s="460"/>
      <c r="H701" s="181"/>
      <c r="I701" s="181"/>
      <c r="J701" s="181"/>
      <c r="K701" s="181"/>
      <c r="L701" s="181"/>
      <c r="M701" s="329"/>
      <c r="N701" s="181"/>
      <c r="O701" s="181"/>
      <c r="P701" s="176"/>
      <c r="Q701" s="181"/>
      <c r="R701" s="181"/>
      <c r="S701" s="176"/>
      <c r="T701" s="181"/>
      <c r="U701" s="181"/>
      <c r="V701" s="176"/>
      <c r="W701" s="181"/>
      <c r="X701" s="181"/>
      <c r="Y701" s="176"/>
      <c r="Z701" s="181"/>
      <c r="AA701" s="181"/>
      <c r="AB701" s="176"/>
      <c r="AC701" s="181"/>
      <c r="AD701" s="181"/>
      <c r="AE701" s="176"/>
      <c r="AF701" s="176"/>
      <c r="AG701" s="176"/>
      <c r="AH701" s="176"/>
      <c r="AI701" s="181"/>
      <c r="AJ701" s="181"/>
      <c r="AK701" s="176"/>
      <c r="AL701" s="181"/>
      <c r="AM701" s="181"/>
      <c r="AN701" s="176"/>
      <c r="AO701" s="181"/>
      <c r="AP701" s="181"/>
    </row>
    <row r="702" ht="12.75" customHeight="1">
      <c r="A702" s="179"/>
      <c r="B702" s="459"/>
      <c r="C702" s="481"/>
      <c r="D702" s="180"/>
      <c r="E702" s="180"/>
      <c r="F702" s="180"/>
      <c r="G702" s="460"/>
      <c r="H702" s="181"/>
      <c r="I702" s="181"/>
      <c r="J702" s="181"/>
      <c r="K702" s="181"/>
      <c r="L702" s="181"/>
      <c r="M702" s="329"/>
      <c r="N702" s="181"/>
      <c r="O702" s="181"/>
      <c r="P702" s="176"/>
      <c r="Q702" s="181"/>
      <c r="R702" s="181"/>
      <c r="S702" s="176"/>
      <c r="T702" s="181"/>
      <c r="U702" s="181"/>
      <c r="V702" s="176"/>
      <c r="W702" s="181"/>
      <c r="X702" s="181"/>
      <c r="Y702" s="176"/>
      <c r="Z702" s="181"/>
      <c r="AA702" s="181"/>
      <c r="AB702" s="176"/>
      <c r="AC702" s="181"/>
      <c r="AD702" s="181"/>
      <c r="AE702" s="176"/>
      <c r="AF702" s="176"/>
      <c r="AG702" s="176"/>
      <c r="AH702" s="176"/>
      <c r="AI702" s="181"/>
      <c r="AJ702" s="181"/>
      <c r="AK702" s="176"/>
      <c r="AL702" s="181"/>
      <c r="AM702" s="181"/>
      <c r="AN702" s="176"/>
      <c r="AO702" s="181"/>
      <c r="AP702" s="181"/>
    </row>
    <row r="703" ht="12.75" customHeight="1">
      <c r="A703" s="179"/>
      <c r="B703" s="459"/>
      <c r="C703" s="481"/>
      <c r="D703" s="180"/>
      <c r="E703" s="180"/>
      <c r="F703" s="180"/>
      <c r="G703" s="460"/>
      <c r="H703" s="181"/>
      <c r="I703" s="181"/>
      <c r="J703" s="181"/>
      <c r="K703" s="181"/>
      <c r="L703" s="181"/>
      <c r="M703" s="329"/>
      <c r="N703" s="181"/>
      <c r="O703" s="181"/>
      <c r="P703" s="176"/>
      <c r="Q703" s="181"/>
      <c r="R703" s="181"/>
      <c r="S703" s="176"/>
      <c r="T703" s="181"/>
      <c r="U703" s="181"/>
      <c r="V703" s="176"/>
      <c r="W703" s="181"/>
      <c r="X703" s="181"/>
      <c r="Y703" s="176"/>
      <c r="Z703" s="181"/>
      <c r="AA703" s="181"/>
      <c r="AB703" s="176"/>
      <c r="AC703" s="181"/>
      <c r="AD703" s="181"/>
      <c r="AE703" s="176"/>
      <c r="AF703" s="176"/>
      <c r="AG703" s="176"/>
      <c r="AH703" s="176"/>
      <c r="AI703" s="181"/>
      <c r="AJ703" s="181"/>
      <c r="AK703" s="176"/>
      <c r="AL703" s="181"/>
      <c r="AM703" s="181"/>
      <c r="AN703" s="176"/>
      <c r="AO703" s="181"/>
      <c r="AP703" s="181"/>
    </row>
    <row r="704" ht="12.75" customHeight="1">
      <c r="A704" s="179"/>
      <c r="B704" s="459"/>
      <c r="C704" s="481"/>
      <c r="D704" s="180"/>
      <c r="E704" s="180"/>
      <c r="F704" s="180"/>
      <c r="G704" s="460"/>
      <c r="H704" s="181"/>
      <c r="I704" s="181"/>
      <c r="J704" s="181"/>
      <c r="K704" s="181"/>
      <c r="L704" s="181"/>
      <c r="M704" s="329"/>
      <c r="N704" s="181"/>
      <c r="O704" s="181"/>
      <c r="P704" s="176"/>
      <c r="Q704" s="181"/>
      <c r="R704" s="181"/>
      <c r="S704" s="176"/>
      <c r="T704" s="181"/>
      <c r="U704" s="181"/>
      <c r="V704" s="176"/>
      <c r="W704" s="181"/>
      <c r="X704" s="181"/>
      <c r="Y704" s="176"/>
      <c r="Z704" s="181"/>
      <c r="AA704" s="181"/>
      <c r="AB704" s="176"/>
      <c r="AC704" s="181"/>
      <c r="AD704" s="181"/>
      <c r="AE704" s="176"/>
      <c r="AF704" s="176"/>
      <c r="AG704" s="176"/>
      <c r="AH704" s="176"/>
      <c r="AI704" s="181"/>
      <c r="AJ704" s="181"/>
      <c r="AK704" s="176"/>
      <c r="AL704" s="181"/>
      <c r="AM704" s="181"/>
      <c r="AN704" s="176"/>
      <c r="AO704" s="181"/>
      <c r="AP704" s="181"/>
    </row>
    <row r="705" ht="12.75" customHeight="1">
      <c r="A705" s="179"/>
      <c r="B705" s="459"/>
      <c r="C705" s="481"/>
      <c r="D705" s="180"/>
      <c r="E705" s="180"/>
      <c r="F705" s="180"/>
      <c r="G705" s="460"/>
      <c r="H705" s="181"/>
      <c r="I705" s="181"/>
      <c r="J705" s="181"/>
      <c r="K705" s="181"/>
      <c r="L705" s="181"/>
      <c r="M705" s="329"/>
      <c r="N705" s="181"/>
      <c r="O705" s="181"/>
      <c r="P705" s="176"/>
      <c r="Q705" s="181"/>
      <c r="R705" s="181"/>
      <c r="S705" s="176"/>
      <c r="T705" s="181"/>
      <c r="U705" s="181"/>
      <c r="V705" s="176"/>
      <c r="W705" s="181"/>
      <c r="X705" s="181"/>
      <c r="Y705" s="176"/>
      <c r="Z705" s="181"/>
      <c r="AA705" s="181"/>
      <c r="AB705" s="176"/>
      <c r="AC705" s="181"/>
      <c r="AD705" s="181"/>
      <c r="AE705" s="176"/>
      <c r="AF705" s="176"/>
      <c r="AG705" s="176"/>
      <c r="AH705" s="176"/>
      <c r="AI705" s="181"/>
      <c r="AJ705" s="181"/>
      <c r="AK705" s="176"/>
      <c r="AL705" s="181"/>
      <c r="AM705" s="181"/>
      <c r="AN705" s="176"/>
      <c r="AO705" s="181"/>
      <c r="AP705" s="181"/>
    </row>
    <row r="706" ht="12.75" customHeight="1">
      <c r="A706" s="179"/>
      <c r="B706" s="459"/>
      <c r="C706" s="481"/>
      <c r="D706" s="180"/>
      <c r="E706" s="180"/>
      <c r="F706" s="180"/>
      <c r="G706" s="460"/>
      <c r="H706" s="181"/>
      <c r="I706" s="181"/>
      <c r="J706" s="181"/>
      <c r="K706" s="181"/>
      <c r="L706" s="181"/>
      <c r="M706" s="329"/>
      <c r="N706" s="181"/>
      <c r="O706" s="181"/>
      <c r="P706" s="176"/>
      <c r="Q706" s="181"/>
      <c r="R706" s="181"/>
      <c r="S706" s="176"/>
      <c r="T706" s="181"/>
      <c r="U706" s="181"/>
      <c r="V706" s="176"/>
      <c r="W706" s="181"/>
      <c r="X706" s="181"/>
      <c r="Y706" s="176"/>
      <c r="Z706" s="181"/>
      <c r="AA706" s="181"/>
      <c r="AB706" s="176"/>
      <c r="AC706" s="181"/>
      <c r="AD706" s="181"/>
      <c r="AE706" s="176"/>
      <c r="AF706" s="176"/>
      <c r="AG706" s="176"/>
      <c r="AH706" s="176"/>
      <c r="AI706" s="181"/>
      <c r="AJ706" s="181"/>
      <c r="AK706" s="176"/>
      <c r="AL706" s="181"/>
      <c r="AM706" s="181"/>
      <c r="AN706" s="176"/>
      <c r="AO706" s="181"/>
      <c r="AP706" s="181"/>
    </row>
    <row r="707" ht="12.75" customHeight="1">
      <c r="A707" s="179"/>
      <c r="B707" s="459"/>
      <c r="C707" s="481"/>
      <c r="D707" s="180"/>
      <c r="E707" s="180"/>
      <c r="F707" s="180"/>
      <c r="G707" s="460"/>
      <c r="H707" s="181"/>
      <c r="I707" s="181"/>
      <c r="J707" s="181"/>
      <c r="K707" s="181"/>
      <c r="L707" s="181"/>
      <c r="M707" s="329"/>
      <c r="N707" s="181"/>
      <c r="O707" s="181"/>
      <c r="P707" s="176"/>
      <c r="Q707" s="181"/>
      <c r="R707" s="181"/>
      <c r="S707" s="176"/>
      <c r="T707" s="181"/>
      <c r="U707" s="181"/>
      <c r="V707" s="176"/>
      <c r="W707" s="181"/>
      <c r="X707" s="181"/>
      <c r="Y707" s="176"/>
      <c r="Z707" s="181"/>
      <c r="AA707" s="181"/>
      <c r="AB707" s="176"/>
      <c r="AC707" s="181"/>
      <c r="AD707" s="181"/>
      <c r="AE707" s="176"/>
      <c r="AF707" s="176"/>
      <c r="AG707" s="176"/>
      <c r="AH707" s="176"/>
      <c r="AI707" s="181"/>
      <c r="AJ707" s="181"/>
      <c r="AK707" s="176"/>
      <c r="AL707" s="181"/>
      <c r="AM707" s="181"/>
      <c r="AN707" s="176"/>
      <c r="AO707" s="181"/>
      <c r="AP707" s="181"/>
    </row>
    <row r="708" ht="12.75" customHeight="1">
      <c r="A708" s="179"/>
      <c r="B708" s="459"/>
      <c r="C708" s="481"/>
      <c r="D708" s="180"/>
      <c r="E708" s="180"/>
      <c r="F708" s="180"/>
      <c r="G708" s="460"/>
      <c r="H708" s="181"/>
      <c r="I708" s="181"/>
      <c r="J708" s="181"/>
      <c r="K708" s="181"/>
      <c r="L708" s="181"/>
      <c r="M708" s="329"/>
      <c r="N708" s="181"/>
      <c r="O708" s="181"/>
      <c r="P708" s="176"/>
      <c r="Q708" s="181"/>
      <c r="R708" s="181"/>
      <c r="S708" s="176"/>
      <c r="T708" s="181"/>
      <c r="U708" s="181"/>
      <c r="V708" s="176"/>
      <c r="W708" s="181"/>
      <c r="X708" s="181"/>
      <c r="Y708" s="176"/>
      <c r="Z708" s="181"/>
      <c r="AA708" s="181"/>
      <c r="AB708" s="176"/>
      <c r="AC708" s="181"/>
      <c r="AD708" s="181"/>
      <c r="AE708" s="176"/>
      <c r="AF708" s="176"/>
      <c r="AG708" s="176"/>
      <c r="AH708" s="176"/>
      <c r="AI708" s="181"/>
      <c r="AJ708" s="181"/>
      <c r="AK708" s="176"/>
      <c r="AL708" s="181"/>
      <c r="AM708" s="181"/>
      <c r="AN708" s="176"/>
      <c r="AO708" s="181"/>
      <c r="AP708" s="181"/>
    </row>
    <row r="709" ht="12.75" customHeight="1">
      <c r="A709" s="179"/>
      <c r="B709" s="459"/>
      <c r="C709" s="481"/>
      <c r="D709" s="180"/>
      <c r="E709" s="180"/>
      <c r="F709" s="180"/>
      <c r="G709" s="460"/>
      <c r="H709" s="181"/>
      <c r="I709" s="181"/>
      <c r="J709" s="181"/>
      <c r="K709" s="181"/>
      <c r="L709" s="181"/>
      <c r="M709" s="329"/>
      <c r="N709" s="181"/>
      <c r="O709" s="181"/>
      <c r="P709" s="176"/>
      <c r="Q709" s="181"/>
      <c r="R709" s="181"/>
      <c r="S709" s="176"/>
      <c r="T709" s="181"/>
      <c r="U709" s="181"/>
      <c r="V709" s="176"/>
      <c r="W709" s="181"/>
      <c r="X709" s="181"/>
      <c r="Y709" s="176"/>
      <c r="Z709" s="181"/>
      <c r="AA709" s="181"/>
      <c r="AB709" s="176"/>
      <c r="AC709" s="181"/>
      <c r="AD709" s="181"/>
      <c r="AE709" s="176"/>
      <c r="AF709" s="176"/>
      <c r="AG709" s="176"/>
      <c r="AH709" s="176"/>
      <c r="AI709" s="181"/>
      <c r="AJ709" s="181"/>
      <c r="AK709" s="176"/>
      <c r="AL709" s="181"/>
      <c r="AM709" s="181"/>
      <c r="AN709" s="176"/>
      <c r="AO709" s="181"/>
      <c r="AP709" s="181"/>
    </row>
    <row r="710" ht="12.75" customHeight="1">
      <c r="A710" s="179"/>
      <c r="B710" s="459"/>
      <c r="C710" s="481"/>
      <c r="D710" s="180"/>
      <c r="E710" s="180"/>
      <c r="F710" s="180"/>
      <c r="G710" s="460"/>
      <c r="H710" s="181"/>
      <c r="I710" s="181"/>
      <c r="J710" s="181"/>
      <c r="K710" s="181"/>
      <c r="L710" s="181"/>
      <c r="M710" s="329"/>
      <c r="N710" s="181"/>
      <c r="O710" s="181"/>
      <c r="P710" s="176"/>
      <c r="Q710" s="181"/>
      <c r="R710" s="181"/>
      <c r="S710" s="176"/>
      <c r="T710" s="181"/>
      <c r="U710" s="181"/>
      <c r="V710" s="176"/>
      <c r="W710" s="181"/>
      <c r="X710" s="181"/>
      <c r="Y710" s="176"/>
      <c r="Z710" s="181"/>
      <c r="AA710" s="181"/>
      <c r="AB710" s="176"/>
      <c r="AC710" s="181"/>
      <c r="AD710" s="181"/>
      <c r="AE710" s="176"/>
      <c r="AF710" s="176"/>
      <c r="AG710" s="176"/>
      <c r="AH710" s="176"/>
      <c r="AI710" s="181"/>
      <c r="AJ710" s="181"/>
      <c r="AK710" s="176"/>
      <c r="AL710" s="181"/>
      <c r="AM710" s="181"/>
      <c r="AN710" s="176"/>
      <c r="AO710" s="181"/>
      <c r="AP710" s="181"/>
    </row>
    <row r="711" ht="12.75" customHeight="1">
      <c r="A711" s="179"/>
      <c r="B711" s="459"/>
      <c r="C711" s="481"/>
      <c r="D711" s="180"/>
      <c r="E711" s="180"/>
      <c r="F711" s="180"/>
      <c r="G711" s="460"/>
      <c r="H711" s="181"/>
      <c r="I711" s="181"/>
      <c r="J711" s="181"/>
      <c r="K711" s="181"/>
      <c r="L711" s="181"/>
      <c r="M711" s="329"/>
      <c r="N711" s="181"/>
      <c r="O711" s="181"/>
      <c r="P711" s="176"/>
      <c r="Q711" s="181"/>
      <c r="R711" s="181"/>
      <c r="S711" s="176"/>
      <c r="T711" s="181"/>
      <c r="U711" s="181"/>
      <c r="V711" s="176"/>
      <c r="W711" s="181"/>
      <c r="X711" s="181"/>
      <c r="Y711" s="176"/>
      <c r="Z711" s="181"/>
      <c r="AA711" s="181"/>
      <c r="AB711" s="176"/>
      <c r="AC711" s="181"/>
      <c r="AD711" s="181"/>
      <c r="AE711" s="176"/>
      <c r="AF711" s="176"/>
      <c r="AG711" s="176"/>
      <c r="AH711" s="176"/>
      <c r="AI711" s="181"/>
      <c r="AJ711" s="181"/>
      <c r="AK711" s="176"/>
      <c r="AL711" s="181"/>
      <c r="AM711" s="181"/>
      <c r="AN711" s="176"/>
      <c r="AO711" s="181"/>
      <c r="AP711" s="181"/>
    </row>
    <row r="712" ht="12.75" customHeight="1">
      <c r="A712" s="179"/>
      <c r="B712" s="459"/>
      <c r="C712" s="481"/>
      <c r="D712" s="180"/>
      <c r="E712" s="180"/>
      <c r="F712" s="180"/>
      <c r="G712" s="460"/>
      <c r="H712" s="181"/>
      <c r="I712" s="181"/>
      <c r="J712" s="181"/>
      <c r="K712" s="181"/>
      <c r="L712" s="181"/>
      <c r="M712" s="329"/>
      <c r="N712" s="181"/>
      <c r="O712" s="181"/>
      <c r="P712" s="176"/>
      <c r="Q712" s="181"/>
      <c r="R712" s="181"/>
      <c r="S712" s="176"/>
      <c r="T712" s="181"/>
      <c r="U712" s="181"/>
      <c r="V712" s="176"/>
      <c r="W712" s="181"/>
      <c r="X712" s="181"/>
      <c r="Y712" s="176"/>
      <c r="Z712" s="181"/>
      <c r="AA712" s="181"/>
      <c r="AB712" s="176"/>
      <c r="AC712" s="181"/>
      <c r="AD712" s="181"/>
      <c r="AE712" s="176"/>
      <c r="AF712" s="176"/>
      <c r="AG712" s="176"/>
      <c r="AH712" s="176"/>
      <c r="AI712" s="181"/>
      <c r="AJ712" s="181"/>
      <c r="AK712" s="176"/>
      <c r="AL712" s="181"/>
      <c r="AM712" s="181"/>
      <c r="AN712" s="176"/>
      <c r="AO712" s="181"/>
      <c r="AP712" s="181"/>
    </row>
    <row r="713" ht="12.75" customHeight="1">
      <c r="A713" s="179"/>
      <c r="B713" s="459"/>
      <c r="C713" s="481"/>
      <c r="D713" s="180"/>
      <c r="E713" s="180"/>
      <c r="F713" s="180"/>
      <c r="G713" s="460"/>
      <c r="H713" s="181"/>
      <c r="I713" s="181"/>
      <c r="J713" s="181"/>
      <c r="K713" s="181"/>
      <c r="L713" s="181"/>
      <c r="M713" s="329"/>
      <c r="N713" s="181"/>
      <c r="O713" s="181"/>
      <c r="P713" s="176"/>
      <c r="Q713" s="181"/>
      <c r="R713" s="181"/>
      <c r="S713" s="176"/>
      <c r="T713" s="181"/>
      <c r="U713" s="181"/>
      <c r="V713" s="176"/>
      <c r="W713" s="181"/>
      <c r="X713" s="181"/>
      <c r="Y713" s="176"/>
      <c r="Z713" s="181"/>
      <c r="AA713" s="181"/>
      <c r="AB713" s="176"/>
      <c r="AC713" s="181"/>
      <c r="AD713" s="181"/>
      <c r="AE713" s="176"/>
      <c r="AF713" s="176"/>
      <c r="AG713" s="176"/>
      <c r="AH713" s="176"/>
      <c r="AI713" s="181"/>
      <c r="AJ713" s="181"/>
      <c r="AK713" s="176"/>
      <c r="AL713" s="181"/>
      <c r="AM713" s="181"/>
      <c r="AN713" s="176"/>
      <c r="AO713" s="181"/>
      <c r="AP713" s="181"/>
    </row>
    <row r="714" ht="12.75" customHeight="1">
      <c r="A714" s="179"/>
      <c r="B714" s="459"/>
      <c r="C714" s="481"/>
      <c r="D714" s="180"/>
      <c r="E714" s="180"/>
      <c r="F714" s="180"/>
      <c r="G714" s="460"/>
      <c r="H714" s="181"/>
      <c r="I714" s="181"/>
      <c r="J714" s="181"/>
      <c r="K714" s="181"/>
      <c r="L714" s="181"/>
      <c r="M714" s="329"/>
      <c r="N714" s="181"/>
      <c r="O714" s="181"/>
      <c r="P714" s="176"/>
      <c r="Q714" s="181"/>
      <c r="R714" s="181"/>
      <c r="S714" s="176"/>
      <c r="T714" s="181"/>
      <c r="U714" s="181"/>
      <c r="V714" s="176"/>
      <c r="W714" s="181"/>
      <c r="X714" s="181"/>
      <c r="Y714" s="176"/>
      <c r="Z714" s="181"/>
      <c r="AA714" s="181"/>
      <c r="AB714" s="176"/>
      <c r="AC714" s="181"/>
      <c r="AD714" s="181"/>
      <c r="AE714" s="176"/>
      <c r="AF714" s="176"/>
      <c r="AG714" s="176"/>
      <c r="AH714" s="176"/>
      <c r="AI714" s="181"/>
      <c r="AJ714" s="181"/>
      <c r="AK714" s="176"/>
      <c r="AL714" s="181"/>
      <c r="AM714" s="181"/>
      <c r="AN714" s="176"/>
      <c r="AO714" s="181"/>
      <c r="AP714" s="181"/>
    </row>
    <row r="715" ht="12.75" customHeight="1">
      <c r="A715" s="179"/>
      <c r="B715" s="459"/>
      <c r="C715" s="481"/>
      <c r="D715" s="180"/>
      <c r="E715" s="180"/>
      <c r="F715" s="180"/>
      <c r="G715" s="460"/>
      <c r="H715" s="181"/>
      <c r="I715" s="181"/>
      <c r="J715" s="181"/>
      <c r="K715" s="181"/>
      <c r="L715" s="181"/>
      <c r="M715" s="329"/>
      <c r="N715" s="181"/>
      <c r="O715" s="181"/>
      <c r="P715" s="176"/>
      <c r="Q715" s="181"/>
      <c r="R715" s="181"/>
      <c r="S715" s="176"/>
      <c r="T715" s="181"/>
      <c r="U715" s="181"/>
      <c r="V715" s="176"/>
      <c r="W715" s="181"/>
      <c r="X715" s="181"/>
      <c r="Y715" s="176"/>
      <c r="Z715" s="181"/>
      <c r="AA715" s="181"/>
      <c r="AB715" s="176"/>
      <c r="AC715" s="181"/>
      <c r="AD715" s="181"/>
      <c r="AE715" s="176"/>
      <c r="AF715" s="176"/>
      <c r="AG715" s="176"/>
      <c r="AH715" s="176"/>
      <c r="AI715" s="181"/>
      <c r="AJ715" s="181"/>
      <c r="AK715" s="176"/>
      <c r="AL715" s="181"/>
      <c r="AM715" s="181"/>
      <c r="AN715" s="176"/>
      <c r="AO715" s="181"/>
      <c r="AP715" s="181"/>
    </row>
    <row r="716" ht="12.75" customHeight="1">
      <c r="A716" s="179"/>
      <c r="B716" s="459"/>
      <c r="C716" s="481"/>
      <c r="D716" s="180"/>
      <c r="E716" s="180"/>
      <c r="F716" s="180"/>
      <c r="G716" s="460"/>
      <c r="H716" s="181"/>
      <c r="I716" s="181"/>
      <c r="J716" s="181"/>
      <c r="K716" s="181"/>
      <c r="L716" s="181"/>
      <c r="M716" s="329"/>
      <c r="N716" s="181"/>
      <c r="O716" s="181"/>
      <c r="P716" s="176"/>
      <c r="Q716" s="181"/>
      <c r="R716" s="181"/>
      <c r="S716" s="176"/>
      <c r="T716" s="181"/>
      <c r="U716" s="181"/>
      <c r="V716" s="176"/>
      <c r="W716" s="181"/>
      <c r="X716" s="181"/>
      <c r="Y716" s="176"/>
      <c r="Z716" s="181"/>
      <c r="AA716" s="181"/>
      <c r="AB716" s="176"/>
      <c r="AC716" s="181"/>
      <c r="AD716" s="181"/>
      <c r="AE716" s="176"/>
      <c r="AF716" s="176"/>
      <c r="AG716" s="176"/>
      <c r="AH716" s="176"/>
      <c r="AI716" s="181"/>
      <c r="AJ716" s="181"/>
      <c r="AK716" s="176"/>
      <c r="AL716" s="181"/>
      <c r="AM716" s="181"/>
      <c r="AN716" s="176"/>
      <c r="AO716" s="181"/>
      <c r="AP716" s="181"/>
    </row>
    <row r="717" ht="12.75" customHeight="1">
      <c r="A717" s="179"/>
      <c r="B717" s="459"/>
      <c r="C717" s="481"/>
      <c r="D717" s="180"/>
      <c r="E717" s="180"/>
      <c r="F717" s="180"/>
      <c r="G717" s="460"/>
      <c r="H717" s="181"/>
      <c r="I717" s="181"/>
      <c r="J717" s="181"/>
      <c r="K717" s="181"/>
      <c r="L717" s="181"/>
      <c r="M717" s="329"/>
      <c r="N717" s="181"/>
      <c r="O717" s="181"/>
      <c r="P717" s="176"/>
      <c r="Q717" s="181"/>
      <c r="R717" s="181"/>
      <c r="S717" s="176"/>
      <c r="T717" s="181"/>
      <c r="U717" s="181"/>
      <c r="V717" s="176"/>
      <c r="W717" s="181"/>
      <c r="X717" s="181"/>
      <c r="Y717" s="176"/>
      <c r="Z717" s="181"/>
      <c r="AA717" s="181"/>
      <c r="AB717" s="176"/>
      <c r="AC717" s="181"/>
      <c r="AD717" s="181"/>
      <c r="AE717" s="176"/>
      <c r="AF717" s="176"/>
      <c r="AG717" s="176"/>
      <c r="AH717" s="176"/>
      <c r="AI717" s="181"/>
      <c r="AJ717" s="181"/>
      <c r="AK717" s="176"/>
      <c r="AL717" s="181"/>
      <c r="AM717" s="181"/>
      <c r="AN717" s="176"/>
      <c r="AO717" s="181"/>
      <c r="AP717" s="181"/>
    </row>
    <row r="718" ht="12.75" customHeight="1">
      <c r="A718" s="179"/>
      <c r="B718" s="459"/>
      <c r="C718" s="481"/>
      <c r="D718" s="180"/>
      <c r="E718" s="180"/>
      <c r="F718" s="180"/>
      <c r="G718" s="460"/>
      <c r="H718" s="181"/>
      <c r="I718" s="181"/>
      <c r="J718" s="181"/>
      <c r="K718" s="181"/>
      <c r="L718" s="181"/>
      <c r="M718" s="329"/>
      <c r="N718" s="181"/>
      <c r="O718" s="181"/>
      <c r="P718" s="176"/>
      <c r="Q718" s="181"/>
      <c r="R718" s="181"/>
      <c r="S718" s="176"/>
      <c r="T718" s="181"/>
      <c r="U718" s="181"/>
      <c r="V718" s="176"/>
      <c r="W718" s="181"/>
      <c r="X718" s="181"/>
      <c r="Y718" s="176"/>
      <c r="Z718" s="181"/>
      <c r="AA718" s="181"/>
      <c r="AB718" s="176"/>
      <c r="AC718" s="181"/>
      <c r="AD718" s="181"/>
      <c r="AE718" s="176"/>
      <c r="AF718" s="176"/>
      <c r="AG718" s="176"/>
      <c r="AH718" s="176"/>
      <c r="AI718" s="181"/>
      <c r="AJ718" s="181"/>
      <c r="AK718" s="176"/>
      <c r="AL718" s="181"/>
      <c r="AM718" s="181"/>
      <c r="AN718" s="176"/>
      <c r="AO718" s="181"/>
      <c r="AP718" s="181"/>
    </row>
    <row r="719" ht="12.75" customHeight="1">
      <c r="A719" s="179"/>
      <c r="B719" s="459"/>
      <c r="C719" s="481"/>
      <c r="D719" s="180"/>
      <c r="E719" s="180"/>
      <c r="F719" s="180"/>
      <c r="G719" s="460"/>
      <c r="H719" s="181"/>
      <c r="I719" s="181"/>
      <c r="J719" s="181"/>
      <c r="K719" s="181"/>
      <c r="L719" s="181"/>
      <c r="M719" s="329"/>
      <c r="N719" s="181"/>
      <c r="O719" s="181"/>
      <c r="P719" s="176"/>
      <c r="Q719" s="181"/>
      <c r="R719" s="181"/>
      <c r="S719" s="176"/>
      <c r="T719" s="181"/>
      <c r="U719" s="181"/>
      <c r="V719" s="176"/>
      <c r="W719" s="181"/>
      <c r="X719" s="181"/>
      <c r="Y719" s="176"/>
      <c r="Z719" s="181"/>
      <c r="AA719" s="181"/>
      <c r="AB719" s="176"/>
      <c r="AC719" s="181"/>
      <c r="AD719" s="181"/>
      <c r="AE719" s="176"/>
      <c r="AF719" s="176"/>
      <c r="AG719" s="176"/>
      <c r="AH719" s="176"/>
      <c r="AI719" s="181"/>
      <c r="AJ719" s="181"/>
      <c r="AK719" s="176"/>
      <c r="AL719" s="181"/>
      <c r="AM719" s="181"/>
      <c r="AN719" s="176"/>
      <c r="AO719" s="181"/>
      <c r="AP719" s="181"/>
    </row>
    <row r="720" ht="12.75" customHeight="1">
      <c r="A720" s="179"/>
      <c r="B720" s="459"/>
      <c r="C720" s="481"/>
      <c r="D720" s="180"/>
      <c r="E720" s="180"/>
      <c r="F720" s="180"/>
      <c r="G720" s="460"/>
      <c r="H720" s="181"/>
      <c r="I720" s="181"/>
      <c r="J720" s="181"/>
      <c r="K720" s="181"/>
      <c r="L720" s="181"/>
      <c r="M720" s="329"/>
      <c r="N720" s="181"/>
      <c r="O720" s="181"/>
      <c r="P720" s="176"/>
      <c r="Q720" s="181"/>
      <c r="R720" s="181"/>
      <c r="S720" s="176"/>
      <c r="T720" s="181"/>
      <c r="U720" s="181"/>
      <c r="V720" s="176"/>
      <c r="W720" s="181"/>
      <c r="X720" s="181"/>
      <c r="Y720" s="176"/>
      <c r="Z720" s="181"/>
      <c r="AA720" s="181"/>
      <c r="AB720" s="176"/>
      <c r="AC720" s="181"/>
      <c r="AD720" s="181"/>
      <c r="AE720" s="176"/>
      <c r="AF720" s="176"/>
      <c r="AG720" s="176"/>
      <c r="AH720" s="176"/>
      <c r="AI720" s="181"/>
      <c r="AJ720" s="181"/>
      <c r="AK720" s="176"/>
      <c r="AL720" s="181"/>
      <c r="AM720" s="181"/>
      <c r="AN720" s="176"/>
      <c r="AO720" s="181"/>
      <c r="AP720" s="181"/>
    </row>
    <row r="721" ht="12.75" customHeight="1">
      <c r="A721" s="179"/>
      <c r="B721" s="459"/>
      <c r="C721" s="481"/>
      <c r="D721" s="180"/>
      <c r="E721" s="180"/>
      <c r="F721" s="180"/>
      <c r="G721" s="460"/>
      <c r="H721" s="181"/>
      <c r="I721" s="181"/>
      <c r="J721" s="181"/>
      <c r="K721" s="181"/>
      <c r="L721" s="181"/>
      <c r="M721" s="329"/>
      <c r="N721" s="181"/>
      <c r="O721" s="181"/>
      <c r="P721" s="176"/>
      <c r="Q721" s="181"/>
      <c r="R721" s="181"/>
      <c r="S721" s="176"/>
      <c r="T721" s="181"/>
      <c r="U721" s="181"/>
      <c r="V721" s="176"/>
      <c r="W721" s="181"/>
      <c r="X721" s="181"/>
      <c r="Y721" s="176"/>
      <c r="Z721" s="181"/>
      <c r="AA721" s="181"/>
      <c r="AB721" s="176"/>
      <c r="AC721" s="181"/>
      <c r="AD721" s="181"/>
      <c r="AE721" s="176"/>
      <c r="AF721" s="176"/>
      <c r="AG721" s="176"/>
      <c r="AH721" s="176"/>
      <c r="AI721" s="181"/>
      <c r="AJ721" s="181"/>
      <c r="AK721" s="176"/>
      <c r="AL721" s="181"/>
      <c r="AM721" s="181"/>
      <c r="AN721" s="176"/>
      <c r="AO721" s="181"/>
      <c r="AP721" s="181"/>
    </row>
    <row r="722" ht="12.75" customHeight="1">
      <c r="A722" s="179"/>
      <c r="B722" s="459"/>
      <c r="C722" s="481"/>
      <c r="D722" s="180"/>
      <c r="E722" s="180"/>
      <c r="F722" s="180"/>
      <c r="G722" s="460"/>
      <c r="H722" s="181"/>
      <c r="I722" s="181"/>
      <c r="J722" s="181"/>
      <c r="K722" s="181"/>
      <c r="L722" s="181"/>
      <c r="M722" s="329"/>
      <c r="N722" s="181"/>
      <c r="O722" s="181"/>
      <c r="P722" s="176"/>
      <c r="Q722" s="181"/>
      <c r="R722" s="181"/>
      <c r="S722" s="176"/>
      <c r="T722" s="181"/>
      <c r="U722" s="181"/>
      <c r="V722" s="176"/>
      <c r="W722" s="181"/>
      <c r="X722" s="181"/>
      <c r="Y722" s="176"/>
      <c r="Z722" s="181"/>
      <c r="AA722" s="181"/>
      <c r="AB722" s="176"/>
      <c r="AC722" s="181"/>
      <c r="AD722" s="181"/>
      <c r="AE722" s="176"/>
      <c r="AF722" s="176"/>
      <c r="AG722" s="176"/>
      <c r="AH722" s="176"/>
      <c r="AI722" s="181"/>
      <c r="AJ722" s="181"/>
      <c r="AK722" s="176"/>
      <c r="AL722" s="181"/>
      <c r="AM722" s="181"/>
      <c r="AN722" s="176"/>
      <c r="AO722" s="181"/>
      <c r="AP722" s="181"/>
    </row>
    <row r="723" ht="12.75" customHeight="1">
      <c r="A723" s="179"/>
      <c r="B723" s="459"/>
      <c r="C723" s="481"/>
      <c r="D723" s="180"/>
      <c r="E723" s="180"/>
      <c r="F723" s="180"/>
      <c r="G723" s="460"/>
      <c r="H723" s="181"/>
      <c r="I723" s="181"/>
      <c r="J723" s="181"/>
      <c r="K723" s="181"/>
      <c r="L723" s="181"/>
      <c r="M723" s="329"/>
      <c r="N723" s="181"/>
      <c r="O723" s="181"/>
      <c r="P723" s="176"/>
      <c r="Q723" s="181"/>
      <c r="R723" s="181"/>
      <c r="S723" s="176"/>
      <c r="T723" s="181"/>
      <c r="U723" s="181"/>
      <c r="V723" s="176"/>
      <c r="W723" s="181"/>
      <c r="X723" s="181"/>
      <c r="Y723" s="176"/>
      <c r="Z723" s="181"/>
      <c r="AA723" s="181"/>
      <c r="AB723" s="176"/>
      <c r="AC723" s="181"/>
      <c r="AD723" s="181"/>
      <c r="AE723" s="176"/>
      <c r="AF723" s="176"/>
      <c r="AG723" s="176"/>
      <c r="AH723" s="176"/>
      <c r="AI723" s="181"/>
      <c r="AJ723" s="181"/>
      <c r="AK723" s="176"/>
      <c r="AL723" s="181"/>
      <c r="AM723" s="181"/>
      <c r="AN723" s="176"/>
      <c r="AO723" s="181"/>
      <c r="AP723" s="181"/>
    </row>
    <row r="724" ht="12.75" customHeight="1">
      <c r="A724" s="179"/>
      <c r="B724" s="459"/>
      <c r="C724" s="481"/>
      <c r="D724" s="180"/>
      <c r="E724" s="180"/>
      <c r="F724" s="180"/>
      <c r="G724" s="460"/>
      <c r="H724" s="181"/>
      <c r="I724" s="181"/>
      <c r="J724" s="181"/>
      <c r="K724" s="181"/>
      <c r="L724" s="181"/>
      <c r="M724" s="329"/>
      <c r="N724" s="181"/>
      <c r="O724" s="181"/>
      <c r="P724" s="176"/>
      <c r="Q724" s="181"/>
      <c r="R724" s="181"/>
      <c r="S724" s="176"/>
      <c r="T724" s="181"/>
      <c r="U724" s="181"/>
      <c r="V724" s="176"/>
      <c r="W724" s="181"/>
      <c r="X724" s="181"/>
      <c r="Y724" s="176"/>
      <c r="Z724" s="181"/>
      <c r="AA724" s="181"/>
      <c r="AB724" s="176"/>
      <c r="AC724" s="181"/>
      <c r="AD724" s="181"/>
      <c r="AE724" s="176"/>
      <c r="AF724" s="176"/>
      <c r="AG724" s="176"/>
      <c r="AH724" s="176"/>
      <c r="AI724" s="181"/>
      <c r="AJ724" s="181"/>
      <c r="AK724" s="176"/>
      <c r="AL724" s="181"/>
      <c r="AM724" s="181"/>
      <c r="AN724" s="176"/>
      <c r="AO724" s="181"/>
      <c r="AP724" s="181"/>
    </row>
    <row r="725" ht="12.75" customHeight="1">
      <c r="A725" s="179"/>
      <c r="B725" s="459"/>
      <c r="C725" s="481"/>
      <c r="D725" s="180"/>
      <c r="E725" s="180"/>
      <c r="F725" s="180"/>
      <c r="G725" s="460"/>
      <c r="H725" s="181"/>
      <c r="I725" s="181"/>
      <c r="J725" s="181"/>
      <c r="K725" s="181"/>
      <c r="L725" s="181"/>
      <c r="M725" s="329"/>
      <c r="N725" s="181"/>
      <c r="O725" s="181"/>
      <c r="P725" s="176"/>
      <c r="Q725" s="181"/>
      <c r="R725" s="181"/>
      <c r="S725" s="176"/>
      <c r="T725" s="181"/>
      <c r="U725" s="181"/>
      <c r="V725" s="176"/>
      <c r="W725" s="181"/>
      <c r="X725" s="181"/>
      <c r="Y725" s="176"/>
      <c r="Z725" s="181"/>
      <c r="AA725" s="181"/>
      <c r="AB725" s="176"/>
      <c r="AC725" s="181"/>
      <c r="AD725" s="181"/>
      <c r="AE725" s="176"/>
      <c r="AF725" s="176"/>
      <c r="AG725" s="176"/>
      <c r="AH725" s="176"/>
      <c r="AI725" s="181"/>
      <c r="AJ725" s="181"/>
      <c r="AK725" s="176"/>
      <c r="AL725" s="181"/>
      <c r="AM725" s="181"/>
      <c r="AN725" s="176"/>
      <c r="AO725" s="181"/>
      <c r="AP725" s="181"/>
    </row>
    <row r="726" ht="12.75" customHeight="1">
      <c r="A726" s="179"/>
      <c r="B726" s="459"/>
      <c r="C726" s="481"/>
      <c r="D726" s="180"/>
      <c r="E726" s="180"/>
      <c r="F726" s="180"/>
      <c r="G726" s="460"/>
      <c r="H726" s="181"/>
      <c r="I726" s="181"/>
      <c r="J726" s="181"/>
      <c r="K726" s="181"/>
      <c r="L726" s="181"/>
      <c r="M726" s="329"/>
      <c r="N726" s="181"/>
      <c r="O726" s="181"/>
      <c r="P726" s="176"/>
      <c r="Q726" s="181"/>
      <c r="R726" s="181"/>
      <c r="S726" s="176"/>
      <c r="T726" s="181"/>
      <c r="U726" s="181"/>
      <c r="V726" s="176"/>
      <c r="W726" s="181"/>
      <c r="X726" s="181"/>
      <c r="Y726" s="176"/>
      <c r="Z726" s="181"/>
      <c r="AA726" s="181"/>
      <c r="AB726" s="176"/>
      <c r="AC726" s="181"/>
      <c r="AD726" s="181"/>
      <c r="AE726" s="176"/>
      <c r="AF726" s="176"/>
      <c r="AG726" s="176"/>
      <c r="AH726" s="176"/>
      <c r="AI726" s="181"/>
      <c r="AJ726" s="181"/>
      <c r="AK726" s="176"/>
      <c r="AL726" s="181"/>
      <c r="AM726" s="181"/>
      <c r="AN726" s="176"/>
      <c r="AO726" s="181"/>
      <c r="AP726" s="181"/>
    </row>
    <row r="727" ht="12.75" customHeight="1">
      <c r="A727" s="179"/>
      <c r="B727" s="459"/>
      <c r="C727" s="481"/>
      <c r="D727" s="180"/>
      <c r="E727" s="180"/>
      <c r="F727" s="180"/>
      <c r="G727" s="460"/>
      <c r="H727" s="181"/>
      <c r="I727" s="181"/>
      <c r="J727" s="181"/>
      <c r="K727" s="181"/>
      <c r="L727" s="181"/>
      <c r="M727" s="329"/>
      <c r="N727" s="181"/>
      <c r="O727" s="181"/>
      <c r="P727" s="176"/>
      <c r="Q727" s="181"/>
      <c r="R727" s="181"/>
      <c r="S727" s="176"/>
      <c r="T727" s="181"/>
      <c r="U727" s="181"/>
      <c r="V727" s="176"/>
      <c r="W727" s="181"/>
      <c r="X727" s="181"/>
      <c r="Y727" s="176"/>
      <c r="Z727" s="181"/>
      <c r="AA727" s="181"/>
      <c r="AB727" s="176"/>
      <c r="AC727" s="181"/>
      <c r="AD727" s="181"/>
      <c r="AE727" s="176"/>
      <c r="AF727" s="176"/>
      <c r="AG727" s="176"/>
      <c r="AH727" s="176"/>
      <c r="AI727" s="181"/>
      <c r="AJ727" s="181"/>
      <c r="AK727" s="176"/>
      <c r="AL727" s="181"/>
      <c r="AM727" s="181"/>
      <c r="AN727" s="176"/>
      <c r="AO727" s="181"/>
      <c r="AP727" s="181"/>
    </row>
    <row r="728" ht="12.75" customHeight="1">
      <c r="A728" s="179"/>
      <c r="B728" s="459"/>
      <c r="C728" s="481"/>
      <c r="D728" s="180"/>
      <c r="E728" s="180"/>
      <c r="F728" s="180"/>
      <c r="G728" s="460"/>
      <c r="H728" s="181"/>
      <c r="I728" s="181"/>
      <c r="J728" s="181"/>
      <c r="K728" s="181"/>
      <c r="L728" s="181"/>
      <c r="M728" s="329"/>
      <c r="N728" s="181"/>
      <c r="O728" s="181"/>
      <c r="P728" s="176"/>
      <c r="Q728" s="181"/>
      <c r="R728" s="181"/>
      <c r="S728" s="176"/>
      <c r="T728" s="181"/>
      <c r="U728" s="181"/>
      <c r="V728" s="176"/>
      <c r="W728" s="181"/>
      <c r="X728" s="181"/>
      <c r="Y728" s="176"/>
      <c r="Z728" s="181"/>
      <c r="AA728" s="181"/>
      <c r="AB728" s="176"/>
      <c r="AC728" s="181"/>
      <c r="AD728" s="181"/>
      <c r="AE728" s="176"/>
      <c r="AF728" s="176"/>
      <c r="AG728" s="176"/>
      <c r="AH728" s="176"/>
      <c r="AI728" s="181"/>
      <c r="AJ728" s="181"/>
      <c r="AK728" s="176"/>
      <c r="AL728" s="181"/>
      <c r="AM728" s="181"/>
      <c r="AN728" s="176"/>
      <c r="AO728" s="181"/>
      <c r="AP728" s="181"/>
    </row>
    <row r="729" ht="12.75" customHeight="1">
      <c r="A729" s="179"/>
      <c r="B729" s="459"/>
      <c r="C729" s="481"/>
      <c r="D729" s="180"/>
      <c r="E729" s="180"/>
      <c r="F729" s="180"/>
      <c r="G729" s="460"/>
      <c r="H729" s="181"/>
      <c r="I729" s="181"/>
      <c r="J729" s="181"/>
      <c r="K729" s="181"/>
      <c r="L729" s="181"/>
      <c r="M729" s="329"/>
      <c r="N729" s="181"/>
      <c r="O729" s="181"/>
      <c r="P729" s="176"/>
      <c r="Q729" s="181"/>
      <c r="R729" s="181"/>
      <c r="S729" s="176"/>
      <c r="T729" s="181"/>
      <c r="U729" s="181"/>
      <c r="V729" s="176"/>
      <c r="W729" s="181"/>
      <c r="X729" s="181"/>
      <c r="Y729" s="176"/>
      <c r="Z729" s="181"/>
      <c r="AA729" s="181"/>
      <c r="AB729" s="176"/>
      <c r="AC729" s="181"/>
      <c r="AD729" s="181"/>
      <c r="AE729" s="176"/>
      <c r="AF729" s="176"/>
      <c r="AG729" s="176"/>
      <c r="AH729" s="176"/>
      <c r="AI729" s="181"/>
      <c r="AJ729" s="181"/>
      <c r="AK729" s="176"/>
      <c r="AL729" s="181"/>
      <c r="AM729" s="181"/>
      <c r="AN729" s="176"/>
      <c r="AO729" s="181"/>
      <c r="AP729" s="181"/>
    </row>
    <row r="730" ht="12.75" customHeight="1">
      <c r="A730" s="179"/>
      <c r="B730" s="459"/>
      <c r="C730" s="481"/>
      <c r="D730" s="180"/>
      <c r="E730" s="180"/>
      <c r="F730" s="180"/>
      <c r="G730" s="460"/>
      <c r="H730" s="181"/>
      <c r="I730" s="181"/>
      <c r="J730" s="181"/>
      <c r="K730" s="181"/>
      <c r="L730" s="181"/>
      <c r="M730" s="329"/>
      <c r="N730" s="181"/>
      <c r="O730" s="181"/>
      <c r="P730" s="176"/>
      <c r="Q730" s="181"/>
      <c r="R730" s="181"/>
      <c r="S730" s="176"/>
      <c r="T730" s="181"/>
      <c r="U730" s="181"/>
      <c r="V730" s="176"/>
      <c r="W730" s="181"/>
      <c r="X730" s="181"/>
      <c r="Y730" s="176"/>
      <c r="Z730" s="181"/>
      <c r="AA730" s="181"/>
      <c r="AB730" s="176"/>
      <c r="AC730" s="181"/>
      <c r="AD730" s="181"/>
      <c r="AE730" s="176"/>
      <c r="AF730" s="176"/>
      <c r="AG730" s="176"/>
      <c r="AH730" s="176"/>
      <c r="AI730" s="181"/>
      <c r="AJ730" s="181"/>
      <c r="AK730" s="176"/>
      <c r="AL730" s="181"/>
      <c r="AM730" s="181"/>
      <c r="AN730" s="176"/>
      <c r="AO730" s="181"/>
      <c r="AP730" s="181"/>
    </row>
    <row r="731" ht="12.75" customHeight="1">
      <c r="A731" s="179"/>
      <c r="B731" s="459"/>
      <c r="C731" s="481"/>
      <c r="D731" s="180"/>
      <c r="E731" s="180"/>
      <c r="F731" s="180"/>
      <c r="G731" s="460"/>
      <c r="H731" s="181"/>
      <c r="I731" s="181"/>
      <c r="J731" s="181"/>
      <c r="K731" s="181"/>
      <c r="L731" s="181"/>
      <c r="M731" s="329"/>
      <c r="N731" s="181"/>
      <c r="O731" s="181"/>
      <c r="P731" s="176"/>
      <c r="Q731" s="181"/>
      <c r="R731" s="181"/>
      <c r="S731" s="176"/>
      <c r="T731" s="181"/>
      <c r="U731" s="181"/>
      <c r="V731" s="176"/>
      <c r="W731" s="181"/>
      <c r="X731" s="181"/>
      <c r="Y731" s="176"/>
      <c r="Z731" s="181"/>
      <c r="AA731" s="181"/>
      <c r="AB731" s="176"/>
      <c r="AC731" s="181"/>
      <c r="AD731" s="181"/>
      <c r="AE731" s="176"/>
      <c r="AF731" s="176"/>
      <c r="AG731" s="176"/>
      <c r="AH731" s="176"/>
      <c r="AI731" s="181"/>
      <c r="AJ731" s="181"/>
      <c r="AK731" s="176"/>
      <c r="AL731" s="181"/>
      <c r="AM731" s="181"/>
      <c r="AN731" s="176"/>
      <c r="AO731" s="181"/>
      <c r="AP731" s="181"/>
    </row>
    <row r="732" ht="12.75" customHeight="1">
      <c r="A732" s="179"/>
      <c r="B732" s="459"/>
      <c r="C732" s="481"/>
      <c r="D732" s="180"/>
      <c r="E732" s="180"/>
      <c r="F732" s="180"/>
      <c r="G732" s="460"/>
      <c r="H732" s="181"/>
      <c r="I732" s="181"/>
      <c r="J732" s="181"/>
      <c r="K732" s="181"/>
      <c r="L732" s="181"/>
      <c r="M732" s="329"/>
      <c r="N732" s="181"/>
      <c r="O732" s="181"/>
      <c r="P732" s="176"/>
      <c r="Q732" s="181"/>
      <c r="R732" s="181"/>
      <c r="S732" s="176"/>
      <c r="T732" s="181"/>
      <c r="U732" s="181"/>
      <c r="V732" s="176"/>
      <c r="W732" s="181"/>
      <c r="X732" s="181"/>
      <c r="Y732" s="176"/>
      <c r="Z732" s="181"/>
      <c r="AA732" s="181"/>
      <c r="AB732" s="176"/>
      <c r="AC732" s="181"/>
      <c r="AD732" s="181"/>
      <c r="AE732" s="176"/>
      <c r="AF732" s="176"/>
      <c r="AG732" s="176"/>
      <c r="AH732" s="176"/>
      <c r="AI732" s="181"/>
      <c r="AJ732" s="181"/>
      <c r="AK732" s="176"/>
      <c r="AL732" s="181"/>
      <c r="AM732" s="181"/>
      <c r="AN732" s="176"/>
      <c r="AO732" s="181"/>
      <c r="AP732" s="181"/>
    </row>
    <row r="733" ht="12.75" customHeight="1">
      <c r="A733" s="179"/>
      <c r="B733" s="459"/>
      <c r="C733" s="481"/>
      <c r="D733" s="180"/>
      <c r="E733" s="180"/>
      <c r="F733" s="180"/>
      <c r="G733" s="460"/>
      <c r="H733" s="181"/>
      <c r="I733" s="181"/>
      <c r="J733" s="181"/>
      <c r="K733" s="181"/>
      <c r="L733" s="181"/>
      <c r="M733" s="329"/>
      <c r="N733" s="181"/>
      <c r="O733" s="181"/>
      <c r="P733" s="176"/>
      <c r="Q733" s="181"/>
      <c r="R733" s="181"/>
      <c r="S733" s="176"/>
      <c r="T733" s="181"/>
      <c r="U733" s="181"/>
      <c r="V733" s="176"/>
      <c r="W733" s="181"/>
      <c r="X733" s="181"/>
      <c r="Y733" s="176"/>
      <c r="Z733" s="181"/>
      <c r="AA733" s="181"/>
      <c r="AB733" s="176"/>
      <c r="AC733" s="181"/>
      <c r="AD733" s="181"/>
      <c r="AE733" s="176"/>
      <c r="AF733" s="176"/>
      <c r="AG733" s="176"/>
      <c r="AH733" s="176"/>
      <c r="AI733" s="181"/>
      <c r="AJ733" s="181"/>
      <c r="AK733" s="176"/>
      <c r="AL733" s="181"/>
      <c r="AM733" s="181"/>
      <c r="AN733" s="176"/>
      <c r="AO733" s="181"/>
      <c r="AP733" s="181"/>
    </row>
    <row r="734" ht="12.75" customHeight="1">
      <c r="A734" s="179"/>
      <c r="B734" s="459"/>
      <c r="C734" s="481"/>
      <c r="D734" s="180"/>
      <c r="E734" s="180"/>
      <c r="F734" s="180"/>
      <c r="G734" s="460"/>
      <c r="H734" s="181"/>
      <c r="I734" s="181"/>
      <c r="J734" s="181"/>
      <c r="K734" s="181"/>
      <c r="L734" s="181"/>
      <c r="M734" s="329"/>
      <c r="N734" s="181"/>
      <c r="O734" s="181"/>
      <c r="P734" s="176"/>
      <c r="Q734" s="181"/>
      <c r="R734" s="181"/>
      <c r="S734" s="176"/>
      <c r="T734" s="181"/>
      <c r="U734" s="181"/>
      <c r="V734" s="176"/>
      <c r="W734" s="181"/>
      <c r="X734" s="181"/>
      <c r="Y734" s="176"/>
      <c r="Z734" s="181"/>
      <c r="AA734" s="181"/>
      <c r="AB734" s="176"/>
      <c r="AC734" s="181"/>
      <c r="AD734" s="181"/>
      <c r="AE734" s="176"/>
      <c r="AF734" s="176"/>
      <c r="AG734" s="176"/>
      <c r="AH734" s="176"/>
      <c r="AI734" s="181"/>
      <c r="AJ734" s="181"/>
      <c r="AK734" s="176"/>
      <c r="AL734" s="181"/>
      <c r="AM734" s="181"/>
      <c r="AN734" s="176"/>
      <c r="AO734" s="181"/>
      <c r="AP734" s="181"/>
    </row>
    <row r="735" ht="12.75" customHeight="1">
      <c r="A735" s="179"/>
      <c r="B735" s="459"/>
      <c r="C735" s="481"/>
      <c r="D735" s="180"/>
      <c r="E735" s="180"/>
      <c r="F735" s="180"/>
      <c r="G735" s="460"/>
      <c r="H735" s="181"/>
      <c r="I735" s="181"/>
      <c r="J735" s="181"/>
      <c r="K735" s="181"/>
      <c r="L735" s="181"/>
      <c r="M735" s="329"/>
      <c r="N735" s="181"/>
      <c r="O735" s="181"/>
      <c r="P735" s="176"/>
      <c r="Q735" s="181"/>
      <c r="R735" s="181"/>
      <c r="S735" s="176"/>
      <c r="T735" s="181"/>
      <c r="U735" s="181"/>
      <c r="V735" s="176"/>
      <c r="W735" s="181"/>
      <c r="X735" s="181"/>
      <c r="Y735" s="176"/>
      <c r="Z735" s="181"/>
      <c r="AA735" s="181"/>
      <c r="AB735" s="176"/>
      <c r="AC735" s="181"/>
      <c r="AD735" s="181"/>
      <c r="AE735" s="176"/>
      <c r="AF735" s="176"/>
      <c r="AG735" s="176"/>
      <c r="AH735" s="176"/>
      <c r="AI735" s="181"/>
      <c r="AJ735" s="181"/>
      <c r="AK735" s="176"/>
      <c r="AL735" s="181"/>
      <c r="AM735" s="181"/>
      <c r="AN735" s="176"/>
      <c r="AO735" s="181"/>
      <c r="AP735" s="181"/>
    </row>
    <row r="736" ht="12.75" customHeight="1">
      <c r="A736" s="179"/>
      <c r="B736" s="459"/>
      <c r="C736" s="481"/>
      <c r="D736" s="180"/>
      <c r="E736" s="180"/>
      <c r="F736" s="180"/>
      <c r="G736" s="460"/>
      <c r="H736" s="181"/>
      <c r="I736" s="181"/>
      <c r="J736" s="181"/>
      <c r="K736" s="181"/>
      <c r="L736" s="181"/>
      <c r="M736" s="329"/>
      <c r="N736" s="181"/>
      <c r="O736" s="181"/>
      <c r="P736" s="176"/>
      <c r="Q736" s="181"/>
      <c r="R736" s="181"/>
      <c r="S736" s="176"/>
      <c r="T736" s="181"/>
      <c r="U736" s="181"/>
      <c r="V736" s="176"/>
      <c r="W736" s="181"/>
      <c r="X736" s="181"/>
      <c r="Y736" s="176"/>
      <c r="Z736" s="181"/>
      <c r="AA736" s="181"/>
      <c r="AB736" s="176"/>
      <c r="AC736" s="181"/>
      <c r="AD736" s="181"/>
      <c r="AE736" s="176"/>
      <c r="AF736" s="176"/>
      <c r="AG736" s="176"/>
      <c r="AH736" s="176"/>
      <c r="AI736" s="181"/>
      <c r="AJ736" s="181"/>
      <c r="AK736" s="176"/>
      <c r="AL736" s="181"/>
      <c r="AM736" s="181"/>
      <c r="AN736" s="176"/>
      <c r="AO736" s="181"/>
      <c r="AP736" s="181"/>
    </row>
    <row r="737" ht="12.75" customHeight="1">
      <c r="A737" s="179"/>
      <c r="B737" s="459"/>
      <c r="C737" s="481"/>
      <c r="D737" s="180"/>
      <c r="E737" s="180"/>
      <c r="F737" s="180"/>
      <c r="G737" s="460"/>
      <c r="H737" s="181"/>
      <c r="I737" s="181"/>
      <c r="J737" s="181"/>
      <c r="K737" s="181"/>
      <c r="L737" s="181"/>
      <c r="M737" s="329"/>
      <c r="N737" s="181"/>
      <c r="O737" s="181"/>
      <c r="P737" s="176"/>
      <c r="Q737" s="181"/>
      <c r="R737" s="181"/>
      <c r="S737" s="176"/>
      <c r="T737" s="181"/>
      <c r="U737" s="181"/>
      <c r="V737" s="176"/>
      <c r="W737" s="181"/>
      <c r="X737" s="181"/>
      <c r="Y737" s="176"/>
      <c r="Z737" s="181"/>
      <c r="AA737" s="181"/>
      <c r="AB737" s="176"/>
      <c r="AC737" s="181"/>
      <c r="AD737" s="181"/>
      <c r="AE737" s="176"/>
      <c r="AF737" s="176"/>
      <c r="AG737" s="176"/>
      <c r="AH737" s="176"/>
      <c r="AI737" s="181"/>
      <c r="AJ737" s="181"/>
      <c r="AK737" s="176"/>
      <c r="AL737" s="181"/>
      <c r="AM737" s="181"/>
      <c r="AN737" s="176"/>
      <c r="AO737" s="181"/>
      <c r="AP737" s="181"/>
    </row>
    <row r="738" ht="12.75" customHeight="1">
      <c r="A738" s="179"/>
      <c r="B738" s="459"/>
      <c r="C738" s="481"/>
      <c r="D738" s="180"/>
      <c r="E738" s="180"/>
      <c r="F738" s="180"/>
      <c r="G738" s="460"/>
      <c r="H738" s="181"/>
      <c r="I738" s="181"/>
      <c r="J738" s="181"/>
      <c r="K738" s="181"/>
      <c r="L738" s="181"/>
      <c r="M738" s="329"/>
      <c r="N738" s="181"/>
      <c r="O738" s="181"/>
      <c r="P738" s="176"/>
      <c r="Q738" s="181"/>
      <c r="R738" s="181"/>
      <c r="S738" s="176"/>
      <c r="T738" s="181"/>
      <c r="U738" s="181"/>
      <c r="V738" s="176"/>
      <c r="W738" s="181"/>
      <c r="X738" s="181"/>
      <c r="Y738" s="176"/>
      <c r="Z738" s="181"/>
      <c r="AA738" s="181"/>
      <c r="AB738" s="176"/>
      <c r="AC738" s="181"/>
      <c r="AD738" s="181"/>
      <c r="AE738" s="176"/>
      <c r="AF738" s="176"/>
      <c r="AG738" s="176"/>
      <c r="AH738" s="176"/>
      <c r="AI738" s="181"/>
      <c r="AJ738" s="181"/>
      <c r="AK738" s="176"/>
      <c r="AL738" s="181"/>
      <c r="AM738" s="181"/>
      <c r="AN738" s="176"/>
      <c r="AO738" s="181"/>
      <c r="AP738" s="181"/>
    </row>
    <row r="739" ht="12.75" customHeight="1">
      <c r="A739" s="179"/>
      <c r="B739" s="459"/>
      <c r="C739" s="481"/>
      <c r="D739" s="180"/>
      <c r="E739" s="180"/>
      <c r="F739" s="180"/>
      <c r="G739" s="460"/>
      <c r="H739" s="181"/>
      <c r="I739" s="181"/>
      <c r="J739" s="181"/>
      <c r="K739" s="181"/>
      <c r="L739" s="181"/>
      <c r="M739" s="329"/>
      <c r="N739" s="181"/>
      <c r="O739" s="181"/>
      <c r="P739" s="176"/>
      <c r="Q739" s="181"/>
      <c r="R739" s="181"/>
      <c r="S739" s="176"/>
      <c r="T739" s="181"/>
      <c r="U739" s="181"/>
      <c r="V739" s="176"/>
      <c r="W739" s="181"/>
      <c r="X739" s="181"/>
      <c r="Y739" s="176"/>
      <c r="Z739" s="181"/>
      <c r="AA739" s="181"/>
      <c r="AB739" s="176"/>
      <c r="AC739" s="181"/>
      <c r="AD739" s="181"/>
      <c r="AE739" s="176"/>
      <c r="AF739" s="176"/>
      <c r="AG739" s="176"/>
      <c r="AH739" s="176"/>
      <c r="AI739" s="181"/>
      <c r="AJ739" s="181"/>
      <c r="AK739" s="176"/>
      <c r="AL739" s="181"/>
      <c r="AM739" s="181"/>
      <c r="AN739" s="176"/>
      <c r="AO739" s="181"/>
      <c r="AP739" s="181"/>
    </row>
    <row r="740" ht="12.75" customHeight="1">
      <c r="A740" s="179"/>
      <c r="B740" s="459"/>
      <c r="C740" s="481"/>
      <c r="D740" s="180"/>
      <c r="E740" s="180"/>
      <c r="F740" s="180"/>
      <c r="G740" s="460"/>
      <c r="H740" s="181"/>
      <c r="I740" s="181"/>
      <c r="J740" s="181"/>
      <c r="K740" s="181"/>
      <c r="L740" s="181"/>
      <c r="M740" s="329"/>
      <c r="N740" s="181"/>
      <c r="O740" s="181"/>
      <c r="P740" s="176"/>
      <c r="Q740" s="181"/>
      <c r="R740" s="181"/>
      <c r="S740" s="176"/>
      <c r="T740" s="181"/>
      <c r="U740" s="181"/>
      <c r="V740" s="176"/>
      <c r="W740" s="181"/>
      <c r="X740" s="181"/>
      <c r="Y740" s="176"/>
      <c r="Z740" s="181"/>
      <c r="AA740" s="181"/>
      <c r="AB740" s="176"/>
      <c r="AC740" s="181"/>
      <c r="AD740" s="181"/>
      <c r="AE740" s="176"/>
      <c r="AF740" s="176"/>
      <c r="AG740" s="176"/>
      <c r="AH740" s="176"/>
      <c r="AI740" s="181"/>
      <c r="AJ740" s="181"/>
      <c r="AK740" s="176"/>
      <c r="AL740" s="181"/>
      <c r="AM740" s="181"/>
      <c r="AN740" s="176"/>
      <c r="AO740" s="181"/>
      <c r="AP740" s="181"/>
    </row>
    <row r="741" ht="12.75" customHeight="1">
      <c r="A741" s="179"/>
      <c r="B741" s="459"/>
      <c r="C741" s="481"/>
      <c r="D741" s="180"/>
      <c r="E741" s="180"/>
      <c r="F741" s="180"/>
      <c r="G741" s="460"/>
      <c r="H741" s="181"/>
      <c r="I741" s="181"/>
      <c r="J741" s="181"/>
      <c r="K741" s="181"/>
      <c r="L741" s="181"/>
      <c r="M741" s="329"/>
      <c r="N741" s="181"/>
      <c r="O741" s="181"/>
      <c r="P741" s="176"/>
      <c r="Q741" s="181"/>
      <c r="R741" s="181"/>
      <c r="S741" s="176"/>
      <c r="T741" s="181"/>
      <c r="U741" s="181"/>
      <c r="V741" s="176"/>
      <c r="W741" s="181"/>
      <c r="X741" s="181"/>
      <c r="Y741" s="176"/>
      <c r="Z741" s="181"/>
      <c r="AA741" s="181"/>
      <c r="AB741" s="176"/>
      <c r="AC741" s="181"/>
      <c r="AD741" s="181"/>
      <c r="AE741" s="176"/>
      <c r="AF741" s="176"/>
      <c r="AG741" s="176"/>
      <c r="AH741" s="176"/>
      <c r="AI741" s="181"/>
      <c r="AJ741" s="181"/>
      <c r="AK741" s="176"/>
      <c r="AL741" s="181"/>
      <c r="AM741" s="181"/>
      <c r="AN741" s="176"/>
      <c r="AO741" s="181"/>
      <c r="AP741" s="181"/>
    </row>
    <row r="742" ht="12.75" customHeight="1">
      <c r="A742" s="179"/>
      <c r="B742" s="459"/>
      <c r="C742" s="481"/>
      <c r="D742" s="180"/>
      <c r="E742" s="180"/>
      <c r="F742" s="180"/>
      <c r="G742" s="460"/>
      <c r="H742" s="181"/>
      <c r="I742" s="181"/>
      <c r="J742" s="181"/>
      <c r="K742" s="181"/>
      <c r="L742" s="181"/>
      <c r="M742" s="329"/>
      <c r="N742" s="181"/>
      <c r="O742" s="181"/>
      <c r="P742" s="176"/>
      <c r="Q742" s="181"/>
      <c r="R742" s="181"/>
      <c r="S742" s="176"/>
      <c r="T742" s="181"/>
      <c r="U742" s="181"/>
      <c r="V742" s="176"/>
      <c r="W742" s="181"/>
      <c r="X742" s="181"/>
      <c r="Y742" s="176"/>
      <c r="Z742" s="181"/>
      <c r="AA742" s="181"/>
      <c r="AB742" s="176"/>
      <c r="AC742" s="181"/>
      <c r="AD742" s="181"/>
      <c r="AE742" s="176"/>
      <c r="AF742" s="176"/>
      <c r="AG742" s="176"/>
      <c r="AH742" s="176"/>
      <c r="AI742" s="181"/>
      <c r="AJ742" s="181"/>
      <c r="AK742" s="176"/>
      <c r="AL742" s="181"/>
      <c r="AM742" s="181"/>
      <c r="AN742" s="176"/>
      <c r="AO742" s="181"/>
      <c r="AP742" s="181"/>
    </row>
    <row r="743" ht="12.75" customHeight="1">
      <c r="A743" s="179"/>
      <c r="B743" s="459"/>
      <c r="C743" s="481"/>
      <c r="D743" s="180"/>
      <c r="E743" s="180"/>
      <c r="F743" s="180"/>
      <c r="G743" s="460"/>
      <c r="H743" s="181"/>
      <c r="I743" s="181"/>
      <c r="J743" s="181"/>
      <c r="K743" s="181"/>
      <c r="L743" s="181"/>
      <c r="M743" s="329"/>
      <c r="N743" s="181"/>
      <c r="O743" s="181"/>
      <c r="P743" s="176"/>
      <c r="Q743" s="181"/>
      <c r="R743" s="181"/>
      <c r="S743" s="176"/>
      <c r="T743" s="181"/>
      <c r="U743" s="181"/>
      <c r="V743" s="176"/>
      <c r="W743" s="181"/>
      <c r="X743" s="181"/>
      <c r="Y743" s="176"/>
      <c r="Z743" s="181"/>
      <c r="AA743" s="181"/>
      <c r="AB743" s="176"/>
      <c r="AC743" s="181"/>
      <c r="AD743" s="181"/>
      <c r="AE743" s="176"/>
      <c r="AF743" s="176"/>
      <c r="AG743" s="176"/>
      <c r="AH743" s="176"/>
      <c r="AI743" s="181"/>
      <c r="AJ743" s="181"/>
      <c r="AK743" s="176"/>
      <c r="AL743" s="181"/>
      <c r="AM743" s="181"/>
      <c r="AN743" s="176"/>
      <c r="AO743" s="181"/>
      <c r="AP743" s="181"/>
    </row>
    <row r="744" ht="12.75" customHeight="1">
      <c r="A744" s="179"/>
      <c r="B744" s="459"/>
      <c r="C744" s="481"/>
      <c r="D744" s="180"/>
      <c r="E744" s="180"/>
      <c r="F744" s="180"/>
      <c r="G744" s="460"/>
      <c r="H744" s="181"/>
      <c r="I744" s="181"/>
      <c r="J744" s="181"/>
      <c r="K744" s="181"/>
      <c r="L744" s="181"/>
      <c r="M744" s="329"/>
      <c r="N744" s="181"/>
      <c r="O744" s="181"/>
      <c r="P744" s="176"/>
      <c r="Q744" s="181"/>
      <c r="R744" s="181"/>
      <c r="S744" s="176"/>
      <c r="T744" s="181"/>
      <c r="U744" s="181"/>
      <c r="V744" s="176"/>
      <c r="W744" s="181"/>
      <c r="X744" s="181"/>
      <c r="Y744" s="176"/>
      <c r="Z744" s="181"/>
      <c r="AA744" s="181"/>
      <c r="AB744" s="176"/>
      <c r="AC744" s="181"/>
      <c r="AD744" s="181"/>
      <c r="AE744" s="176"/>
      <c r="AF744" s="176"/>
      <c r="AG744" s="176"/>
      <c r="AH744" s="176"/>
      <c r="AI744" s="181"/>
      <c r="AJ744" s="181"/>
      <c r="AK744" s="176"/>
      <c r="AL744" s="181"/>
      <c r="AM744" s="181"/>
      <c r="AN744" s="176"/>
      <c r="AO744" s="181"/>
      <c r="AP744" s="181"/>
    </row>
    <row r="745" ht="12.75" customHeight="1">
      <c r="A745" s="179"/>
      <c r="B745" s="459"/>
      <c r="C745" s="481"/>
      <c r="D745" s="180"/>
      <c r="E745" s="180"/>
      <c r="F745" s="180"/>
      <c r="G745" s="460"/>
      <c r="H745" s="181"/>
      <c r="I745" s="181"/>
      <c r="J745" s="181"/>
      <c r="K745" s="181"/>
      <c r="L745" s="181"/>
      <c r="M745" s="329"/>
      <c r="N745" s="181"/>
      <c r="O745" s="181"/>
      <c r="P745" s="176"/>
      <c r="Q745" s="181"/>
      <c r="R745" s="181"/>
      <c r="S745" s="176"/>
      <c r="T745" s="181"/>
      <c r="U745" s="181"/>
      <c r="V745" s="176"/>
      <c r="W745" s="181"/>
      <c r="X745" s="181"/>
      <c r="Y745" s="176"/>
      <c r="Z745" s="181"/>
      <c r="AA745" s="181"/>
      <c r="AB745" s="176"/>
      <c r="AC745" s="181"/>
      <c r="AD745" s="181"/>
      <c r="AE745" s="176"/>
      <c r="AF745" s="176"/>
      <c r="AG745" s="176"/>
      <c r="AH745" s="176"/>
      <c r="AI745" s="181"/>
      <c r="AJ745" s="181"/>
      <c r="AK745" s="176"/>
      <c r="AL745" s="181"/>
      <c r="AM745" s="181"/>
      <c r="AN745" s="176"/>
      <c r="AO745" s="181"/>
      <c r="AP745" s="181"/>
    </row>
    <row r="746" ht="12.75" customHeight="1">
      <c r="A746" s="179"/>
      <c r="B746" s="459"/>
      <c r="C746" s="481"/>
      <c r="D746" s="180"/>
      <c r="E746" s="180"/>
      <c r="F746" s="180"/>
      <c r="G746" s="460"/>
      <c r="H746" s="181"/>
      <c r="I746" s="181"/>
      <c r="J746" s="181"/>
      <c r="K746" s="181"/>
      <c r="L746" s="181"/>
      <c r="M746" s="329"/>
      <c r="N746" s="181"/>
      <c r="O746" s="181"/>
      <c r="P746" s="176"/>
      <c r="Q746" s="181"/>
      <c r="R746" s="181"/>
      <c r="S746" s="176"/>
      <c r="T746" s="181"/>
      <c r="U746" s="181"/>
      <c r="V746" s="176"/>
      <c r="W746" s="181"/>
      <c r="X746" s="181"/>
      <c r="Y746" s="176"/>
      <c r="Z746" s="181"/>
      <c r="AA746" s="181"/>
      <c r="AB746" s="176"/>
      <c r="AC746" s="181"/>
      <c r="AD746" s="181"/>
      <c r="AE746" s="176"/>
      <c r="AF746" s="176"/>
      <c r="AG746" s="176"/>
      <c r="AH746" s="176"/>
      <c r="AI746" s="181"/>
      <c r="AJ746" s="181"/>
      <c r="AK746" s="176"/>
      <c r="AL746" s="181"/>
      <c r="AM746" s="181"/>
      <c r="AN746" s="176"/>
      <c r="AO746" s="181"/>
      <c r="AP746" s="181"/>
    </row>
    <row r="747" ht="12.75" customHeight="1">
      <c r="A747" s="179"/>
      <c r="B747" s="459"/>
      <c r="C747" s="481"/>
      <c r="D747" s="180"/>
      <c r="E747" s="180"/>
      <c r="F747" s="180"/>
      <c r="G747" s="460"/>
      <c r="H747" s="181"/>
      <c r="I747" s="181"/>
      <c r="J747" s="181"/>
      <c r="K747" s="181"/>
      <c r="L747" s="181"/>
      <c r="M747" s="329"/>
      <c r="N747" s="181"/>
      <c r="O747" s="181"/>
      <c r="P747" s="176"/>
      <c r="Q747" s="181"/>
      <c r="R747" s="181"/>
      <c r="S747" s="176"/>
      <c r="T747" s="181"/>
      <c r="U747" s="181"/>
      <c r="V747" s="176"/>
      <c r="W747" s="181"/>
      <c r="X747" s="181"/>
      <c r="Y747" s="176"/>
      <c r="Z747" s="181"/>
      <c r="AA747" s="181"/>
      <c r="AB747" s="176"/>
      <c r="AC747" s="181"/>
      <c r="AD747" s="181"/>
      <c r="AE747" s="176"/>
      <c r="AF747" s="176"/>
      <c r="AG747" s="176"/>
      <c r="AH747" s="176"/>
      <c r="AI747" s="181"/>
      <c r="AJ747" s="181"/>
      <c r="AK747" s="176"/>
      <c r="AL747" s="181"/>
      <c r="AM747" s="181"/>
      <c r="AN747" s="176"/>
      <c r="AO747" s="181"/>
      <c r="AP747" s="181"/>
    </row>
    <row r="748" ht="12.75" customHeight="1">
      <c r="A748" s="179"/>
      <c r="B748" s="459"/>
      <c r="C748" s="481"/>
      <c r="D748" s="180"/>
      <c r="E748" s="180"/>
      <c r="F748" s="180"/>
      <c r="G748" s="460"/>
      <c r="H748" s="181"/>
      <c r="I748" s="181"/>
      <c r="J748" s="181"/>
      <c r="K748" s="181"/>
      <c r="L748" s="181"/>
      <c r="M748" s="329"/>
      <c r="N748" s="181"/>
      <c r="O748" s="181"/>
      <c r="P748" s="176"/>
      <c r="Q748" s="181"/>
      <c r="R748" s="181"/>
      <c r="S748" s="176"/>
      <c r="T748" s="181"/>
      <c r="U748" s="181"/>
      <c r="V748" s="176"/>
      <c r="W748" s="181"/>
      <c r="X748" s="181"/>
      <c r="Y748" s="176"/>
      <c r="Z748" s="181"/>
      <c r="AA748" s="181"/>
      <c r="AB748" s="176"/>
      <c r="AC748" s="181"/>
      <c r="AD748" s="181"/>
      <c r="AE748" s="176"/>
      <c r="AF748" s="176"/>
      <c r="AG748" s="176"/>
      <c r="AH748" s="176"/>
      <c r="AI748" s="181"/>
      <c r="AJ748" s="181"/>
      <c r="AK748" s="176"/>
      <c r="AL748" s="181"/>
      <c r="AM748" s="181"/>
      <c r="AN748" s="176"/>
      <c r="AO748" s="181"/>
      <c r="AP748" s="181"/>
    </row>
    <row r="749" ht="12.75" customHeight="1">
      <c r="A749" s="179"/>
      <c r="B749" s="459"/>
      <c r="C749" s="481"/>
      <c r="D749" s="180"/>
      <c r="E749" s="180"/>
      <c r="F749" s="180"/>
      <c r="G749" s="460"/>
      <c r="H749" s="181"/>
      <c r="I749" s="181"/>
      <c r="J749" s="181"/>
      <c r="K749" s="181"/>
      <c r="L749" s="181"/>
      <c r="M749" s="329"/>
      <c r="N749" s="181"/>
      <c r="O749" s="181"/>
      <c r="P749" s="176"/>
      <c r="Q749" s="181"/>
      <c r="R749" s="181"/>
      <c r="S749" s="176"/>
      <c r="T749" s="181"/>
      <c r="U749" s="181"/>
      <c r="V749" s="176"/>
      <c r="W749" s="181"/>
      <c r="X749" s="181"/>
      <c r="Y749" s="176"/>
      <c r="Z749" s="181"/>
      <c r="AA749" s="181"/>
      <c r="AB749" s="176"/>
      <c r="AC749" s="181"/>
      <c r="AD749" s="181"/>
      <c r="AE749" s="176"/>
      <c r="AF749" s="176"/>
      <c r="AG749" s="176"/>
      <c r="AH749" s="176"/>
      <c r="AI749" s="181"/>
      <c r="AJ749" s="181"/>
      <c r="AK749" s="176"/>
      <c r="AL749" s="181"/>
      <c r="AM749" s="181"/>
      <c r="AN749" s="176"/>
      <c r="AO749" s="181"/>
      <c r="AP749" s="181"/>
    </row>
    <row r="750" ht="12.75" customHeight="1">
      <c r="A750" s="179"/>
      <c r="B750" s="459"/>
      <c r="C750" s="481"/>
      <c r="D750" s="180"/>
      <c r="E750" s="180"/>
      <c r="F750" s="180"/>
      <c r="G750" s="460"/>
      <c r="H750" s="181"/>
      <c r="I750" s="181"/>
      <c r="J750" s="181"/>
      <c r="K750" s="181"/>
      <c r="L750" s="181"/>
      <c r="M750" s="329"/>
      <c r="N750" s="181"/>
      <c r="O750" s="181"/>
      <c r="P750" s="176"/>
      <c r="Q750" s="181"/>
      <c r="R750" s="181"/>
      <c r="S750" s="176"/>
      <c r="T750" s="181"/>
      <c r="U750" s="181"/>
      <c r="V750" s="176"/>
      <c r="W750" s="181"/>
      <c r="X750" s="181"/>
      <c r="Y750" s="176"/>
      <c r="Z750" s="181"/>
      <c r="AA750" s="181"/>
      <c r="AB750" s="176"/>
      <c r="AC750" s="181"/>
      <c r="AD750" s="181"/>
      <c r="AE750" s="176"/>
      <c r="AF750" s="176"/>
      <c r="AG750" s="176"/>
      <c r="AH750" s="176"/>
      <c r="AI750" s="181"/>
      <c r="AJ750" s="181"/>
      <c r="AK750" s="176"/>
      <c r="AL750" s="181"/>
      <c r="AM750" s="181"/>
      <c r="AN750" s="176"/>
      <c r="AO750" s="181"/>
      <c r="AP750" s="181"/>
    </row>
    <row r="751" ht="12.75" customHeight="1">
      <c r="A751" s="179"/>
      <c r="B751" s="459"/>
      <c r="C751" s="481"/>
      <c r="D751" s="180"/>
      <c r="E751" s="180"/>
      <c r="F751" s="180"/>
      <c r="G751" s="460"/>
      <c r="H751" s="181"/>
      <c r="I751" s="181"/>
      <c r="J751" s="181"/>
      <c r="K751" s="181"/>
      <c r="L751" s="181"/>
      <c r="M751" s="329"/>
      <c r="N751" s="181"/>
      <c r="O751" s="181"/>
      <c r="P751" s="176"/>
      <c r="Q751" s="181"/>
      <c r="R751" s="181"/>
      <c r="S751" s="176"/>
      <c r="T751" s="181"/>
      <c r="U751" s="181"/>
      <c r="V751" s="176"/>
      <c r="W751" s="181"/>
      <c r="X751" s="181"/>
      <c r="Y751" s="176"/>
      <c r="Z751" s="181"/>
      <c r="AA751" s="181"/>
      <c r="AB751" s="176"/>
      <c r="AC751" s="181"/>
      <c r="AD751" s="181"/>
      <c r="AE751" s="176"/>
      <c r="AF751" s="176"/>
      <c r="AG751" s="176"/>
      <c r="AH751" s="176"/>
      <c r="AI751" s="181"/>
      <c r="AJ751" s="181"/>
      <c r="AK751" s="176"/>
      <c r="AL751" s="181"/>
      <c r="AM751" s="181"/>
      <c r="AN751" s="176"/>
      <c r="AO751" s="181"/>
      <c r="AP751" s="181"/>
    </row>
    <row r="752" ht="12.75" customHeight="1">
      <c r="A752" s="179"/>
      <c r="B752" s="459"/>
      <c r="C752" s="481"/>
      <c r="D752" s="180"/>
      <c r="E752" s="180"/>
      <c r="F752" s="180"/>
      <c r="G752" s="460"/>
      <c r="H752" s="181"/>
      <c r="I752" s="181"/>
      <c r="J752" s="181"/>
      <c r="K752" s="181"/>
      <c r="L752" s="181"/>
      <c r="M752" s="329"/>
      <c r="N752" s="181"/>
      <c r="O752" s="181"/>
      <c r="P752" s="176"/>
      <c r="Q752" s="181"/>
      <c r="R752" s="181"/>
      <c r="S752" s="176"/>
      <c r="T752" s="181"/>
      <c r="U752" s="181"/>
      <c r="V752" s="176"/>
      <c r="W752" s="181"/>
      <c r="X752" s="181"/>
      <c r="Y752" s="176"/>
      <c r="Z752" s="181"/>
      <c r="AA752" s="181"/>
      <c r="AB752" s="176"/>
      <c r="AC752" s="181"/>
      <c r="AD752" s="181"/>
      <c r="AE752" s="176"/>
      <c r="AF752" s="176"/>
      <c r="AG752" s="176"/>
      <c r="AH752" s="176"/>
      <c r="AI752" s="181"/>
      <c r="AJ752" s="181"/>
      <c r="AK752" s="176"/>
      <c r="AL752" s="181"/>
      <c r="AM752" s="181"/>
      <c r="AN752" s="176"/>
      <c r="AO752" s="181"/>
      <c r="AP752" s="181"/>
    </row>
    <row r="753" ht="12.75" customHeight="1">
      <c r="A753" s="179"/>
      <c r="B753" s="459"/>
      <c r="C753" s="481"/>
      <c r="D753" s="180"/>
      <c r="E753" s="180"/>
      <c r="F753" s="180"/>
      <c r="G753" s="460"/>
      <c r="H753" s="181"/>
      <c r="I753" s="181"/>
      <c r="J753" s="181"/>
      <c r="K753" s="181"/>
      <c r="L753" s="181"/>
      <c r="M753" s="329"/>
      <c r="N753" s="181"/>
      <c r="O753" s="181"/>
      <c r="P753" s="176"/>
      <c r="Q753" s="181"/>
      <c r="R753" s="181"/>
      <c r="S753" s="176"/>
      <c r="T753" s="181"/>
      <c r="U753" s="181"/>
      <c r="V753" s="176"/>
      <c r="W753" s="181"/>
      <c r="X753" s="181"/>
      <c r="Y753" s="176"/>
      <c r="Z753" s="181"/>
      <c r="AA753" s="181"/>
      <c r="AB753" s="176"/>
      <c r="AC753" s="181"/>
      <c r="AD753" s="181"/>
      <c r="AE753" s="176"/>
      <c r="AF753" s="176"/>
      <c r="AG753" s="176"/>
      <c r="AH753" s="176"/>
      <c r="AI753" s="181"/>
      <c r="AJ753" s="181"/>
      <c r="AK753" s="176"/>
      <c r="AL753" s="181"/>
      <c r="AM753" s="181"/>
      <c r="AN753" s="176"/>
      <c r="AO753" s="181"/>
      <c r="AP753" s="181"/>
    </row>
    <row r="754" ht="12.75" customHeight="1">
      <c r="A754" s="179"/>
      <c r="B754" s="459"/>
      <c r="C754" s="481"/>
      <c r="D754" s="180"/>
      <c r="E754" s="180"/>
      <c r="F754" s="180"/>
      <c r="G754" s="460"/>
      <c r="H754" s="181"/>
      <c r="I754" s="181"/>
      <c r="J754" s="181"/>
      <c r="K754" s="181"/>
      <c r="L754" s="181"/>
      <c r="M754" s="329"/>
      <c r="N754" s="181"/>
      <c r="O754" s="181"/>
      <c r="P754" s="176"/>
      <c r="Q754" s="181"/>
      <c r="R754" s="181"/>
      <c r="S754" s="176"/>
      <c r="T754" s="181"/>
      <c r="U754" s="181"/>
      <c r="V754" s="176"/>
      <c r="W754" s="181"/>
      <c r="X754" s="181"/>
      <c r="Y754" s="176"/>
      <c r="Z754" s="181"/>
      <c r="AA754" s="181"/>
      <c r="AB754" s="176"/>
      <c r="AC754" s="181"/>
      <c r="AD754" s="181"/>
      <c r="AE754" s="176"/>
      <c r="AF754" s="176"/>
      <c r="AG754" s="176"/>
      <c r="AH754" s="176"/>
      <c r="AI754" s="181"/>
      <c r="AJ754" s="181"/>
      <c r="AK754" s="176"/>
      <c r="AL754" s="181"/>
      <c r="AM754" s="181"/>
      <c r="AN754" s="176"/>
      <c r="AO754" s="181"/>
      <c r="AP754" s="181"/>
    </row>
    <row r="755" ht="12.75" customHeight="1">
      <c r="A755" s="179"/>
      <c r="B755" s="459"/>
      <c r="C755" s="481"/>
      <c r="D755" s="180"/>
      <c r="E755" s="180"/>
      <c r="F755" s="180"/>
      <c r="G755" s="460"/>
      <c r="H755" s="181"/>
      <c r="I755" s="181"/>
      <c r="J755" s="181"/>
      <c r="K755" s="181"/>
      <c r="L755" s="181"/>
      <c r="M755" s="329"/>
      <c r="N755" s="181"/>
      <c r="O755" s="181"/>
      <c r="P755" s="176"/>
      <c r="Q755" s="181"/>
      <c r="R755" s="181"/>
      <c r="S755" s="176"/>
      <c r="T755" s="181"/>
      <c r="U755" s="181"/>
      <c r="V755" s="176"/>
      <c r="W755" s="181"/>
      <c r="X755" s="181"/>
      <c r="Y755" s="176"/>
      <c r="Z755" s="181"/>
      <c r="AA755" s="181"/>
      <c r="AB755" s="176"/>
      <c r="AC755" s="181"/>
      <c r="AD755" s="181"/>
      <c r="AE755" s="176"/>
      <c r="AF755" s="176"/>
      <c r="AG755" s="176"/>
      <c r="AH755" s="176"/>
      <c r="AI755" s="181"/>
      <c r="AJ755" s="181"/>
      <c r="AK755" s="176"/>
      <c r="AL755" s="181"/>
      <c r="AM755" s="181"/>
      <c r="AN755" s="176"/>
      <c r="AO755" s="181"/>
      <c r="AP755" s="181"/>
    </row>
    <row r="756" ht="12.75" customHeight="1">
      <c r="A756" s="179"/>
      <c r="B756" s="459"/>
      <c r="C756" s="481"/>
      <c r="D756" s="180"/>
      <c r="E756" s="180"/>
      <c r="F756" s="180"/>
      <c r="G756" s="460"/>
      <c r="H756" s="181"/>
      <c r="I756" s="181"/>
      <c r="J756" s="181"/>
      <c r="K756" s="181"/>
      <c r="L756" s="181"/>
      <c r="M756" s="329"/>
      <c r="N756" s="181"/>
      <c r="O756" s="181"/>
      <c r="P756" s="176"/>
      <c r="Q756" s="181"/>
      <c r="R756" s="181"/>
      <c r="S756" s="176"/>
      <c r="T756" s="181"/>
      <c r="U756" s="181"/>
      <c r="V756" s="176"/>
      <c r="W756" s="181"/>
      <c r="X756" s="181"/>
      <c r="Y756" s="176"/>
      <c r="Z756" s="181"/>
      <c r="AA756" s="181"/>
      <c r="AB756" s="176"/>
      <c r="AC756" s="181"/>
      <c r="AD756" s="181"/>
      <c r="AE756" s="176"/>
      <c r="AF756" s="176"/>
      <c r="AG756" s="176"/>
      <c r="AH756" s="176"/>
      <c r="AI756" s="181"/>
      <c r="AJ756" s="181"/>
      <c r="AK756" s="176"/>
      <c r="AL756" s="181"/>
      <c r="AM756" s="181"/>
      <c r="AN756" s="176"/>
      <c r="AO756" s="181"/>
      <c r="AP756" s="181"/>
    </row>
    <row r="757" ht="12.75" customHeight="1">
      <c r="A757" s="179"/>
      <c r="B757" s="459"/>
      <c r="C757" s="481"/>
      <c r="D757" s="180"/>
      <c r="E757" s="180"/>
      <c r="F757" s="180"/>
      <c r="G757" s="460"/>
      <c r="H757" s="181"/>
      <c r="I757" s="181"/>
      <c r="J757" s="181"/>
      <c r="K757" s="181"/>
      <c r="L757" s="181"/>
      <c r="M757" s="329"/>
      <c r="N757" s="181"/>
      <c r="O757" s="181"/>
      <c r="P757" s="176"/>
      <c r="Q757" s="181"/>
      <c r="R757" s="181"/>
      <c r="S757" s="176"/>
      <c r="T757" s="181"/>
      <c r="U757" s="181"/>
      <c r="V757" s="176"/>
      <c r="W757" s="181"/>
      <c r="X757" s="181"/>
      <c r="Y757" s="176"/>
      <c r="Z757" s="181"/>
      <c r="AA757" s="181"/>
      <c r="AB757" s="176"/>
      <c r="AC757" s="181"/>
      <c r="AD757" s="181"/>
      <c r="AE757" s="176"/>
      <c r="AF757" s="176"/>
      <c r="AG757" s="176"/>
      <c r="AH757" s="176"/>
      <c r="AI757" s="181"/>
      <c r="AJ757" s="181"/>
      <c r="AK757" s="176"/>
      <c r="AL757" s="181"/>
      <c r="AM757" s="181"/>
      <c r="AN757" s="176"/>
      <c r="AO757" s="181"/>
      <c r="AP757" s="181"/>
    </row>
    <row r="758" ht="12.75" customHeight="1">
      <c r="A758" s="179"/>
      <c r="B758" s="459"/>
      <c r="C758" s="481"/>
      <c r="D758" s="180"/>
      <c r="E758" s="180"/>
      <c r="F758" s="180"/>
      <c r="G758" s="460"/>
      <c r="H758" s="181"/>
      <c r="I758" s="181"/>
      <c r="J758" s="181"/>
      <c r="K758" s="181"/>
      <c r="L758" s="181"/>
      <c r="M758" s="329"/>
      <c r="N758" s="181"/>
      <c r="O758" s="181"/>
      <c r="P758" s="176"/>
      <c r="Q758" s="181"/>
      <c r="R758" s="181"/>
      <c r="S758" s="176"/>
      <c r="T758" s="181"/>
      <c r="U758" s="181"/>
      <c r="V758" s="176"/>
      <c r="W758" s="181"/>
      <c r="X758" s="181"/>
      <c r="Y758" s="176"/>
      <c r="Z758" s="181"/>
      <c r="AA758" s="181"/>
      <c r="AB758" s="176"/>
      <c r="AC758" s="181"/>
      <c r="AD758" s="181"/>
      <c r="AE758" s="176"/>
      <c r="AF758" s="176"/>
      <c r="AG758" s="176"/>
      <c r="AH758" s="176"/>
      <c r="AI758" s="181"/>
      <c r="AJ758" s="181"/>
      <c r="AK758" s="176"/>
      <c r="AL758" s="181"/>
      <c r="AM758" s="181"/>
      <c r="AN758" s="176"/>
      <c r="AO758" s="181"/>
      <c r="AP758" s="181"/>
    </row>
    <row r="759" ht="12.75" customHeight="1">
      <c r="A759" s="179"/>
      <c r="B759" s="459"/>
      <c r="C759" s="481"/>
      <c r="D759" s="180"/>
      <c r="E759" s="180"/>
      <c r="F759" s="180"/>
      <c r="G759" s="460"/>
      <c r="H759" s="181"/>
      <c r="I759" s="181"/>
      <c r="J759" s="181"/>
      <c r="K759" s="181"/>
      <c r="L759" s="181"/>
      <c r="M759" s="329"/>
      <c r="N759" s="181"/>
      <c r="O759" s="181"/>
      <c r="P759" s="176"/>
      <c r="Q759" s="181"/>
      <c r="R759" s="181"/>
      <c r="S759" s="176"/>
      <c r="T759" s="181"/>
      <c r="U759" s="181"/>
      <c r="V759" s="176"/>
      <c r="W759" s="181"/>
      <c r="X759" s="181"/>
      <c r="Y759" s="176"/>
      <c r="Z759" s="181"/>
      <c r="AA759" s="181"/>
      <c r="AB759" s="176"/>
      <c r="AC759" s="181"/>
      <c r="AD759" s="181"/>
      <c r="AE759" s="176"/>
      <c r="AF759" s="176"/>
      <c r="AG759" s="176"/>
      <c r="AH759" s="176"/>
      <c r="AI759" s="181"/>
      <c r="AJ759" s="181"/>
      <c r="AK759" s="176"/>
      <c r="AL759" s="181"/>
      <c r="AM759" s="181"/>
      <c r="AN759" s="176"/>
      <c r="AO759" s="181"/>
      <c r="AP759" s="181"/>
    </row>
    <row r="760" ht="12.75" customHeight="1">
      <c r="A760" s="179"/>
      <c r="B760" s="459"/>
      <c r="C760" s="481"/>
      <c r="D760" s="180"/>
      <c r="E760" s="180"/>
      <c r="F760" s="180"/>
      <c r="G760" s="460"/>
      <c r="H760" s="181"/>
      <c r="I760" s="181"/>
      <c r="J760" s="181"/>
      <c r="K760" s="181"/>
      <c r="L760" s="181"/>
      <c r="M760" s="329"/>
      <c r="N760" s="181"/>
      <c r="O760" s="181"/>
      <c r="P760" s="176"/>
      <c r="Q760" s="181"/>
      <c r="R760" s="181"/>
      <c r="S760" s="176"/>
      <c r="T760" s="181"/>
      <c r="U760" s="181"/>
      <c r="V760" s="176"/>
      <c r="W760" s="181"/>
      <c r="X760" s="181"/>
      <c r="Y760" s="176"/>
      <c r="Z760" s="181"/>
      <c r="AA760" s="181"/>
      <c r="AB760" s="176"/>
      <c r="AC760" s="181"/>
      <c r="AD760" s="181"/>
      <c r="AE760" s="176"/>
      <c r="AF760" s="176"/>
      <c r="AG760" s="176"/>
      <c r="AH760" s="176"/>
      <c r="AI760" s="181"/>
      <c r="AJ760" s="181"/>
      <c r="AK760" s="176"/>
      <c r="AL760" s="181"/>
      <c r="AM760" s="181"/>
      <c r="AN760" s="176"/>
      <c r="AO760" s="181"/>
      <c r="AP760" s="181"/>
    </row>
    <row r="761" ht="12.75" customHeight="1">
      <c r="A761" s="179"/>
      <c r="B761" s="459"/>
      <c r="C761" s="481"/>
      <c r="D761" s="180"/>
      <c r="E761" s="180"/>
      <c r="F761" s="180"/>
      <c r="G761" s="460"/>
      <c r="H761" s="181"/>
      <c r="I761" s="181"/>
      <c r="J761" s="181"/>
      <c r="K761" s="181"/>
      <c r="L761" s="181"/>
      <c r="M761" s="329"/>
      <c r="N761" s="181"/>
      <c r="O761" s="181"/>
      <c r="P761" s="176"/>
      <c r="Q761" s="181"/>
      <c r="R761" s="181"/>
      <c r="S761" s="176"/>
      <c r="T761" s="181"/>
      <c r="U761" s="181"/>
      <c r="V761" s="176"/>
      <c r="W761" s="181"/>
      <c r="X761" s="181"/>
      <c r="Y761" s="176"/>
      <c r="Z761" s="181"/>
      <c r="AA761" s="181"/>
      <c r="AB761" s="176"/>
      <c r="AC761" s="181"/>
      <c r="AD761" s="181"/>
      <c r="AE761" s="176"/>
      <c r="AF761" s="176"/>
      <c r="AG761" s="176"/>
      <c r="AH761" s="176"/>
      <c r="AI761" s="181"/>
      <c r="AJ761" s="181"/>
      <c r="AK761" s="176"/>
      <c r="AL761" s="181"/>
      <c r="AM761" s="181"/>
      <c r="AN761" s="176"/>
      <c r="AO761" s="181"/>
      <c r="AP761" s="181"/>
    </row>
    <row r="762" ht="12.75" customHeight="1">
      <c r="A762" s="179"/>
      <c r="B762" s="459"/>
      <c r="C762" s="481"/>
      <c r="D762" s="180"/>
      <c r="E762" s="180"/>
      <c r="F762" s="180"/>
      <c r="G762" s="460"/>
      <c r="H762" s="181"/>
      <c r="I762" s="181"/>
      <c r="J762" s="181"/>
      <c r="K762" s="181"/>
      <c r="L762" s="181"/>
      <c r="M762" s="329"/>
      <c r="N762" s="181"/>
      <c r="O762" s="181"/>
      <c r="P762" s="176"/>
      <c r="Q762" s="181"/>
      <c r="R762" s="181"/>
      <c r="S762" s="176"/>
      <c r="T762" s="181"/>
      <c r="U762" s="181"/>
      <c r="V762" s="176"/>
      <c r="W762" s="181"/>
      <c r="X762" s="181"/>
      <c r="Y762" s="176"/>
      <c r="Z762" s="181"/>
      <c r="AA762" s="181"/>
      <c r="AB762" s="176"/>
      <c r="AC762" s="181"/>
      <c r="AD762" s="181"/>
      <c r="AE762" s="176"/>
      <c r="AF762" s="176"/>
      <c r="AG762" s="176"/>
      <c r="AH762" s="176"/>
      <c r="AI762" s="181"/>
      <c r="AJ762" s="181"/>
      <c r="AK762" s="176"/>
      <c r="AL762" s="181"/>
      <c r="AM762" s="181"/>
      <c r="AN762" s="176"/>
      <c r="AO762" s="181"/>
      <c r="AP762" s="181"/>
    </row>
    <row r="763" ht="12.75" customHeight="1">
      <c r="A763" s="179"/>
      <c r="B763" s="459"/>
      <c r="C763" s="481"/>
      <c r="D763" s="180"/>
      <c r="E763" s="180"/>
      <c r="F763" s="180"/>
      <c r="G763" s="460"/>
      <c r="H763" s="181"/>
      <c r="I763" s="181"/>
      <c r="J763" s="181"/>
      <c r="K763" s="181"/>
      <c r="L763" s="181"/>
      <c r="M763" s="329"/>
      <c r="N763" s="181"/>
      <c r="O763" s="181"/>
      <c r="P763" s="176"/>
      <c r="Q763" s="181"/>
      <c r="R763" s="181"/>
      <c r="S763" s="176"/>
      <c r="T763" s="181"/>
      <c r="U763" s="181"/>
      <c r="V763" s="176"/>
      <c r="W763" s="181"/>
      <c r="X763" s="181"/>
      <c r="Y763" s="176"/>
      <c r="Z763" s="181"/>
      <c r="AA763" s="181"/>
      <c r="AB763" s="176"/>
      <c r="AC763" s="181"/>
      <c r="AD763" s="181"/>
      <c r="AE763" s="176"/>
      <c r="AF763" s="176"/>
      <c r="AG763" s="176"/>
      <c r="AH763" s="176"/>
      <c r="AI763" s="181"/>
      <c r="AJ763" s="181"/>
      <c r="AK763" s="176"/>
      <c r="AL763" s="181"/>
      <c r="AM763" s="181"/>
      <c r="AN763" s="176"/>
      <c r="AO763" s="181"/>
      <c r="AP763" s="181"/>
    </row>
    <row r="764" ht="12.75" customHeight="1">
      <c r="A764" s="179"/>
      <c r="B764" s="459"/>
      <c r="C764" s="481"/>
      <c r="D764" s="180"/>
      <c r="E764" s="180"/>
      <c r="F764" s="180"/>
      <c r="G764" s="460"/>
      <c r="H764" s="181"/>
      <c r="I764" s="181"/>
      <c r="J764" s="181"/>
      <c r="K764" s="181"/>
      <c r="L764" s="181"/>
      <c r="M764" s="329"/>
      <c r="N764" s="181"/>
      <c r="O764" s="181"/>
      <c r="P764" s="176"/>
      <c r="Q764" s="181"/>
      <c r="R764" s="181"/>
      <c r="S764" s="176"/>
      <c r="T764" s="181"/>
      <c r="U764" s="181"/>
      <c r="V764" s="176"/>
      <c r="W764" s="181"/>
      <c r="X764" s="181"/>
      <c r="Y764" s="176"/>
      <c r="Z764" s="181"/>
      <c r="AA764" s="181"/>
      <c r="AB764" s="176"/>
      <c r="AC764" s="181"/>
      <c r="AD764" s="181"/>
      <c r="AE764" s="176"/>
      <c r="AF764" s="176"/>
      <c r="AG764" s="176"/>
      <c r="AH764" s="176"/>
      <c r="AI764" s="181"/>
      <c r="AJ764" s="181"/>
      <c r="AK764" s="176"/>
      <c r="AL764" s="181"/>
      <c r="AM764" s="181"/>
      <c r="AN764" s="176"/>
      <c r="AO764" s="181"/>
      <c r="AP764" s="181"/>
    </row>
    <row r="765" ht="12.75" customHeight="1">
      <c r="A765" s="179"/>
      <c r="B765" s="459"/>
      <c r="C765" s="481"/>
      <c r="D765" s="180"/>
      <c r="E765" s="180"/>
      <c r="F765" s="180"/>
      <c r="G765" s="460"/>
      <c r="H765" s="181"/>
      <c r="I765" s="181"/>
      <c r="J765" s="181"/>
      <c r="K765" s="181"/>
      <c r="L765" s="181"/>
      <c r="M765" s="329"/>
      <c r="N765" s="181"/>
      <c r="O765" s="181"/>
      <c r="P765" s="176"/>
      <c r="Q765" s="181"/>
      <c r="R765" s="181"/>
      <c r="S765" s="176"/>
      <c r="T765" s="181"/>
      <c r="U765" s="181"/>
      <c r="V765" s="176"/>
      <c r="W765" s="181"/>
      <c r="X765" s="181"/>
      <c r="Y765" s="176"/>
      <c r="Z765" s="181"/>
      <c r="AA765" s="181"/>
      <c r="AB765" s="176"/>
      <c r="AC765" s="181"/>
      <c r="AD765" s="181"/>
      <c r="AE765" s="176"/>
      <c r="AF765" s="176"/>
      <c r="AG765" s="176"/>
      <c r="AH765" s="176"/>
      <c r="AI765" s="181"/>
      <c r="AJ765" s="181"/>
      <c r="AK765" s="176"/>
      <c r="AL765" s="181"/>
      <c r="AM765" s="181"/>
      <c r="AN765" s="176"/>
      <c r="AO765" s="181"/>
      <c r="AP765" s="181"/>
    </row>
    <row r="766" ht="12.75" customHeight="1">
      <c r="A766" s="179"/>
      <c r="B766" s="459"/>
      <c r="C766" s="481"/>
      <c r="D766" s="180"/>
      <c r="E766" s="180"/>
      <c r="F766" s="180"/>
      <c r="G766" s="460"/>
      <c r="H766" s="181"/>
      <c r="I766" s="181"/>
      <c r="J766" s="181"/>
      <c r="K766" s="181"/>
      <c r="L766" s="181"/>
      <c r="M766" s="329"/>
      <c r="N766" s="181"/>
      <c r="O766" s="181"/>
      <c r="P766" s="176"/>
      <c r="Q766" s="181"/>
      <c r="R766" s="181"/>
      <c r="S766" s="176"/>
      <c r="T766" s="181"/>
      <c r="U766" s="181"/>
      <c r="V766" s="176"/>
      <c r="W766" s="181"/>
      <c r="X766" s="181"/>
      <c r="Y766" s="176"/>
      <c r="Z766" s="181"/>
      <c r="AA766" s="181"/>
      <c r="AB766" s="176"/>
      <c r="AC766" s="181"/>
      <c r="AD766" s="181"/>
      <c r="AE766" s="176"/>
      <c r="AF766" s="176"/>
      <c r="AG766" s="176"/>
      <c r="AH766" s="176"/>
      <c r="AI766" s="181"/>
      <c r="AJ766" s="181"/>
      <c r="AK766" s="176"/>
      <c r="AL766" s="181"/>
      <c r="AM766" s="181"/>
      <c r="AN766" s="176"/>
      <c r="AO766" s="181"/>
      <c r="AP766" s="181"/>
    </row>
    <row r="767" ht="12.75" customHeight="1">
      <c r="A767" s="179"/>
      <c r="B767" s="459"/>
      <c r="C767" s="481"/>
      <c r="D767" s="180"/>
      <c r="E767" s="180"/>
      <c r="F767" s="180"/>
      <c r="G767" s="460"/>
      <c r="H767" s="181"/>
      <c r="I767" s="181"/>
      <c r="J767" s="181"/>
      <c r="K767" s="181"/>
      <c r="L767" s="181"/>
      <c r="M767" s="329"/>
      <c r="N767" s="181"/>
      <c r="O767" s="181"/>
      <c r="P767" s="176"/>
      <c r="Q767" s="181"/>
      <c r="R767" s="181"/>
      <c r="S767" s="176"/>
      <c r="T767" s="181"/>
      <c r="U767" s="181"/>
      <c r="V767" s="176"/>
      <c r="W767" s="181"/>
      <c r="X767" s="181"/>
      <c r="Y767" s="176"/>
      <c r="Z767" s="181"/>
      <c r="AA767" s="181"/>
      <c r="AB767" s="176"/>
      <c r="AC767" s="181"/>
      <c r="AD767" s="181"/>
      <c r="AE767" s="176"/>
      <c r="AF767" s="176"/>
      <c r="AG767" s="176"/>
      <c r="AH767" s="176"/>
      <c r="AI767" s="181"/>
      <c r="AJ767" s="181"/>
      <c r="AK767" s="176"/>
      <c r="AL767" s="181"/>
      <c r="AM767" s="181"/>
      <c r="AN767" s="176"/>
      <c r="AO767" s="181"/>
      <c r="AP767" s="181"/>
    </row>
    <row r="768" ht="12.75" customHeight="1">
      <c r="A768" s="179"/>
      <c r="B768" s="459"/>
      <c r="C768" s="481"/>
      <c r="D768" s="180"/>
      <c r="E768" s="180"/>
      <c r="F768" s="180"/>
      <c r="G768" s="460"/>
      <c r="H768" s="181"/>
      <c r="I768" s="181"/>
      <c r="J768" s="181"/>
      <c r="K768" s="181"/>
      <c r="L768" s="181"/>
      <c r="M768" s="329"/>
      <c r="N768" s="181"/>
      <c r="O768" s="181"/>
      <c r="P768" s="176"/>
      <c r="Q768" s="181"/>
      <c r="R768" s="181"/>
      <c r="S768" s="176"/>
      <c r="T768" s="181"/>
      <c r="U768" s="181"/>
      <c r="V768" s="176"/>
      <c r="W768" s="181"/>
      <c r="X768" s="181"/>
      <c r="Y768" s="176"/>
      <c r="Z768" s="181"/>
      <c r="AA768" s="181"/>
      <c r="AB768" s="176"/>
      <c r="AC768" s="181"/>
      <c r="AD768" s="181"/>
      <c r="AE768" s="176"/>
      <c r="AF768" s="176"/>
      <c r="AG768" s="176"/>
      <c r="AH768" s="176"/>
      <c r="AI768" s="181"/>
      <c r="AJ768" s="181"/>
      <c r="AK768" s="176"/>
      <c r="AL768" s="181"/>
      <c r="AM768" s="181"/>
      <c r="AN768" s="176"/>
      <c r="AO768" s="181"/>
      <c r="AP768" s="181"/>
    </row>
    <row r="769" ht="12.75" customHeight="1">
      <c r="A769" s="179"/>
      <c r="B769" s="459"/>
      <c r="C769" s="481"/>
      <c r="D769" s="180"/>
      <c r="E769" s="180"/>
      <c r="F769" s="180"/>
      <c r="G769" s="460"/>
      <c r="H769" s="181"/>
      <c r="I769" s="181"/>
      <c r="J769" s="181"/>
      <c r="K769" s="181"/>
      <c r="L769" s="181"/>
      <c r="M769" s="329"/>
      <c r="N769" s="181"/>
      <c r="O769" s="181"/>
      <c r="P769" s="176"/>
      <c r="Q769" s="181"/>
      <c r="R769" s="181"/>
      <c r="S769" s="176"/>
      <c r="T769" s="181"/>
      <c r="U769" s="181"/>
      <c r="V769" s="176"/>
      <c r="W769" s="181"/>
      <c r="X769" s="181"/>
      <c r="Y769" s="176"/>
      <c r="Z769" s="181"/>
      <c r="AA769" s="181"/>
      <c r="AB769" s="176"/>
      <c r="AC769" s="181"/>
      <c r="AD769" s="181"/>
      <c r="AE769" s="176"/>
      <c r="AF769" s="176"/>
      <c r="AG769" s="176"/>
      <c r="AH769" s="176"/>
      <c r="AI769" s="181"/>
      <c r="AJ769" s="181"/>
      <c r="AK769" s="176"/>
      <c r="AL769" s="181"/>
      <c r="AM769" s="181"/>
      <c r="AN769" s="176"/>
      <c r="AO769" s="181"/>
      <c r="AP769" s="181"/>
    </row>
    <row r="770" ht="12.75" customHeight="1">
      <c r="A770" s="179"/>
      <c r="B770" s="459"/>
      <c r="C770" s="481"/>
      <c r="D770" s="180"/>
      <c r="E770" s="180"/>
      <c r="F770" s="180"/>
      <c r="G770" s="460"/>
      <c r="H770" s="181"/>
      <c r="I770" s="181"/>
      <c r="J770" s="181"/>
      <c r="K770" s="181"/>
      <c r="L770" s="181"/>
      <c r="M770" s="329"/>
      <c r="N770" s="181"/>
      <c r="O770" s="181"/>
      <c r="P770" s="176"/>
      <c r="Q770" s="181"/>
      <c r="R770" s="181"/>
      <c r="S770" s="176"/>
      <c r="T770" s="181"/>
      <c r="U770" s="181"/>
      <c r="V770" s="176"/>
      <c r="W770" s="181"/>
      <c r="X770" s="181"/>
      <c r="Y770" s="176"/>
      <c r="Z770" s="181"/>
      <c r="AA770" s="181"/>
      <c r="AB770" s="176"/>
      <c r="AC770" s="181"/>
      <c r="AD770" s="181"/>
      <c r="AE770" s="176"/>
      <c r="AF770" s="176"/>
      <c r="AG770" s="176"/>
      <c r="AH770" s="176"/>
      <c r="AI770" s="181"/>
      <c r="AJ770" s="181"/>
      <c r="AK770" s="176"/>
      <c r="AL770" s="181"/>
      <c r="AM770" s="181"/>
      <c r="AN770" s="176"/>
      <c r="AO770" s="181"/>
      <c r="AP770" s="181"/>
    </row>
    <row r="771" ht="12.75" customHeight="1">
      <c r="A771" s="179"/>
      <c r="B771" s="459"/>
      <c r="C771" s="481"/>
      <c r="D771" s="180"/>
      <c r="E771" s="180"/>
      <c r="F771" s="180"/>
      <c r="G771" s="460"/>
      <c r="H771" s="181"/>
      <c r="I771" s="181"/>
      <c r="J771" s="181"/>
      <c r="K771" s="181"/>
      <c r="L771" s="181"/>
      <c r="M771" s="329"/>
      <c r="N771" s="181"/>
      <c r="O771" s="181"/>
      <c r="P771" s="176"/>
      <c r="Q771" s="181"/>
      <c r="R771" s="181"/>
      <c r="S771" s="176"/>
      <c r="T771" s="181"/>
      <c r="U771" s="181"/>
      <c r="V771" s="176"/>
      <c r="W771" s="181"/>
      <c r="X771" s="181"/>
      <c r="Y771" s="176"/>
      <c r="Z771" s="181"/>
      <c r="AA771" s="181"/>
      <c r="AB771" s="176"/>
      <c r="AC771" s="181"/>
      <c r="AD771" s="181"/>
      <c r="AE771" s="176"/>
      <c r="AF771" s="176"/>
      <c r="AG771" s="176"/>
      <c r="AH771" s="176"/>
      <c r="AI771" s="181"/>
      <c r="AJ771" s="181"/>
      <c r="AK771" s="176"/>
      <c r="AL771" s="181"/>
      <c r="AM771" s="181"/>
      <c r="AN771" s="176"/>
      <c r="AO771" s="181"/>
      <c r="AP771" s="181"/>
    </row>
    <row r="772" ht="12.75" customHeight="1">
      <c r="A772" s="179"/>
      <c r="B772" s="459"/>
      <c r="C772" s="481"/>
      <c r="D772" s="180"/>
      <c r="E772" s="180"/>
      <c r="F772" s="180"/>
      <c r="G772" s="460"/>
      <c r="H772" s="181"/>
      <c r="I772" s="181"/>
      <c r="J772" s="181"/>
      <c r="K772" s="181"/>
      <c r="L772" s="181"/>
      <c r="M772" s="329"/>
      <c r="N772" s="181"/>
      <c r="O772" s="181"/>
      <c r="P772" s="176"/>
      <c r="Q772" s="181"/>
      <c r="R772" s="181"/>
      <c r="S772" s="176"/>
      <c r="T772" s="181"/>
      <c r="U772" s="181"/>
      <c r="V772" s="176"/>
      <c r="W772" s="181"/>
      <c r="X772" s="181"/>
      <c r="Y772" s="176"/>
      <c r="Z772" s="181"/>
      <c r="AA772" s="181"/>
      <c r="AB772" s="176"/>
      <c r="AC772" s="181"/>
      <c r="AD772" s="181"/>
      <c r="AE772" s="176"/>
      <c r="AF772" s="176"/>
      <c r="AG772" s="176"/>
      <c r="AH772" s="176"/>
      <c r="AI772" s="181"/>
      <c r="AJ772" s="181"/>
      <c r="AK772" s="176"/>
      <c r="AL772" s="181"/>
      <c r="AM772" s="181"/>
      <c r="AN772" s="176"/>
      <c r="AO772" s="181"/>
      <c r="AP772" s="181"/>
    </row>
    <row r="773" ht="12.75" customHeight="1">
      <c r="A773" s="179"/>
      <c r="B773" s="459"/>
      <c r="C773" s="481"/>
      <c r="D773" s="180"/>
      <c r="E773" s="180"/>
      <c r="F773" s="180"/>
      <c r="G773" s="460"/>
      <c r="H773" s="181"/>
      <c r="I773" s="181"/>
      <c r="J773" s="181"/>
      <c r="K773" s="181"/>
      <c r="L773" s="181"/>
      <c r="M773" s="329"/>
      <c r="N773" s="181"/>
      <c r="O773" s="181"/>
      <c r="P773" s="176"/>
      <c r="Q773" s="181"/>
      <c r="R773" s="181"/>
      <c r="S773" s="176"/>
      <c r="T773" s="181"/>
      <c r="U773" s="181"/>
      <c r="V773" s="176"/>
      <c r="W773" s="181"/>
      <c r="X773" s="181"/>
      <c r="Y773" s="176"/>
      <c r="Z773" s="181"/>
      <c r="AA773" s="181"/>
      <c r="AB773" s="176"/>
      <c r="AC773" s="181"/>
      <c r="AD773" s="181"/>
      <c r="AE773" s="176"/>
      <c r="AF773" s="176"/>
      <c r="AG773" s="176"/>
      <c r="AH773" s="176"/>
      <c r="AI773" s="181"/>
      <c r="AJ773" s="181"/>
      <c r="AK773" s="176"/>
      <c r="AL773" s="181"/>
      <c r="AM773" s="181"/>
      <c r="AN773" s="176"/>
      <c r="AO773" s="181"/>
      <c r="AP773" s="181"/>
    </row>
    <row r="774" ht="12.75" customHeight="1">
      <c r="A774" s="179"/>
      <c r="B774" s="459"/>
      <c r="C774" s="481"/>
      <c r="D774" s="180"/>
      <c r="E774" s="180"/>
      <c r="F774" s="180"/>
      <c r="G774" s="460"/>
      <c r="H774" s="181"/>
      <c r="I774" s="181"/>
      <c r="J774" s="181"/>
      <c r="K774" s="181"/>
      <c r="L774" s="181"/>
      <c r="M774" s="329"/>
      <c r="N774" s="181"/>
      <c r="O774" s="181"/>
      <c r="P774" s="176"/>
      <c r="Q774" s="181"/>
      <c r="R774" s="181"/>
      <c r="S774" s="176"/>
      <c r="T774" s="181"/>
      <c r="U774" s="181"/>
      <c r="V774" s="176"/>
      <c r="W774" s="181"/>
      <c r="X774" s="181"/>
      <c r="Y774" s="176"/>
      <c r="Z774" s="181"/>
      <c r="AA774" s="181"/>
      <c r="AB774" s="176"/>
      <c r="AC774" s="181"/>
      <c r="AD774" s="181"/>
      <c r="AE774" s="176"/>
      <c r="AF774" s="176"/>
      <c r="AG774" s="176"/>
      <c r="AH774" s="176"/>
      <c r="AI774" s="181"/>
      <c r="AJ774" s="181"/>
      <c r="AK774" s="176"/>
      <c r="AL774" s="181"/>
      <c r="AM774" s="181"/>
      <c r="AN774" s="176"/>
      <c r="AO774" s="181"/>
      <c r="AP774" s="181"/>
    </row>
    <row r="775" ht="12.75" customHeight="1">
      <c r="A775" s="179"/>
      <c r="B775" s="459"/>
      <c r="C775" s="481"/>
      <c r="D775" s="180"/>
      <c r="E775" s="180"/>
      <c r="F775" s="180"/>
      <c r="G775" s="460"/>
      <c r="H775" s="181"/>
      <c r="I775" s="181"/>
      <c r="J775" s="181"/>
      <c r="K775" s="181"/>
      <c r="L775" s="181"/>
      <c r="M775" s="329"/>
      <c r="N775" s="181"/>
      <c r="O775" s="181"/>
      <c r="P775" s="176"/>
      <c r="Q775" s="181"/>
      <c r="R775" s="181"/>
      <c r="S775" s="176"/>
      <c r="T775" s="181"/>
      <c r="U775" s="181"/>
      <c r="V775" s="176"/>
      <c r="W775" s="181"/>
      <c r="X775" s="181"/>
      <c r="Y775" s="176"/>
      <c r="Z775" s="181"/>
      <c r="AA775" s="181"/>
      <c r="AB775" s="176"/>
      <c r="AC775" s="181"/>
      <c r="AD775" s="181"/>
      <c r="AE775" s="176"/>
      <c r="AF775" s="176"/>
      <c r="AG775" s="176"/>
      <c r="AH775" s="176"/>
      <c r="AI775" s="181"/>
      <c r="AJ775" s="181"/>
      <c r="AK775" s="176"/>
      <c r="AL775" s="181"/>
      <c r="AM775" s="181"/>
      <c r="AN775" s="176"/>
      <c r="AO775" s="181"/>
      <c r="AP775" s="181"/>
    </row>
    <row r="776" ht="12.75" customHeight="1">
      <c r="A776" s="179"/>
      <c r="B776" s="459"/>
      <c r="C776" s="481"/>
      <c r="D776" s="180"/>
      <c r="E776" s="180"/>
      <c r="F776" s="180"/>
      <c r="G776" s="460"/>
      <c r="H776" s="181"/>
      <c r="I776" s="181"/>
      <c r="J776" s="181"/>
      <c r="K776" s="181"/>
      <c r="L776" s="181"/>
      <c r="M776" s="329"/>
      <c r="N776" s="181"/>
      <c r="O776" s="181"/>
      <c r="P776" s="176"/>
      <c r="Q776" s="181"/>
      <c r="R776" s="181"/>
      <c r="S776" s="176"/>
      <c r="T776" s="181"/>
      <c r="U776" s="181"/>
      <c r="V776" s="176"/>
      <c r="W776" s="181"/>
      <c r="X776" s="181"/>
      <c r="Y776" s="176"/>
      <c r="Z776" s="181"/>
      <c r="AA776" s="181"/>
      <c r="AB776" s="176"/>
      <c r="AC776" s="181"/>
      <c r="AD776" s="181"/>
      <c r="AE776" s="176"/>
      <c r="AF776" s="176"/>
      <c r="AG776" s="176"/>
      <c r="AH776" s="176"/>
      <c r="AI776" s="181"/>
      <c r="AJ776" s="181"/>
      <c r="AK776" s="176"/>
      <c r="AL776" s="181"/>
      <c r="AM776" s="181"/>
      <c r="AN776" s="176"/>
      <c r="AO776" s="181"/>
      <c r="AP776" s="181"/>
    </row>
    <row r="777" ht="12.75" customHeight="1">
      <c r="A777" s="179"/>
      <c r="B777" s="459"/>
      <c r="C777" s="481"/>
      <c r="D777" s="180"/>
      <c r="E777" s="180"/>
      <c r="F777" s="180"/>
      <c r="G777" s="460"/>
      <c r="H777" s="181"/>
      <c r="I777" s="181"/>
      <c r="J777" s="181"/>
      <c r="K777" s="181"/>
      <c r="L777" s="181"/>
      <c r="M777" s="329"/>
      <c r="N777" s="181"/>
      <c r="O777" s="181"/>
      <c r="P777" s="176"/>
      <c r="Q777" s="181"/>
      <c r="R777" s="181"/>
      <c r="S777" s="176"/>
      <c r="T777" s="181"/>
      <c r="U777" s="181"/>
      <c r="V777" s="176"/>
      <c r="W777" s="181"/>
      <c r="X777" s="181"/>
      <c r="Y777" s="176"/>
      <c r="Z777" s="181"/>
      <c r="AA777" s="181"/>
      <c r="AB777" s="176"/>
      <c r="AC777" s="181"/>
      <c r="AD777" s="181"/>
      <c r="AE777" s="176"/>
      <c r="AF777" s="176"/>
      <c r="AG777" s="176"/>
      <c r="AH777" s="176"/>
      <c r="AI777" s="181"/>
      <c r="AJ777" s="181"/>
      <c r="AK777" s="176"/>
      <c r="AL777" s="181"/>
      <c r="AM777" s="181"/>
      <c r="AN777" s="176"/>
      <c r="AO777" s="181"/>
      <c r="AP777" s="181"/>
    </row>
    <row r="778" ht="12.75" customHeight="1">
      <c r="A778" s="179"/>
      <c r="B778" s="459"/>
      <c r="C778" s="481"/>
      <c r="D778" s="180"/>
      <c r="E778" s="180"/>
      <c r="F778" s="180"/>
      <c r="G778" s="460"/>
      <c r="H778" s="181"/>
      <c r="I778" s="181"/>
      <c r="J778" s="181"/>
      <c r="K778" s="181"/>
      <c r="L778" s="181"/>
      <c r="M778" s="329"/>
      <c r="N778" s="181"/>
      <c r="O778" s="181"/>
      <c r="P778" s="176"/>
      <c r="Q778" s="181"/>
      <c r="R778" s="181"/>
      <c r="S778" s="176"/>
      <c r="T778" s="181"/>
      <c r="U778" s="181"/>
      <c r="V778" s="176"/>
      <c r="W778" s="181"/>
      <c r="X778" s="181"/>
      <c r="Y778" s="176"/>
      <c r="Z778" s="181"/>
      <c r="AA778" s="181"/>
      <c r="AB778" s="176"/>
      <c r="AC778" s="181"/>
      <c r="AD778" s="181"/>
      <c r="AE778" s="176"/>
      <c r="AF778" s="176"/>
      <c r="AG778" s="176"/>
      <c r="AH778" s="176"/>
      <c r="AI778" s="181"/>
      <c r="AJ778" s="181"/>
      <c r="AK778" s="176"/>
      <c r="AL778" s="181"/>
      <c r="AM778" s="181"/>
      <c r="AN778" s="176"/>
      <c r="AO778" s="181"/>
      <c r="AP778" s="181"/>
    </row>
    <row r="779" ht="12.75" customHeight="1">
      <c r="A779" s="179"/>
      <c r="B779" s="459"/>
      <c r="C779" s="481"/>
      <c r="D779" s="180"/>
      <c r="E779" s="180"/>
      <c r="F779" s="180"/>
      <c r="G779" s="460"/>
      <c r="H779" s="181"/>
      <c r="I779" s="181"/>
      <c r="J779" s="181"/>
      <c r="K779" s="181"/>
      <c r="L779" s="181"/>
      <c r="M779" s="329"/>
      <c r="N779" s="181"/>
      <c r="O779" s="181"/>
      <c r="P779" s="176"/>
      <c r="Q779" s="181"/>
      <c r="R779" s="181"/>
      <c r="S779" s="176"/>
      <c r="T779" s="181"/>
      <c r="U779" s="181"/>
      <c r="V779" s="176"/>
      <c r="W779" s="181"/>
      <c r="X779" s="181"/>
      <c r="Y779" s="176"/>
      <c r="Z779" s="181"/>
      <c r="AA779" s="181"/>
      <c r="AB779" s="176"/>
      <c r="AC779" s="181"/>
      <c r="AD779" s="181"/>
      <c r="AE779" s="176"/>
      <c r="AF779" s="176"/>
      <c r="AG779" s="176"/>
      <c r="AH779" s="176"/>
      <c r="AI779" s="181"/>
      <c r="AJ779" s="181"/>
      <c r="AK779" s="176"/>
      <c r="AL779" s="181"/>
      <c r="AM779" s="181"/>
      <c r="AN779" s="176"/>
      <c r="AO779" s="181"/>
      <c r="AP779" s="181"/>
    </row>
    <row r="780" ht="12.75" customHeight="1">
      <c r="A780" s="179"/>
      <c r="B780" s="459"/>
      <c r="C780" s="481"/>
      <c r="D780" s="180"/>
      <c r="E780" s="180"/>
      <c r="F780" s="180"/>
      <c r="G780" s="460"/>
      <c r="H780" s="181"/>
      <c r="I780" s="181"/>
      <c r="J780" s="181"/>
      <c r="K780" s="181"/>
      <c r="L780" s="181"/>
      <c r="M780" s="329"/>
      <c r="N780" s="181"/>
      <c r="O780" s="181"/>
      <c r="P780" s="176"/>
      <c r="Q780" s="181"/>
      <c r="R780" s="181"/>
      <c r="S780" s="176"/>
      <c r="T780" s="181"/>
      <c r="U780" s="181"/>
      <c r="V780" s="176"/>
      <c r="W780" s="181"/>
      <c r="X780" s="181"/>
      <c r="Y780" s="176"/>
      <c r="Z780" s="181"/>
      <c r="AA780" s="181"/>
      <c r="AB780" s="176"/>
      <c r="AC780" s="181"/>
      <c r="AD780" s="181"/>
      <c r="AE780" s="176"/>
      <c r="AF780" s="176"/>
      <c r="AG780" s="176"/>
      <c r="AH780" s="176"/>
      <c r="AI780" s="181"/>
      <c r="AJ780" s="181"/>
      <c r="AK780" s="176"/>
      <c r="AL780" s="181"/>
      <c r="AM780" s="181"/>
      <c r="AN780" s="176"/>
      <c r="AO780" s="181"/>
      <c r="AP780" s="181"/>
    </row>
    <row r="781" ht="12.75" customHeight="1">
      <c r="A781" s="179"/>
      <c r="B781" s="459"/>
      <c r="C781" s="481"/>
      <c r="D781" s="180"/>
      <c r="E781" s="180"/>
      <c r="F781" s="180"/>
      <c r="G781" s="460"/>
      <c r="H781" s="181"/>
      <c r="I781" s="181"/>
      <c r="J781" s="181"/>
      <c r="K781" s="181"/>
      <c r="L781" s="181"/>
      <c r="M781" s="329"/>
      <c r="N781" s="181"/>
      <c r="O781" s="181"/>
      <c r="P781" s="176"/>
      <c r="Q781" s="181"/>
      <c r="R781" s="181"/>
      <c r="S781" s="176"/>
      <c r="T781" s="181"/>
      <c r="U781" s="181"/>
      <c r="V781" s="176"/>
      <c r="W781" s="181"/>
      <c r="X781" s="181"/>
      <c r="Y781" s="176"/>
      <c r="Z781" s="181"/>
      <c r="AA781" s="181"/>
      <c r="AB781" s="176"/>
      <c r="AC781" s="181"/>
      <c r="AD781" s="181"/>
      <c r="AE781" s="176"/>
      <c r="AF781" s="176"/>
      <c r="AG781" s="176"/>
      <c r="AH781" s="176"/>
      <c r="AI781" s="181"/>
      <c r="AJ781" s="181"/>
      <c r="AK781" s="176"/>
      <c r="AL781" s="181"/>
      <c r="AM781" s="181"/>
      <c r="AN781" s="176"/>
      <c r="AO781" s="181"/>
      <c r="AP781" s="181"/>
    </row>
    <row r="782" ht="12.75" customHeight="1">
      <c r="A782" s="179"/>
      <c r="B782" s="459"/>
      <c r="C782" s="481"/>
      <c r="D782" s="180"/>
      <c r="E782" s="180"/>
      <c r="F782" s="180"/>
      <c r="G782" s="460"/>
      <c r="H782" s="181"/>
      <c r="I782" s="181"/>
      <c r="J782" s="181"/>
      <c r="K782" s="181"/>
      <c r="L782" s="181"/>
      <c r="M782" s="329"/>
      <c r="N782" s="181"/>
      <c r="O782" s="181"/>
      <c r="P782" s="176"/>
      <c r="Q782" s="181"/>
      <c r="R782" s="181"/>
      <c r="S782" s="176"/>
      <c r="T782" s="181"/>
      <c r="U782" s="181"/>
      <c r="V782" s="176"/>
      <c r="W782" s="181"/>
      <c r="X782" s="181"/>
      <c r="Y782" s="176"/>
      <c r="Z782" s="181"/>
      <c r="AA782" s="181"/>
      <c r="AB782" s="176"/>
      <c r="AC782" s="181"/>
      <c r="AD782" s="181"/>
      <c r="AE782" s="176"/>
      <c r="AF782" s="176"/>
      <c r="AG782" s="176"/>
      <c r="AH782" s="176"/>
      <c r="AI782" s="181"/>
      <c r="AJ782" s="181"/>
      <c r="AK782" s="176"/>
      <c r="AL782" s="181"/>
      <c r="AM782" s="181"/>
      <c r="AN782" s="176"/>
      <c r="AO782" s="181"/>
      <c r="AP782" s="181"/>
    </row>
    <row r="783" ht="12.75" customHeight="1">
      <c r="A783" s="179"/>
      <c r="B783" s="459"/>
      <c r="C783" s="481"/>
      <c r="D783" s="180"/>
      <c r="E783" s="180"/>
      <c r="F783" s="180"/>
      <c r="G783" s="460"/>
      <c r="H783" s="181"/>
      <c r="I783" s="181"/>
      <c r="J783" s="181"/>
      <c r="K783" s="181"/>
      <c r="L783" s="181"/>
      <c r="M783" s="329"/>
      <c r="N783" s="181"/>
      <c r="O783" s="181"/>
      <c r="P783" s="176"/>
      <c r="Q783" s="181"/>
      <c r="R783" s="181"/>
      <c r="S783" s="176"/>
      <c r="T783" s="181"/>
      <c r="U783" s="181"/>
      <c r="V783" s="176"/>
      <c r="W783" s="181"/>
      <c r="X783" s="181"/>
      <c r="Y783" s="176"/>
      <c r="Z783" s="181"/>
      <c r="AA783" s="181"/>
      <c r="AB783" s="176"/>
      <c r="AC783" s="181"/>
      <c r="AD783" s="181"/>
      <c r="AE783" s="176"/>
      <c r="AF783" s="176"/>
      <c r="AG783" s="176"/>
      <c r="AH783" s="176"/>
      <c r="AI783" s="181"/>
      <c r="AJ783" s="181"/>
      <c r="AK783" s="176"/>
      <c r="AL783" s="181"/>
      <c r="AM783" s="181"/>
      <c r="AN783" s="176"/>
      <c r="AO783" s="181"/>
      <c r="AP783" s="181"/>
    </row>
    <row r="784" ht="12.75" customHeight="1">
      <c r="A784" s="179"/>
      <c r="B784" s="459"/>
      <c r="C784" s="481"/>
      <c r="D784" s="180"/>
      <c r="E784" s="180"/>
      <c r="F784" s="180"/>
      <c r="G784" s="460"/>
      <c r="H784" s="181"/>
      <c r="I784" s="181"/>
      <c r="J784" s="181"/>
      <c r="K784" s="181"/>
      <c r="L784" s="181"/>
      <c r="M784" s="329"/>
      <c r="N784" s="181"/>
      <c r="O784" s="181"/>
      <c r="P784" s="176"/>
      <c r="Q784" s="181"/>
      <c r="R784" s="181"/>
      <c r="S784" s="176"/>
      <c r="T784" s="181"/>
      <c r="U784" s="181"/>
      <c r="V784" s="176"/>
      <c r="W784" s="181"/>
      <c r="X784" s="181"/>
      <c r="Y784" s="176"/>
      <c r="Z784" s="181"/>
      <c r="AA784" s="181"/>
      <c r="AB784" s="176"/>
      <c r="AC784" s="181"/>
      <c r="AD784" s="181"/>
      <c r="AE784" s="176"/>
      <c r="AF784" s="176"/>
      <c r="AG784" s="176"/>
      <c r="AH784" s="176"/>
      <c r="AI784" s="181"/>
      <c r="AJ784" s="181"/>
      <c r="AK784" s="176"/>
      <c r="AL784" s="181"/>
      <c r="AM784" s="181"/>
      <c r="AN784" s="176"/>
      <c r="AO784" s="181"/>
      <c r="AP784" s="181"/>
    </row>
    <row r="785" ht="12.75" customHeight="1">
      <c r="A785" s="179"/>
      <c r="B785" s="459"/>
      <c r="C785" s="481"/>
      <c r="D785" s="180"/>
      <c r="E785" s="180"/>
      <c r="F785" s="180"/>
      <c r="G785" s="460"/>
      <c r="H785" s="181"/>
      <c r="I785" s="181"/>
      <c r="J785" s="181"/>
      <c r="K785" s="181"/>
      <c r="L785" s="181"/>
      <c r="M785" s="329"/>
      <c r="N785" s="181"/>
      <c r="O785" s="181"/>
      <c r="P785" s="176"/>
      <c r="Q785" s="181"/>
      <c r="R785" s="181"/>
      <c r="S785" s="176"/>
      <c r="T785" s="181"/>
      <c r="U785" s="181"/>
      <c r="V785" s="176"/>
      <c r="W785" s="181"/>
      <c r="X785" s="181"/>
      <c r="Y785" s="176"/>
      <c r="Z785" s="181"/>
      <c r="AA785" s="181"/>
      <c r="AB785" s="176"/>
      <c r="AC785" s="181"/>
      <c r="AD785" s="181"/>
      <c r="AE785" s="176"/>
      <c r="AF785" s="176"/>
      <c r="AG785" s="176"/>
      <c r="AH785" s="176"/>
      <c r="AI785" s="181"/>
      <c r="AJ785" s="181"/>
      <c r="AK785" s="176"/>
      <c r="AL785" s="181"/>
      <c r="AM785" s="181"/>
      <c r="AN785" s="176"/>
      <c r="AO785" s="181"/>
      <c r="AP785" s="181"/>
    </row>
    <row r="786" ht="12.75" customHeight="1">
      <c r="A786" s="179"/>
      <c r="B786" s="459"/>
      <c r="C786" s="481"/>
      <c r="D786" s="180"/>
      <c r="E786" s="180"/>
      <c r="F786" s="180"/>
      <c r="G786" s="460"/>
      <c r="H786" s="181"/>
      <c r="I786" s="181"/>
      <c r="J786" s="181"/>
      <c r="K786" s="181"/>
      <c r="L786" s="181"/>
      <c r="M786" s="329"/>
      <c r="N786" s="181"/>
      <c r="O786" s="181"/>
      <c r="P786" s="176"/>
      <c r="Q786" s="181"/>
      <c r="R786" s="181"/>
      <c r="S786" s="176"/>
      <c r="T786" s="181"/>
      <c r="U786" s="181"/>
      <c r="V786" s="176"/>
      <c r="W786" s="181"/>
      <c r="X786" s="181"/>
      <c r="Y786" s="176"/>
      <c r="Z786" s="181"/>
      <c r="AA786" s="181"/>
      <c r="AB786" s="176"/>
      <c r="AC786" s="181"/>
      <c r="AD786" s="181"/>
      <c r="AE786" s="176"/>
      <c r="AF786" s="176"/>
      <c r="AG786" s="176"/>
      <c r="AH786" s="176"/>
      <c r="AI786" s="181"/>
      <c r="AJ786" s="181"/>
      <c r="AK786" s="176"/>
      <c r="AL786" s="181"/>
      <c r="AM786" s="181"/>
      <c r="AN786" s="176"/>
      <c r="AO786" s="181"/>
      <c r="AP786" s="181"/>
    </row>
    <row r="787" ht="12.75" customHeight="1">
      <c r="A787" s="179"/>
      <c r="B787" s="459"/>
      <c r="C787" s="481"/>
      <c r="D787" s="180"/>
      <c r="E787" s="180"/>
      <c r="F787" s="180"/>
      <c r="G787" s="460"/>
      <c r="H787" s="181"/>
      <c r="I787" s="181"/>
      <c r="J787" s="181"/>
      <c r="K787" s="181"/>
      <c r="L787" s="181"/>
      <c r="M787" s="329"/>
      <c r="N787" s="181"/>
      <c r="O787" s="181"/>
      <c r="P787" s="176"/>
      <c r="Q787" s="181"/>
      <c r="R787" s="181"/>
      <c r="S787" s="176"/>
      <c r="T787" s="181"/>
      <c r="U787" s="181"/>
      <c r="V787" s="176"/>
      <c r="W787" s="181"/>
      <c r="X787" s="181"/>
      <c r="Y787" s="176"/>
      <c r="Z787" s="181"/>
      <c r="AA787" s="181"/>
      <c r="AB787" s="176"/>
      <c r="AC787" s="181"/>
      <c r="AD787" s="181"/>
      <c r="AE787" s="176"/>
      <c r="AF787" s="176"/>
      <c r="AG787" s="176"/>
      <c r="AH787" s="176"/>
      <c r="AI787" s="181"/>
      <c r="AJ787" s="181"/>
      <c r="AK787" s="176"/>
      <c r="AL787" s="181"/>
      <c r="AM787" s="181"/>
      <c r="AN787" s="176"/>
      <c r="AO787" s="181"/>
      <c r="AP787" s="181"/>
    </row>
    <row r="788" ht="12.75" customHeight="1">
      <c r="A788" s="179"/>
      <c r="B788" s="459"/>
      <c r="C788" s="481"/>
      <c r="D788" s="180"/>
      <c r="E788" s="180"/>
      <c r="F788" s="180"/>
      <c r="G788" s="460"/>
      <c r="H788" s="181"/>
      <c r="I788" s="181"/>
      <c r="J788" s="181"/>
      <c r="K788" s="181"/>
      <c r="L788" s="181"/>
      <c r="M788" s="329"/>
      <c r="N788" s="181"/>
      <c r="O788" s="181"/>
      <c r="P788" s="176"/>
      <c r="Q788" s="181"/>
      <c r="R788" s="181"/>
      <c r="S788" s="176"/>
      <c r="T788" s="181"/>
      <c r="U788" s="181"/>
      <c r="V788" s="176"/>
      <c r="W788" s="181"/>
      <c r="X788" s="181"/>
      <c r="Y788" s="176"/>
      <c r="Z788" s="181"/>
      <c r="AA788" s="181"/>
      <c r="AB788" s="176"/>
      <c r="AC788" s="181"/>
      <c r="AD788" s="181"/>
      <c r="AE788" s="176"/>
      <c r="AF788" s="176"/>
      <c r="AG788" s="176"/>
      <c r="AH788" s="176"/>
      <c r="AI788" s="181"/>
      <c r="AJ788" s="181"/>
      <c r="AK788" s="176"/>
      <c r="AL788" s="181"/>
      <c r="AM788" s="181"/>
      <c r="AN788" s="176"/>
      <c r="AO788" s="181"/>
      <c r="AP788" s="181"/>
    </row>
    <row r="789" ht="12.75" customHeight="1">
      <c r="A789" s="179"/>
      <c r="B789" s="459"/>
      <c r="C789" s="481"/>
      <c r="D789" s="180"/>
      <c r="E789" s="180"/>
      <c r="F789" s="180"/>
      <c r="G789" s="460"/>
      <c r="H789" s="181"/>
      <c r="I789" s="181"/>
      <c r="J789" s="181"/>
      <c r="K789" s="181"/>
      <c r="L789" s="181"/>
      <c r="M789" s="329"/>
      <c r="N789" s="181"/>
      <c r="O789" s="181"/>
      <c r="P789" s="176"/>
      <c r="Q789" s="181"/>
      <c r="R789" s="181"/>
      <c r="S789" s="176"/>
      <c r="T789" s="181"/>
      <c r="U789" s="181"/>
      <c r="V789" s="176"/>
      <c r="W789" s="181"/>
      <c r="X789" s="181"/>
      <c r="Y789" s="176"/>
      <c r="Z789" s="181"/>
      <c r="AA789" s="181"/>
      <c r="AB789" s="176"/>
      <c r="AC789" s="181"/>
      <c r="AD789" s="181"/>
      <c r="AE789" s="176"/>
      <c r="AF789" s="176"/>
      <c r="AG789" s="176"/>
      <c r="AH789" s="176"/>
      <c r="AI789" s="181"/>
      <c r="AJ789" s="181"/>
      <c r="AK789" s="176"/>
      <c r="AL789" s="181"/>
      <c r="AM789" s="181"/>
      <c r="AN789" s="176"/>
      <c r="AO789" s="181"/>
      <c r="AP789" s="181"/>
    </row>
    <row r="790" ht="12.75" customHeight="1">
      <c r="A790" s="179"/>
      <c r="B790" s="459"/>
      <c r="C790" s="481"/>
      <c r="D790" s="180"/>
      <c r="E790" s="180"/>
      <c r="F790" s="180"/>
      <c r="G790" s="460"/>
      <c r="H790" s="181"/>
      <c r="I790" s="181"/>
      <c r="J790" s="181"/>
      <c r="K790" s="181"/>
      <c r="L790" s="181"/>
      <c r="M790" s="329"/>
      <c r="N790" s="181"/>
      <c r="O790" s="181"/>
      <c r="P790" s="176"/>
      <c r="Q790" s="181"/>
      <c r="R790" s="181"/>
      <c r="S790" s="176"/>
      <c r="T790" s="181"/>
      <c r="U790" s="181"/>
      <c r="V790" s="176"/>
      <c r="W790" s="181"/>
      <c r="X790" s="181"/>
      <c r="Y790" s="176"/>
      <c r="Z790" s="181"/>
      <c r="AA790" s="181"/>
      <c r="AB790" s="176"/>
      <c r="AC790" s="181"/>
      <c r="AD790" s="181"/>
      <c r="AE790" s="176"/>
      <c r="AF790" s="176"/>
      <c r="AG790" s="176"/>
      <c r="AH790" s="176"/>
      <c r="AI790" s="181"/>
      <c r="AJ790" s="181"/>
      <c r="AK790" s="176"/>
      <c r="AL790" s="181"/>
      <c r="AM790" s="181"/>
      <c r="AN790" s="176"/>
      <c r="AO790" s="181"/>
      <c r="AP790" s="181"/>
    </row>
    <row r="791" ht="12.75" customHeight="1">
      <c r="A791" s="179"/>
      <c r="B791" s="459"/>
      <c r="C791" s="481"/>
      <c r="D791" s="180"/>
      <c r="E791" s="180"/>
      <c r="F791" s="180"/>
      <c r="G791" s="460"/>
      <c r="H791" s="181"/>
      <c r="I791" s="181"/>
      <c r="J791" s="181"/>
      <c r="K791" s="181"/>
      <c r="L791" s="181"/>
      <c r="M791" s="329"/>
      <c r="N791" s="181"/>
      <c r="O791" s="181"/>
      <c r="P791" s="176"/>
      <c r="Q791" s="181"/>
      <c r="R791" s="181"/>
      <c r="S791" s="176"/>
      <c r="T791" s="181"/>
      <c r="U791" s="181"/>
      <c r="V791" s="176"/>
      <c r="W791" s="181"/>
      <c r="X791" s="181"/>
      <c r="Y791" s="176"/>
      <c r="Z791" s="181"/>
      <c r="AA791" s="181"/>
      <c r="AB791" s="176"/>
      <c r="AC791" s="181"/>
      <c r="AD791" s="181"/>
      <c r="AE791" s="176"/>
      <c r="AF791" s="176"/>
      <c r="AG791" s="176"/>
      <c r="AH791" s="176"/>
      <c r="AI791" s="181"/>
      <c r="AJ791" s="181"/>
      <c r="AK791" s="176"/>
      <c r="AL791" s="181"/>
      <c r="AM791" s="181"/>
      <c r="AN791" s="176"/>
      <c r="AO791" s="181"/>
      <c r="AP791" s="181"/>
    </row>
    <row r="792" ht="12.75" customHeight="1">
      <c r="A792" s="179"/>
      <c r="B792" s="459"/>
      <c r="C792" s="481"/>
      <c r="D792" s="180"/>
      <c r="E792" s="180"/>
      <c r="F792" s="180"/>
      <c r="G792" s="460"/>
      <c r="H792" s="181"/>
      <c r="I792" s="181"/>
      <c r="J792" s="181"/>
      <c r="K792" s="181"/>
      <c r="L792" s="181"/>
      <c r="M792" s="329"/>
      <c r="N792" s="181"/>
      <c r="O792" s="181"/>
      <c r="P792" s="176"/>
      <c r="Q792" s="181"/>
      <c r="R792" s="181"/>
      <c r="S792" s="176"/>
      <c r="T792" s="181"/>
      <c r="U792" s="181"/>
      <c r="V792" s="176"/>
      <c r="W792" s="181"/>
      <c r="X792" s="181"/>
      <c r="Y792" s="176"/>
      <c r="Z792" s="181"/>
      <c r="AA792" s="181"/>
      <c r="AB792" s="176"/>
      <c r="AC792" s="181"/>
      <c r="AD792" s="181"/>
      <c r="AE792" s="176"/>
      <c r="AF792" s="176"/>
      <c r="AG792" s="176"/>
      <c r="AH792" s="176"/>
      <c r="AI792" s="181"/>
      <c r="AJ792" s="181"/>
      <c r="AK792" s="176"/>
      <c r="AL792" s="181"/>
      <c r="AM792" s="181"/>
      <c r="AN792" s="176"/>
      <c r="AO792" s="181"/>
      <c r="AP792" s="181"/>
    </row>
    <row r="793" ht="12.75" customHeight="1">
      <c r="A793" s="179"/>
      <c r="B793" s="459"/>
      <c r="C793" s="481"/>
      <c r="D793" s="180"/>
      <c r="E793" s="180"/>
      <c r="F793" s="180"/>
      <c r="G793" s="460"/>
      <c r="H793" s="181"/>
      <c r="I793" s="181"/>
      <c r="J793" s="181"/>
      <c r="K793" s="181"/>
      <c r="L793" s="181"/>
      <c r="M793" s="329"/>
      <c r="N793" s="181"/>
      <c r="O793" s="181"/>
      <c r="P793" s="176"/>
      <c r="Q793" s="181"/>
      <c r="R793" s="181"/>
      <c r="S793" s="176"/>
      <c r="T793" s="181"/>
      <c r="U793" s="181"/>
      <c r="V793" s="176"/>
      <c r="W793" s="181"/>
      <c r="X793" s="181"/>
      <c r="Y793" s="176"/>
      <c r="Z793" s="181"/>
      <c r="AA793" s="181"/>
      <c r="AB793" s="176"/>
      <c r="AC793" s="181"/>
      <c r="AD793" s="181"/>
      <c r="AE793" s="176"/>
      <c r="AF793" s="176"/>
      <c r="AG793" s="176"/>
      <c r="AH793" s="176"/>
      <c r="AI793" s="181"/>
      <c r="AJ793" s="181"/>
      <c r="AK793" s="176"/>
      <c r="AL793" s="181"/>
      <c r="AM793" s="181"/>
      <c r="AN793" s="176"/>
      <c r="AO793" s="181"/>
      <c r="AP793" s="181"/>
    </row>
    <row r="794" ht="12.75" customHeight="1">
      <c r="A794" s="179"/>
      <c r="B794" s="459"/>
      <c r="C794" s="481"/>
      <c r="D794" s="180"/>
      <c r="E794" s="180"/>
      <c r="F794" s="180"/>
      <c r="G794" s="460"/>
      <c r="H794" s="181"/>
      <c r="I794" s="181"/>
      <c r="J794" s="181"/>
      <c r="K794" s="181"/>
      <c r="L794" s="181"/>
      <c r="M794" s="329"/>
      <c r="N794" s="181"/>
      <c r="O794" s="181"/>
      <c r="P794" s="176"/>
      <c r="Q794" s="181"/>
      <c r="R794" s="181"/>
      <c r="S794" s="176"/>
      <c r="T794" s="181"/>
      <c r="U794" s="181"/>
      <c r="V794" s="176"/>
      <c r="W794" s="181"/>
      <c r="X794" s="181"/>
      <c r="Y794" s="176"/>
      <c r="Z794" s="181"/>
      <c r="AA794" s="181"/>
      <c r="AB794" s="176"/>
      <c r="AC794" s="181"/>
      <c r="AD794" s="181"/>
      <c r="AE794" s="176"/>
      <c r="AF794" s="176"/>
      <c r="AG794" s="176"/>
      <c r="AH794" s="176"/>
      <c r="AI794" s="181"/>
      <c r="AJ794" s="181"/>
      <c r="AK794" s="176"/>
      <c r="AL794" s="181"/>
      <c r="AM794" s="181"/>
      <c r="AN794" s="176"/>
      <c r="AO794" s="181"/>
      <c r="AP794" s="181"/>
    </row>
    <row r="795" ht="12.75" customHeight="1">
      <c r="A795" s="179"/>
      <c r="B795" s="459"/>
      <c r="C795" s="481"/>
      <c r="D795" s="180"/>
      <c r="E795" s="180"/>
      <c r="F795" s="180"/>
      <c r="G795" s="460"/>
      <c r="H795" s="181"/>
      <c r="I795" s="181"/>
      <c r="J795" s="181"/>
      <c r="K795" s="181"/>
      <c r="L795" s="181"/>
      <c r="M795" s="329"/>
      <c r="N795" s="181"/>
      <c r="O795" s="181"/>
      <c r="P795" s="176"/>
      <c r="Q795" s="181"/>
      <c r="R795" s="181"/>
      <c r="S795" s="176"/>
      <c r="T795" s="181"/>
      <c r="U795" s="181"/>
      <c r="V795" s="176"/>
      <c r="W795" s="181"/>
      <c r="X795" s="181"/>
      <c r="Y795" s="176"/>
      <c r="Z795" s="181"/>
      <c r="AA795" s="181"/>
      <c r="AB795" s="176"/>
      <c r="AC795" s="181"/>
      <c r="AD795" s="181"/>
      <c r="AE795" s="176"/>
      <c r="AF795" s="176"/>
      <c r="AG795" s="176"/>
      <c r="AH795" s="176"/>
      <c r="AI795" s="181"/>
      <c r="AJ795" s="181"/>
      <c r="AK795" s="176"/>
      <c r="AL795" s="181"/>
      <c r="AM795" s="181"/>
      <c r="AN795" s="176"/>
      <c r="AO795" s="181"/>
      <c r="AP795" s="181"/>
    </row>
    <row r="796" ht="12.75" customHeight="1">
      <c r="A796" s="179"/>
      <c r="B796" s="459"/>
      <c r="C796" s="481"/>
      <c r="D796" s="180"/>
      <c r="E796" s="180"/>
      <c r="F796" s="180"/>
      <c r="G796" s="460"/>
      <c r="H796" s="181"/>
      <c r="I796" s="181"/>
      <c r="J796" s="181"/>
      <c r="K796" s="181"/>
      <c r="L796" s="181"/>
      <c r="M796" s="329"/>
      <c r="N796" s="181"/>
      <c r="O796" s="181"/>
      <c r="P796" s="176"/>
      <c r="Q796" s="181"/>
      <c r="R796" s="181"/>
      <c r="S796" s="176"/>
      <c r="T796" s="181"/>
      <c r="U796" s="181"/>
      <c r="V796" s="176"/>
      <c r="W796" s="181"/>
      <c r="X796" s="181"/>
      <c r="Y796" s="176"/>
      <c r="Z796" s="181"/>
      <c r="AA796" s="181"/>
      <c r="AB796" s="176"/>
      <c r="AC796" s="181"/>
      <c r="AD796" s="181"/>
      <c r="AE796" s="176"/>
      <c r="AF796" s="176"/>
      <c r="AG796" s="176"/>
      <c r="AH796" s="176"/>
      <c r="AI796" s="181"/>
      <c r="AJ796" s="181"/>
      <c r="AK796" s="176"/>
      <c r="AL796" s="181"/>
      <c r="AM796" s="181"/>
      <c r="AN796" s="176"/>
      <c r="AO796" s="181"/>
      <c r="AP796" s="181"/>
    </row>
    <row r="797" ht="12.75" customHeight="1">
      <c r="A797" s="179"/>
      <c r="B797" s="459"/>
      <c r="C797" s="481"/>
      <c r="D797" s="180"/>
      <c r="E797" s="180"/>
      <c r="F797" s="180"/>
      <c r="G797" s="460"/>
      <c r="H797" s="181"/>
      <c r="I797" s="181"/>
      <c r="J797" s="181"/>
      <c r="K797" s="181"/>
      <c r="L797" s="181"/>
      <c r="M797" s="329"/>
      <c r="N797" s="181"/>
      <c r="O797" s="181"/>
      <c r="P797" s="176"/>
      <c r="Q797" s="181"/>
      <c r="R797" s="181"/>
      <c r="S797" s="176"/>
      <c r="T797" s="181"/>
      <c r="U797" s="181"/>
      <c r="V797" s="176"/>
      <c r="W797" s="181"/>
      <c r="X797" s="181"/>
      <c r="Y797" s="176"/>
      <c r="Z797" s="181"/>
      <c r="AA797" s="181"/>
      <c r="AB797" s="176"/>
      <c r="AC797" s="181"/>
      <c r="AD797" s="181"/>
      <c r="AE797" s="176"/>
      <c r="AF797" s="176"/>
      <c r="AG797" s="176"/>
      <c r="AH797" s="176"/>
      <c r="AI797" s="181"/>
      <c r="AJ797" s="181"/>
      <c r="AK797" s="176"/>
      <c r="AL797" s="181"/>
      <c r="AM797" s="181"/>
      <c r="AN797" s="176"/>
      <c r="AO797" s="181"/>
      <c r="AP797" s="181"/>
    </row>
    <row r="798" ht="12.75" customHeight="1">
      <c r="A798" s="179"/>
      <c r="B798" s="459"/>
      <c r="C798" s="481"/>
      <c r="D798" s="180"/>
      <c r="E798" s="180"/>
      <c r="F798" s="180"/>
      <c r="G798" s="460"/>
      <c r="H798" s="181"/>
      <c r="I798" s="181"/>
      <c r="J798" s="181"/>
      <c r="K798" s="181"/>
      <c r="L798" s="181"/>
      <c r="M798" s="329"/>
      <c r="N798" s="181"/>
      <c r="O798" s="181"/>
      <c r="P798" s="176"/>
      <c r="Q798" s="181"/>
      <c r="R798" s="181"/>
      <c r="S798" s="176"/>
      <c r="T798" s="181"/>
      <c r="U798" s="181"/>
      <c r="V798" s="176"/>
      <c r="W798" s="181"/>
      <c r="X798" s="181"/>
      <c r="Y798" s="176"/>
      <c r="Z798" s="181"/>
      <c r="AA798" s="181"/>
      <c r="AB798" s="176"/>
      <c r="AC798" s="181"/>
      <c r="AD798" s="181"/>
      <c r="AE798" s="176"/>
      <c r="AF798" s="176"/>
      <c r="AG798" s="176"/>
      <c r="AH798" s="176"/>
      <c r="AI798" s="181"/>
      <c r="AJ798" s="181"/>
      <c r="AK798" s="176"/>
      <c r="AL798" s="181"/>
      <c r="AM798" s="181"/>
      <c r="AN798" s="176"/>
      <c r="AO798" s="181"/>
      <c r="AP798" s="181"/>
    </row>
    <row r="799" ht="12.75" customHeight="1">
      <c r="A799" s="179"/>
      <c r="B799" s="459"/>
      <c r="C799" s="481"/>
      <c r="D799" s="180"/>
      <c r="E799" s="180"/>
      <c r="F799" s="180"/>
      <c r="G799" s="460"/>
      <c r="H799" s="181"/>
      <c r="I799" s="181"/>
      <c r="J799" s="181"/>
      <c r="K799" s="181"/>
      <c r="L799" s="181"/>
      <c r="M799" s="329"/>
      <c r="N799" s="181"/>
      <c r="O799" s="181"/>
      <c r="P799" s="176"/>
      <c r="Q799" s="181"/>
      <c r="R799" s="181"/>
      <c r="S799" s="176"/>
      <c r="T799" s="181"/>
      <c r="U799" s="181"/>
      <c r="V799" s="176"/>
      <c r="W799" s="181"/>
      <c r="X799" s="181"/>
      <c r="Y799" s="176"/>
      <c r="Z799" s="181"/>
      <c r="AA799" s="181"/>
      <c r="AB799" s="176"/>
      <c r="AC799" s="181"/>
      <c r="AD799" s="181"/>
      <c r="AE799" s="176"/>
      <c r="AF799" s="176"/>
      <c r="AG799" s="176"/>
      <c r="AH799" s="176"/>
      <c r="AI799" s="181"/>
      <c r="AJ799" s="181"/>
      <c r="AK799" s="176"/>
      <c r="AL799" s="181"/>
      <c r="AM799" s="181"/>
      <c r="AN799" s="176"/>
      <c r="AO799" s="181"/>
      <c r="AP799" s="181"/>
    </row>
    <row r="800" ht="12.75" customHeight="1">
      <c r="A800" s="179"/>
      <c r="B800" s="459"/>
      <c r="C800" s="481"/>
      <c r="D800" s="180"/>
      <c r="E800" s="180"/>
      <c r="F800" s="180"/>
      <c r="G800" s="460"/>
      <c r="H800" s="181"/>
      <c r="I800" s="181"/>
      <c r="J800" s="181"/>
      <c r="K800" s="181"/>
      <c r="L800" s="181"/>
      <c r="M800" s="329"/>
      <c r="N800" s="181"/>
      <c r="O800" s="181"/>
      <c r="P800" s="176"/>
      <c r="Q800" s="181"/>
      <c r="R800" s="181"/>
      <c r="S800" s="176"/>
      <c r="T800" s="181"/>
      <c r="U800" s="181"/>
      <c r="V800" s="176"/>
      <c r="W800" s="181"/>
      <c r="X800" s="181"/>
      <c r="Y800" s="176"/>
      <c r="Z800" s="181"/>
      <c r="AA800" s="181"/>
      <c r="AB800" s="176"/>
      <c r="AC800" s="181"/>
      <c r="AD800" s="181"/>
      <c r="AE800" s="176"/>
      <c r="AF800" s="176"/>
      <c r="AG800" s="176"/>
      <c r="AH800" s="176"/>
      <c r="AI800" s="181"/>
      <c r="AJ800" s="181"/>
      <c r="AK800" s="176"/>
      <c r="AL800" s="181"/>
      <c r="AM800" s="181"/>
      <c r="AN800" s="176"/>
      <c r="AO800" s="181"/>
      <c r="AP800" s="181"/>
    </row>
    <row r="801" ht="12.75" customHeight="1">
      <c r="A801" s="179"/>
      <c r="B801" s="459"/>
      <c r="C801" s="481"/>
      <c r="D801" s="180"/>
      <c r="E801" s="180"/>
      <c r="F801" s="180"/>
      <c r="G801" s="460"/>
      <c r="H801" s="181"/>
      <c r="I801" s="181"/>
      <c r="J801" s="181"/>
      <c r="K801" s="181"/>
      <c r="L801" s="181"/>
      <c r="M801" s="329"/>
      <c r="N801" s="181"/>
      <c r="O801" s="181"/>
      <c r="P801" s="176"/>
      <c r="Q801" s="181"/>
      <c r="R801" s="181"/>
      <c r="S801" s="176"/>
      <c r="T801" s="181"/>
      <c r="U801" s="181"/>
      <c r="V801" s="176"/>
      <c r="W801" s="181"/>
      <c r="X801" s="181"/>
      <c r="Y801" s="176"/>
      <c r="Z801" s="181"/>
      <c r="AA801" s="181"/>
      <c r="AB801" s="176"/>
      <c r="AC801" s="181"/>
      <c r="AD801" s="181"/>
      <c r="AE801" s="176"/>
      <c r="AF801" s="176"/>
      <c r="AG801" s="176"/>
      <c r="AH801" s="176"/>
      <c r="AI801" s="181"/>
      <c r="AJ801" s="181"/>
      <c r="AK801" s="176"/>
      <c r="AL801" s="181"/>
      <c r="AM801" s="181"/>
      <c r="AN801" s="176"/>
      <c r="AO801" s="181"/>
      <c r="AP801" s="181"/>
    </row>
    <row r="802" ht="12.75" customHeight="1">
      <c r="A802" s="179"/>
      <c r="B802" s="459"/>
      <c r="C802" s="481"/>
      <c r="D802" s="180"/>
      <c r="E802" s="180"/>
      <c r="F802" s="180"/>
      <c r="G802" s="460"/>
      <c r="H802" s="181"/>
      <c r="I802" s="181"/>
      <c r="J802" s="181"/>
      <c r="K802" s="181"/>
      <c r="L802" s="181"/>
      <c r="M802" s="329"/>
      <c r="N802" s="181"/>
      <c r="O802" s="181"/>
      <c r="P802" s="176"/>
      <c r="Q802" s="181"/>
      <c r="R802" s="181"/>
      <c r="S802" s="176"/>
      <c r="T802" s="181"/>
      <c r="U802" s="181"/>
      <c r="V802" s="176"/>
      <c r="W802" s="181"/>
      <c r="X802" s="181"/>
      <c r="Y802" s="176"/>
      <c r="Z802" s="181"/>
      <c r="AA802" s="181"/>
      <c r="AB802" s="176"/>
      <c r="AC802" s="181"/>
      <c r="AD802" s="181"/>
      <c r="AE802" s="176"/>
      <c r="AF802" s="176"/>
      <c r="AG802" s="176"/>
      <c r="AH802" s="176"/>
      <c r="AI802" s="181"/>
      <c r="AJ802" s="181"/>
      <c r="AK802" s="176"/>
      <c r="AL802" s="181"/>
      <c r="AM802" s="181"/>
      <c r="AN802" s="176"/>
      <c r="AO802" s="181"/>
      <c r="AP802" s="181"/>
    </row>
    <row r="803" ht="12.75" customHeight="1">
      <c r="A803" s="179"/>
      <c r="B803" s="459"/>
      <c r="C803" s="481"/>
      <c r="D803" s="180"/>
      <c r="E803" s="180"/>
      <c r="F803" s="180"/>
      <c r="G803" s="460"/>
      <c r="H803" s="181"/>
      <c r="I803" s="181"/>
      <c r="J803" s="181"/>
      <c r="K803" s="181"/>
      <c r="L803" s="181"/>
      <c r="M803" s="329"/>
      <c r="N803" s="181"/>
      <c r="O803" s="181"/>
      <c r="P803" s="176"/>
      <c r="Q803" s="181"/>
      <c r="R803" s="181"/>
      <c r="S803" s="176"/>
      <c r="T803" s="181"/>
      <c r="U803" s="181"/>
      <c r="V803" s="176"/>
      <c r="W803" s="181"/>
      <c r="X803" s="181"/>
      <c r="Y803" s="176"/>
      <c r="Z803" s="181"/>
      <c r="AA803" s="181"/>
      <c r="AB803" s="176"/>
      <c r="AC803" s="181"/>
      <c r="AD803" s="181"/>
      <c r="AE803" s="176"/>
      <c r="AF803" s="176"/>
      <c r="AG803" s="176"/>
      <c r="AH803" s="176"/>
      <c r="AI803" s="181"/>
      <c r="AJ803" s="181"/>
      <c r="AK803" s="176"/>
      <c r="AL803" s="181"/>
      <c r="AM803" s="181"/>
      <c r="AN803" s="176"/>
      <c r="AO803" s="181"/>
      <c r="AP803" s="181"/>
    </row>
    <row r="804" ht="12.75" customHeight="1">
      <c r="A804" s="179"/>
      <c r="B804" s="459"/>
      <c r="C804" s="481"/>
      <c r="D804" s="180"/>
      <c r="E804" s="180"/>
      <c r="F804" s="180"/>
      <c r="G804" s="460"/>
      <c r="H804" s="181"/>
      <c r="I804" s="181"/>
      <c r="J804" s="181"/>
      <c r="K804" s="181"/>
      <c r="L804" s="181"/>
      <c r="M804" s="329"/>
      <c r="N804" s="181"/>
      <c r="O804" s="181"/>
      <c r="P804" s="176"/>
      <c r="Q804" s="181"/>
      <c r="R804" s="181"/>
      <c r="S804" s="176"/>
      <c r="T804" s="181"/>
      <c r="U804" s="181"/>
      <c r="V804" s="176"/>
      <c r="W804" s="181"/>
      <c r="X804" s="181"/>
      <c r="Y804" s="176"/>
      <c r="Z804" s="181"/>
      <c r="AA804" s="181"/>
      <c r="AB804" s="176"/>
      <c r="AC804" s="181"/>
      <c r="AD804" s="181"/>
      <c r="AE804" s="176"/>
      <c r="AF804" s="176"/>
      <c r="AG804" s="176"/>
      <c r="AH804" s="176"/>
      <c r="AI804" s="181"/>
      <c r="AJ804" s="181"/>
      <c r="AK804" s="176"/>
      <c r="AL804" s="181"/>
      <c r="AM804" s="181"/>
      <c r="AN804" s="176"/>
      <c r="AO804" s="181"/>
      <c r="AP804" s="181"/>
    </row>
    <row r="805" ht="12.75" customHeight="1">
      <c r="A805" s="179"/>
      <c r="B805" s="459"/>
      <c r="C805" s="481"/>
      <c r="D805" s="180"/>
      <c r="E805" s="180"/>
      <c r="F805" s="180"/>
      <c r="G805" s="460"/>
      <c r="H805" s="181"/>
      <c r="I805" s="181"/>
      <c r="J805" s="181"/>
      <c r="K805" s="181"/>
      <c r="L805" s="181"/>
      <c r="M805" s="329"/>
      <c r="N805" s="181"/>
      <c r="O805" s="181"/>
      <c r="P805" s="176"/>
      <c r="Q805" s="181"/>
      <c r="R805" s="181"/>
      <c r="S805" s="176"/>
      <c r="T805" s="181"/>
      <c r="U805" s="181"/>
      <c r="V805" s="176"/>
      <c r="W805" s="181"/>
      <c r="X805" s="181"/>
      <c r="Y805" s="176"/>
      <c r="Z805" s="181"/>
      <c r="AA805" s="181"/>
      <c r="AB805" s="176"/>
      <c r="AC805" s="181"/>
      <c r="AD805" s="181"/>
      <c r="AE805" s="176"/>
      <c r="AF805" s="176"/>
      <c r="AG805" s="176"/>
      <c r="AH805" s="176"/>
      <c r="AI805" s="181"/>
      <c r="AJ805" s="181"/>
      <c r="AK805" s="176"/>
      <c r="AL805" s="181"/>
      <c r="AM805" s="181"/>
      <c r="AN805" s="176"/>
      <c r="AO805" s="181"/>
      <c r="AP805" s="181"/>
    </row>
    <row r="806" ht="12.75" customHeight="1">
      <c r="A806" s="179"/>
      <c r="B806" s="459"/>
      <c r="C806" s="481"/>
      <c r="D806" s="180"/>
      <c r="E806" s="180"/>
      <c r="F806" s="180"/>
      <c r="G806" s="460"/>
      <c r="H806" s="181"/>
      <c r="I806" s="181"/>
      <c r="J806" s="181"/>
      <c r="K806" s="181"/>
      <c r="L806" s="181"/>
      <c r="M806" s="329"/>
      <c r="N806" s="181"/>
      <c r="O806" s="181"/>
      <c r="P806" s="176"/>
      <c r="Q806" s="181"/>
      <c r="R806" s="181"/>
      <c r="S806" s="176"/>
      <c r="T806" s="181"/>
      <c r="U806" s="181"/>
      <c r="V806" s="176"/>
      <c r="W806" s="181"/>
      <c r="X806" s="181"/>
      <c r="Y806" s="176"/>
      <c r="Z806" s="181"/>
      <c r="AA806" s="181"/>
      <c r="AB806" s="176"/>
      <c r="AC806" s="181"/>
      <c r="AD806" s="181"/>
      <c r="AE806" s="176"/>
      <c r="AF806" s="176"/>
      <c r="AG806" s="176"/>
      <c r="AH806" s="176"/>
      <c r="AI806" s="181"/>
      <c r="AJ806" s="181"/>
      <c r="AK806" s="176"/>
      <c r="AL806" s="181"/>
      <c r="AM806" s="181"/>
      <c r="AN806" s="176"/>
      <c r="AO806" s="181"/>
      <c r="AP806" s="181"/>
    </row>
    <row r="807" ht="12.75" customHeight="1">
      <c r="A807" s="179"/>
      <c r="B807" s="459"/>
      <c r="C807" s="481"/>
      <c r="D807" s="180"/>
      <c r="E807" s="180"/>
      <c r="F807" s="180"/>
      <c r="G807" s="460"/>
      <c r="H807" s="181"/>
      <c r="I807" s="181"/>
      <c r="J807" s="181"/>
      <c r="K807" s="181"/>
      <c r="L807" s="181"/>
      <c r="M807" s="329"/>
      <c r="N807" s="181"/>
      <c r="O807" s="181"/>
      <c r="P807" s="176"/>
      <c r="Q807" s="181"/>
      <c r="R807" s="181"/>
      <c r="S807" s="176"/>
      <c r="T807" s="181"/>
      <c r="U807" s="181"/>
      <c r="V807" s="176"/>
      <c r="W807" s="181"/>
      <c r="X807" s="181"/>
      <c r="Y807" s="176"/>
      <c r="Z807" s="181"/>
      <c r="AA807" s="181"/>
      <c r="AB807" s="176"/>
      <c r="AC807" s="181"/>
      <c r="AD807" s="181"/>
      <c r="AE807" s="176"/>
      <c r="AF807" s="176"/>
      <c r="AG807" s="176"/>
      <c r="AH807" s="176"/>
      <c r="AI807" s="181"/>
      <c r="AJ807" s="181"/>
      <c r="AK807" s="176"/>
      <c r="AL807" s="181"/>
      <c r="AM807" s="181"/>
      <c r="AN807" s="176"/>
      <c r="AO807" s="181"/>
      <c r="AP807" s="181"/>
    </row>
    <row r="808" ht="12.75" customHeight="1">
      <c r="A808" s="179"/>
      <c r="B808" s="459"/>
      <c r="C808" s="481"/>
      <c r="D808" s="180"/>
      <c r="E808" s="180"/>
      <c r="F808" s="180"/>
      <c r="G808" s="460"/>
      <c r="H808" s="181"/>
      <c r="I808" s="181"/>
      <c r="J808" s="181"/>
      <c r="K808" s="181"/>
      <c r="L808" s="181"/>
      <c r="M808" s="329"/>
      <c r="N808" s="181"/>
      <c r="O808" s="181"/>
      <c r="P808" s="176"/>
      <c r="Q808" s="181"/>
      <c r="R808" s="181"/>
      <c r="S808" s="176"/>
      <c r="T808" s="181"/>
      <c r="U808" s="181"/>
      <c r="V808" s="176"/>
      <c r="W808" s="181"/>
      <c r="X808" s="181"/>
      <c r="Y808" s="176"/>
      <c r="Z808" s="181"/>
      <c r="AA808" s="181"/>
      <c r="AB808" s="176"/>
      <c r="AC808" s="181"/>
      <c r="AD808" s="181"/>
      <c r="AE808" s="176"/>
      <c r="AF808" s="176"/>
      <c r="AG808" s="176"/>
      <c r="AH808" s="176"/>
      <c r="AI808" s="181"/>
      <c r="AJ808" s="181"/>
      <c r="AK808" s="176"/>
      <c r="AL808" s="181"/>
      <c r="AM808" s="181"/>
      <c r="AN808" s="176"/>
      <c r="AO808" s="181"/>
      <c r="AP808" s="181"/>
    </row>
    <row r="809" ht="12.75" customHeight="1">
      <c r="A809" s="179"/>
      <c r="B809" s="459"/>
      <c r="C809" s="481"/>
      <c r="D809" s="180"/>
      <c r="E809" s="180"/>
      <c r="F809" s="180"/>
      <c r="G809" s="460"/>
      <c r="H809" s="181"/>
      <c r="I809" s="181"/>
      <c r="J809" s="181"/>
      <c r="K809" s="181"/>
      <c r="L809" s="181"/>
      <c r="M809" s="329"/>
      <c r="N809" s="181"/>
      <c r="O809" s="181"/>
      <c r="P809" s="176"/>
      <c r="Q809" s="181"/>
      <c r="R809" s="181"/>
      <c r="S809" s="176"/>
      <c r="T809" s="181"/>
      <c r="U809" s="181"/>
      <c r="V809" s="176"/>
      <c r="W809" s="181"/>
      <c r="X809" s="181"/>
      <c r="Y809" s="176"/>
      <c r="Z809" s="181"/>
      <c r="AA809" s="181"/>
      <c r="AB809" s="176"/>
      <c r="AC809" s="181"/>
      <c r="AD809" s="181"/>
      <c r="AE809" s="176"/>
      <c r="AF809" s="176"/>
      <c r="AG809" s="176"/>
      <c r="AH809" s="176"/>
      <c r="AI809" s="181"/>
      <c r="AJ809" s="181"/>
      <c r="AK809" s="176"/>
      <c r="AL809" s="181"/>
      <c r="AM809" s="181"/>
      <c r="AN809" s="176"/>
      <c r="AO809" s="181"/>
      <c r="AP809" s="181"/>
    </row>
    <row r="810" ht="12.75" customHeight="1">
      <c r="A810" s="179"/>
      <c r="B810" s="459"/>
      <c r="C810" s="481"/>
      <c r="D810" s="180"/>
      <c r="E810" s="180"/>
      <c r="F810" s="180"/>
      <c r="G810" s="460"/>
      <c r="H810" s="181"/>
      <c r="I810" s="181"/>
      <c r="J810" s="181"/>
      <c r="K810" s="181"/>
      <c r="L810" s="181"/>
      <c r="M810" s="329"/>
      <c r="N810" s="181"/>
      <c r="O810" s="181"/>
      <c r="P810" s="176"/>
      <c r="Q810" s="181"/>
      <c r="R810" s="181"/>
      <c r="S810" s="176"/>
      <c r="T810" s="181"/>
      <c r="U810" s="181"/>
      <c r="V810" s="176"/>
      <c r="W810" s="181"/>
      <c r="X810" s="181"/>
      <c r="Y810" s="176"/>
      <c r="Z810" s="181"/>
      <c r="AA810" s="181"/>
      <c r="AB810" s="176"/>
      <c r="AC810" s="181"/>
      <c r="AD810" s="181"/>
      <c r="AE810" s="176"/>
      <c r="AF810" s="176"/>
      <c r="AG810" s="176"/>
      <c r="AH810" s="176"/>
      <c r="AI810" s="181"/>
      <c r="AJ810" s="181"/>
      <c r="AK810" s="176"/>
      <c r="AL810" s="181"/>
      <c r="AM810" s="181"/>
      <c r="AN810" s="176"/>
      <c r="AO810" s="181"/>
      <c r="AP810" s="181"/>
    </row>
    <row r="811" ht="12.75" customHeight="1">
      <c r="A811" s="179"/>
      <c r="B811" s="459"/>
      <c r="C811" s="481"/>
      <c r="D811" s="180"/>
      <c r="E811" s="180"/>
      <c r="F811" s="180"/>
      <c r="G811" s="460"/>
      <c r="H811" s="181"/>
      <c r="I811" s="181"/>
      <c r="J811" s="181"/>
      <c r="K811" s="181"/>
      <c r="L811" s="181"/>
      <c r="M811" s="329"/>
      <c r="N811" s="181"/>
      <c r="O811" s="181"/>
      <c r="P811" s="176"/>
      <c r="Q811" s="181"/>
      <c r="R811" s="181"/>
      <c r="S811" s="176"/>
      <c r="T811" s="181"/>
      <c r="U811" s="181"/>
      <c r="V811" s="176"/>
      <c r="W811" s="181"/>
      <c r="X811" s="181"/>
      <c r="Y811" s="176"/>
      <c r="Z811" s="181"/>
      <c r="AA811" s="181"/>
      <c r="AB811" s="176"/>
      <c r="AC811" s="181"/>
      <c r="AD811" s="181"/>
      <c r="AE811" s="176"/>
      <c r="AF811" s="176"/>
      <c r="AG811" s="176"/>
      <c r="AH811" s="176"/>
      <c r="AI811" s="181"/>
      <c r="AJ811" s="181"/>
      <c r="AK811" s="176"/>
      <c r="AL811" s="181"/>
      <c r="AM811" s="181"/>
      <c r="AN811" s="176"/>
      <c r="AO811" s="181"/>
      <c r="AP811" s="181"/>
    </row>
    <row r="812" ht="12.75" customHeight="1">
      <c r="A812" s="179"/>
      <c r="B812" s="459"/>
      <c r="C812" s="481"/>
      <c r="D812" s="180"/>
      <c r="E812" s="180"/>
      <c r="F812" s="180"/>
      <c r="G812" s="460"/>
      <c r="H812" s="181"/>
      <c r="I812" s="181"/>
      <c r="J812" s="181"/>
      <c r="K812" s="181"/>
      <c r="L812" s="181"/>
      <c r="M812" s="329"/>
      <c r="N812" s="181"/>
      <c r="O812" s="181"/>
      <c r="P812" s="176"/>
      <c r="Q812" s="181"/>
      <c r="R812" s="181"/>
      <c r="S812" s="176"/>
      <c r="T812" s="181"/>
      <c r="U812" s="181"/>
      <c r="V812" s="176"/>
      <c r="W812" s="181"/>
      <c r="X812" s="181"/>
      <c r="Y812" s="176"/>
      <c r="Z812" s="181"/>
      <c r="AA812" s="181"/>
      <c r="AB812" s="176"/>
      <c r="AC812" s="181"/>
      <c r="AD812" s="181"/>
      <c r="AE812" s="176"/>
      <c r="AF812" s="176"/>
      <c r="AG812" s="176"/>
      <c r="AH812" s="176"/>
      <c r="AI812" s="181"/>
      <c r="AJ812" s="181"/>
      <c r="AK812" s="176"/>
      <c r="AL812" s="181"/>
      <c r="AM812" s="181"/>
      <c r="AN812" s="176"/>
      <c r="AO812" s="181"/>
      <c r="AP812" s="181"/>
    </row>
    <row r="813" ht="12.75" customHeight="1">
      <c r="A813" s="179"/>
      <c r="B813" s="459"/>
      <c r="C813" s="481"/>
      <c r="D813" s="180"/>
      <c r="E813" s="180"/>
      <c r="F813" s="180"/>
      <c r="G813" s="460"/>
      <c r="H813" s="181"/>
      <c r="I813" s="181"/>
      <c r="J813" s="181"/>
      <c r="K813" s="181"/>
      <c r="L813" s="181"/>
      <c r="M813" s="329"/>
      <c r="N813" s="181"/>
      <c r="O813" s="181"/>
      <c r="P813" s="176"/>
      <c r="Q813" s="181"/>
      <c r="R813" s="181"/>
      <c r="S813" s="176"/>
      <c r="T813" s="181"/>
      <c r="U813" s="181"/>
      <c r="V813" s="176"/>
      <c r="W813" s="181"/>
      <c r="X813" s="181"/>
      <c r="Y813" s="176"/>
      <c r="Z813" s="181"/>
      <c r="AA813" s="181"/>
      <c r="AB813" s="176"/>
      <c r="AC813" s="181"/>
      <c r="AD813" s="181"/>
      <c r="AE813" s="176"/>
      <c r="AF813" s="176"/>
      <c r="AG813" s="176"/>
      <c r="AH813" s="176"/>
      <c r="AI813" s="181"/>
      <c r="AJ813" s="181"/>
      <c r="AK813" s="176"/>
      <c r="AL813" s="181"/>
      <c r="AM813" s="181"/>
      <c r="AN813" s="176"/>
      <c r="AO813" s="181"/>
      <c r="AP813" s="181"/>
    </row>
    <row r="814" ht="12.75" customHeight="1">
      <c r="A814" s="179"/>
      <c r="B814" s="459"/>
      <c r="C814" s="481"/>
      <c r="D814" s="180"/>
      <c r="E814" s="180"/>
      <c r="F814" s="180"/>
      <c r="G814" s="460"/>
      <c r="H814" s="181"/>
      <c r="I814" s="181"/>
      <c r="J814" s="181"/>
      <c r="K814" s="181"/>
      <c r="L814" s="181"/>
      <c r="M814" s="329"/>
      <c r="N814" s="181"/>
      <c r="O814" s="181"/>
      <c r="P814" s="176"/>
      <c r="Q814" s="181"/>
      <c r="R814" s="181"/>
      <c r="S814" s="176"/>
      <c r="T814" s="181"/>
      <c r="U814" s="181"/>
      <c r="V814" s="176"/>
      <c r="W814" s="181"/>
      <c r="X814" s="181"/>
      <c r="Y814" s="176"/>
      <c r="Z814" s="181"/>
      <c r="AA814" s="181"/>
      <c r="AB814" s="176"/>
      <c r="AC814" s="181"/>
      <c r="AD814" s="181"/>
      <c r="AE814" s="176"/>
      <c r="AF814" s="176"/>
      <c r="AG814" s="176"/>
      <c r="AH814" s="176"/>
      <c r="AI814" s="181"/>
      <c r="AJ814" s="181"/>
      <c r="AK814" s="176"/>
      <c r="AL814" s="181"/>
      <c r="AM814" s="181"/>
      <c r="AN814" s="176"/>
      <c r="AO814" s="181"/>
      <c r="AP814" s="181"/>
    </row>
    <row r="815" ht="12.75" customHeight="1">
      <c r="A815" s="179"/>
      <c r="B815" s="459"/>
      <c r="C815" s="481"/>
      <c r="D815" s="180"/>
      <c r="E815" s="180"/>
      <c r="F815" s="180"/>
      <c r="G815" s="460"/>
      <c r="H815" s="181"/>
      <c r="I815" s="181"/>
      <c r="J815" s="181"/>
      <c r="K815" s="181"/>
      <c r="L815" s="181"/>
      <c r="M815" s="329"/>
      <c r="N815" s="181"/>
      <c r="O815" s="181"/>
      <c r="P815" s="176"/>
      <c r="Q815" s="181"/>
      <c r="R815" s="181"/>
      <c r="S815" s="176"/>
      <c r="T815" s="181"/>
      <c r="U815" s="181"/>
      <c r="V815" s="176"/>
      <c r="W815" s="181"/>
      <c r="X815" s="181"/>
      <c r="Y815" s="176"/>
      <c r="Z815" s="181"/>
      <c r="AA815" s="181"/>
      <c r="AB815" s="176"/>
      <c r="AC815" s="181"/>
      <c r="AD815" s="181"/>
      <c r="AE815" s="176"/>
      <c r="AF815" s="176"/>
      <c r="AG815" s="176"/>
      <c r="AH815" s="176"/>
      <c r="AI815" s="181"/>
      <c r="AJ815" s="181"/>
      <c r="AK815" s="176"/>
      <c r="AL815" s="181"/>
      <c r="AM815" s="181"/>
      <c r="AN815" s="176"/>
      <c r="AO815" s="181"/>
      <c r="AP815" s="181"/>
    </row>
    <row r="816" ht="12.75" customHeight="1">
      <c r="A816" s="179"/>
      <c r="B816" s="459"/>
      <c r="C816" s="481"/>
      <c r="D816" s="180"/>
      <c r="E816" s="180"/>
      <c r="F816" s="180"/>
      <c r="G816" s="460"/>
      <c r="H816" s="181"/>
      <c r="I816" s="181"/>
      <c r="J816" s="181"/>
      <c r="K816" s="181"/>
      <c r="L816" s="181"/>
      <c r="M816" s="329"/>
      <c r="N816" s="181"/>
      <c r="O816" s="181"/>
      <c r="P816" s="176"/>
      <c r="Q816" s="181"/>
      <c r="R816" s="181"/>
      <c r="S816" s="176"/>
      <c r="T816" s="181"/>
      <c r="U816" s="181"/>
      <c r="V816" s="176"/>
      <c r="W816" s="181"/>
      <c r="X816" s="181"/>
      <c r="Y816" s="176"/>
      <c r="Z816" s="181"/>
      <c r="AA816" s="181"/>
      <c r="AB816" s="176"/>
      <c r="AC816" s="181"/>
      <c r="AD816" s="181"/>
      <c r="AE816" s="176"/>
      <c r="AF816" s="176"/>
      <c r="AG816" s="176"/>
      <c r="AH816" s="176"/>
      <c r="AI816" s="181"/>
      <c r="AJ816" s="181"/>
      <c r="AK816" s="176"/>
      <c r="AL816" s="181"/>
      <c r="AM816" s="181"/>
      <c r="AN816" s="176"/>
      <c r="AO816" s="181"/>
      <c r="AP816" s="181"/>
    </row>
    <row r="817" ht="12.75" customHeight="1">
      <c r="A817" s="179"/>
      <c r="B817" s="459"/>
      <c r="C817" s="481"/>
      <c r="D817" s="180"/>
      <c r="E817" s="180"/>
      <c r="F817" s="180"/>
      <c r="G817" s="460"/>
      <c r="H817" s="181"/>
      <c r="I817" s="181"/>
      <c r="J817" s="181"/>
      <c r="K817" s="181"/>
      <c r="L817" s="181"/>
      <c r="M817" s="329"/>
      <c r="N817" s="181"/>
      <c r="O817" s="181"/>
      <c r="P817" s="176"/>
      <c r="Q817" s="181"/>
      <c r="R817" s="181"/>
      <c r="S817" s="176"/>
      <c r="T817" s="181"/>
      <c r="U817" s="181"/>
      <c r="V817" s="176"/>
      <c r="W817" s="181"/>
      <c r="X817" s="181"/>
      <c r="Y817" s="176"/>
      <c r="Z817" s="181"/>
      <c r="AA817" s="181"/>
      <c r="AB817" s="176"/>
      <c r="AC817" s="181"/>
      <c r="AD817" s="181"/>
      <c r="AE817" s="176"/>
      <c r="AF817" s="176"/>
      <c r="AG817" s="176"/>
      <c r="AH817" s="176"/>
      <c r="AI817" s="181"/>
      <c r="AJ817" s="181"/>
      <c r="AK817" s="176"/>
      <c r="AL817" s="181"/>
      <c r="AM817" s="181"/>
      <c r="AN817" s="176"/>
      <c r="AO817" s="181"/>
      <c r="AP817" s="181"/>
    </row>
    <row r="818" ht="12.75" customHeight="1">
      <c r="A818" s="179"/>
      <c r="B818" s="459"/>
      <c r="C818" s="481"/>
      <c r="D818" s="180"/>
      <c r="E818" s="180"/>
      <c r="F818" s="180"/>
      <c r="G818" s="460"/>
      <c r="H818" s="181"/>
      <c r="I818" s="181"/>
      <c r="J818" s="181"/>
      <c r="K818" s="181"/>
      <c r="L818" s="181"/>
      <c r="M818" s="329"/>
      <c r="N818" s="181"/>
      <c r="O818" s="181"/>
      <c r="P818" s="176"/>
      <c r="Q818" s="181"/>
      <c r="R818" s="181"/>
      <c r="S818" s="176"/>
      <c r="T818" s="181"/>
      <c r="U818" s="181"/>
      <c r="V818" s="176"/>
      <c r="W818" s="181"/>
      <c r="X818" s="181"/>
      <c r="Y818" s="176"/>
      <c r="Z818" s="181"/>
      <c r="AA818" s="181"/>
      <c r="AB818" s="176"/>
      <c r="AC818" s="181"/>
      <c r="AD818" s="181"/>
      <c r="AE818" s="176"/>
      <c r="AF818" s="176"/>
      <c r="AG818" s="176"/>
      <c r="AH818" s="176"/>
      <c r="AI818" s="181"/>
      <c r="AJ818" s="181"/>
      <c r="AK818" s="176"/>
      <c r="AL818" s="181"/>
      <c r="AM818" s="181"/>
      <c r="AN818" s="176"/>
      <c r="AO818" s="181"/>
      <c r="AP818" s="181"/>
    </row>
    <row r="819" ht="12.75" customHeight="1">
      <c r="A819" s="179"/>
      <c r="B819" s="459"/>
      <c r="C819" s="481"/>
      <c r="D819" s="180"/>
      <c r="E819" s="180"/>
      <c r="F819" s="180"/>
      <c r="G819" s="460"/>
      <c r="H819" s="181"/>
      <c r="I819" s="181"/>
      <c r="J819" s="181"/>
      <c r="K819" s="181"/>
      <c r="L819" s="181"/>
      <c r="M819" s="329"/>
      <c r="N819" s="181"/>
      <c r="O819" s="181"/>
      <c r="P819" s="176"/>
      <c r="Q819" s="181"/>
      <c r="R819" s="181"/>
      <c r="S819" s="176"/>
      <c r="T819" s="181"/>
      <c r="U819" s="181"/>
      <c r="V819" s="176"/>
      <c r="W819" s="181"/>
      <c r="X819" s="181"/>
      <c r="Y819" s="176"/>
      <c r="Z819" s="181"/>
      <c r="AA819" s="181"/>
      <c r="AB819" s="176"/>
      <c r="AC819" s="181"/>
      <c r="AD819" s="181"/>
      <c r="AE819" s="176"/>
      <c r="AF819" s="176"/>
      <c r="AG819" s="176"/>
      <c r="AH819" s="176"/>
      <c r="AI819" s="181"/>
      <c r="AJ819" s="181"/>
      <c r="AK819" s="176"/>
      <c r="AL819" s="181"/>
      <c r="AM819" s="181"/>
      <c r="AN819" s="176"/>
      <c r="AO819" s="181"/>
      <c r="AP819" s="181"/>
    </row>
    <row r="820" ht="12.75" customHeight="1">
      <c r="A820" s="179"/>
      <c r="B820" s="459"/>
      <c r="C820" s="481"/>
      <c r="D820" s="180"/>
      <c r="E820" s="180"/>
      <c r="F820" s="180"/>
      <c r="G820" s="460"/>
      <c r="H820" s="181"/>
      <c r="I820" s="181"/>
      <c r="J820" s="181"/>
      <c r="K820" s="181"/>
      <c r="L820" s="181"/>
      <c r="M820" s="329"/>
      <c r="N820" s="181"/>
      <c r="O820" s="181"/>
      <c r="P820" s="176"/>
      <c r="Q820" s="181"/>
      <c r="R820" s="181"/>
      <c r="S820" s="176"/>
      <c r="T820" s="181"/>
      <c r="U820" s="181"/>
      <c r="V820" s="176"/>
      <c r="W820" s="181"/>
      <c r="X820" s="181"/>
      <c r="Y820" s="176"/>
      <c r="Z820" s="181"/>
      <c r="AA820" s="181"/>
      <c r="AB820" s="176"/>
      <c r="AC820" s="181"/>
      <c r="AD820" s="181"/>
      <c r="AE820" s="176"/>
      <c r="AF820" s="176"/>
      <c r="AG820" s="176"/>
      <c r="AH820" s="176"/>
      <c r="AI820" s="181"/>
      <c r="AJ820" s="181"/>
      <c r="AK820" s="176"/>
      <c r="AL820" s="181"/>
      <c r="AM820" s="181"/>
      <c r="AN820" s="176"/>
      <c r="AO820" s="181"/>
      <c r="AP820" s="181"/>
    </row>
    <row r="821" ht="12.75" customHeight="1">
      <c r="A821" s="179"/>
      <c r="B821" s="459"/>
      <c r="C821" s="481"/>
      <c r="D821" s="180"/>
      <c r="E821" s="180"/>
      <c r="F821" s="180"/>
      <c r="G821" s="460"/>
      <c r="H821" s="181"/>
      <c r="I821" s="181"/>
      <c r="J821" s="181"/>
      <c r="K821" s="181"/>
      <c r="L821" s="181"/>
      <c r="M821" s="329"/>
      <c r="N821" s="181"/>
      <c r="O821" s="181"/>
      <c r="P821" s="176"/>
      <c r="Q821" s="181"/>
      <c r="R821" s="181"/>
      <c r="S821" s="176"/>
      <c r="T821" s="181"/>
      <c r="U821" s="181"/>
      <c r="V821" s="176"/>
      <c r="W821" s="181"/>
      <c r="X821" s="181"/>
      <c r="Y821" s="176"/>
      <c r="Z821" s="181"/>
      <c r="AA821" s="181"/>
      <c r="AB821" s="176"/>
      <c r="AC821" s="181"/>
      <c r="AD821" s="181"/>
      <c r="AE821" s="176"/>
      <c r="AF821" s="176"/>
      <c r="AG821" s="176"/>
      <c r="AH821" s="176"/>
      <c r="AI821" s="181"/>
      <c r="AJ821" s="181"/>
      <c r="AK821" s="176"/>
      <c r="AL821" s="181"/>
      <c r="AM821" s="181"/>
      <c r="AN821" s="176"/>
      <c r="AO821" s="181"/>
      <c r="AP821" s="181"/>
    </row>
    <row r="822" ht="12.75" customHeight="1">
      <c r="A822" s="179"/>
      <c r="B822" s="459"/>
      <c r="C822" s="481"/>
      <c r="D822" s="180"/>
      <c r="E822" s="180"/>
      <c r="F822" s="180"/>
      <c r="G822" s="460"/>
      <c r="H822" s="181"/>
      <c r="I822" s="181"/>
      <c r="J822" s="181"/>
      <c r="K822" s="181"/>
      <c r="L822" s="181"/>
      <c r="M822" s="329"/>
      <c r="N822" s="181"/>
      <c r="O822" s="181"/>
      <c r="P822" s="176"/>
      <c r="Q822" s="181"/>
      <c r="R822" s="181"/>
      <c r="S822" s="176"/>
      <c r="T822" s="181"/>
      <c r="U822" s="181"/>
      <c r="V822" s="176"/>
      <c r="W822" s="181"/>
      <c r="X822" s="181"/>
      <c r="Y822" s="176"/>
      <c r="Z822" s="181"/>
      <c r="AA822" s="181"/>
      <c r="AB822" s="176"/>
      <c r="AC822" s="181"/>
      <c r="AD822" s="181"/>
      <c r="AE822" s="176"/>
      <c r="AF822" s="176"/>
      <c r="AG822" s="176"/>
      <c r="AH822" s="176"/>
      <c r="AI822" s="181"/>
      <c r="AJ822" s="181"/>
      <c r="AK822" s="176"/>
      <c r="AL822" s="181"/>
      <c r="AM822" s="181"/>
      <c r="AN822" s="176"/>
      <c r="AO822" s="181"/>
      <c r="AP822" s="181"/>
    </row>
    <row r="823" ht="12.75" customHeight="1">
      <c r="A823" s="179"/>
      <c r="B823" s="459"/>
      <c r="C823" s="481"/>
      <c r="D823" s="180"/>
      <c r="E823" s="180"/>
      <c r="F823" s="180"/>
      <c r="G823" s="460"/>
      <c r="H823" s="181"/>
      <c r="I823" s="181"/>
      <c r="J823" s="181"/>
      <c r="K823" s="181"/>
      <c r="L823" s="181"/>
      <c r="M823" s="329"/>
      <c r="N823" s="181"/>
      <c r="O823" s="181"/>
      <c r="P823" s="176"/>
      <c r="Q823" s="181"/>
      <c r="R823" s="181"/>
      <c r="S823" s="176"/>
      <c r="T823" s="181"/>
      <c r="U823" s="181"/>
      <c r="V823" s="176"/>
      <c r="W823" s="181"/>
      <c r="X823" s="181"/>
      <c r="Y823" s="176"/>
      <c r="Z823" s="181"/>
      <c r="AA823" s="181"/>
      <c r="AB823" s="176"/>
      <c r="AC823" s="181"/>
      <c r="AD823" s="181"/>
      <c r="AE823" s="176"/>
      <c r="AF823" s="176"/>
      <c r="AG823" s="176"/>
      <c r="AH823" s="176"/>
      <c r="AI823" s="181"/>
      <c r="AJ823" s="181"/>
      <c r="AK823" s="176"/>
      <c r="AL823" s="181"/>
      <c r="AM823" s="181"/>
      <c r="AN823" s="176"/>
      <c r="AO823" s="181"/>
      <c r="AP823" s="181"/>
    </row>
    <row r="824" ht="12.75" customHeight="1">
      <c r="A824" s="179"/>
      <c r="B824" s="459"/>
      <c r="C824" s="481"/>
      <c r="D824" s="180"/>
      <c r="E824" s="180"/>
      <c r="F824" s="180"/>
      <c r="G824" s="460"/>
      <c r="H824" s="181"/>
      <c r="I824" s="181"/>
      <c r="J824" s="181"/>
      <c r="K824" s="181"/>
      <c r="L824" s="181"/>
      <c r="M824" s="329"/>
      <c r="N824" s="181"/>
      <c r="O824" s="181"/>
      <c r="P824" s="176"/>
      <c r="Q824" s="181"/>
      <c r="R824" s="181"/>
      <c r="S824" s="176"/>
      <c r="T824" s="181"/>
      <c r="U824" s="181"/>
      <c r="V824" s="176"/>
      <c r="W824" s="181"/>
      <c r="X824" s="181"/>
      <c r="Y824" s="176"/>
      <c r="Z824" s="181"/>
      <c r="AA824" s="181"/>
      <c r="AB824" s="176"/>
      <c r="AC824" s="181"/>
      <c r="AD824" s="181"/>
      <c r="AE824" s="176"/>
      <c r="AF824" s="176"/>
      <c r="AG824" s="176"/>
      <c r="AH824" s="176"/>
      <c r="AI824" s="181"/>
      <c r="AJ824" s="181"/>
      <c r="AK824" s="176"/>
      <c r="AL824" s="181"/>
      <c r="AM824" s="181"/>
      <c r="AN824" s="176"/>
      <c r="AO824" s="181"/>
      <c r="AP824" s="181"/>
    </row>
    <row r="825" ht="12.75" customHeight="1">
      <c r="A825" s="179"/>
      <c r="B825" s="459"/>
      <c r="C825" s="481"/>
      <c r="D825" s="180"/>
      <c r="E825" s="180"/>
      <c r="F825" s="180"/>
      <c r="G825" s="460"/>
      <c r="H825" s="181"/>
      <c r="I825" s="181"/>
      <c r="J825" s="181"/>
      <c r="K825" s="181"/>
      <c r="L825" s="181"/>
      <c r="M825" s="329"/>
      <c r="N825" s="181"/>
      <c r="O825" s="181"/>
      <c r="P825" s="176"/>
      <c r="Q825" s="181"/>
      <c r="R825" s="181"/>
      <c r="S825" s="176"/>
      <c r="T825" s="181"/>
      <c r="U825" s="181"/>
      <c r="V825" s="176"/>
      <c r="W825" s="181"/>
      <c r="X825" s="181"/>
      <c r="Y825" s="176"/>
      <c r="Z825" s="181"/>
      <c r="AA825" s="181"/>
      <c r="AB825" s="176"/>
      <c r="AC825" s="181"/>
      <c r="AD825" s="181"/>
      <c r="AE825" s="176"/>
      <c r="AF825" s="176"/>
      <c r="AG825" s="176"/>
      <c r="AH825" s="176"/>
      <c r="AI825" s="181"/>
      <c r="AJ825" s="181"/>
      <c r="AK825" s="176"/>
      <c r="AL825" s="181"/>
      <c r="AM825" s="181"/>
      <c r="AN825" s="176"/>
      <c r="AO825" s="181"/>
      <c r="AP825" s="181"/>
    </row>
    <row r="826" ht="12.75" customHeight="1">
      <c r="A826" s="179"/>
      <c r="B826" s="459"/>
      <c r="C826" s="481"/>
      <c r="D826" s="180"/>
      <c r="E826" s="180"/>
      <c r="F826" s="180"/>
      <c r="G826" s="460"/>
      <c r="H826" s="181"/>
      <c r="I826" s="181"/>
      <c r="J826" s="181"/>
      <c r="K826" s="181"/>
      <c r="L826" s="181"/>
      <c r="M826" s="329"/>
      <c r="N826" s="181"/>
      <c r="O826" s="181"/>
      <c r="P826" s="176"/>
      <c r="Q826" s="181"/>
      <c r="R826" s="181"/>
      <c r="S826" s="176"/>
      <c r="T826" s="181"/>
      <c r="U826" s="181"/>
      <c r="V826" s="176"/>
      <c r="W826" s="181"/>
      <c r="X826" s="181"/>
      <c r="Y826" s="176"/>
      <c r="Z826" s="181"/>
      <c r="AA826" s="181"/>
      <c r="AB826" s="176"/>
      <c r="AC826" s="181"/>
      <c r="AD826" s="181"/>
      <c r="AE826" s="176"/>
      <c r="AF826" s="176"/>
      <c r="AG826" s="176"/>
      <c r="AH826" s="176"/>
      <c r="AI826" s="181"/>
      <c r="AJ826" s="181"/>
      <c r="AK826" s="176"/>
      <c r="AL826" s="181"/>
      <c r="AM826" s="181"/>
      <c r="AN826" s="176"/>
      <c r="AO826" s="181"/>
      <c r="AP826" s="181"/>
    </row>
    <row r="827" ht="12.75" customHeight="1">
      <c r="A827" s="179"/>
      <c r="B827" s="459"/>
      <c r="C827" s="481"/>
      <c r="D827" s="180"/>
      <c r="E827" s="180"/>
      <c r="F827" s="180"/>
      <c r="G827" s="460"/>
      <c r="H827" s="181"/>
      <c r="I827" s="181"/>
      <c r="J827" s="181"/>
      <c r="K827" s="181"/>
      <c r="L827" s="181"/>
      <c r="M827" s="329"/>
      <c r="N827" s="181"/>
      <c r="O827" s="181"/>
      <c r="P827" s="176"/>
      <c r="Q827" s="181"/>
      <c r="R827" s="181"/>
      <c r="S827" s="176"/>
      <c r="T827" s="181"/>
      <c r="U827" s="181"/>
      <c r="V827" s="176"/>
      <c r="W827" s="181"/>
      <c r="X827" s="181"/>
      <c r="Y827" s="176"/>
      <c r="Z827" s="181"/>
      <c r="AA827" s="181"/>
      <c r="AB827" s="176"/>
      <c r="AC827" s="181"/>
      <c r="AD827" s="181"/>
      <c r="AE827" s="176"/>
      <c r="AF827" s="176"/>
      <c r="AG827" s="176"/>
      <c r="AH827" s="176"/>
      <c r="AI827" s="181"/>
      <c r="AJ827" s="181"/>
      <c r="AK827" s="176"/>
      <c r="AL827" s="181"/>
      <c r="AM827" s="181"/>
      <c r="AN827" s="176"/>
      <c r="AO827" s="181"/>
      <c r="AP827" s="181"/>
    </row>
    <row r="828" ht="12.75" customHeight="1">
      <c r="A828" s="179"/>
      <c r="B828" s="459"/>
      <c r="C828" s="481"/>
      <c r="D828" s="180"/>
      <c r="E828" s="180"/>
      <c r="F828" s="180"/>
      <c r="G828" s="460"/>
      <c r="H828" s="181"/>
      <c r="I828" s="181"/>
      <c r="J828" s="181"/>
      <c r="K828" s="181"/>
      <c r="L828" s="181"/>
      <c r="M828" s="329"/>
      <c r="N828" s="181"/>
      <c r="O828" s="181"/>
      <c r="P828" s="176"/>
      <c r="Q828" s="181"/>
      <c r="R828" s="181"/>
      <c r="S828" s="176"/>
      <c r="T828" s="181"/>
      <c r="U828" s="181"/>
      <c r="V828" s="176"/>
      <c r="W828" s="181"/>
      <c r="X828" s="181"/>
      <c r="Y828" s="176"/>
      <c r="Z828" s="181"/>
      <c r="AA828" s="181"/>
      <c r="AB828" s="176"/>
      <c r="AC828" s="181"/>
      <c r="AD828" s="181"/>
      <c r="AE828" s="176"/>
      <c r="AF828" s="176"/>
      <c r="AG828" s="176"/>
      <c r="AH828" s="176"/>
      <c r="AI828" s="181"/>
      <c r="AJ828" s="181"/>
      <c r="AK828" s="176"/>
      <c r="AL828" s="181"/>
      <c r="AM828" s="181"/>
      <c r="AN828" s="176"/>
      <c r="AO828" s="181"/>
      <c r="AP828" s="181"/>
    </row>
    <row r="829" ht="12.75" customHeight="1">
      <c r="A829" s="179"/>
      <c r="B829" s="459"/>
      <c r="C829" s="481"/>
      <c r="D829" s="180"/>
      <c r="E829" s="180"/>
      <c r="F829" s="180"/>
      <c r="G829" s="460"/>
      <c r="H829" s="181"/>
      <c r="I829" s="181"/>
      <c r="J829" s="181"/>
      <c r="K829" s="181"/>
      <c r="L829" s="181"/>
      <c r="M829" s="329"/>
      <c r="N829" s="181"/>
      <c r="O829" s="181"/>
      <c r="P829" s="176"/>
      <c r="Q829" s="181"/>
      <c r="R829" s="181"/>
      <c r="S829" s="176"/>
      <c r="T829" s="181"/>
      <c r="U829" s="181"/>
      <c r="V829" s="176"/>
      <c r="W829" s="181"/>
      <c r="X829" s="181"/>
      <c r="Y829" s="176"/>
      <c r="Z829" s="181"/>
      <c r="AA829" s="181"/>
      <c r="AB829" s="176"/>
      <c r="AC829" s="181"/>
      <c r="AD829" s="181"/>
      <c r="AE829" s="176"/>
      <c r="AF829" s="176"/>
      <c r="AG829" s="176"/>
      <c r="AH829" s="176"/>
      <c r="AI829" s="181"/>
      <c r="AJ829" s="181"/>
      <c r="AK829" s="176"/>
      <c r="AL829" s="181"/>
      <c r="AM829" s="181"/>
      <c r="AN829" s="176"/>
      <c r="AO829" s="181"/>
      <c r="AP829" s="181"/>
    </row>
    <row r="830" ht="12.75" customHeight="1">
      <c r="A830" s="179"/>
      <c r="B830" s="459"/>
      <c r="C830" s="481"/>
      <c r="D830" s="180"/>
      <c r="E830" s="180"/>
      <c r="F830" s="180"/>
      <c r="G830" s="460"/>
      <c r="H830" s="181"/>
      <c r="I830" s="181"/>
      <c r="J830" s="181"/>
      <c r="K830" s="181"/>
      <c r="L830" s="181"/>
      <c r="M830" s="329"/>
      <c r="N830" s="181"/>
      <c r="O830" s="181"/>
      <c r="P830" s="176"/>
      <c r="Q830" s="181"/>
      <c r="R830" s="181"/>
      <c r="S830" s="176"/>
      <c r="T830" s="181"/>
      <c r="U830" s="181"/>
      <c r="V830" s="176"/>
      <c r="W830" s="181"/>
      <c r="X830" s="181"/>
      <c r="Y830" s="176"/>
      <c r="Z830" s="181"/>
      <c r="AA830" s="181"/>
      <c r="AB830" s="176"/>
      <c r="AC830" s="181"/>
      <c r="AD830" s="181"/>
      <c r="AE830" s="176"/>
      <c r="AF830" s="176"/>
      <c r="AG830" s="176"/>
      <c r="AH830" s="176"/>
      <c r="AI830" s="181"/>
      <c r="AJ830" s="181"/>
      <c r="AK830" s="176"/>
      <c r="AL830" s="181"/>
      <c r="AM830" s="181"/>
      <c r="AN830" s="176"/>
      <c r="AO830" s="181"/>
      <c r="AP830" s="181"/>
    </row>
    <row r="831" ht="12.75" customHeight="1">
      <c r="A831" s="179"/>
      <c r="B831" s="459"/>
      <c r="C831" s="481"/>
      <c r="D831" s="180"/>
      <c r="E831" s="180"/>
      <c r="F831" s="180"/>
      <c r="G831" s="460"/>
      <c r="H831" s="181"/>
      <c r="I831" s="181"/>
      <c r="J831" s="181"/>
      <c r="K831" s="181"/>
      <c r="L831" s="181"/>
      <c r="M831" s="329"/>
      <c r="N831" s="181"/>
      <c r="O831" s="181"/>
      <c r="P831" s="176"/>
      <c r="Q831" s="181"/>
      <c r="R831" s="181"/>
      <c r="S831" s="176"/>
      <c r="T831" s="181"/>
      <c r="U831" s="181"/>
      <c r="V831" s="176"/>
      <c r="W831" s="181"/>
      <c r="X831" s="181"/>
      <c r="Y831" s="176"/>
      <c r="Z831" s="181"/>
      <c r="AA831" s="181"/>
      <c r="AB831" s="176"/>
      <c r="AC831" s="181"/>
      <c r="AD831" s="181"/>
      <c r="AE831" s="176"/>
      <c r="AF831" s="176"/>
      <c r="AG831" s="176"/>
      <c r="AH831" s="176"/>
      <c r="AI831" s="181"/>
      <c r="AJ831" s="181"/>
      <c r="AK831" s="176"/>
      <c r="AL831" s="181"/>
      <c r="AM831" s="181"/>
      <c r="AN831" s="176"/>
      <c r="AO831" s="181"/>
      <c r="AP831" s="181"/>
    </row>
    <row r="832" ht="12.75" customHeight="1">
      <c r="A832" s="179"/>
      <c r="B832" s="459"/>
      <c r="C832" s="481"/>
      <c r="D832" s="180"/>
      <c r="E832" s="180"/>
      <c r="F832" s="180"/>
      <c r="G832" s="460"/>
      <c r="H832" s="181"/>
      <c r="I832" s="181"/>
      <c r="J832" s="181"/>
      <c r="K832" s="181"/>
      <c r="L832" s="181"/>
      <c r="M832" s="329"/>
      <c r="N832" s="181"/>
      <c r="O832" s="181"/>
      <c r="P832" s="176"/>
      <c r="Q832" s="181"/>
      <c r="R832" s="181"/>
      <c r="S832" s="176"/>
      <c r="T832" s="181"/>
      <c r="U832" s="181"/>
      <c r="V832" s="176"/>
      <c r="W832" s="181"/>
      <c r="X832" s="181"/>
      <c r="Y832" s="176"/>
      <c r="Z832" s="181"/>
      <c r="AA832" s="181"/>
      <c r="AB832" s="176"/>
      <c r="AC832" s="181"/>
      <c r="AD832" s="181"/>
      <c r="AE832" s="176"/>
      <c r="AF832" s="176"/>
      <c r="AG832" s="176"/>
      <c r="AH832" s="176"/>
      <c r="AI832" s="181"/>
      <c r="AJ832" s="181"/>
      <c r="AK832" s="176"/>
      <c r="AL832" s="181"/>
      <c r="AM832" s="181"/>
      <c r="AN832" s="176"/>
      <c r="AO832" s="181"/>
      <c r="AP832" s="181"/>
    </row>
    <row r="833" ht="12.75" customHeight="1">
      <c r="A833" s="179"/>
      <c r="B833" s="459"/>
      <c r="C833" s="481"/>
      <c r="D833" s="180"/>
      <c r="E833" s="180"/>
      <c r="F833" s="180"/>
      <c r="G833" s="460"/>
      <c r="H833" s="181"/>
      <c r="I833" s="181"/>
      <c r="J833" s="181"/>
      <c r="K833" s="181"/>
      <c r="L833" s="181"/>
      <c r="M833" s="329"/>
      <c r="N833" s="181"/>
      <c r="O833" s="181"/>
      <c r="P833" s="176"/>
      <c r="Q833" s="181"/>
      <c r="R833" s="181"/>
      <c r="S833" s="176"/>
      <c r="T833" s="181"/>
      <c r="U833" s="181"/>
      <c r="V833" s="176"/>
      <c r="W833" s="181"/>
      <c r="X833" s="181"/>
      <c r="Y833" s="176"/>
      <c r="Z833" s="181"/>
      <c r="AA833" s="181"/>
      <c r="AB833" s="176"/>
      <c r="AC833" s="181"/>
      <c r="AD833" s="181"/>
      <c r="AE833" s="176"/>
      <c r="AF833" s="176"/>
      <c r="AG833" s="176"/>
      <c r="AH833" s="176"/>
      <c r="AI833" s="181"/>
      <c r="AJ833" s="181"/>
      <c r="AK833" s="176"/>
      <c r="AL833" s="181"/>
      <c r="AM833" s="181"/>
      <c r="AN833" s="176"/>
      <c r="AO833" s="181"/>
      <c r="AP833" s="181"/>
    </row>
    <row r="834" ht="12.75" customHeight="1">
      <c r="A834" s="179"/>
      <c r="B834" s="459"/>
      <c r="C834" s="481"/>
      <c r="D834" s="180"/>
      <c r="E834" s="180"/>
      <c r="F834" s="180"/>
      <c r="G834" s="460"/>
      <c r="H834" s="181"/>
      <c r="I834" s="181"/>
      <c r="J834" s="181"/>
      <c r="K834" s="181"/>
      <c r="L834" s="181"/>
      <c r="M834" s="329"/>
      <c r="N834" s="181"/>
      <c r="O834" s="181"/>
      <c r="P834" s="176"/>
      <c r="Q834" s="181"/>
      <c r="R834" s="181"/>
      <c r="S834" s="176"/>
      <c r="T834" s="181"/>
      <c r="U834" s="181"/>
      <c r="V834" s="176"/>
      <c r="W834" s="181"/>
      <c r="X834" s="181"/>
      <c r="Y834" s="176"/>
      <c r="Z834" s="181"/>
      <c r="AA834" s="181"/>
      <c r="AB834" s="176"/>
      <c r="AC834" s="181"/>
      <c r="AD834" s="181"/>
      <c r="AE834" s="176"/>
      <c r="AF834" s="176"/>
      <c r="AG834" s="176"/>
      <c r="AH834" s="176"/>
      <c r="AI834" s="181"/>
      <c r="AJ834" s="181"/>
      <c r="AK834" s="176"/>
      <c r="AL834" s="181"/>
      <c r="AM834" s="181"/>
      <c r="AN834" s="176"/>
      <c r="AO834" s="181"/>
      <c r="AP834" s="181"/>
    </row>
    <row r="835" ht="12.75" customHeight="1">
      <c r="A835" s="179"/>
      <c r="B835" s="459"/>
      <c r="C835" s="481"/>
      <c r="D835" s="180"/>
      <c r="E835" s="180"/>
      <c r="F835" s="180"/>
      <c r="G835" s="460"/>
      <c r="H835" s="181"/>
      <c r="I835" s="181"/>
      <c r="J835" s="181"/>
      <c r="K835" s="181"/>
      <c r="L835" s="181"/>
      <c r="M835" s="329"/>
      <c r="N835" s="181"/>
      <c r="O835" s="181"/>
      <c r="P835" s="176"/>
      <c r="Q835" s="181"/>
      <c r="R835" s="181"/>
      <c r="S835" s="176"/>
      <c r="T835" s="181"/>
      <c r="U835" s="181"/>
      <c r="V835" s="176"/>
      <c r="W835" s="181"/>
      <c r="X835" s="181"/>
      <c r="Y835" s="176"/>
      <c r="Z835" s="181"/>
      <c r="AA835" s="181"/>
      <c r="AB835" s="176"/>
      <c r="AC835" s="181"/>
      <c r="AD835" s="181"/>
      <c r="AE835" s="176"/>
      <c r="AF835" s="176"/>
      <c r="AG835" s="176"/>
      <c r="AH835" s="176"/>
      <c r="AI835" s="181"/>
      <c r="AJ835" s="181"/>
      <c r="AK835" s="176"/>
      <c r="AL835" s="181"/>
      <c r="AM835" s="181"/>
      <c r="AN835" s="176"/>
      <c r="AO835" s="181"/>
      <c r="AP835" s="181"/>
    </row>
    <row r="836" ht="12.75" customHeight="1">
      <c r="A836" s="179"/>
      <c r="B836" s="459"/>
      <c r="C836" s="481"/>
      <c r="D836" s="180"/>
      <c r="E836" s="180"/>
      <c r="F836" s="180"/>
      <c r="G836" s="460"/>
      <c r="H836" s="181"/>
      <c r="I836" s="181"/>
      <c r="J836" s="181"/>
      <c r="K836" s="181"/>
      <c r="L836" s="181"/>
      <c r="M836" s="329"/>
      <c r="N836" s="181"/>
      <c r="O836" s="181"/>
      <c r="P836" s="176"/>
      <c r="Q836" s="181"/>
      <c r="R836" s="181"/>
      <c r="S836" s="176"/>
      <c r="T836" s="181"/>
      <c r="U836" s="181"/>
      <c r="V836" s="176"/>
      <c r="W836" s="181"/>
      <c r="X836" s="181"/>
      <c r="Y836" s="176"/>
      <c r="Z836" s="181"/>
      <c r="AA836" s="181"/>
      <c r="AB836" s="176"/>
      <c r="AC836" s="181"/>
      <c r="AD836" s="181"/>
      <c r="AE836" s="176"/>
      <c r="AF836" s="176"/>
      <c r="AG836" s="176"/>
      <c r="AH836" s="176"/>
      <c r="AI836" s="181"/>
      <c r="AJ836" s="181"/>
      <c r="AK836" s="176"/>
      <c r="AL836" s="181"/>
      <c r="AM836" s="181"/>
      <c r="AN836" s="176"/>
      <c r="AO836" s="181"/>
      <c r="AP836" s="181"/>
    </row>
    <row r="837" ht="12.75" customHeight="1">
      <c r="A837" s="179"/>
      <c r="B837" s="459"/>
      <c r="C837" s="481"/>
      <c r="D837" s="180"/>
      <c r="E837" s="180"/>
      <c r="F837" s="180"/>
      <c r="G837" s="460"/>
      <c r="H837" s="181"/>
      <c r="I837" s="181"/>
      <c r="J837" s="181"/>
      <c r="K837" s="181"/>
      <c r="L837" s="181"/>
      <c r="M837" s="329"/>
      <c r="N837" s="181"/>
      <c r="O837" s="181"/>
      <c r="P837" s="176"/>
      <c r="Q837" s="181"/>
      <c r="R837" s="181"/>
      <c r="S837" s="176"/>
      <c r="T837" s="181"/>
      <c r="U837" s="181"/>
      <c r="V837" s="176"/>
      <c r="W837" s="181"/>
      <c r="X837" s="181"/>
      <c r="Y837" s="176"/>
      <c r="Z837" s="181"/>
      <c r="AA837" s="181"/>
      <c r="AB837" s="176"/>
      <c r="AC837" s="181"/>
      <c r="AD837" s="181"/>
      <c r="AE837" s="176"/>
      <c r="AF837" s="176"/>
      <c r="AG837" s="176"/>
      <c r="AH837" s="176"/>
      <c r="AI837" s="181"/>
      <c r="AJ837" s="181"/>
      <c r="AK837" s="176"/>
      <c r="AL837" s="181"/>
      <c r="AM837" s="181"/>
      <c r="AN837" s="176"/>
      <c r="AO837" s="181"/>
      <c r="AP837" s="181"/>
    </row>
    <row r="838" ht="12.75" customHeight="1">
      <c r="A838" s="179"/>
      <c r="B838" s="459"/>
      <c r="C838" s="481"/>
      <c r="D838" s="180"/>
      <c r="E838" s="180"/>
      <c r="F838" s="180"/>
      <c r="G838" s="460"/>
      <c r="H838" s="181"/>
      <c r="I838" s="181"/>
      <c r="J838" s="181"/>
      <c r="K838" s="181"/>
      <c r="L838" s="181"/>
      <c r="M838" s="329"/>
      <c r="N838" s="181"/>
      <c r="O838" s="181"/>
      <c r="P838" s="176"/>
      <c r="Q838" s="181"/>
      <c r="R838" s="181"/>
      <c r="S838" s="176"/>
      <c r="T838" s="181"/>
      <c r="U838" s="181"/>
      <c r="V838" s="176"/>
      <c r="W838" s="181"/>
      <c r="X838" s="181"/>
      <c r="Y838" s="176"/>
      <c r="Z838" s="181"/>
      <c r="AA838" s="181"/>
      <c r="AB838" s="176"/>
      <c r="AC838" s="181"/>
      <c r="AD838" s="181"/>
      <c r="AE838" s="176"/>
      <c r="AF838" s="176"/>
      <c r="AG838" s="176"/>
      <c r="AH838" s="176"/>
      <c r="AI838" s="181"/>
      <c r="AJ838" s="181"/>
      <c r="AK838" s="176"/>
      <c r="AL838" s="181"/>
      <c r="AM838" s="181"/>
      <c r="AN838" s="176"/>
      <c r="AO838" s="181"/>
      <c r="AP838" s="181"/>
    </row>
    <row r="839" ht="12.75" customHeight="1">
      <c r="A839" s="179"/>
      <c r="B839" s="459"/>
      <c r="C839" s="481"/>
      <c r="D839" s="180"/>
      <c r="E839" s="180"/>
      <c r="F839" s="180"/>
      <c r="G839" s="460"/>
      <c r="H839" s="181"/>
      <c r="I839" s="181"/>
      <c r="J839" s="181"/>
      <c r="K839" s="181"/>
      <c r="L839" s="181"/>
      <c r="M839" s="329"/>
      <c r="N839" s="181"/>
      <c r="O839" s="181"/>
      <c r="P839" s="176"/>
      <c r="Q839" s="181"/>
      <c r="R839" s="181"/>
      <c r="S839" s="176"/>
      <c r="T839" s="181"/>
      <c r="U839" s="181"/>
      <c r="V839" s="176"/>
      <c r="W839" s="181"/>
      <c r="X839" s="181"/>
      <c r="Y839" s="176"/>
      <c r="Z839" s="181"/>
      <c r="AA839" s="181"/>
      <c r="AB839" s="176"/>
      <c r="AC839" s="181"/>
      <c r="AD839" s="181"/>
      <c r="AE839" s="176"/>
      <c r="AF839" s="176"/>
      <c r="AG839" s="176"/>
      <c r="AH839" s="176"/>
      <c r="AI839" s="181"/>
      <c r="AJ839" s="181"/>
      <c r="AK839" s="176"/>
      <c r="AL839" s="181"/>
      <c r="AM839" s="181"/>
      <c r="AN839" s="176"/>
      <c r="AO839" s="181"/>
      <c r="AP839" s="181"/>
    </row>
    <row r="840" ht="12.75" customHeight="1">
      <c r="A840" s="179"/>
      <c r="B840" s="459"/>
      <c r="C840" s="481"/>
      <c r="D840" s="180"/>
      <c r="E840" s="180"/>
      <c r="F840" s="180"/>
      <c r="G840" s="460"/>
      <c r="H840" s="181"/>
      <c r="I840" s="181"/>
      <c r="J840" s="181"/>
      <c r="K840" s="181"/>
      <c r="L840" s="181"/>
      <c r="M840" s="329"/>
      <c r="N840" s="181"/>
      <c r="O840" s="181"/>
      <c r="P840" s="176"/>
      <c r="Q840" s="181"/>
      <c r="R840" s="181"/>
      <c r="S840" s="176"/>
      <c r="T840" s="181"/>
      <c r="U840" s="181"/>
      <c r="V840" s="176"/>
      <c r="W840" s="181"/>
      <c r="X840" s="181"/>
      <c r="Y840" s="176"/>
      <c r="Z840" s="181"/>
      <c r="AA840" s="181"/>
      <c r="AB840" s="176"/>
      <c r="AC840" s="181"/>
      <c r="AD840" s="181"/>
      <c r="AE840" s="176"/>
      <c r="AF840" s="176"/>
      <c r="AG840" s="176"/>
      <c r="AH840" s="176"/>
      <c r="AI840" s="181"/>
      <c r="AJ840" s="181"/>
      <c r="AK840" s="176"/>
      <c r="AL840" s="181"/>
      <c r="AM840" s="181"/>
      <c r="AN840" s="176"/>
      <c r="AO840" s="181"/>
      <c r="AP840" s="181"/>
    </row>
    <row r="841" ht="12.75" customHeight="1">
      <c r="A841" s="179"/>
      <c r="B841" s="459"/>
      <c r="C841" s="481"/>
      <c r="D841" s="180"/>
      <c r="E841" s="180"/>
      <c r="F841" s="180"/>
      <c r="G841" s="460"/>
      <c r="H841" s="181"/>
      <c r="I841" s="181"/>
      <c r="J841" s="181"/>
      <c r="K841" s="181"/>
      <c r="L841" s="181"/>
      <c r="M841" s="329"/>
      <c r="N841" s="181"/>
      <c r="O841" s="181"/>
      <c r="P841" s="176"/>
      <c r="Q841" s="181"/>
      <c r="R841" s="181"/>
      <c r="S841" s="176"/>
      <c r="T841" s="181"/>
      <c r="U841" s="181"/>
      <c r="V841" s="176"/>
      <c r="W841" s="181"/>
      <c r="X841" s="181"/>
      <c r="Y841" s="176"/>
      <c r="Z841" s="181"/>
      <c r="AA841" s="181"/>
      <c r="AB841" s="176"/>
      <c r="AC841" s="181"/>
      <c r="AD841" s="181"/>
      <c r="AE841" s="176"/>
      <c r="AF841" s="176"/>
      <c r="AG841" s="176"/>
      <c r="AH841" s="176"/>
      <c r="AI841" s="181"/>
      <c r="AJ841" s="181"/>
      <c r="AK841" s="176"/>
      <c r="AL841" s="181"/>
      <c r="AM841" s="181"/>
      <c r="AN841" s="176"/>
      <c r="AO841" s="181"/>
      <c r="AP841" s="181"/>
    </row>
    <row r="842" ht="12.75" customHeight="1">
      <c r="A842" s="179"/>
      <c r="B842" s="459"/>
      <c r="C842" s="481"/>
      <c r="D842" s="180"/>
      <c r="E842" s="180"/>
      <c r="F842" s="180"/>
      <c r="G842" s="460"/>
      <c r="H842" s="181"/>
      <c r="I842" s="181"/>
      <c r="J842" s="181"/>
      <c r="K842" s="181"/>
      <c r="L842" s="181"/>
      <c r="M842" s="329"/>
      <c r="N842" s="181"/>
      <c r="O842" s="181"/>
      <c r="P842" s="176"/>
      <c r="Q842" s="181"/>
      <c r="R842" s="181"/>
      <c r="S842" s="176"/>
      <c r="T842" s="181"/>
      <c r="U842" s="181"/>
      <c r="V842" s="176"/>
      <c r="W842" s="181"/>
      <c r="X842" s="181"/>
      <c r="Y842" s="176"/>
      <c r="Z842" s="181"/>
      <c r="AA842" s="181"/>
      <c r="AB842" s="176"/>
      <c r="AC842" s="181"/>
      <c r="AD842" s="181"/>
      <c r="AE842" s="176"/>
      <c r="AF842" s="176"/>
      <c r="AG842" s="176"/>
      <c r="AH842" s="176"/>
      <c r="AI842" s="181"/>
      <c r="AJ842" s="181"/>
      <c r="AK842" s="176"/>
      <c r="AL842" s="181"/>
      <c r="AM842" s="181"/>
      <c r="AN842" s="176"/>
      <c r="AO842" s="181"/>
      <c r="AP842" s="181"/>
    </row>
    <row r="843" ht="12.75" customHeight="1">
      <c r="A843" s="179"/>
      <c r="B843" s="459"/>
      <c r="C843" s="481"/>
      <c r="D843" s="180"/>
      <c r="E843" s="180"/>
      <c r="F843" s="180"/>
      <c r="G843" s="460"/>
      <c r="H843" s="181"/>
      <c r="I843" s="181"/>
      <c r="J843" s="181"/>
      <c r="K843" s="181"/>
      <c r="L843" s="181"/>
      <c r="M843" s="329"/>
      <c r="N843" s="181"/>
      <c r="O843" s="181"/>
      <c r="P843" s="176"/>
      <c r="Q843" s="181"/>
      <c r="R843" s="181"/>
      <c r="S843" s="176"/>
      <c r="T843" s="181"/>
      <c r="U843" s="181"/>
      <c r="V843" s="176"/>
      <c r="W843" s="181"/>
      <c r="X843" s="181"/>
      <c r="Y843" s="176"/>
      <c r="Z843" s="181"/>
      <c r="AA843" s="181"/>
      <c r="AB843" s="176"/>
      <c r="AC843" s="181"/>
      <c r="AD843" s="181"/>
      <c r="AE843" s="176"/>
      <c r="AF843" s="176"/>
      <c r="AG843" s="176"/>
      <c r="AH843" s="176"/>
      <c r="AI843" s="181"/>
      <c r="AJ843" s="181"/>
      <c r="AK843" s="176"/>
      <c r="AL843" s="181"/>
      <c r="AM843" s="181"/>
      <c r="AN843" s="176"/>
      <c r="AO843" s="181"/>
      <c r="AP843" s="181"/>
    </row>
    <row r="844" ht="12.75" customHeight="1">
      <c r="A844" s="179"/>
      <c r="B844" s="459"/>
      <c r="C844" s="481"/>
      <c r="D844" s="180"/>
      <c r="E844" s="180"/>
      <c r="F844" s="180"/>
      <c r="G844" s="460"/>
      <c r="H844" s="181"/>
      <c r="I844" s="181"/>
      <c r="J844" s="181"/>
      <c r="K844" s="181"/>
      <c r="L844" s="181"/>
      <c r="M844" s="329"/>
      <c r="N844" s="181"/>
      <c r="O844" s="181"/>
      <c r="P844" s="176"/>
      <c r="Q844" s="181"/>
      <c r="R844" s="181"/>
      <c r="S844" s="176"/>
      <c r="T844" s="181"/>
      <c r="U844" s="181"/>
      <c r="V844" s="176"/>
      <c r="W844" s="181"/>
      <c r="X844" s="181"/>
      <c r="Y844" s="176"/>
      <c r="Z844" s="181"/>
      <c r="AA844" s="181"/>
      <c r="AB844" s="176"/>
      <c r="AC844" s="181"/>
      <c r="AD844" s="181"/>
      <c r="AE844" s="176"/>
      <c r="AF844" s="176"/>
      <c r="AG844" s="176"/>
      <c r="AH844" s="176"/>
      <c r="AI844" s="181"/>
      <c r="AJ844" s="181"/>
      <c r="AK844" s="176"/>
      <c r="AL844" s="181"/>
      <c r="AM844" s="181"/>
      <c r="AN844" s="176"/>
      <c r="AO844" s="181"/>
      <c r="AP844" s="181"/>
    </row>
    <row r="845" ht="12.75" customHeight="1">
      <c r="A845" s="179"/>
      <c r="B845" s="459"/>
      <c r="C845" s="481"/>
      <c r="D845" s="180"/>
      <c r="E845" s="180"/>
      <c r="F845" s="180"/>
      <c r="G845" s="460"/>
      <c r="H845" s="181"/>
      <c r="I845" s="181"/>
      <c r="J845" s="181"/>
      <c r="K845" s="181"/>
      <c r="L845" s="181"/>
      <c r="M845" s="329"/>
      <c r="N845" s="181"/>
      <c r="O845" s="181"/>
      <c r="P845" s="176"/>
      <c r="Q845" s="181"/>
      <c r="R845" s="181"/>
      <c r="S845" s="176"/>
      <c r="T845" s="181"/>
      <c r="U845" s="181"/>
      <c r="V845" s="176"/>
      <c r="W845" s="181"/>
      <c r="X845" s="181"/>
      <c r="Y845" s="176"/>
      <c r="Z845" s="181"/>
      <c r="AA845" s="181"/>
      <c r="AB845" s="176"/>
      <c r="AC845" s="181"/>
      <c r="AD845" s="181"/>
      <c r="AE845" s="176"/>
      <c r="AF845" s="176"/>
      <c r="AG845" s="176"/>
      <c r="AH845" s="176"/>
      <c r="AI845" s="181"/>
      <c r="AJ845" s="181"/>
      <c r="AK845" s="176"/>
      <c r="AL845" s="181"/>
      <c r="AM845" s="181"/>
      <c r="AN845" s="176"/>
      <c r="AO845" s="181"/>
      <c r="AP845" s="181"/>
    </row>
    <row r="846" ht="12.75" customHeight="1">
      <c r="A846" s="179"/>
      <c r="B846" s="459"/>
      <c r="C846" s="481"/>
      <c r="D846" s="180"/>
      <c r="E846" s="180"/>
      <c r="F846" s="180"/>
      <c r="G846" s="460"/>
      <c r="H846" s="181"/>
      <c r="I846" s="181"/>
      <c r="J846" s="181"/>
      <c r="K846" s="181"/>
      <c r="L846" s="181"/>
      <c r="M846" s="329"/>
      <c r="N846" s="181"/>
      <c r="O846" s="181"/>
      <c r="P846" s="176"/>
      <c r="Q846" s="181"/>
      <c r="R846" s="181"/>
      <c r="S846" s="176"/>
      <c r="T846" s="181"/>
      <c r="U846" s="181"/>
      <c r="V846" s="176"/>
      <c r="W846" s="181"/>
      <c r="X846" s="181"/>
      <c r="Y846" s="176"/>
      <c r="Z846" s="181"/>
      <c r="AA846" s="181"/>
      <c r="AB846" s="176"/>
      <c r="AC846" s="181"/>
      <c r="AD846" s="181"/>
      <c r="AE846" s="176"/>
      <c r="AF846" s="176"/>
      <c r="AG846" s="176"/>
      <c r="AH846" s="176"/>
      <c r="AI846" s="181"/>
      <c r="AJ846" s="181"/>
      <c r="AK846" s="176"/>
      <c r="AL846" s="181"/>
      <c r="AM846" s="181"/>
      <c r="AN846" s="176"/>
      <c r="AO846" s="181"/>
      <c r="AP846" s="181"/>
    </row>
    <row r="847" ht="12.75" customHeight="1">
      <c r="A847" s="179"/>
      <c r="B847" s="459"/>
      <c r="C847" s="481"/>
      <c r="D847" s="180"/>
      <c r="E847" s="180"/>
      <c r="F847" s="180"/>
      <c r="G847" s="460"/>
      <c r="H847" s="181"/>
      <c r="I847" s="181"/>
      <c r="J847" s="181"/>
      <c r="K847" s="181"/>
      <c r="L847" s="181"/>
      <c r="M847" s="329"/>
      <c r="N847" s="181"/>
      <c r="O847" s="181"/>
      <c r="P847" s="176"/>
      <c r="Q847" s="181"/>
      <c r="R847" s="181"/>
      <c r="S847" s="176"/>
      <c r="T847" s="181"/>
      <c r="U847" s="181"/>
      <c r="V847" s="176"/>
      <c r="W847" s="181"/>
      <c r="X847" s="181"/>
      <c r="Y847" s="176"/>
      <c r="Z847" s="181"/>
      <c r="AA847" s="181"/>
      <c r="AB847" s="176"/>
      <c r="AC847" s="181"/>
      <c r="AD847" s="181"/>
      <c r="AE847" s="176"/>
      <c r="AF847" s="176"/>
      <c r="AG847" s="176"/>
      <c r="AH847" s="176"/>
      <c r="AI847" s="181"/>
      <c r="AJ847" s="181"/>
      <c r="AK847" s="176"/>
      <c r="AL847" s="181"/>
      <c r="AM847" s="181"/>
      <c r="AN847" s="176"/>
      <c r="AO847" s="181"/>
      <c r="AP847" s="181"/>
    </row>
    <row r="848" ht="12.75" customHeight="1">
      <c r="A848" s="179"/>
      <c r="B848" s="459"/>
      <c r="C848" s="481"/>
      <c r="D848" s="180"/>
      <c r="E848" s="180"/>
      <c r="F848" s="180"/>
      <c r="G848" s="460"/>
      <c r="H848" s="181"/>
      <c r="I848" s="181"/>
      <c r="J848" s="181"/>
      <c r="K848" s="181"/>
      <c r="L848" s="181"/>
      <c r="M848" s="329"/>
      <c r="N848" s="181"/>
      <c r="O848" s="181"/>
      <c r="P848" s="176"/>
      <c r="Q848" s="181"/>
      <c r="R848" s="181"/>
      <c r="S848" s="176"/>
      <c r="T848" s="181"/>
      <c r="U848" s="181"/>
      <c r="V848" s="176"/>
      <c r="W848" s="181"/>
      <c r="X848" s="181"/>
      <c r="Y848" s="176"/>
      <c r="Z848" s="181"/>
      <c r="AA848" s="181"/>
      <c r="AB848" s="176"/>
      <c r="AC848" s="181"/>
      <c r="AD848" s="181"/>
      <c r="AE848" s="176"/>
      <c r="AF848" s="176"/>
      <c r="AG848" s="176"/>
      <c r="AH848" s="176"/>
      <c r="AI848" s="181"/>
      <c r="AJ848" s="181"/>
      <c r="AK848" s="176"/>
      <c r="AL848" s="181"/>
      <c r="AM848" s="181"/>
      <c r="AN848" s="176"/>
      <c r="AO848" s="181"/>
      <c r="AP848" s="181"/>
    </row>
    <row r="849" ht="12.75" customHeight="1">
      <c r="A849" s="179"/>
      <c r="B849" s="459"/>
      <c r="C849" s="481"/>
      <c r="D849" s="180"/>
      <c r="E849" s="180"/>
      <c r="F849" s="180"/>
      <c r="G849" s="460"/>
      <c r="H849" s="181"/>
      <c r="I849" s="181"/>
      <c r="J849" s="181"/>
      <c r="K849" s="181"/>
      <c r="L849" s="181"/>
      <c r="M849" s="329"/>
      <c r="N849" s="181"/>
      <c r="O849" s="181"/>
      <c r="P849" s="176"/>
      <c r="Q849" s="181"/>
      <c r="R849" s="181"/>
      <c r="S849" s="176"/>
      <c r="T849" s="181"/>
      <c r="U849" s="181"/>
      <c r="V849" s="176"/>
      <c r="W849" s="181"/>
      <c r="X849" s="181"/>
      <c r="Y849" s="176"/>
      <c r="Z849" s="181"/>
      <c r="AA849" s="181"/>
      <c r="AB849" s="176"/>
      <c r="AC849" s="181"/>
      <c r="AD849" s="181"/>
      <c r="AE849" s="176"/>
      <c r="AF849" s="176"/>
      <c r="AG849" s="176"/>
      <c r="AH849" s="176"/>
      <c r="AI849" s="181"/>
      <c r="AJ849" s="181"/>
      <c r="AK849" s="176"/>
      <c r="AL849" s="181"/>
      <c r="AM849" s="181"/>
      <c r="AN849" s="176"/>
      <c r="AO849" s="181"/>
      <c r="AP849" s="181"/>
    </row>
    <row r="850" ht="12.75" customHeight="1">
      <c r="A850" s="179"/>
      <c r="B850" s="459"/>
      <c r="C850" s="481"/>
      <c r="D850" s="180"/>
      <c r="E850" s="180"/>
      <c r="F850" s="180"/>
      <c r="G850" s="460"/>
      <c r="H850" s="181"/>
      <c r="I850" s="181"/>
      <c r="J850" s="181"/>
      <c r="K850" s="181"/>
      <c r="L850" s="181"/>
      <c r="M850" s="329"/>
      <c r="N850" s="181"/>
      <c r="O850" s="181"/>
      <c r="P850" s="176"/>
      <c r="Q850" s="181"/>
      <c r="R850" s="181"/>
      <c r="S850" s="176"/>
      <c r="T850" s="181"/>
      <c r="U850" s="181"/>
      <c r="V850" s="176"/>
      <c r="W850" s="181"/>
      <c r="X850" s="181"/>
      <c r="Y850" s="176"/>
      <c r="Z850" s="181"/>
      <c r="AA850" s="181"/>
      <c r="AB850" s="176"/>
      <c r="AC850" s="181"/>
      <c r="AD850" s="181"/>
      <c r="AE850" s="176"/>
      <c r="AF850" s="176"/>
      <c r="AG850" s="176"/>
      <c r="AH850" s="176"/>
      <c r="AI850" s="181"/>
      <c r="AJ850" s="181"/>
      <c r="AK850" s="176"/>
      <c r="AL850" s="181"/>
      <c r="AM850" s="181"/>
      <c r="AN850" s="176"/>
      <c r="AO850" s="181"/>
      <c r="AP850" s="181"/>
    </row>
    <row r="851" ht="12.75" customHeight="1">
      <c r="A851" s="179"/>
      <c r="B851" s="459"/>
      <c r="C851" s="481"/>
      <c r="D851" s="180"/>
      <c r="E851" s="180"/>
      <c r="F851" s="180"/>
      <c r="G851" s="460"/>
      <c r="H851" s="181"/>
      <c r="I851" s="181"/>
      <c r="J851" s="181"/>
      <c r="K851" s="181"/>
      <c r="L851" s="181"/>
      <c r="M851" s="329"/>
      <c r="N851" s="181"/>
      <c r="O851" s="181"/>
      <c r="P851" s="176"/>
      <c r="Q851" s="181"/>
      <c r="R851" s="181"/>
      <c r="S851" s="176"/>
      <c r="T851" s="181"/>
      <c r="U851" s="181"/>
      <c r="V851" s="176"/>
      <c r="W851" s="181"/>
      <c r="X851" s="181"/>
      <c r="Y851" s="176"/>
      <c r="Z851" s="181"/>
      <c r="AA851" s="181"/>
      <c r="AB851" s="176"/>
      <c r="AC851" s="181"/>
      <c r="AD851" s="181"/>
      <c r="AE851" s="176"/>
      <c r="AF851" s="176"/>
      <c r="AG851" s="176"/>
      <c r="AH851" s="176"/>
      <c r="AI851" s="181"/>
      <c r="AJ851" s="181"/>
      <c r="AK851" s="176"/>
      <c r="AL851" s="181"/>
      <c r="AM851" s="181"/>
      <c r="AN851" s="176"/>
      <c r="AO851" s="181"/>
      <c r="AP851" s="181"/>
    </row>
    <row r="852" ht="12.75" customHeight="1">
      <c r="A852" s="179"/>
      <c r="B852" s="459"/>
      <c r="C852" s="481"/>
      <c r="D852" s="180"/>
      <c r="E852" s="180"/>
      <c r="F852" s="180"/>
      <c r="G852" s="460"/>
      <c r="H852" s="181"/>
      <c r="I852" s="181"/>
      <c r="J852" s="181"/>
      <c r="K852" s="181"/>
      <c r="L852" s="181"/>
      <c r="M852" s="329"/>
      <c r="N852" s="181"/>
      <c r="O852" s="181"/>
      <c r="P852" s="176"/>
      <c r="Q852" s="181"/>
      <c r="R852" s="181"/>
      <c r="S852" s="176"/>
      <c r="T852" s="181"/>
      <c r="U852" s="181"/>
      <c r="V852" s="176"/>
      <c r="W852" s="181"/>
      <c r="X852" s="181"/>
      <c r="Y852" s="176"/>
      <c r="Z852" s="181"/>
      <c r="AA852" s="181"/>
      <c r="AB852" s="176"/>
      <c r="AC852" s="181"/>
      <c r="AD852" s="181"/>
      <c r="AE852" s="176"/>
      <c r="AF852" s="176"/>
      <c r="AG852" s="176"/>
      <c r="AH852" s="176"/>
      <c r="AI852" s="181"/>
      <c r="AJ852" s="181"/>
      <c r="AK852" s="176"/>
      <c r="AL852" s="181"/>
      <c r="AM852" s="181"/>
      <c r="AN852" s="176"/>
      <c r="AO852" s="181"/>
      <c r="AP852" s="181"/>
    </row>
    <row r="853" ht="12.75" customHeight="1">
      <c r="A853" s="179"/>
      <c r="B853" s="459"/>
      <c r="C853" s="481"/>
      <c r="D853" s="180"/>
      <c r="E853" s="180"/>
      <c r="F853" s="180"/>
      <c r="G853" s="460"/>
      <c r="H853" s="181"/>
      <c r="I853" s="181"/>
      <c r="J853" s="181"/>
      <c r="K853" s="181"/>
      <c r="L853" s="181"/>
      <c r="M853" s="329"/>
      <c r="N853" s="181"/>
      <c r="O853" s="181"/>
      <c r="P853" s="176"/>
      <c r="Q853" s="181"/>
      <c r="R853" s="181"/>
      <c r="S853" s="176"/>
      <c r="T853" s="181"/>
      <c r="U853" s="181"/>
      <c r="V853" s="176"/>
      <c r="W853" s="181"/>
      <c r="X853" s="181"/>
      <c r="Y853" s="176"/>
      <c r="Z853" s="181"/>
      <c r="AA853" s="181"/>
      <c r="AB853" s="176"/>
      <c r="AC853" s="181"/>
      <c r="AD853" s="181"/>
      <c r="AE853" s="176"/>
      <c r="AF853" s="176"/>
      <c r="AG853" s="176"/>
      <c r="AH853" s="176"/>
      <c r="AI853" s="181"/>
      <c r="AJ853" s="181"/>
      <c r="AK853" s="176"/>
      <c r="AL853" s="181"/>
      <c r="AM853" s="181"/>
      <c r="AN853" s="176"/>
      <c r="AO853" s="181"/>
      <c r="AP853" s="181"/>
    </row>
    <row r="854" ht="12.75" customHeight="1">
      <c r="A854" s="179"/>
      <c r="B854" s="459"/>
      <c r="C854" s="481"/>
      <c r="D854" s="180"/>
      <c r="E854" s="180"/>
      <c r="F854" s="180"/>
      <c r="G854" s="460"/>
      <c r="H854" s="181"/>
      <c r="I854" s="181"/>
      <c r="J854" s="181"/>
      <c r="K854" s="181"/>
      <c r="L854" s="181"/>
      <c r="M854" s="329"/>
      <c r="N854" s="181"/>
      <c r="O854" s="181"/>
      <c r="P854" s="176"/>
      <c r="Q854" s="181"/>
      <c r="R854" s="181"/>
      <c r="S854" s="176"/>
      <c r="T854" s="181"/>
      <c r="U854" s="181"/>
      <c r="V854" s="176"/>
      <c r="W854" s="181"/>
      <c r="X854" s="181"/>
      <c r="Y854" s="176"/>
      <c r="Z854" s="181"/>
      <c r="AA854" s="181"/>
      <c r="AB854" s="176"/>
      <c r="AC854" s="181"/>
      <c r="AD854" s="181"/>
      <c r="AE854" s="176"/>
      <c r="AF854" s="176"/>
      <c r="AG854" s="176"/>
      <c r="AH854" s="176"/>
      <c r="AI854" s="181"/>
      <c r="AJ854" s="181"/>
      <c r="AK854" s="176"/>
      <c r="AL854" s="181"/>
      <c r="AM854" s="181"/>
      <c r="AN854" s="176"/>
      <c r="AO854" s="181"/>
      <c r="AP854" s="181"/>
    </row>
    <row r="855" ht="12.75" customHeight="1">
      <c r="A855" s="179"/>
      <c r="B855" s="459"/>
      <c r="C855" s="481"/>
      <c r="D855" s="180"/>
      <c r="E855" s="180"/>
      <c r="F855" s="180"/>
      <c r="G855" s="460"/>
      <c r="H855" s="181"/>
      <c r="I855" s="181"/>
      <c r="J855" s="181"/>
      <c r="K855" s="181"/>
      <c r="L855" s="181"/>
      <c r="M855" s="329"/>
      <c r="N855" s="181"/>
      <c r="O855" s="181"/>
      <c r="P855" s="176"/>
      <c r="Q855" s="181"/>
      <c r="R855" s="181"/>
      <c r="S855" s="176"/>
      <c r="T855" s="181"/>
      <c r="U855" s="181"/>
      <c r="V855" s="176"/>
      <c r="W855" s="181"/>
      <c r="X855" s="181"/>
      <c r="Y855" s="176"/>
      <c r="Z855" s="181"/>
      <c r="AA855" s="181"/>
      <c r="AB855" s="176"/>
      <c r="AC855" s="181"/>
      <c r="AD855" s="181"/>
      <c r="AE855" s="176"/>
      <c r="AF855" s="176"/>
      <c r="AG855" s="176"/>
      <c r="AH855" s="176"/>
      <c r="AI855" s="181"/>
      <c r="AJ855" s="181"/>
      <c r="AK855" s="176"/>
      <c r="AL855" s="181"/>
      <c r="AM855" s="181"/>
      <c r="AN855" s="176"/>
      <c r="AO855" s="181"/>
      <c r="AP855" s="181"/>
    </row>
    <row r="856" ht="12.75" customHeight="1">
      <c r="A856" s="179"/>
      <c r="B856" s="459"/>
      <c r="C856" s="481"/>
      <c r="D856" s="180"/>
      <c r="E856" s="180"/>
      <c r="F856" s="180"/>
      <c r="G856" s="460"/>
      <c r="H856" s="181"/>
      <c r="I856" s="181"/>
      <c r="J856" s="181"/>
      <c r="K856" s="181"/>
      <c r="L856" s="181"/>
      <c r="M856" s="329"/>
      <c r="N856" s="181"/>
      <c r="O856" s="181"/>
      <c r="P856" s="176"/>
      <c r="Q856" s="181"/>
      <c r="R856" s="181"/>
      <c r="S856" s="176"/>
      <c r="T856" s="181"/>
      <c r="U856" s="181"/>
      <c r="V856" s="176"/>
      <c r="W856" s="181"/>
      <c r="X856" s="181"/>
      <c r="Y856" s="176"/>
      <c r="Z856" s="181"/>
      <c r="AA856" s="181"/>
      <c r="AB856" s="176"/>
      <c r="AC856" s="181"/>
      <c r="AD856" s="181"/>
      <c r="AE856" s="176"/>
      <c r="AF856" s="176"/>
      <c r="AG856" s="176"/>
      <c r="AH856" s="176"/>
      <c r="AI856" s="181"/>
      <c r="AJ856" s="181"/>
      <c r="AK856" s="176"/>
      <c r="AL856" s="181"/>
      <c r="AM856" s="181"/>
      <c r="AN856" s="176"/>
      <c r="AO856" s="181"/>
      <c r="AP856" s="181"/>
    </row>
    <row r="857" ht="12.75" customHeight="1">
      <c r="A857" s="179"/>
      <c r="B857" s="459"/>
      <c r="C857" s="481"/>
      <c r="D857" s="180"/>
      <c r="E857" s="180"/>
      <c r="F857" s="180"/>
      <c r="G857" s="460"/>
      <c r="H857" s="181"/>
      <c r="I857" s="181"/>
      <c r="J857" s="181"/>
      <c r="K857" s="181"/>
      <c r="L857" s="181"/>
      <c r="M857" s="329"/>
      <c r="N857" s="181"/>
      <c r="O857" s="181"/>
      <c r="P857" s="176"/>
      <c r="Q857" s="181"/>
      <c r="R857" s="181"/>
      <c r="S857" s="176"/>
      <c r="T857" s="181"/>
      <c r="U857" s="181"/>
      <c r="V857" s="176"/>
      <c r="W857" s="181"/>
      <c r="X857" s="181"/>
      <c r="Y857" s="176"/>
      <c r="Z857" s="181"/>
      <c r="AA857" s="181"/>
      <c r="AB857" s="176"/>
      <c r="AC857" s="181"/>
      <c r="AD857" s="181"/>
      <c r="AE857" s="176"/>
      <c r="AF857" s="176"/>
      <c r="AG857" s="176"/>
      <c r="AH857" s="176"/>
      <c r="AI857" s="181"/>
      <c r="AJ857" s="181"/>
      <c r="AK857" s="176"/>
      <c r="AL857" s="181"/>
      <c r="AM857" s="181"/>
      <c r="AN857" s="176"/>
      <c r="AO857" s="181"/>
      <c r="AP857" s="181"/>
    </row>
    <row r="858" ht="12.75" customHeight="1">
      <c r="A858" s="179"/>
      <c r="B858" s="459"/>
      <c r="C858" s="481"/>
      <c r="D858" s="180"/>
      <c r="E858" s="180"/>
      <c r="F858" s="180"/>
      <c r="G858" s="460"/>
      <c r="H858" s="181"/>
      <c r="I858" s="181"/>
      <c r="J858" s="181"/>
      <c r="K858" s="181"/>
      <c r="L858" s="181"/>
      <c r="M858" s="329"/>
      <c r="N858" s="181"/>
      <c r="O858" s="181"/>
      <c r="P858" s="176"/>
      <c r="Q858" s="181"/>
      <c r="R858" s="181"/>
      <c r="S858" s="176"/>
      <c r="T858" s="181"/>
      <c r="U858" s="181"/>
      <c r="V858" s="176"/>
      <c r="W858" s="181"/>
      <c r="X858" s="181"/>
      <c r="Y858" s="176"/>
      <c r="Z858" s="181"/>
      <c r="AA858" s="181"/>
      <c r="AB858" s="176"/>
      <c r="AC858" s="181"/>
      <c r="AD858" s="181"/>
      <c r="AE858" s="176"/>
      <c r="AF858" s="176"/>
      <c r="AG858" s="176"/>
      <c r="AH858" s="176"/>
      <c r="AI858" s="181"/>
      <c r="AJ858" s="181"/>
      <c r="AK858" s="176"/>
      <c r="AL858" s="181"/>
      <c r="AM858" s="181"/>
      <c r="AN858" s="176"/>
      <c r="AO858" s="181"/>
      <c r="AP858" s="181"/>
    </row>
    <row r="859" ht="12.75" customHeight="1">
      <c r="A859" s="179"/>
      <c r="B859" s="459"/>
      <c r="C859" s="481"/>
      <c r="D859" s="180"/>
      <c r="E859" s="180"/>
      <c r="F859" s="180"/>
      <c r="G859" s="460"/>
      <c r="H859" s="181"/>
      <c r="I859" s="181"/>
      <c r="J859" s="181"/>
      <c r="K859" s="181"/>
      <c r="L859" s="181"/>
      <c r="M859" s="329"/>
      <c r="N859" s="181"/>
      <c r="O859" s="181"/>
      <c r="P859" s="176"/>
      <c r="Q859" s="181"/>
      <c r="R859" s="181"/>
      <c r="S859" s="176"/>
      <c r="T859" s="181"/>
      <c r="U859" s="181"/>
      <c r="V859" s="176"/>
      <c r="W859" s="181"/>
      <c r="X859" s="181"/>
      <c r="Y859" s="176"/>
      <c r="Z859" s="181"/>
      <c r="AA859" s="181"/>
      <c r="AB859" s="176"/>
      <c r="AC859" s="181"/>
      <c r="AD859" s="181"/>
      <c r="AE859" s="176"/>
      <c r="AF859" s="176"/>
      <c r="AG859" s="176"/>
      <c r="AH859" s="176"/>
      <c r="AI859" s="181"/>
      <c r="AJ859" s="181"/>
      <c r="AK859" s="176"/>
      <c r="AL859" s="181"/>
      <c r="AM859" s="181"/>
      <c r="AN859" s="176"/>
      <c r="AO859" s="181"/>
      <c r="AP859" s="181"/>
    </row>
    <row r="860" ht="12.75" customHeight="1">
      <c r="A860" s="179"/>
      <c r="B860" s="459"/>
      <c r="C860" s="481"/>
      <c r="D860" s="180"/>
      <c r="E860" s="180"/>
      <c r="F860" s="180"/>
      <c r="G860" s="460"/>
      <c r="H860" s="181"/>
      <c r="I860" s="181"/>
      <c r="J860" s="181"/>
      <c r="K860" s="181"/>
      <c r="L860" s="181"/>
      <c r="M860" s="329"/>
      <c r="N860" s="181"/>
      <c r="O860" s="181"/>
      <c r="P860" s="176"/>
      <c r="Q860" s="181"/>
      <c r="R860" s="181"/>
      <c r="S860" s="176"/>
      <c r="T860" s="181"/>
      <c r="U860" s="181"/>
      <c r="V860" s="176"/>
      <c r="W860" s="181"/>
      <c r="X860" s="181"/>
      <c r="Y860" s="176"/>
      <c r="Z860" s="181"/>
      <c r="AA860" s="181"/>
      <c r="AB860" s="176"/>
      <c r="AC860" s="181"/>
      <c r="AD860" s="181"/>
      <c r="AE860" s="176"/>
      <c r="AF860" s="176"/>
      <c r="AG860" s="176"/>
      <c r="AH860" s="176"/>
      <c r="AI860" s="181"/>
      <c r="AJ860" s="181"/>
      <c r="AK860" s="176"/>
      <c r="AL860" s="181"/>
      <c r="AM860" s="181"/>
      <c r="AN860" s="176"/>
      <c r="AO860" s="181"/>
      <c r="AP860" s="181"/>
    </row>
    <row r="861" ht="12.75" customHeight="1">
      <c r="A861" s="179"/>
      <c r="B861" s="459"/>
      <c r="C861" s="481"/>
      <c r="D861" s="180"/>
      <c r="E861" s="180"/>
      <c r="F861" s="180"/>
      <c r="G861" s="460"/>
      <c r="H861" s="181"/>
      <c r="I861" s="181"/>
      <c r="J861" s="181"/>
      <c r="K861" s="181"/>
      <c r="L861" s="181"/>
      <c r="M861" s="329"/>
      <c r="N861" s="181"/>
      <c r="O861" s="181"/>
      <c r="P861" s="176"/>
      <c r="Q861" s="181"/>
      <c r="R861" s="181"/>
      <c r="S861" s="176"/>
      <c r="T861" s="181"/>
      <c r="U861" s="181"/>
      <c r="V861" s="176"/>
      <c r="W861" s="181"/>
      <c r="X861" s="181"/>
      <c r="Y861" s="176"/>
      <c r="Z861" s="181"/>
      <c r="AA861" s="181"/>
      <c r="AB861" s="176"/>
      <c r="AC861" s="181"/>
      <c r="AD861" s="181"/>
      <c r="AE861" s="176"/>
      <c r="AF861" s="176"/>
      <c r="AG861" s="176"/>
      <c r="AH861" s="176"/>
      <c r="AI861" s="181"/>
      <c r="AJ861" s="181"/>
      <c r="AK861" s="176"/>
      <c r="AL861" s="181"/>
      <c r="AM861" s="181"/>
      <c r="AN861" s="176"/>
      <c r="AO861" s="181"/>
      <c r="AP861" s="181"/>
    </row>
    <row r="862" ht="12.75" customHeight="1">
      <c r="A862" s="179"/>
      <c r="B862" s="459"/>
      <c r="C862" s="481"/>
      <c r="D862" s="180"/>
      <c r="E862" s="180"/>
      <c r="F862" s="180"/>
      <c r="G862" s="460"/>
      <c r="H862" s="181"/>
      <c r="I862" s="181"/>
      <c r="J862" s="181"/>
      <c r="K862" s="181"/>
      <c r="L862" s="181"/>
      <c r="M862" s="329"/>
      <c r="N862" s="181"/>
      <c r="O862" s="181"/>
      <c r="P862" s="176"/>
      <c r="Q862" s="181"/>
      <c r="R862" s="181"/>
      <c r="S862" s="176"/>
      <c r="T862" s="181"/>
      <c r="U862" s="181"/>
      <c r="V862" s="176"/>
      <c r="W862" s="181"/>
      <c r="X862" s="181"/>
      <c r="Y862" s="176"/>
      <c r="Z862" s="181"/>
      <c r="AA862" s="181"/>
      <c r="AB862" s="176"/>
      <c r="AC862" s="181"/>
      <c r="AD862" s="181"/>
      <c r="AE862" s="176"/>
      <c r="AF862" s="176"/>
      <c r="AG862" s="176"/>
      <c r="AH862" s="176"/>
      <c r="AI862" s="181"/>
      <c r="AJ862" s="181"/>
      <c r="AK862" s="176"/>
      <c r="AL862" s="181"/>
      <c r="AM862" s="181"/>
      <c r="AN862" s="176"/>
      <c r="AO862" s="181"/>
      <c r="AP862" s="181"/>
    </row>
    <row r="863" ht="12.75" customHeight="1">
      <c r="A863" s="179"/>
      <c r="B863" s="459"/>
      <c r="C863" s="481"/>
      <c r="D863" s="180"/>
      <c r="E863" s="180"/>
      <c r="F863" s="180"/>
      <c r="G863" s="460"/>
      <c r="H863" s="181"/>
      <c r="I863" s="181"/>
      <c r="J863" s="181"/>
      <c r="K863" s="181"/>
      <c r="L863" s="181"/>
      <c r="M863" s="329"/>
      <c r="N863" s="181"/>
      <c r="O863" s="181"/>
      <c r="P863" s="176"/>
      <c r="Q863" s="181"/>
      <c r="R863" s="181"/>
      <c r="S863" s="176"/>
      <c r="T863" s="181"/>
      <c r="U863" s="181"/>
      <c r="V863" s="176"/>
      <c r="W863" s="181"/>
      <c r="X863" s="181"/>
      <c r="Y863" s="176"/>
      <c r="Z863" s="181"/>
      <c r="AA863" s="181"/>
      <c r="AB863" s="176"/>
      <c r="AC863" s="181"/>
      <c r="AD863" s="181"/>
      <c r="AE863" s="176"/>
      <c r="AF863" s="176"/>
      <c r="AG863" s="176"/>
      <c r="AH863" s="176"/>
      <c r="AI863" s="181"/>
      <c r="AJ863" s="181"/>
      <c r="AK863" s="176"/>
      <c r="AL863" s="181"/>
      <c r="AM863" s="181"/>
      <c r="AN863" s="176"/>
      <c r="AO863" s="181"/>
      <c r="AP863" s="181"/>
    </row>
    <row r="864" ht="12.75" customHeight="1">
      <c r="A864" s="179"/>
      <c r="B864" s="459"/>
      <c r="C864" s="481"/>
      <c r="D864" s="180"/>
      <c r="E864" s="180"/>
      <c r="F864" s="180"/>
      <c r="G864" s="460"/>
      <c r="H864" s="181"/>
      <c r="I864" s="181"/>
      <c r="J864" s="181"/>
      <c r="K864" s="181"/>
      <c r="L864" s="181"/>
      <c r="M864" s="329"/>
      <c r="N864" s="181"/>
      <c r="O864" s="181"/>
      <c r="P864" s="176"/>
      <c r="Q864" s="181"/>
      <c r="R864" s="181"/>
      <c r="S864" s="176"/>
      <c r="T864" s="181"/>
      <c r="U864" s="181"/>
      <c r="V864" s="176"/>
      <c r="W864" s="181"/>
      <c r="X864" s="181"/>
      <c r="Y864" s="176"/>
      <c r="Z864" s="181"/>
      <c r="AA864" s="181"/>
      <c r="AB864" s="176"/>
      <c r="AC864" s="181"/>
      <c r="AD864" s="181"/>
      <c r="AE864" s="176"/>
      <c r="AF864" s="176"/>
      <c r="AG864" s="176"/>
      <c r="AH864" s="176"/>
      <c r="AI864" s="181"/>
      <c r="AJ864" s="181"/>
      <c r="AK864" s="176"/>
      <c r="AL864" s="181"/>
      <c r="AM864" s="181"/>
      <c r="AN864" s="176"/>
      <c r="AO864" s="181"/>
      <c r="AP864" s="181"/>
    </row>
    <row r="865" ht="12.75" customHeight="1">
      <c r="A865" s="179"/>
      <c r="B865" s="459"/>
      <c r="C865" s="481"/>
      <c r="D865" s="180"/>
      <c r="E865" s="180"/>
      <c r="F865" s="180"/>
      <c r="G865" s="460"/>
      <c r="H865" s="181"/>
      <c r="I865" s="181"/>
      <c r="J865" s="181"/>
      <c r="K865" s="181"/>
      <c r="L865" s="181"/>
      <c r="M865" s="329"/>
      <c r="N865" s="181"/>
      <c r="O865" s="181"/>
      <c r="P865" s="176"/>
      <c r="Q865" s="181"/>
      <c r="R865" s="181"/>
      <c r="S865" s="176"/>
      <c r="T865" s="181"/>
      <c r="U865" s="181"/>
      <c r="V865" s="176"/>
      <c r="W865" s="181"/>
      <c r="X865" s="181"/>
      <c r="Y865" s="176"/>
      <c r="Z865" s="181"/>
      <c r="AA865" s="181"/>
      <c r="AB865" s="176"/>
      <c r="AC865" s="181"/>
      <c r="AD865" s="181"/>
      <c r="AE865" s="176"/>
      <c r="AF865" s="176"/>
      <c r="AG865" s="176"/>
      <c r="AH865" s="176"/>
      <c r="AI865" s="181"/>
      <c r="AJ865" s="181"/>
      <c r="AK865" s="176"/>
      <c r="AL865" s="181"/>
      <c r="AM865" s="181"/>
      <c r="AN865" s="176"/>
      <c r="AO865" s="181"/>
      <c r="AP865" s="181"/>
    </row>
    <row r="866" ht="12.75" customHeight="1">
      <c r="A866" s="179"/>
      <c r="B866" s="459"/>
      <c r="C866" s="481"/>
      <c r="D866" s="180"/>
      <c r="E866" s="180"/>
      <c r="F866" s="180"/>
      <c r="G866" s="460"/>
      <c r="H866" s="181"/>
      <c r="I866" s="181"/>
      <c r="J866" s="181"/>
      <c r="K866" s="181"/>
      <c r="L866" s="181"/>
      <c r="M866" s="329"/>
      <c r="N866" s="181"/>
      <c r="O866" s="181"/>
      <c r="P866" s="176"/>
      <c r="Q866" s="181"/>
      <c r="R866" s="181"/>
      <c r="S866" s="176"/>
      <c r="T866" s="181"/>
      <c r="U866" s="181"/>
      <c r="V866" s="176"/>
      <c r="W866" s="181"/>
      <c r="X866" s="181"/>
      <c r="Y866" s="176"/>
      <c r="Z866" s="181"/>
      <c r="AA866" s="181"/>
      <c r="AB866" s="176"/>
      <c r="AC866" s="181"/>
      <c r="AD866" s="181"/>
      <c r="AE866" s="176"/>
      <c r="AF866" s="176"/>
      <c r="AG866" s="176"/>
      <c r="AH866" s="176"/>
      <c r="AI866" s="181"/>
      <c r="AJ866" s="181"/>
      <c r="AK866" s="176"/>
      <c r="AL866" s="181"/>
      <c r="AM866" s="181"/>
      <c r="AN866" s="176"/>
      <c r="AO866" s="181"/>
      <c r="AP866" s="181"/>
    </row>
    <row r="867" ht="12.75" customHeight="1">
      <c r="A867" s="179"/>
      <c r="B867" s="459"/>
      <c r="C867" s="481"/>
      <c r="D867" s="180"/>
      <c r="E867" s="180"/>
      <c r="F867" s="180"/>
      <c r="G867" s="460"/>
      <c r="H867" s="181"/>
      <c r="I867" s="181"/>
      <c r="J867" s="181"/>
      <c r="K867" s="181"/>
      <c r="L867" s="181"/>
      <c r="M867" s="329"/>
      <c r="N867" s="181"/>
      <c r="O867" s="181"/>
      <c r="P867" s="176"/>
      <c r="Q867" s="181"/>
      <c r="R867" s="181"/>
      <c r="S867" s="176"/>
      <c r="T867" s="181"/>
      <c r="U867" s="181"/>
      <c r="V867" s="176"/>
      <c r="W867" s="181"/>
      <c r="X867" s="181"/>
      <c r="Y867" s="176"/>
      <c r="Z867" s="181"/>
      <c r="AA867" s="181"/>
      <c r="AB867" s="176"/>
      <c r="AC867" s="181"/>
      <c r="AD867" s="181"/>
      <c r="AE867" s="176"/>
      <c r="AF867" s="176"/>
      <c r="AG867" s="176"/>
      <c r="AH867" s="176"/>
      <c r="AI867" s="181"/>
      <c r="AJ867" s="181"/>
      <c r="AK867" s="176"/>
      <c r="AL867" s="181"/>
      <c r="AM867" s="181"/>
      <c r="AN867" s="176"/>
      <c r="AO867" s="181"/>
      <c r="AP867" s="181"/>
    </row>
    <row r="868" ht="12.75" customHeight="1">
      <c r="A868" s="179"/>
      <c r="B868" s="459"/>
      <c r="C868" s="481"/>
      <c r="D868" s="180"/>
      <c r="E868" s="180"/>
      <c r="F868" s="180"/>
      <c r="G868" s="460"/>
      <c r="H868" s="181"/>
      <c r="I868" s="181"/>
      <c r="J868" s="181"/>
      <c r="K868" s="181"/>
      <c r="L868" s="181"/>
      <c r="M868" s="329"/>
      <c r="N868" s="181"/>
      <c r="O868" s="181"/>
      <c r="P868" s="176"/>
      <c r="Q868" s="181"/>
      <c r="R868" s="181"/>
      <c r="S868" s="176"/>
      <c r="T868" s="181"/>
      <c r="U868" s="181"/>
      <c r="V868" s="176"/>
      <c r="W868" s="181"/>
      <c r="X868" s="181"/>
      <c r="Y868" s="176"/>
      <c r="Z868" s="181"/>
      <c r="AA868" s="181"/>
      <c r="AB868" s="176"/>
      <c r="AC868" s="181"/>
      <c r="AD868" s="181"/>
      <c r="AE868" s="176"/>
      <c r="AF868" s="176"/>
      <c r="AG868" s="176"/>
      <c r="AH868" s="176"/>
      <c r="AI868" s="181"/>
      <c r="AJ868" s="181"/>
      <c r="AK868" s="176"/>
      <c r="AL868" s="181"/>
      <c r="AM868" s="181"/>
      <c r="AN868" s="176"/>
      <c r="AO868" s="181"/>
      <c r="AP868" s="181"/>
    </row>
    <row r="869" ht="12.75" customHeight="1">
      <c r="A869" s="179"/>
      <c r="B869" s="459"/>
      <c r="C869" s="481"/>
      <c r="D869" s="180"/>
      <c r="E869" s="180"/>
      <c r="F869" s="180"/>
      <c r="G869" s="460"/>
      <c r="H869" s="181"/>
      <c r="I869" s="181"/>
      <c r="J869" s="181"/>
      <c r="K869" s="181"/>
      <c r="L869" s="181"/>
      <c r="M869" s="329"/>
      <c r="N869" s="181"/>
      <c r="O869" s="181"/>
      <c r="P869" s="176"/>
      <c r="Q869" s="181"/>
      <c r="R869" s="181"/>
      <c r="S869" s="176"/>
      <c r="T869" s="181"/>
      <c r="U869" s="181"/>
      <c r="V869" s="176"/>
      <c r="W869" s="181"/>
      <c r="X869" s="181"/>
      <c r="Y869" s="176"/>
      <c r="Z869" s="181"/>
      <c r="AA869" s="181"/>
      <c r="AB869" s="176"/>
      <c r="AC869" s="181"/>
      <c r="AD869" s="181"/>
      <c r="AE869" s="176"/>
      <c r="AF869" s="176"/>
      <c r="AG869" s="176"/>
      <c r="AH869" s="176"/>
      <c r="AI869" s="181"/>
      <c r="AJ869" s="181"/>
      <c r="AK869" s="176"/>
      <c r="AL869" s="181"/>
      <c r="AM869" s="181"/>
      <c r="AN869" s="176"/>
      <c r="AO869" s="181"/>
      <c r="AP869" s="181"/>
    </row>
    <row r="870" ht="12.75" customHeight="1">
      <c r="A870" s="179"/>
      <c r="B870" s="459"/>
      <c r="C870" s="481"/>
      <c r="D870" s="180"/>
      <c r="E870" s="180"/>
      <c r="F870" s="180"/>
      <c r="G870" s="460"/>
      <c r="H870" s="181"/>
      <c r="I870" s="181"/>
      <c r="J870" s="181"/>
      <c r="K870" s="181"/>
      <c r="L870" s="181"/>
      <c r="M870" s="329"/>
      <c r="N870" s="181"/>
      <c r="O870" s="181"/>
      <c r="P870" s="176"/>
      <c r="Q870" s="181"/>
      <c r="R870" s="181"/>
      <c r="S870" s="176"/>
      <c r="T870" s="181"/>
      <c r="U870" s="181"/>
      <c r="V870" s="176"/>
      <c r="W870" s="181"/>
      <c r="X870" s="181"/>
      <c r="Y870" s="176"/>
      <c r="Z870" s="181"/>
      <c r="AA870" s="181"/>
      <c r="AB870" s="176"/>
      <c r="AC870" s="181"/>
      <c r="AD870" s="181"/>
      <c r="AE870" s="176"/>
      <c r="AF870" s="176"/>
      <c r="AG870" s="176"/>
      <c r="AH870" s="176"/>
      <c r="AI870" s="181"/>
      <c r="AJ870" s="181"/>
      <c r="AK870" s="176"/>
      <c r="AL870" s="181"/>
      <c r="AM870" s="181"/>
      <c r="AN870" s="176"/>
      <c r="AO870" s="181"/>
      <c r="AP870" s="181"/>
    </row>
    <row r="871" ht="12.75" customHeight="1">
      <c r="A871" s="179"/>
      <c r="B871" s="459"/>
      <c r="C871" s="481"/>
      <c r="D871" s="180"/>
      <c r="E871" s="180"/>
      <c r="F871" s="180"/>
      <c r="G871" s="460"/>
      <c r="H871" s="181"/>
      <c r="I871" s="181"/>
      <c r="J871" s="181"/>
      <c r="K871" s="181"/>
      <c r="L871" s="181"/>
      <c r="M871" s="329"/>
      <c r="N871" s="181"/>
      <c r="O871" s="181"/>
      <c r="P871" s="176"/>
      <c r="Q871" s="181"/>
      <c r="R871" s="181"/>
      <c r="S871" s="176"/>
      <c r="T871" s="181"/>
      <c r="U871" s="181"/>
      <c r="V871" s="176"/>
      <c r="W871" s="181"/>
      <c r="X871" s="181"/>
      <c r="Y871" s="176"/>
      <c r="Z871" s="181"/>
      <c r="AA871" s="181"/>
      <c r="AB871" s="176"/>
      <c r="AC871" s="181"/>
      <c r="AD871" s="181"/>
      <c r="AE871" s="176"/>
      <c r="AF871" s="176"/>
      <c r="AG871" s="176"/>
      <c r="AH871" s="176"/>
      <c r="AI871" s="181"/>
      <c r="AJ871" s="181"/>
      <c r="AK871" s="176"/>
      <c r="AL871" s="181"/>
      <c r="AM871" s="181"/>
      <c r="AN871" s="176"/>
      <c r="AO871" s="181"/>
      <c r="AP871" s="181"/>
    </row>
    <row r="872" ht="12.75" customHeight="1">
      <c r="A872" s="179"/>
      <c r="B872" s="459"/>
      <c r="C872" s="481"/>
      <c r="D872" s="180"/>
      <c r="E872" s="180"/>
      <c r="F872" s="180"/>
      <c r="G872" s="460"/>
      <c r="H872" s="181"/>
      <c r="I872" s="181"/>
      <c r="J872" s="181"/>
      <c r="K872" s="181"/>
      <c r="L872" s="181"/>
      <c r="M872" s="329"/>
      <c r="N872" s="181"/>
      <c r="O872" s="181"/>
      <c r="P872" s="176"/>
      <c r="Q872" s="181"/>
      <c r="R872" s="181"/>
      <c r="S872" s="176"/>
      <c r="T872" s="181"/>
      <c r="U872" s="181"/>
      <c r="V872" s="176"/>
      <c r="W872" s="181"/>
      <c r="X872" s="181"/>
      <c r="Y872" s="176"/>
      <c r="Z872" s="181"/>
      <c r="AA872" s="181"/>
      <c r="AB872" s="176"/>
      <c r="AC872" s="181"/>
      <c r="AD872" s="181"/>
      <c r="AE872" s="176"/>
      <c r="AF872" s="176"/>
      <c r="AG872" s="176"/>
      <c r="AH872" s="176"/>
      <c r="AI872" s="181"/>
      <c r="AJ872" s="181"/>
      <c r="AK872" s="176"/>
      <c r="AL872" s="181"/>
      <c r="AM872" s="181"/>
      <c r="AN872" s="176"/>
      <c r="AO872" s="181"/>
      <c r="AP872" s="181"/>
    </row>
    <row r="873" ht="12.75" customHeight="1">
      <c r="A873" s="179"/>
      <c r="B873" s="459"/>
      <c r="C873" s="481"/>
      <c r="D873" s="180"/>
      <c r="E873" s="180"/>
      <c r="F873" s="180"/>
      <c r="G873" s="460"/>
      <c r="H873" s="181"/>
      <c r="I873" s="181"/>
      <c r="J873" s="181"/>
      <c r="K873" s="181"/>
      <c r="L873" s="181"/>
      <c r="M873" s="329"/>
      <c r="N873" s="181"/>
      <c r="O873" s="181"/>
      <c r="P873" s="176"/>
      <c r="Q873" s="181"/>
      <c r="R873" s="181"/>
      <c r="S873" s="176"/>
      <c r="T873" s="181"/>
      <c r="U873" s="181"/>
      <c r="V873" s="176"/>
      <c r="W873" s="181"/>
      <c r="X873" s="181"/>
      <c r="Y873" s="176"/>
      <c r="Z873" s="181"/>
      <c r="AA873" s="181"/>
      <c r="AB873" s="176"/>
      <c r="AC873" s="181"/>
      <c r="AD873" s="181"/>
      <c r="AE873" s="176"/>
      <c r="AF873" s="176"/>
      <c r="AG873" s="176"/>
      <c r="AH873" s="176"/>
      <c r="AI873" s="181"/>
      <c r="AJ873" s="181"/>
      <c r="AK873" s="176"/>
      <c r="AL873" s="181"/>
      <c r="AM873" s="181"/>
      <c r="AN873" s="176"/>
      <c r="AO873" s="181"/>
      <c r="AP873" s="181"/>
    </row>
    <row r="874" ht="12.75" customHeight="1">
      <c r="A874" s="179"/>
      <c r="B874" s="459"/>
      <c r="C874" s="481"/>
      <c r="D874" s="180"/>
      <c r="E874" s="180"/>
      <c r="F874" s="180"/>
      <c r="G874" s="460"/>
      <c r="H874" s="181"/>
      <c r="I874" s="181"/>
      <c r="J874" s="181"/>
      <c r="K874" s="181"/>
      <c r="L874" s="181"/>
      <c r="M874" s="329"/>
      <c r="N874" s="181"/>
      <c r="O874" s="181"/>
      <c r="P874" s="176"/>
      <c r="Q874" s="181"/>
      <c r="R874" s="181"/>
      <c r="S874" s="176"/>
      <c r="T874" s="181"/>
      <c r="U874" s="181"/>
      <c r="V874" s="176"/>
      <c r="W874" s="181"/>
      <c r="X874" s="181"/>
      <c r="Y874" s="176"/>
      <c r="Z874" s="181"/>
      <c r="AA874" s="181"/>
      <c r="AB874" s="176"/>
      <c r="AC874" s="181"/>
      <c r="AD874" s="181"/>
      <c r="AE874" s="176"/>
      <c r="AF874" s="176"/>
      <c r="AG874" s="176"/>
      <c r="AH874" s="176"/>
      <c r="AI874" s="181"/>
      <c r="AJ874" s="181"/>
      <c r="AK874" s="176"/>
      <c r="AL874" s="181"/>
      <c r="AM874" s="181"/>
      <c r="AN874" s="176"/>
      <c r="AO874" s="181"/>
      <c r="AP874" s="181"/>
    </row>
    <row r="875" ht="12.75" customHeight="1">
      <c r="A875" s="179"/>
      <c r="B875" s="459"/>
      <c r="C875" s="481"/>
      <c r="D875" s="180"/>
      <c r="E875" s="180"/>
      <c r="F875" s="180"/>
      <c r="G875" s="460"/>
      <c r="H875" s="181"/>
      <c r="I875" s="181"/>
      <c r="J875" s="181"/>
      <c r="K875" s="181"/>
      <c r="L875" s="181"/>
      <c r="M875" s="329"/>
      <c r="N875" s="181"/>
      <c r="O875" s="181"/>
      <c r="P875" s="176"/>
      <c r="Q875" s="181"/>
      <c r="R875" s="181"/>
      <c r="S875" s="176"/>
      <c r="T875" s="181"/>
      <c r="U875" s="181"/>
      <c r="V875" s="176"/>
      <c r="W875" s="181"/>
      <c r="X875" s="181"/>
      <c r="Y875" s="176"/>
      <c r="Z875" s="181"/>
      <c r="AA875" s="181"/>
      <c r="AB875" s="176"/>
      <c r="AC875" s="181"/>
      <c r="AD875" s="181"/>
      <c r="AE875" s="176"/>
      <c r="AF875" s="176"/>
      <c r="AG875" s="176"/>
      <c r="AH875" s="176"/>
      <c r="AI875" s="181"/>
      <c r="AJ875" s="181"/>
      <c r="AK875" s="176"/>
      <c r="AL875" s="181"/>
      <c r="AM875" s="181"/>
      <c r="AN875" s="176"/>
      <c r="AO875" s="181"/>
      <c r="AP875" s="181"/>
    </row>
    <row r="876" ht="12.75" customHeight="1">
      <c r="A876" s="179"/>
      <c r="B876" s="459"/>
      <c r="C876" s="481"/>
      <c r="D876" s="180"/>
      <c r="E876" s="180"/>
      <c r="F876" s="180"/>
      <c r="G876" s="460"/>
      <c r="H876" s="181"/>
      <c r="I876" s="181"/>
      <c r="J876" s="181"/>
      <c r="K876" s="181"/>
      <c r="L876" s="181"/>
      <c r="M876" s="329"/>
      <c r="N876" s="181"/>
      <c r="O876" s="181"/>
      <c r="P876" s="176"/>
      <c r="Q876" s="181"/>
      <c r="R876" s="181"/>
      <c r="S876" s="176"/>
      <c r="T876" s="181"/>
      <c r="U876" s="181"/>
      <c r="V876" s="176"/>
      <c r="W876" s="181"/>
      <c r="X876" s="181"/>
      <c r="Y876" s="176"/>
      <c r="Z876" s="181"/>
      <c r="AA876" s="181"/>
      <c r="AB876" s="176"/>
      <c r="AC876" s="181"/>
      <c r="AD876" s="181"/>
      <c r="AE876" s="176"/>
      <c r="AF876" s="176"/>
      <c r="AG876" s="176"/>
      <c r="AH876" s="176"/>
      <c r="AI876" s="181"/>
      <c r="AJ876" s="181"/>
      <c r="AK876" s="176"/>
      <c r="AL876" s="181"/>
      <c r="AM876" s="181"/>
      <c r="AN876" s="176"/>
      <c r="AO876" s="181"/>
      <c r="AP876" s="181"/>
    </row>
    <row r="877" ht="12.75" customHeight="1">
      <c r="A877" s="179"/>
      <c r="B877" s="459"/>
      <c r="C877" s="481"/>
      <c r="D877" s="180"/>
      <c r="E877" s="180"/>
      <c r="F877" s="180"/>
      <c r="G877" s="460"/>
      <c r="H877" s="181"/>
      <c r="I877" s="181"/>
      <c r="J877" s="181"/>
      <c r="K877" s="181"/>
      <c r="L877" s="181"/>
      <c r="M877" s="329"/>
      <c r="N877" s="181"/>
      <c r="O877" s="181"/>
      <c r="P877" s="176"/>
      <c r="Q877" s="181"/>
      <c r="R877" s="181"/>
      <c r="S877" s="176"/>
      <c r="T877" s="181"/>
      <c r="U877" s="181"/>
      <c r="V877" s="176"/>
      <c r="W877" s="181"/>
      <c r="X877" s="181"/>
      <c r="Y877" s="176"/>
      <c r="Z877" s="181"/>
      <c r="AA877" s="181"/>
      <c r="AB877" s="176"/>
      <c r="AC877" s="181"/>
      <c r="AD877" s="181"/>
      <c r="AE877" s="176"/>
      <c r="AF877" s="176"/>
      <c r="AG877" s="176"/>
      <c r="AH877" s="176"/>
      <c r="AI877" s="181"/>
      <c r="AJ877" s="181"/>
      <c r="AK877" s="176"/>
      <c r="AL877" s="181"/>
      <c r="AM877" s="181"/>
      <c r="AN877" s="176"/>
      <c r="AO877" s="181"/>
      <c r="AP877" s="181"/>
    </row>
    <row r="878" ht="12.75" customHeight="1">
      <c r="A878" s="179"/>
      <c r="B878" s="459"/>
      <c r="C878" s="481"/>
      <c r="D878" s="180"/>
      <c r="E878" s="180"/>
      <c r="F878" s="180"/>
      <c r="G878" s="460"/>
      <c r="H878" s="181"/>
      <c r="I878" s="181"/>
      <c r="J878" s="181"/>
      <c r="K878" s="181"/>
      <c r="L878" s="181"/>
      <c r="M878" s="329"/>
      <c r="N878" s="181"/>
      <c r="O878" s="181"/>
      <c r="P878" s="176"/>
      <c r="Q878" s="181"/>
      <c r="R878" s="181"/>
      <c r="S878" s="176"/>
      <c r="T878" s="181"/>
      <c r="U878" s="181"/>
      <c r="V878" s="176"/>
      <c r="W878" s="181"/>
      <c r="X878" s="181"/>
      <c r="Y878" s="176"/>
      <c r="Z878" s="181"/>
      <c r="AA878" s="181"/>
      <c r="AB878" s="176"/>
      <c r="AC878" s="181"/>
      <c r="AD878" s="181"/>
      <c r="AE878" s="176"/>
      <c r="AF878" s="176"/>
      <c r="AG878" s="176"/>
      <c r="AH878" s="176"/>
      <c r="AI878" s="181"/>
      <c r="AJ878" s="181"/>
      <c r="AK878" s="176"/>
      <c r="AL878" s="181"/>
      <c r="AM878" s="181"/>
      <c r="AN878" s="176"/>
      <c r="AO878" s="181"/>
      <c r="AP878" s="181"/>
    </row>
    <row r="879" ht="12.75" customHeight="1">
      <c r="A879" s="179"/>
      <c r="B879" s="459"/>
      <c r="C879" s="481"/>
      <c r="D879" s="180"/>
      <c r="E879" s="180"/>
      <c r="F879" s="180"/>
      <c r="G879" s="460"/>
      <c r="H879" s="181"/>
      <c r="I879" s="181"/>
      <c r="J879" s="181"/>
      <c r="K879" s="181"/>
      <c r="L879" s="181"/>
      <c r="M879" s="329"/>
      <c r="N879" s="181"/>
      <c r="O879" s="181"/>
      <c r="P879" s="176"/>
      <c r="Q879" s="181"/>
      <c r="R879" s="181"/>
      <c r="S879" s="176"/>
      <c r="T879" s="181"/>
      <c r="U879" s="181"/>
      <c r="V879" s="176"/>
      <c r="W879" s="181"/>
      <c r="X879" s="181"/>
      <c r="Y879" s="176"/>
      <c r="Z879" s="181"/>
      <c r="AA879" s="181"/>
      <c r="AB879" s="176"/>
      <c r="AC879" s="181"/>
      <c r="AD879" s="181"/>
      <c r="AE879" s="176"/>
      <c r="AF879" s="176"/>
      <c r="AG879" s="176"/>
      <c r="AH879" s="176"/>
      <c r="AI879" s="181"/>
      <c r="AJ879" s="181"/>
      <c r="AK879" s="176"/>
      <c r="AL879" s="181"/>
      <c r="AM879" s="181"/>
      <c r="AN879" s="176"/>
      <c r="AO879" s="181"/>
      <c r="AP879" s="181"/>
    </row>
    <row r="880" ht="12.75" customHeight="1">
      <c r="A880" s="179"/>
      <c r="B880" s="459"/>
      <c r="C880" s="481"/>
      <c r="D880" s="180"/>
      <c r="E880" s="180"/>
      <c r="F880" s="180"/>
      <c r="G880" s="460"/>
      <c r="H880" s="181"/>
      <c r="I880" s="181"/>
      <c r="J880" s="181"/>
      <c r="K880" s="181"/>
      <c r="L880" s="181"/>
      <c r="M880" s="329"/>
      <c r="N880" s="181"/>
      <c r="O880" s="181"/>
      <c r="P880" s="176"/>
      <c r="Q880" s="181"/>
      <c r="R880" s="181"/>
      <c r="S880" s="176"/>
      <c r="T880" s="181"/>
      <c r="U880" s="181"/>
      <c r="V880" s="176"/>
      <c r="W880" s="181"/>
      <c r="X880" s="181"/>
      <c r="Y880" s="176"/>
      <c r="Z880" s="181"/>
      <c r="AA880" s="181"/>
      <c r="AB880" s="176"/>
      <c r="AC880" s="181"/>
      <c r="AD880" s="181"/>
      <c r="AE880" s="176"/>
      <c r="AF880" s="176"/>
      <c r="AG880" s="176"/>
      <c r="AH880" s="176"/>
      <c r="AI880" s="181"/>
      <c r="AJ880" s="181"/>
      <c r="AK880" s="176"/>
      <c r="AL880" s="181"/>
      <c r="AM880" s="181"/>
      <c r="AN880" s="176"/>
      <c r="AO880" s="181"/>
      <c r="AP880" s="181"/>
    </row>
    <row r="881" ht="12.75" customHeight="1">
      <c r="A881" s="179"/>
      <c r="B881" s="459"/>
      <c r="C881" s="481"/>
      <c r="D881" s="180"/>
      <c r="E881" s="180"/>
      <c r="F881" s="180"/>
      <c r="G881" s="460"/>
      <c r="H881" s="181"/>
      <c r="I881" s="181"/>
      <c r="J881" s="181"/>
      <c r="K881" s="181"/>
      <c r="L881" s="181"/>
      <c r="M881" s="329"/>
      <c r="N881" s="181"/>
      <c r="O881" s="181"/>
      <c r="P881" s="176"/>
      <c r="Q881" s="181"/>
      <c r="R881" s="181"/>
      <c r="S881" s="176"/>
      <c r="T881" s="181"/>
      <c r="U881" s="181"/>
      <c r="V881" s="176"/>
      <c r="W881" s="181"/>
      <c r="X881" s="181"/>
      <c r="Y881" s="176"/>
      <c r="Z881" s="181"/>
      <c r="AA881" s="181"/>
      <c r="AB881" s="176"/>
      <c r="AC881" s="181"/>
      <c r="AD881" s="181"/>
      <c r="AE881" s="176"/>
      <c r="AF881" s="176"/>
      <c r="AG881" s="176"/>
      <c r="AH881" s="176"/>
      <c r="AI881" s="181"/>
      <c r="AJ881" s="181"/>
      <c r="AK881" s="176"/>
      <c r="AL881" s="181"/>
      <c r="AM881" s="181"/>
      <c r="AN881" s="176"/>
      <c r="AO881" s="181"/>
      <c r="AP881" s="181"/>
    </row>
    <row r="882" ht="12.75" customHeight="1">
      <c r="A882" s="179"/>
      <c r="B882" s="459"/>
      <c r="C882" s="481"/>
      <c r="D882" s="180"/>
      <c r="E882" s="180"/>
      <c r="F882" s="180"/>
      <c r="G882" s="460"/>
      <c r="H882" s="181"/>
      <c r="I882" s="181"/>
      <c r="J882" s="181"/>
      <c r="K882" s="181"/>
      <c r="L882" s="181"/>
      <c r="M882" s="329"/>
      <c r="N882" s="181"/>
      <c r="O882" s="181"/>
      <c r="P882" s="176"/>
      <c r="Q882" s="181"/>
      <c r="R882" s="181"/>
      <c r="S882" s="176"/>
      <c r="T882" s="181"/>
      <c r="U882" s="181"/>
      <c r="V882" s="176"/>
      <c r="W882" s="181"/>
      <c r="X882" s="181"/>
      <c r="Y882" s="176"/>
      <c r="Z882" s="181"/>
      <c r="AA882" s="181"/>
      <c r="AB882" s="176"/>
      <c r="AC882" s="181"/>
      <c r="AD882" s="181"/>
      <c r="AE882" s="176"/>
      <c r="AF882" s="176"/>
      <c r="AG882" s="176"/>
      <c r="AH882" s="176"/>
      <c r="AI882" s="181"/>
      <c r="AJ882" s="181"/>
      <c r="AK882" s="176"/>
      <c r="AL882" s="181"/>
      <c r="AM882" s="181"/>
      <c r="AN882" s="176"/>
      <c r="AO882" s="181"/>
      <c r="AP882" s="181"/>
    </row>
    <row r="883" ht="12.75" customHeight="1">
      <c r="A883" s="179"/>
      <c r="B883" s="459"/>
      <c r="C883" s="481"/>
      <c r="D883" s="180"/>
      <c r="E883" s="180"/>
      <c r="F883" s="180"/>
      <c r="G883" s="460"/>
      <c r="H883" s="181"/>
      <c r="I883" s="181"/>
      <c r="J883" s="181"/>
      <c r="K883" s="181"/>
      <c r="L883" s="181"/>
      <c r="M883" s="329"/>
      <c r="N883" s="181"/>
      <c r="O883" s="181"/>
      <c r="P883" s="176"/>
      <c r="Q883" s="181"/>
      <c r="R883" s="181"/>
      <c r="S883" s="176"/>
      <c r="T883" s="181"/>
      <c r="U883" s="181"/>
      <c r="V883" s="176"/>
      <c r="W883" s="181"/>
      <c r="X883" s="181"/>
      <c r="Y883" s="176"/>
      <c r="Z883" s="181"/>
      <c r="AA883" s="181"/>
      <c r="AB883" s="176"/>
      <c r="AC883" s="181"/>
      <c r="AD883" s="181"/>
      <c r="AE883" s="176"/>
      <c r="AF883" s="176"/>
      <c r="AG883" s="176"/>
      <c r="AH883" s="176"/>
      <c r="AI883" s="181"/>
      <c r="AJ883" s="181"/>
      <c r="AK883" s="176"/>
      <c r="AL883" s="181"/>
      <c r="AM883" s="181"/>
      <c r="AN883" s="176"/>
      <c r="AO883" s="181"/>
      <c r="AP883" s="181"/>
    </row>
    <row r="884" ht="12.75" customHeight="1">
      <c r="A884" s="179"/>
      <c r="B884" s="459"/>
      <c r="C884" s="481"/>
      <c r="D884" s="180"/>
      <c r="E884" s="180"/>
      <c r="F884" s="180"/>
      <c r="G884" s="460"/>
      <c r="H884" s="181"/>
      <c r="I884" s="181"/>
      <c r="J884" s="181"/>
      <c r="K884" s="181"/>
      <c r="L884" s="181"/>
      <c r="M884" s="329"/>
      <c r="N884" s="181"/>
      <c r="O884" s="181"/>
      <c r="P884" s="176"/>
      <c r="Q884" s="181"/>
      <c r="R884" s="181"/>
      <c r="S884" s="176"/>
      <c r="T884" s="181"/>
      <c r="U884" s="181"/>
      <c r="V884" s="176"/>
      <c r="W884" s="181"/>
      <c r="X884" s="181"/>
      <c r="Y884" s="176"/>
      <c r="Z884" s="181"/>
      <c r="AA884" s="181"/>
      <c r="AB884" s="176"/>
      <c r="AC884" s="181"/>
      <c r="AD884" s="181"/>
      <c r="AE884" s="176"/>
      <c r="AF884" s="176"/>
      <c r="AG884" s="176"/>
      <c r="AH884" s="176"/>
      <c r="AI884" s="181"/>
      <c r="AJ884" s="181"/>
      <c r="AK884" s="176"/>
      <c r="AL884" s="181"/>
      <c r="AM884" s="181"/>
      <c r="AN884" s="176"/>
      <c r="AO884" s="181"/>
      <c r="AP884" s="181"/>
    </row>
    <row r="885" ht="12.75" customHeight="1">
      <c r="A885" s="179"/>
      <c r="B885" s="459"/>
      <c r="C885" s="481"/>
      <c r="D885" s="180"/>
      <c r="E885" s="180"/>
      <c r="F885" s="180"/>
      <c r="G885" s="460"/>
      <c r="H885" s="181"/>
      <c r="I885" s="181"/>
      <c r="J885" s="181"/>
      <c r="K885" s="181"/>
      <c r="L885" s="181"/>
      <c r="M885" s="329"/>
      <c r="N885" s="181"/>
      <c r="O885" s="181"/>
      <c r="P885" s="176"/>
      <c r="Q885" s="181"/>
      <c r="R885" s="181"/>
      <c r="S885" s="176"/>
      <c r="T885" s="181"/>
      <c r="U885" s="181"/>
      <c r="V885" s="176"/>
      <c r="W885" s="181"/>
      <c r="X885" s="181"/>
      <c r="Y885" s="176"/>
      <c r="Z885" s="181"/>
      <c r="AA885" s="181"/>
      <c r="AB885" s="176"/>
      <c r="AC885" s="181"/>
      <c r="AD885" s="181"/>
      <c r="AE885" s="176"/>
      <c r="AF885" s="176"/>
      <c r="AG885" s="176"/>
      <c r="AH885" s="176"/>
      <c r="AI885" s="181"/>
      <c r="AJ885" s="181"/>
      <c r="AK885" s="176"/>
      <c r="AL885" s="181"/>
      <c r="AM885" s="181"/>
      <c r="AN885" s="176"/>
      <c r="AO885" s="181"/>
      <c r="AP885" s="181"/>
    </row>
    <row r="886" ht="12.75" customHeight="1">
      <c r="A886" s="179"/>
      <c r="B886" s="459"/>
      <c r="C886" s="481"/>
      <c r="D886" s="180"/>
      <c r="E886" s="180"/>
      <c r="F886" s="180"/>
      <c r="G886" s="460"/>
      <c r="H886" s="181"/>
      <c r="I886" s="181"/>
      <c r="J886" s="181"/>
      <c r="K886" s="181"/>
      <c r="L886" s="181"/>
      <c r="M886" s="329"/>
      <c r="N886" s="181"/>
      <c r="O886" s="181"/>
      <c r="P886" s="176"/>
      <c r="Q886" s="181"/>
      <c r="R886" s="181"/>
      <c r="S886" s="176"/>
      <c r="T886" s="181"/>
      <c r="U886" s="181"/>
      <c r="V886" s="176"/>
      <c r="W886" s="181"/>
      <c r="X886" s="181"/>
      <c r="Y886" s="176"/>
      <c r="Z886" s="181"/>
      <c r="AA886" s="181"/>
      <c r="AB886" s="176"/>
      <c r="AC886" s="181"/>
      <c r="AD886" s="181"/>
      <c r="AE886" s="176"/>
      <c r="AF886" s="176"/>
      <c r="AG886" s="176"/>
      <c r="AH886" s="176"/>
      <c r="AI886" s="181"/>
      <c r="AJ886" s="181"/>
      <c r="AK886" s="176"/>
      <c r="AL886" s="181"/>
      <c r="AM886" s="181"/>
      <c r="AN886" s="176"/>
      <c r="AO886" s="181"/>
      <c r="AP886" s="181"/>
    </row>
    <row r="887" ht="12.75" customHeight="1">
      <c r="A887" s="179"/>
      <c r="B887" s="459"/>
      <c r="C887" s="481"/>
      <c r="D887" s="180"/>
      <c r="E887" s="180"/>
      <c r="F887" s="180"/>
      <c r="G887" s="460"/>
      <c r="H887" s="181"/>
      <c r="I887" s="181"/>
      <c r="J887" s="181"/>
      <c r="K887" s="181"/>
      <c r="L887" s="181"/>
      <c r="M887" s="329"/>
      <c r="N887" s="181"/>
      <c r="O887" s="181"/>
      <c r="P887" s="176"/>
      <c r="Q887" s="181"/>
      <c r="R887" s="181"/>
      <c r="S887" s="176"/>
      <c r="T887" s="181"/>
      <c r="U887" s="181"/>
      <c r="V887" s="176"/>
      <c r="W887" s="181"/>
      <c r="X887" s="181"/>
      <c r="Y887" s="176"/>
      <c r="Z887" s="181"/>
      <c r="AA887" s="181"/>
      <c r="AB887" s="176"/>
      <c r="AC887" s="181"/>
      <c r="AD887" s="181"/>
      <c r="AE887" s="176"/>
      <c r="AF887" s="176"/>
      <c r="AG887" s="176"/>
      <c r="AH887" s="176"/>
      <c r="AI887" s="181"/>
      <c r="AJ887" s="181"/>
      <c r="AK887" s="176"/>
      <c r="AL887" s="181"/>
      <c r="AM887" s="181"/>
      <c r="AN887" s="176"/>
      <c r="AO887" s="181"/>
      <c r="AP887" s="181"/>
    </row>
    <row r="888" ht="12.75" customHeight="1">
      <c r="A888" s="179"/>
      <c r="B888" s="459"/>
      <c r="C888" s="481"/>
      <c r="D888" s="180"/>
      <c r="E888" s="180"/>
      <c r="F888" s="180"/>
      <c r="G888" s="460"/>
      <c r="H888" s="181"/>
      <c r="I888" s="181"/>
      <c r="J888" s="181"/>
      <c r="K888" s="181"/>
      <c r="L888" s="181"/>
      <c r="M888" s="329"/>
      <c r="N888" s="181"/>
      <c r="O888" s="181"/>
      <c r="P888" s="176"/>
      <c r="Q888" s="181"/>
      <c r="R888" s="181"/>
      <c r="S888" s="176"/>
      <c r="T888" s="181"/>
      <c r="U888" s="181"/>
      <c r="V888" s="176"/>
      <c r="W888" s="181"/>
      <c r="X888" s="181"/>
      <c r="Y888" s="176"/>
      <c r="Z888" s="181"/>
      <c r="AA888" s="181"/>
      <c r="AB888" s="176"/>
      <c r="AC888" s="181"/>
      <c r="AD888" s="181"/>
      <c r="AE888" s="176"/>
      <c r="AF888" s="176"/>
      <c r="AG888" s="176"/>
      <c r="AH888" s="176"/>
      <c r="AI888" s="181"/>
      <c r="AJ888" s="181"/>
      <c r="AK888" s="176"/>
      <c r="AL888" s="181"/>
      <c r="AM888" s="181"/>
      <c r="AN888" s="176"/>
      <c r="AO888" s="181"/>
      <c r="AP888" s="181"/>
    </row>
    <row r="889" ht="12.75" customHeight="1">
      <c r="A889" s="179"/>
      <c r="B889" s="459"/>
      <c r="C889" s="481"/>
      <c r="D889" s="180"/>
      <c r="E889" s="180"/>
      <c r="F889" s="180"/>
      <c r="G889" s="460"/>
      <c r="H889" s="181"/>
      <c r="I889" s="181"/>
      <c r="J889" s="181"/>
      <c r="K889" s="181"/>
      <c r="L889" s="181"/>
      <c r="M889" s="329"/>
      <c r="N889" s="181"/>
      <c r="O889" s="181"/>
      <c r="P889" s="176"/>
      <c r="Q889" s="181"/>
      <c r="R889" s="181"/>
      <c r="S889" s="176"/>
      <c r="T889" s="181"/>
      <c r="U889" s="181"/>
      <c r="V889" s="176"/>
      <c r="W889" s="181"/>
      <c r="X889" s="181"/>
      <c r="Y889" s="176"/>
      <c r="Z889" s="181"/>
      <c r="AA889" s="181"/>
      <c r="AB889" s="176"/>
      <c r="AC889" s="181"/>
      <c r="AD889" s="181"/>
      <c r="AE889" s="176"/>
      <c r="AF889" s="176"/>
      <c r="AG889" s="176"/>
      <c r="AH889" s="176"/>
      <c r="AI889" s="181"/>
      <c r="AJ889" s="181"/>
      <c r="AK889" s="176"/>
      <c r="AL889" s="181"/>
      <c r="AM889" s="181"/>
      <c r="AN889" s="176"/>
      <c r="AO889" s="181"/>
      <c r="AP889" s="181"/>
    </row>
    <row r="890" ht="12.75" customHeight="1">
      <c r="A890" s="179"/>
      <c r="B890" s="459"/>
      <c r="C890" s="481"/>
      <c r="D890" s="180"/>
      <c r="E890" s="180"/>
      <c r="F890" s="180"/>
      <c r="G890" s="460"/>
      <c r="H890" s="181"/>
      <c r="I890" s="181"/>
      <c r="J890" s="181"/>
      <c r="K890" s="181"/>
      <c r="L890" s="181"/>
      <c r="M890" s="329"/>
      <c r="N890" s="181"/>
      <c r="O890" s="181"/>
      <c r="P890" s="176"/>
      <c r="Q890" s="181"/>
      <c r="R890" s="181"/>
      <c r="S890" s="176"/>
      <c r="T890" s="181"/>
      <c r="U890" s="181"/>
      <c r="V890" s="176"/>
      <c r="W890" s="181"/>
      <c r="X890" s="181"/>
      <c r="Y890" s="176"/>
      <c r="Z890" s="181"/>
      <c r="AA890" s="181"/>
      <c r="AB890" s="176"/>
      <c r="AC890" s="181"/>
      <c r="AD890" s="181"/>
      <c r="AE890" s="176"/>
      <c r="AF890" s="176"/>
      <c r="AG890" s="176"/>
      <c r="AH890" s="176"/>
      <c r="AI890" s="181"/>
      <c r="AJ890" s="181"/>
      <c r="AK890" s="176"/>
      <c r="AL890" s="181"/>
      <c r="AM890" s="181"/>
      <c r="AN890" s="176"/>
      <c r="AO890" s="181"/>
      <c r="AP890" s="181"/>
    </row>
    <row r="891" ht="12.75" customHeight="1">
      <c r="A891" s="179"/>
      <c r="B891" s="459"/>
      <c r="C891" s="481"/>
      <c r="D891" s="180"/>
      <c r="E891" s="180"/>
      <c r="F891" s="180"/>
      <c r="G891" s="460"/>
      <c r="H891" s="181"/>
      <c r="I891" s="181"/>
      <c r="J891" s="181"/>
      <c r="K891" s="181"/>
      <c r="L891" s="181"/>
      <c r="M891" s="329"/>
      <c r="N891" s="181"/>
      <c r="O891" s="181"/>
      <c r="P891" s="176"/>
      <c r="Q891" s="181"/>
      <c r="R891" s="181"/>
      <c r="S891" s="176"/>
      <c r="T891" s="181"/>
      <c r="U891" s="181"/>
      <c r="V891" s="176"/>
      <c r="W891" s="181"/>
      <c r="X891" s="181"/>
      <c r="Y891" s="176"/>
      <c r="Z891" s="181"/>
      <c r="AA891" s="181"/>
      <c r="AB891" s="176"/>
      <c r="AC891" s="181"/>
      <c r="AD891" s="181"/>
      <c r="AE891" s="176"/>
      <c r="AF891" s="176"/>
      <c r="AG891" s="176"/>
      <c r="AH891" s="176"/>
      <c r="AI891" s="181"/>
      <c r="AJ891" s="181"/>
      <c r="AK891" s="176"/>
      <c r="AL891" s="181"/>
      <c r="AM891" s="181"/>
      <c r="AN891" s="176"/>
      <c r="AO891" s="181"/>
      <c r="AP891" s="181"/>
    </row>
    <row r="892" ht="12.75" customHeight="1">
      <c r="A892" s="179"/>
      <c r="B892" s="459"/>
      <c r="C892" s="481"/>
      <c r="D892" s="180"/>
      <c r="E892" s="180"/>
      <c r="F892" s="180"/>
      <c r="G892" s="460"/>
      <c r="H892" s="181"/>
      <c r="I892" s="181"/>
      <c r="J892" s="181"/>
      <c r="K892" s="181"/>
      <c r="L892" s="181"/>
      <c r="M892" s="329"/>
      <c r="N892" s="181"/>
      <c r="O892" s="181"/>
      <c r="P892" s="176"/>
      <c r="Q892" s="181"/>
      <c r="R892" s="181"/>
      <c r="S892" s="176"/>
      <c r="T892" s="181"/>
      <c r="U892" s="181"/>
      <c r="V892" s="176"/>
      <c r="W892" s="181"/>
      <c r="X892" s="181"/>
      <c r="Y892" s="176"/>
      <c r="Z892" s="181"/>
      <c r="AA892" s="181"/>
      <c r="AB892" s="176"/>
      <c r="AC892" s="181"/>
      <c r="AD892" s="181"/>
      <c r="AE892" s="176"/>
      <c r="AF892" s="176"/>
      <c r="AG892" s="176"/>
      <c r="AH892" s="176"/>
      <c r="AI892" s="181"/>
      <c r="AJ892" s="181"/>
      <c r="AK892" s="176"/>
      <c r="AL892" s="181"/>
      <c r="AM892" s="181"/>
      <c r="AN892" s="176"/>
      <c r="AO892" s="181"/>
      <c r="AP892" s="181"/>
    </row>
    <row r="893" ht="12.75" customHeight="1">
      <c r="A893" s="179"/>
      <c r="B893" s="459"/>
      <c r="C893" s="481"/>
      <c r="D893" s="180"/>
      <c r="E893" s="180"/>
      <c r="F893" s="180"/>
      <c r="G893" s="460"/>
      <c r="H893" s="181"/>
      <c r="I893" s="181"/>
      <c r="J893" s="181"/>
      <c r="K893" s="181"/>
      <c r="L893" s="181"/>
      <c r="M893" s="329"/>
      <c r="N893" s="181"/>
      <c r="O893" s="181"/>
      <c r="P893" s="176"/>
      <c r="Q893" s="181"/>
      <c r="R893" s="181"/>
      <c r="S893" s="176"/>
      <c r="T893" s="181"/>
      <c r="U893" s="181"/>
      <c r="V893" s="176"/>
      <c r="W893" s="181"/>
      <c r="X893" s="181"/>
      <c r="Y893" s="176"/>
      <c r="Z893" s="181"/>
      <c r="AA893" s="181"/>
      <c r="AB893" s="176"/>
      <c r="AC893" s="181"/>
      <c r="AD893" s="181"/>
      <c r="AE893" s="176"/>
      <c r="AF893" s="176"/>
      <c r="AG893" s="176"/>
      <c r="AH893" s="176"/>
      <c r="AI893" s="181"/>
      <c r="AJ893" s="181"/>
      <c r="AK893" s="176"/>
      <c r="AL893" s="181"/>
      <c r="AM893" s="181"/>
      <c r="AN893" s="176"/>
      <c r="AO893" s="181"/>
      <c r="AP893" s="181"/>
    </row>
    <row r="894" ht="12.75" customHeight="1">
      <c r="A894" s="179"/>
      <c r="B894" s="459"/>
      <c r="C894" s="481"/>
      <c r="D894" s="180"/>
      <c r="E894" s="180"/>
      <c r="F894" s="180"/>
      <c r="G894" s="460"/>
      <c r="H894" s="181"/>
      <c r="I894" s="181"/>
      <c r="J894" s="181"/>
      <c r="K894" s="181"/>
      <c r="L894" s="181"/>
      <c r="M894" s="329"/>
      <c r="N894" s="181"/>
      <c r="O894" s="181"/>
      <c r="P894" s="176"/>
      <c r="Q894" s="181"/>
      <c r="R894" s="181"/>
      <c r="S894" s="176"/>
      <c r="T894" s="181"/>
      <c r="U894" s="181"/>
      <c r="V894" s="176"/>
      <c r="W894" s="181"/>
      <c r="X894" s="181"/>
      <c r="Y894" s="176"/>
      <c r="Z894" s="181"/>
      <c r="AA894" s="181"/>
      <c r="AB894" s="176"/>
      <c r="AC894" s="181"/>
      <c r="AD894" s="181"/>
      <c r="AE894" s="176"/>
      <c r="AF894" s="176"/>
      <c r="AG894" s="176"/>
      <c r="AH894" s="176"/>
      <c r="AI894" s="181"/>
      <c r="AJ894" s="181"/>
      <c r="AK894" s="176"/>
      <c r="AL894" s="181"/>
      <c r="AM894" s="181"/>
      <c r="AN894" s="176"/>
      <c r="AO894" s="181"/>
      <c r="AP894" s="181"/>
    </row>
    <row r="895" ht="12.75" customHeight="1">
      <c r="A895" s="179"/>
      <c r="B895" s="459"/>
      <c r="C895" s="481"/>
      <c r="D895" s="180"/>
      <c r="E895" s="180"/>
      <c r="F895" s="180"/>
      <c r="G895" s="460"/>
      <c r="H895" s="181"/>
      <c r="I895" s="181"/>
      <c r="J895" s="181"/>
      <c r="K895" s="181"/>
      <c r="L895" s="181"/>
      <c r="M895" s="329"/>
      <c r="N895" s="181"/>
      <c r="O895" s="181"/>
      <c r="P895" s="176"/>
      <c r="Q895" s="181"/>
      <c r="R895" s="181"/>
      <c r="S895" s="176"/>
      <c r="T895" s="181"/>
      <c r="U895" s="181"/>
      <c r="V895" s="176"/>
      <c r="W895" s="181"/>
      <c r="X895" s="181"/>
      <c r="Y895" s="176"/>
      <c r="Z895" s="181"/>
      <c r="AA895" s="181"/>
      <c r="AB895" s="176"/>
      <c r="AC895" s="181"/>
      <c r="AD895" s="181"/>
      <c r="AE895" s="176"/>
      <c r="AF895" s="176"/>
      <c r="AG895" s="176"/>
      <c r="AH895" s="176"/>
      <c r="AI895" s="181"/>
      <c r="AJ895" s="181"/>
      <c r="AK895" s="176"/>
      <c r="AL895" s="181"/>
      <c r="AM895" s="181"/>
      <c r="AN895" s="176"/>
      <c r="AO895" s="181"/>
      <c r="AP895" s="181"/>
    </row>
    <row r="896" ht="12.75" customHeight="1">
      <c r="A896" s="179"/>
      <c r="B896" s="459"/>
      <c r="C896" s="481"/>
      <c r="D896" s="180"/>
      <c r="E896" s="180"/>
      <c r="F896" s="180"/>
      <c r="G896" s="460"/>
      <c r="H896" s="181"/>
      <c r="I896" s="181"/>
      <c r="J896" s="181"/>
      <c r="K896" s="181"/>
      <c r="L896" s="181"/>
      <c r="M896" s="329"/>
      <c r="N896" s="181"/>
      <c r="O896" s="181"/>
      <c r="P896" s="176"/>
      <c r="Q896" s="181"/>
      <c r="R896" s="181"/>
      <c r="S896" s="176"/>
      <c r="T896" s="181"/>
      <c r="U896" s="181"/>
      <c r="V896" s="176"/>
      <c r="W896" s="181"/>
      <c r="X896" s="181"/>
      <c r="Y896" s="176"/>
      <c r="Z896" s="181"/>
      <c r="AA896" s="181"/>
      <c r="AB896" s="176"/>
      <c r="AC896" s="181"/>
      <c r="AD896" s="181"/>
      <c r="AE896" s="176"/>
      <c r="AF896" s="176"/>
      <c r="AG896" s="176"/>
      <c r="AH896" s="176"/>
      <c r="AI896" s="181"/>
      <c r="AJ896" s="181"/>
      <c r="AK896" s="176"/>
      <c r="AL896" s="181"/>
      <c r="AM896" s="181"/>
      <c r="AN896" s="176"/>
      <c r="AO896" s="181"/>
      <c r="AP896" s="181"/>
    </row>
    <row r="897" ht="12.75" customHeight="1">
      <c r="A897" s="179"/>
      <c r="B897" s="459"/>
      <c r="C897" s="481"/>
      <c r="D897" s="180"/>
      <c r="E897" s="180"/>
      <c r="F897" s="180"/>
      <c r="G897" s="460"/>
      <c r="H897" s="181"/>
      <c r="I897" s="181"/>
      <c r="J897" s="181"/>
      <c r="K897" s="181"/>
      <c r="L897" s="181"/>
      <c r="M897" s="329"/>
      <c r="N897" s="181"/>
      <c r="O897" s="181"/>
      <c r="P897" s="176"/>
      <c r="Q897" s="181"/>
      <c r="R897" s="181"/>
      <c r="S897" s="176"/>
      <c r="T897" s="181"/>
      <c r="U897" s="181"/>
      <c r="V897" s="176"/>
      <c r="W897" s="181"/>
      <c r="X897" s="181"/>
      <c r="Y897" s="176"/>
      <c r="Z897" s="181"/>
      <c r="AA897" s="181"/>
      <c r="AB897" s="176"/>
      <c r="AC897" s="181"/>
      <c r="AD897" s="181"/>
      <c r="AE897" s="176"/>
      <c r="AF897" s="176"/>
      <c r="AG897" s="176"/>
      <c r="AH897" s="176"/>
      <c r="AI897" s="181"/>
      <c r="AJ897" s="181"/>
      <c r="AK897" s="176"/>
      <c r="AL897" s="181"/>
      <c r="AM897" s="181"/>
      <c r="AN897" s="176"/>
      <c r="AO897" s="181"/>
      <c r="AP897" s="181"/>
    </row>
    <row r="898" ht="12.75" customHeight="1">
      <c r="A898" s="179"/>
      <c r="B898" s="459"/>
      <c r="C898" s="481"/>
      <c r="D898" s="180"/>
      <c r="E898" s="180"/>
      <c r="F898" s="180"/>
      <c r="G898" s="460"/>
      <c r="H898" s="181"/>
      <c r="I898" s="181"/>
      <c r="J898" s="181"/>
      <c r="K898" s="181"/>
      <c r="L898" s="181"/>
      <c r="M898" s="329"/>
      <c r="N898" s="181"/>
      <c r="O898" s="181"/>
      <c r="P898" s="176"/>
      <c r="Q898" s="181"/>
      <c r="R898" s="181"/>
      <c r="S898" s="176"/>
      <c r="T898" s="181"/>
      <c r="U898" s="181"/>
      <c r="V898" s="176"/>
      <c r="W898" s="181"/>
      <c r="X898" s="181"/>
      <c r="Y898" s="176"/>
      <c r="Z898" s="181"/>
      <c r="AA898" s="181"/>
      <c r="AB898" s="176"/>
      <c r="AC898" s="181"/>
      <c r="AD898" s="181"/>
      <c r="AE898" s="176"/>
      <c r="AF898" s="176"/>
      <c r="AG898" s="176"/>
      <c r="AH898" s="176"/>
      <c r="AI898" s="181"/>
      <c r="AJ898" s="181"/>
      <c r="AK898" s="176"/>
      <c r="AL898" s="181"/>
      <c r="AM898" s="181"/>
      <c r="AN898" s="176"/>
      <c r="AO898" s="181"/>
      <c r="AP898" s="181"/>
    </row>
    <row r="899" ht="12.75" customHeight="1">
      <c r="A899" s="179"/>
      <c r="B899" s="459"/>
      <c r="C899" s="481"/>
      <c r="D899" s="180"/>
      <c r="E899" s="180"/>
      <c r="F899" s="180"/>
      <c r="G899" s="460"/>
      <c r="H899" s="181"/>
      <c r="I899" s="181"/>
      <c r="J899" s="181"/>
      <c r="K899" s="181"/>
      <c r="L899" s="181"/>
      <c r="M899" s="329"/>
      <c r="N899" s="181"/>
      <c r="O899" s="181"/>
      <c r="P899" s="176"/>
      <c r="Q899" s="181"/>
      <c r="R899" s="181"/>
      <c r="S899" s="176"/>
      <c r="T899" s="181"/>
      <c r="U899" s="181"/>
      <c r="V899" s="176"/>
      <c r="W899" s="181"/>
      <c r="X899" s="181"/>
      <c r="Y899" s="176"/>
      <c r="Z899" s="181"/>
      <c r="AA899" s="181"/>
      <c r="AB899" s="176"/>
      <c r="AC899" s="181"/>
      <c r="AD899" s="181"/>
      <c r="AE899" s="176"/>
      <c r="AF899" s="176"/>
      <c r="AG899" s="176"/>
      <c r="AH899" s="176"/>
      <c r="AI899" s="181"/>
      <c r="AJ899" s="181"/>
      <c r="AK899" s="176"/>
      <c r="AL899" s="181"/>
      <c r="AM899" s="181"/>
      <c r="AN899" s="176"/>
      <c r="AO899" s="181"/>
      <c r="AP899" s="181"/>
    </row>
    <row r="900" ht="12.75" customHeight="1">
      <c r="A900" s="179"/>
      <c r="B900" s="459"/>
      <c r="C900" s="481"/>
      <c r="D900" s="180"/>
      <c r="E900" s="180"/>
      <c r="F900" s="180"/>
      <c r="G900" s="460"/>
      <c r="H900" s="181"/>
      <c r="I900" s="181"/>
      <c r="J900" s="181"/>
      <c r="K900" s="181"/>
      <c r="L900" s="181"/>
      <c r="M900" s="329"/>
      <c r="N900" s="181"/>
      <c r="O900" s="181"/>
      <c r="P900" s="176"/>
      <c r="Q900" s="181"/>
      <c r="R900" s="181"/>
      <c r="S900" s="176"/>
      <c r="T900" s="181"/>
      <c r="U900" s="181"/>
      <c r="V900" s="176"/>
      <c r="W900" s="181"/>
      <c r="X900" s="181"/>
      <c r="Y900" s="176"/>
      <c r="Z900" s="181"/>
      <c r="AA900" s="181"/>
      <c r="AB900" s="176"/>
      <c r="AC900" s="181"/>
      <c r="AD900" s="181"/>
      <c r="AE900" s="176"/>
      <c r="AF900" s="176"/>
      <c r="AG900" s="176"/>
      <c r="AH900" s="176"/>
      <c r="AI900" s="181"/>
      <c r="AJ900" s="181"/>
      <c r="AK900" s="176"/>
      <c r="AL900" s="181"/>
      <c r="AM900" s="181"/>
      <c r="AN900" s="176"/>
      <c r="AO900" s="181"/>
      <c r="AP900" s="181"/>
    </row>
    <row r="901" ht="12.75" customHeight="1">
      <c r="A901" s="179"/>
      <c r="B901" s="459"/>
      <c r="C901" s="481"/>
      <c r="D901" s="180"/>
      <c r="E901" s="180"/>
      <c r="F901" s="180"/>
      <c r="G901" s="460"/>
      <c r="H901" s="181"/>
      <c r="I901" s="181"/>
      <c r="J901" s="181"/>
      <c r="K901" s="181"/>
      <c r="L901" s="181"/>
      <c r="M901" s="329"/>
      <c r="N901" s="181"/>
      <c r="O901" s="181"/>
      <c r="P901" s="176"/>
      <c r="Q901" s="181"/>
      <c r="R901" s="181"/>
      <c r="S901" s="176"/>
      <c r="T901" s="181"/>
      <c r="U901" s="181"/>
      <c r="V901" s="176"/>
      <c r="W901" s="181"/>
      <c r="X901" s="181"/>
      <c r="Y901" s="176"/>
      <c r="Z901" s="181"/>
      <c r="AA901" s="181"/>
      <c r="AB901" s="176"/>
      <c r="AC901" s="181"/>
      <c r="AD901" s="181"/>
      <c r="AE901" s="176"/>
      <c r="AF901" s="176"/>
      <c r="AG901" s="176"/>
      <c r="AH901" s="176"/>
      <c r="AI901" s="181"/>
      <c r="AJ901" s="181"/>
      <c r="AK901" s="176"/>
      <c r="AL901" s="181"/>
      <c r="AM901" s="181"/>
      <c r="AN901" s="176"/>
      <c r="AO901" s="181"/>
      <c r="AP901" s="181"/>
    </row>
    <row r="902" ht="12.75" customHeight="1">
      <c r="A902" s="179"/>
      <c r="B902" s="459"/>
      <c r="C902" s="481"/>
      <c r="D902" s="180"/>
      <c r="E902" s="180"/>
      <c r="F902" s="180"/>
      <c r="G902" s="460"/>
      <c r="H902" s="181"/>
      <c r="I902" s="181"/>
      <c r="J902" s="181"/>
      <c r="K902" s="181"/>
      <c r="L902" s="181"/>
      <c r="M902" s="329"/>
      <c r="N902" s="181"/>
      <c r="O902" s="181"/>
      <c r="P902" s="176"/>
      <c r="Q902" s="181"/>
      <c r="R902" s="181"/>
      <c r="S902" s="176"/>
      <c r="T902" s="181"/>
      <c r="U902" s="181"/>
      <c r="V902" s="176"/>
      <c r="W902" s="181"/>
      <c r="X902" s="181"/>
      <c r="Y902" s="176"/>
      <c r="Z902" s="181"/>
      <c r="AA902" s="181"/>
      <c r="AB902" s="176"/>
      <c r="AC902" s="181"/>
      <c r="AD902" s="181"/>
      <c r="AE902" s="176"/>
      <c r="AF902" s="176"/>
      <c r="AG902" s="176"/>
      <c r="AH902" s="176"/>
      <c r="AI902" s="181"/>
      <c r="AJ902" s="181"/>
      <c r="AK902" s="176"/>
      <c r="AL902" s="181"/>
      <c r="AM902" s="181"/>
      <c r="AN902" s="176"/>
      <c r="AO902" s="181"/>
      <c r="AP902" s="181"/>
    </row>
    <row r="903" ht="12.75" customHeight="1">
      <c r="A903" s="179"/>
      <c r="B903" s="459"/>
      <c r="C903" s="481"/>
      <c r="D903" s="180"/>
      <c r="E903" s="180"/>
      <c r="F903" s="180"/>
      <c r="G903" s="460"/>
      <c r="H903" s="181"/>
      <c r="I903" s="181"/>
      <c r="J903" s="181"/>
      <c r="K903" s="181"/>
      <c r="L903" s="181"/>
      <c r="M903" s="329"/>
      <c r="N903" s="181"/>
      <c r="O903" s="181"/>
      <c r="P903" s="176"/>
      <c r="Q903" s="181"/>
      <c r="R903" s="181"/>
      <c r="S903" s="176"/>
      <c r="T903" s="181"/>
      <c r="U903" s="181"/>
      <c r="V903" s="176"/>
      <c r="W903" s="181"/>
      <c r="X903" s="181"/>
      <c r="Y903" s="176"/>
      <c r="Z903" s="181"/>
      <c r="AA903" s="181"/>
      <c r="AB903" s="176"/>
      <c r="AC903" s="181"/>
      <c r="AD903" s="181"/>
      <c r="AE903" s="176"/>
      <c r="AF903" s="176"/>
      <c r="AG903" s="176"/>
      <c r="AH903" s="176"/>
      <c r="AI903" s="181"/>
      <c r="AJ903" s="181"/>
      <c r="AK903" s="176"/>
      <c r="AL903" s="181"/>
      <c r="AM903" s="181"/>
      <c r="AN903" s="176"/>
      <c r="AO903" s="181"/>
      <c r="AP903" s="181"/>
    </row>
    <row r="904" ht="12.75" customHeight="1">
      <c r="A904" s="179"/>
      <c r="B904" s="459"/>
      <c r="C904" s="481"/>
      <c r="D904" s="180"/>
      <c r="E904" s="180"/>
      <c r="F904" s="180"/>
      <c r="G904" s="460"/>
      <c r="H904" s="181"/>
      <c r="I904" s="181"/>
      <c r="J904" s="181"/>
      <c r="K904" s="181"/>
      <c r="L904" s="181"/>
      <c r="M904" s="329"/>
      <c r="N904" s="181"/>
      <c r="O904" s="181"/>
      <c r="P904" s="176"/>
      <c r="Q904" s="181"/>
      <c r="R904" s="181"/>
      <c r="S904" s="176"/>
      <c r="T904" s="181"/>
      <c r="U904" s="181"/>
      <c r="V904" s="176"/>
      <c r="W904" s="181"/>
      <c r="X904" s="181"/>
      <c r="Y904" s="176"/>
      <c r="Z904" s="181"/>
      <c r="AA904" s="181"/>
      <c r="AB904" s="176"/>
      <c r="AC904" s="181"/>
      <c r="AD904" s="181"/>
      <c r="AE904" s="176"/>
      <c r="AF904" s="176"/>
      <c r="AG904" s="176"/>
      <c r="AH904" s="176"/>
      <c r="AI904" s="181"/>
      <c r="AJ904" s="181"/>
      <c r="AK904" s="176"/>
      <c r="AL904" s="181"/>
      <c r="AM904" s="181"/>
      <c r="AN904" s="176"/>
      <c r="AO904" s="181"/>
      <c r="AP904" s="181"/>
    </row>
    <row r="905" ht="12.75" customHeight="1">
      <c r="A905" s="179"/>
      <c r="B905" s="459"/>
      <c r="C905" s="481"/>
      <c r="D905" s="180"/>
      <c r="E905" s="180"/>
      <c r="F905" s="180"/>
      <c r="G905" s="460"/>
      <c r="H905" s="181"/>
      <c r="I905" s="181"/>
      <c r="J905" s="181"/>
      <c r="K905" s="181"/>
      <c r="L905" s="181"/>
      <c r="M905" s="329"/>
      <c r="N905" s="181"/>
      <c r="O905" s="181"/>
      <c r="P905" s="176"/>
      <c r="Q905" s="181"/>
      <c r="R905" s="181"/>
      <c r="S905" s="176"/>
      <c r="T905" s="181"/>
      <c r="U905" s="181"/>
      <c r="V905" s="176"/>
      <c r="W905" s="181"/>
      <c r="X905" s="181"/>
      <c r="Y905" s="176"/>
      <c r="Z905" s="181"/>
      <c r="AA905" s="181"/>
      <c r="AB905" s="176"/>
      <c r="AC905" s="181"/>
      <c r="AD905" s="181"/>
      <c r="AE905" s="176"/>
      <c r="AF905" s="176"/>
      <c r="AG905" s="176"/>
      <c r="AH905" s="176"/>
      <c r="AI905" s="181"/>
      <c r="AJ905" s="181"/>
      <c r="AK905" s="176"/>
      <c r="AL905" s="181"/>
      <c r="AM905" s="181"/>
      <c r="AN905" s="176"/>
      <c r="AO905" s="181"/>
      <c r="AP905" s="181"/>
    </row>
    <row r="906" ht="12.75" customHeight="1">
      <c r="A906" s="179"/>
      <c r="B906" s="459"/>
      <c r="C906" s="481"/>
      <c r="D906" s="180"/>
      <c r="E906" s="180"/>
      <c r="F906" s="180"/>
      <c r="G906" s="460"/>
      <c r="H906" s="181"/>
      <c r="I906" s="181"/>
      <c r="J906" s="181"/>
      <c r="K906" s="181"/>
      <c r="L906" s="181"/>
      <c r="M906" s="329"/>
      <c r="N906" s="181"/>
      <c r="O906" s="181"/>
      <c r="P906" s="176"/>
      <c r="Q906" s="181"/>
      <c r="R906" s="181"/>
      <c r="S906" s="176"/>
      <c r="T906" s="181"/>
      <c r="U906" s="181"/>
      <c r="V906" s="176"/>
      <c r="W906" s="181"/>
      <c r="X906" s="181"/>
      <c r="Y906" s="176"/>
      <c r="Z906" s="181"/>
      <c r="AA906" s="181"/>
      <c r="AB906" s="176"/>
      <c r="AC906" s="181"/>
      <c r="AD906" s="181"/>
      <c r="AE906" s="176"/>
      <c r="AF906" s="176"/>
      <c r="AG906" s="176"/>
      <c r="AH906" s="176"/>
      <c r="AI906" s="181"/>
      <c r="AJ906" s="181"/>
      <c r="AK906" s="176"/>
      <c r="AL906" s="181"/>
      <c r="AM906" s="181"/>
      <c r="AN906" s="176"/>
      <c r="AO906" s="181"/>
      <c r="AP906" s="181"/>
    </row>
    <row r="907" ht="12.75" customHeight="1">
      <c r="A907" s="179"/>
      <c r="B907" s="459"/>
      <c r="C907" s="481"/>
      <c r="D907" s="180"/>
      <c r="E907" s="180"/>
      <c r="F907" s="180"/>
      <c r="G907" s="460"/>
      <c r="H907" s="181"/>
      <c r="I907" s="181"/>
      <c r="J907" s="181"/>
      <c r="K907" s="181"/>
      <c r="L907" s="181"/>
      <c r="M907" s="329"/>
      <c r="N907" s="181"/>
      <c r="O907" s="181"/>
      <c r="P907" s="176"/>
      <c r="Q907" s="181"/>
      <c r="R907" s="181"/>
      <c r="S907" s="176"/>
      <c r="T907" s="181"/>
      <c r="U907" s="181"/>
      <c r="V907" s="176"/>
      <c r="W907" s="181"/>
      <c r="X907" s="181"/>
      <c r="Y907" s="176"/>
      <c r="Z907" s="181"/>
      <c r="AA907" s="181"/>
      <c r="AB907" s="176"/>
      <c r="AC907" s="181"/>
      <c r="AD907" s="181"/>
      <c r="AE907" s="176"/>
      <c r="AF907" s="176"/>
      <c r="AG907" s="176"/>
      <c r="AH907" s="176"/>
      <c r="AI907" s="181"/>
      <c r="AJ907" s="181"/>
      <c r="AK907" s="176"/>
      <c r="AL907" s="181"/>
      <c r="AM907" s="181"/>
      <c r="AN907" s="176"/>
      <c r="AO907" s="181"/>
      <c r="AP907" s="181"/>
    </row>
    <row r="908" ht="12.75" customHeight="1">
      <c r="A908" s="179"/>
      <c r="B908" s="459"/>
      <c r="C908" s="481"/>
      <c r="D908" s="180"/>
      <c r="E908" s="180"/>
      <c r="F908" s="180"/>
      <c r="G908" s="460"/>
      <c r="H908" s="181"/>
      <c r="I908" s="181"/>
      <c r="J908" s="181"/>
      <c r="K908" s="181"/>
      <c r="L908" s="181"/>
      <c r="M908" s="329"/>
      <c r="N908" s="181"/>
      <c r="O908" s="181"/>
      <c r="P908" s="176"/>
      <c r="Q908" s="181"/>
      <c r="R908" s="181"/>
      <c r="S908" s="176"/>
      <c r="T908" s="181"/>
      <c r="U908" s="181"/>
      <c r="V908" s="176"/>
      <c r="W908" s="181"/>
      <c r="X908" s="181"/>
      <c r="Y908" s="176"/>
      <c r="Z908" s="181"/>
      <c r="AA908" s="181"/>
      <c r="AB908" s="176"/>
      <c r="AC908" s="181"/>
      <c r="AD908" s="181"/>
      <c r="AE908" s="176"/>
      <c r="AF908" s="176"/>
      <c r="AG908" s="176"/>
      <c r="AH908" s="176"/>
      <c r="AI908" s="181"/>
      <c r="AJ908" s="181"/>
      <c r="AK908" s="176"/>
      <c r="AL908" s="181"/>
      <c r="AM908" s="181"/>
      <c r="AN908" s="176"/>
      <c r="AO908" s="181"/>
      <c r="AP908" s="181"/>
    </row>
    <row r="909" ht="12.75" customHeight="1">
      <c r="A909" s="179"/>
      <c r="B909" s="459"/>
      <c r="C909" s="481"/>
      <c r="D909" s="180"/>
      <c r="E909" s="180"/>
      <c r="F909" s="180"/>
      <c r="G909" s="460"/>
      <c r="H909" s="181"/>
      <c r="I909" s="181"/>
      <c r="J909" s="181"/>
      <c r="K909" s="181"/>
      <c r="L909" s="181"/>
      <c r="M909" s="329"/>
      <c r="N909" s="181"/>
      <c r="O909" s="181"/>
      <c r="P909" s="176"/>
      <c r="Q909" s="181"/>
      <c r="R909" s="181"/>
      <c r="S909" s="176"/>
      <c r="T909" s="181"/>
      <c r="U909" s="181"/>
      <c r="V909" s="176"/>
      <c r="W909" s="181"/>
      <c r="X909" s="181"/>
      <c r="Y909" s="176"/>
      <c r="Z909" s="181"/>
      <c r="AA909" s="181"/>
      <c r="AB909" s="176"/>
      <c r="AC909" s="181"/>
      <c r="AD909" s="181"/>
      <c r="AE909" s="176"/>
      <c r="AF909" s="176"/>
      <c r="AG909" s="176"/>
      <c r="AH909" s="176"/>
      <c r="AI909" s="181"/>
      <c r="AJ909" s="181"/>
      <c r="AK909" s="176"/>
      <c r="AL909" s="181"/>
      <c r="AM909" s="181"/>
      <c r="AN909" s="176"/>
      <c r="AO909" s="181"/>
      <c r="AP909" s="181"/>
    </row>
    <row r="910" ht="12.75" customHeight="1">
      <c r="A910" s="179"/>
      <c r="B910" s="459"/>
      <c r="C910" s="481"/>
      <c r="D910" s="180"/>
      <c r="E910" s="180"/>
      <c r="F910" s="180"/>
      <c r="G910" s="460"/>
      <c r="H910" s="181"/>
      <c r="I910" s="181"/>
      <c r="J910" s="181"/>
      <c r="K910" s="181"/>
      <c r="L910" s="181"/>
      <c r="M910" s="329"/>
      <c r="N910" s="181"/>
      <c r="O910" s="181"/>
      <c r="P910" s="176"/>
      <c r="Q910" s="181"/>
      <c r="R910" s="181"/>
      <c r="S910" s="176"/>
      <c r="T910" s="181"/>
      <c r="U910" s="181"/>
      <c r="V910" s="176"/>
      <c r="W910" s="181"/>
      <c r="X910" s="181"/>
      <c r="Y910" s="176"/>
      <c r="Z910" s="181"/>
      <c r="AA910" s="181"/>
      <c r="AB910" s="176"/>
      <c r="AC910" s="181"/>
      <c r="AD910" s="181"/>
      <c r="AE910" s="176"/>
      <c r="AF910" s="176"/>
      <c r="AG910" s="176"/>
      <c r="AH910" s="176"/>
      <c r="AI910" s="181"/>
      <c r="AJ910" s="181"/>
      <c r="AK910" s="176"/>
      <c r="AL910" s="181"/>
      <c r="AM910" s="181"/>
      <c r="AN910" s="176"/>
      <c r="AO910" s="181"/>
      <c r="AP910" s="181"/>
    </row>
    <row r="911" ht="12.75" customHeight="1">
      <c r="A911" s="179"/>
      <c r="B911" s="459"/>
      <c r="C911" s="481"/>
      <c r="D911" s="180"/>
      <c r="E911" s="180"/>
      <c r="F911" s="180"/>
      <c r="G911" s="460"/>
      <c r="H911" s="181"/>
      <c r="I911" s="181"/>
      <c r="J911" s="181"/>
      <c r="K911" s="181"/>
      <c r="L911" s="181"/>
      <c r="M911" s="329"/>
      <c r="N911" s="181"/>
      <c r="O911" s="181"/>
      <c r="P911" s="176"/>
      <c r="Q911" s="181"/>
      <c r="R911" s="181"/>
      <c r="S911" s="176"/>
      <c r="T911" s="181"/>
      <c r="U911" s="181"/>
      <c r="V911" s="176"/>
      <c r="W911" s="181"/>
      <c r="X911" s="181"/>
      <c r="Y911" s="176"/>
      <c r="Z911" s="181"/>
      <c r="AA911" s="181"/>
      <c r="AB911" s="176"/>
      <c r="AC911" s="181"/>
      <c r="AD911" s="181"/>
      <c r="AE911" s="176"/>
      <c r="AF911" s="176"/>
      <c r="AG911" s="176"/>
      <c r="AH911" s="176"/>
      <c r="AI911" s="181"/>
      <c r="AJ911" s="181"/>
      <c r="AK911" s="176"/>
      <c r="AL911" s="181"/>
      <c r="AM911" s="181"/>
      <c r="AN911" s="176"/>
      <c r="AO911" s="181"/>
      <c r="AP911" s="181"/>
    </row>
    <row r="912" ht="12.75" customHeight="1">
      <c r="A912" s="179"/>
      <c r="B912" s="459"/>
      <c r="C912" s="481"/>
      <c r="D912" s="180"/>
      <c r="E912" s="180"/>
      <c r="F912" s="180"/>
      <c r="G912" s="460"/>
      <c r="H912" s="181"/>
      <c r="I912" s="181"/>
      <c r="J912" s="181"/>
      <c r="K912" s="181"/>
      <c r="L912" s="181"/>
      <c r="M912" s="329"/>
      <c r="N912" s="181"/>
      <c r="O912" s="181"/>
      <c r="P912" s="176"/>
      <c r="Q912" s="181"/>
      <c r="R912" s="181"/>
      <c r="S912" s="176"/>
      <c r="T912" s="181"/>
      <c r="U912" s="181"/>
      <c r="V912" s="176"/>
      <c r="W912" s="181"/>
      <c r="X912" s="181"/>
      <c r="Y912" s="176"/>
      <c r="Z912" s="181"/>
      <c r="AA912" s="181"/>
      <c r="AB912" s="176"/>
      <c r="AC912" s="181"/>
      <c r="AD912" s="181"/>
      <c r="AE912" s="176"/>
      <c r="AF912" s="176"/>
      <c r="AG912" s="176"/>
      <c r="AH912" s="176"/>
      <c r="AI912" s="181"/>
      <c r="AJ912" s="181"/>
      <c r="AK912" s="176"/>
      <c r="AL912" s="181"/>
      <c r="AM912" s="181"/>
      <c r="AN912" s="176"/>
      <c r="AO912" s="181"/>
      <c r="AP912" s="181"/>
    </row>
    <row r="913" ht="12.75" customHeight="1">
      <c r="A913" s="179"/>
      <c r="B913" s="459"/>
      <c r="C913" s="481"/>
      <c r="D913" s="180"/>
      <c r="E913" s="180"/>
      <c r="F913" s="180"/>
      <c r="G913" s="460"/>
      <c r="H913" s="181"/>
      <c r="I913" s="181"/>
      <c r="J913" s="181"/>
      <c r="K913" s="181"/>
      <c r="L913" s="181"/>
      <c r="M913" s="329"/>
      <c r="N913" s="181"/>
      <c r="O913" s="181"/>
      <c r="P913" s="176"/>
      <c r="Q913" s="181"/>
      <c r="R913" s="181"/>
      <c r="S913" s="176"/>
      <c r="T913" s="181"/>
      <c r="U913" s="181"/>
      <c r="V913" s="176"/>
      <c r="W913" s="181"/>
      <c r="X913" s="181"/>
      <c r="Y913" s="176"/>
      <c r="Z913" s="181"/>
      <c r="AA913" s="181"/>
      <c r="AB913" s="176"/>
      <c r="AC913" s="181"/>
      <c r="AD913" s="181"/>
      <c r="AE913" s="176"/>
      <c r="AF913" s="176"/>
      <c r="AG913" s="176"/>
      <c r="AH913" s="176"/>
      <c r="AI913" s="181"/>
      <c r="AJ913" s="181"/>
      <c r="AK913" s="176"/>
      <c r="AL913" s="181"/>
      <c r="AM913" s="181"/>
      <c r="AN913" s="176"/>
      <c r="AO913" s="181"/>
      <c r="AP913" s="181"/>
    </row>
    <row r="914" ht="12.75" customHeight="1">
      <c r="A914" s="179"/>
      <c r="B914" s="459"/>
      <c r="C914" s="481"/>
      <c r="D914" s="180"/>
      <c r="E914" s="180"/>
      <c r="F914" s="180"/>
      <c r="G914" s="460"/>
      <c r="H914" s="181"/>
      <c r="I914" s="181"/>
      <c r="J914" s="181"/>
      <c r="K914" s="181"/>
      <c r="L914" s="181"/>
      <c r="M914" s="329"/>
      <c r="N914" s="181"/>
      <c r="O914" s="181"/>
      <c r="P914" s="176"/>
      <c r="Q914" s="181"/>
      <c r="R914" s="181"/>
      <c r="S914" s="176"/>
      <c r="T914" s="181"/>
      <c r="U914" s="181"/>
      <c r="V914" s="176"/>
      <c r="W914" s="181"/>
      <c r="X914" s="181"/>
      <c r="Y914" s="176"/>
      <c r="Z914" s="181"/>
      <c r="AA914" s="181"/>
      <c r="AB914" s="176"/>
      <c r="AC914" s="181"/>
      <c r="AD914" s="181"/>
      <c r="AE914" s="176"/>
      <c r="AF914" s="176"/>
      <c r="AG914" s="176"/>
      <c r="AH914" s="176"/>
      <c r="AI914" s="181"/>
      <c r="AJ914" s="181"/>
      <c r="AK914" s="176"/>
      <c r="AL914" s="181"/>
      <c r="AM914" s="181"/>
      <c r="AN914" s="176"/>
      <c r="AO914" s="181"/>
      <c r="AP914" s="181"/>
    </row>
    <row r="915" ht="12.75" customHeight="1">
      <c r="A915" s="179"/>
      <c r="B915" s="459"/>
      <c r="C915" s="481"/>
      <c r="D915" s="180"/>
      <c r="E915" s="180"/>
      <c r="F915" s="180"/>
      <c r="G915" s="460"/>
      <c r="H915" s="181"/>
      <c r="I915" s="181"/>
      <c r="J915" s="181"/>
      <c r="K915" s="181"/>
      <c r="L915" s="181"/>
      <c r="M915" s="329"/>
      <c r="N915" s="181"/>
      <c r="O915" s="181"/>
      <c r="P915" s="176"/>
      <c r="Q915" s="181"/>
      <c r="R915" s="181"/>
      <c r="S915" s="176"/>
      <c r="T915" s="181"/>
      <c r="U915" s="181"/>
      <c r="V915" s="176"/>
      <c r="W915" s="181"/>
      <c r="X915" s="181"/>
      <c r="Y915" s="176"/>
      <c r="Z915" s="181"/>
      <c r="AA915" s="181"/>
      <c r="AB915" s="176"/>
      <c r="AC915" s="181"/>
      <c r="AD915" s="181"/>
      <c r="AE915" s="176"/>
      <c r="AF915" s="176"/>
      <c r="AG915" s="176"/>
      <c r="AH915" s="176"/>
      <c r="AI915" s="181"/>
      <c r="AJ915" s="181"/>
      <c r="AK915" s="176"/>
      <c r="AL915" s="181"/>
      <c r="AM915" s="181"/>
      <c r="AN915" s="176"/>
      <c r="AO915" s="181"/>
      <c r="AP915" s="181"/>
    </row>
    <row r="916" ht="12.75" customHeight="1">
      <c r="A916" s="179"/>
      <c r="B916" s="459"/>
      <c r="C916" s="481"/>
      <c r="D916" s="180"/>
      <c r="E916" s="180"/>
      <c r="F916" s="180"/>
      <c r="G916" s="460"/>
      <c r="H916" s="181"/>
      <c r="I916" s="181"/>
      <c r="J916" s="181"/>
      <c r="K916" s="181"/>
      <c r="L916" s="181"/>
      <c r="M916" s="329"/>
      <c r="N916" s="181"/>
      <c r="O916" s="181"/>
      <c r="P916" s="176"/>
      <c r="Q916" s="181"/>
      <c r="R916" s="181"/>
      <c r="S916" s="176"/>
      <c r="T916" s="181"/>
      <c r="U916" s="181"/>
      <c r="V916" s="176"/>
      <c r="W916" s="181"/>
      <c r="X916" s="181"/>
      <c r="Y916" s="176"/>
      <c r="Z916" s="181"/>
      <c r="AA916" s="181"/>
      <c r="AB916" s="176"/>
      <c r="AC916" s="181"/>
      <c r="AD916" s="181"/>
      <c r="AE916" s="176"/>
      <c r="AF916" s="176"/>
      <c r="AG916" s="176"/>
      <c r="AH916" s="176"/>
      <c r="AI916" s="181"/>
      <c r="AJ916" s="181"/>
      <c r="AK916" s="176"/>
      <c r="AL916" s="181"/>
      <c r="AM916" s="181"/>
      <c r="AN916" s="176"/>
      <c r="AO916" s="181"/>
      <c r="AP916" s="181"/>
    </row>
    <row r="917" ht="12.75" customHeight="1">
      <c r="A917" s="179"/>
      <c r="B917" s="459"/>
      <c r="C917" s="481"/>
      <c r="D917" s="180"/>
      <c r="E917" s="180"/>
      <c r="F917" s="180"/>
      <c r="G917" s="460"/>
      <c r="H917" s="181"/>
      <c r="I917" s="181"/>
      <c r="J917" s="181"/>
      <c r="K917" s="181"/>
      <c r="L917" s="181"/>
      <c r="M917" s="329"/>
      <c r="N917" s="181"/>
      <c r="O917" s="181"/>
      <c r="P917" s="176"/>
      <c r="Q917" s="181"/>
      <c r="R917" s="181"/>
      <c r="S917" s="176"/>
      <c r="T917" s="181"/>
      <c r="U917" s="181"/>
      <c r="V917" s="176"/>
      <c r="W917" s="181"/>
      <c r="X917" s="181"/>
      <c r="Y917" s="176"/>
      <c r="Z917" s="181"/>
      <c r="AA917" s="181"/>
      <c r="AB917" s="176"/>
      <c r="AC917" s="181"/>
      <c r="AD917" s="181"/>
      <c r="AE917" s="176"/>
      <c r="AF917" s="176"/>
      <c r="AG917" s="176"/>
      <c r="AH917" s="176"/>
      <c r="AI917" s="181"/>
      <c r="AJ917" s="181"/>
      <c r="AK917" s="176"/>
      <c r="AL917" s="181"/>
      <c r="AM917" s="181"/>
      <c r="AN917" s="176"/>
      <c r="AO917" s="181"/>
      <c r="AP917" s="181"/>
    </row>
    <row r="918" ht="12.75" customHeight="1">
      <c r="A918" s="179"/>
      <c r="B918" s="459"/>
      <c r="C918" s="481"/>
      <c r="D918" s="180"/>
      <c r="E918" s="180"/>
      <c r="F918" s="180"/>
      <c r="G918" s="460"/>
      <c r="H918" s="181"/>
      <c r="I918" s="181"/>
      <c r="J918" s="181"/>
      <c r="K918" s="181"/>
      <c r="L918" s="181"/>
      <c r="M918" s="329"/>
      <c r="N918" s="181"/>
      <c r="O918" s="181"/>
      <c r="P918" s="176"/>
      <c r="Q918" s="181"/>
      <c r="R918" s="181"/>
      <c r="S918" s="176"/>
      <c r="T918" s="181"/>
      <c r="U918" s="181"/>
      <c r="V918" s="176"/>
      <c r="W918" s="181"/>
      <c r="X918" s="181"/>
      <c r="Y918" s="176"/>
      <c r="Z918" s="181"/>
      <c r="AA918" s="181"/>
      <c r="AB918" s="176"/>
      <c r="AC918" s="181"/>
      <c r="AD918" s="181"/>
      <c r="AE918" s="176"/>
      <c r="AF918" s="176"/>
      <c r="AG918" s="176"/>
      <c r="AH918" s="176"/>
      <c r="AI918" s="181"/>
      <c r="AJ918" s="181"/>
      <c r="AK918" s="176"/>
      <c r="AL918" s="181"/>
      <c r="AM918" s="181"/>
      <c r="AN918" s="176"/>
      <c r="AO918" s="181"/>
      <c r="AP918" s="181"/>
    </row>
    <row r="919" ht="12.75" customHeight="1">
      <c r="A919" s="179"/>
      <c r="B919" s="459"/>
      <c r="C919" s="481"/>
      <c r="D919" s="180"/>
      <c r="E919" s="180"/>
      <c r="F919" s="180"/>
      <c r="G919" s="460"/>
      <c r="H919" s="181"/>
      <c r="I919" s="181"/>
      <c r="J919" s="181"/>
      <c r="K919" s="181"/>
      <c r="L919" s="181"/>
      <c r="M919" s="329"/>
      <c r="N919" s="181"/>
      <c r="O919" s="181"/>
      <c r="P919" s="176"/>
      <c r="Q919" s="181"/>
      <c r="R919" s="181"/>
      <c r="S919" s="176"/>
      <c r="T919" s="181"/>
      <c r="U919" s="181"/>
      <c r="V919" s="176"/>
      <c r="W919" s="181"/>
      <c r="X919" s="181"/>
      <c r="Y919" s="176"/>
      <c r="Z919" s="181"/>
      <c r="AA919" s="181"/>
      <c r="AB919" s="176"/>
      <c r="AC919" s="181"/>
      <c r="AD919" s="181"/>
      <c r="AE919" s="176"/>
      <c r="AF919" s="176"/>
      <c r="AG919" s="176"/>
      <c r="AH919" s="176"/>
      <c r="AI919" s="181"/>
      <c r="AJ919" s="181"/>
      <c r="AK919" s="176"/>
      <c r="AL919" s="181"/>
      <c r="AM919" s="181"/>
      <c r="AN919" s="176"/>
      <c r="AO919" s="181"/>
      <c r="AP919" s="181"/>
    </row>
    <row r="920" ht="12.75" customHeight="1">
      <c r="A920" s="179"/>
      <c r="B920" s="459"/>
      <c r="C920" s="481"/>
      <c r="D920" s="180"/>
      <c r="E920" s="180"/>
      <c r="F920" s="180"/>
      <c r="G920" s="460"/>
      <c r="H920" s="181"/>
      <c r="I920" s="181"/>
      <c r="J920" s="181"/>
      <c r="K920" s="181"/>
      <c r="L920" s="181"/>
      <c r="M920" s="329"/>
      <c r="N920" s="181"/>
      <c r="O920" s="181"/>
      <c r="P920" s="176"/>
      <c r="Q920" s="181"/>
      <c r="R920" s="181"/>
      <c r="S920" s="176"/>
      <c r="T920" s="181"/>
      <c r="U920" s="181"/>
      <c r="V920" s="176"/>
      <c r="W920" s="181"/>
      <c r="X920" s="181"/>
      <c r="Y920" s="176"/>
      <c r="Z920" s="181"/>
      <c r="AA920" s="181"/>
      <c r="AB920" s="176"/>
      <c r="AC920" s="181"/>
      <c r="AD920" s="181"/>
      <c r="AE920" s="176"/>
      <c r="AF920" s="176"/>
      <c r="AG920" s="176"/>
      <c r="AH920" s="176"/>
      <c r="AI920" s="181"/>
      <c r="AJ920" s="181"/>
      <c r="AK920" s="176"/>
      <c r="AL920" s="181"/>
      <c r="AM920" s="181"/>
      <c r="AN920" s="176"/>
      <c r="AO920" s="181"/>
      <c r="AP920" s="181"/>
    </row>
    <row r="921" ht="12.75" customHeight="1">
      <c r="A921" s="179"/>
      <c r="B921" s="459"/>
      <c r="C921" s="481"/>
      <c r="D921" s="180"/>
      <c r="E921" s="180"/>
      <c r="F921" s="180"/>
      <c r="G921" s="460"/>
      <c r="H921" s="181"/>
      <c r="I921" s="181"/>
      <c r="J921" s="181"/>
      <c r="K921" s="181"/>
      <c r="L921" s="181"/>
      <c r="M921" s="329"/>
      <c r="N921" s="181"/>
      <c r="O921" s="181"/>
      <c r="P921" s="176"/>
      <c r="Q921" s="181"/>
      <c r="R921" s="181"/>
      <c r="S921" s="176"/>
      <c r="T921" s="181"/>
      <c r="U921" s="181"/>
      <c r="V921" s="176"/>
      <c r="W921" s="181"/>
      <c r="X921" s="181"/>
      <c r="Y921" s="176"/>
      <c r="Z921" s="181"/>
      <c r="AA921" s="181"/>
      <c r="AB921" s="176"/>
      <c r="AC921" s="181"/>
      <c r="AD921" s="181"/>
      <c r="AE921" s="176"/>
      <c r="AF921" s="176"/>
      <c r="AG921" s="176"/>
      <c r="AH921" s="176"/>
      <c r="AI921" s="181"/>
      <c r="AJ921" s="181"/>
      <c r="AK921" s="176"/>
      <c r="AL921" s="181"/>
      <c r="AM921" s="181"/>
      <c r="AN921" s="176"/>
      <c r="AO921" s="181"/>
      <c r="AP921" s="181"/>
    </row>
    <row r="922" ht="12.75" customHeight="1">
      <c r="A922" s="179"/>
      <c r="B922" s="459"/>
      <c r="C922" s="481"/>
      <c r="D922" s="180"/>
      <c r="E922" s="180"/>
      <c r="F922" s="180"/>
      <c r="G922" s="460"/>
      <c r="H922" s="181"/>
      <c r="I922" s="181"/>
      <c r="J922" s="181"/>
      <c r="K922" s="181"/>
      <c r="L922" s="181"/>
      <c r="M922" s="329"/>
      <c r="N922" s="181"/>
      <c r="O922" s="181"/>
      <c r="P922" s="176"/>
      <c r="Q922" s="181"/>
      <c r="R922" s="181"/>
      <c r="S922" s="176"/>
      <c r="T922" s="181"/>
      <c r="U922" s="181"/>
      <c r="V922" s="176"/>
      <c r="W922" s="181"/>
      <c r="X922" s="181"/>
      <c r="Y922" s="176"/>
      <c r="Z922" s="181"/>
      <c r="AA922" s="181"/>
      <c r="AB922" s="176"/>
      <c r="AC922" s="181"/>
      <c r="AD922" s="181"/>
      <c r="AE922" s="176"/>
      <c r="AF922" s="176"/>
      <c r="AG922" s="176"/>
      <c r="AH922" s="176"/>
      <c r="AI922" s="181"/>
      <c r="AJ922" s="181"/>
      <c r="AK922" s="176"/>
      <c r="AL922" s="181"/>
      <c r="AM922" s="181"/>
      <c r="AN922" s="176"/>
      <c r="AO922" s="181"/>
      <c r="AP922" s="181"/>
    </row>
    <row r="923" ht="12.75" customHeight="1">
      <c r="A923" s="179"/>
      <c r="B923" s="459"/>
      <c r="C923" s="481"/>
      <c r="D923" s="180"/>
      <c r="E923" s="180"/>
      <c r="F923" s="180"/>
      <c r="G923" s="460"/>
      <c r="H923" s="181"/>
      <c r="I923" s="181"/>
      <c r="J923" s="181"/>
      <c r="K923" s="181"/>
      <c r="L923" s="181"/>
      <c r="M923" s="329"/>
      <c r="N923" s="181"/>
      <c r="O923" s="181"/>
      <c r="P923" s="176"/>
      <c r="Q923" s="181"/>
      <c r="R923" s="181"/>
      <c r="S923" s="176"/>
      <c r="T923" s="181"/>
      <c r="U923" s="181"/>
      <c r="V923" s="176"/>
      <c r="W923" s="181"/>
      <c r="X923" s="181"/>
      <c r="Y923" s="176"/>
      <c r="Z923" s="181"/>
      <c r="AA923" s="181"/>
      <c r="AB923" s="176"/>
      <c r="AC923" s="181"/>
      <c r="AD923" s="181"/>
      <c r="AE923" s="176"/>
      <c r="AF923" s="176"/>
      <c r="AG923" s="176"/>
      <c r="AH923" s="176"/>
      <c r="AI923" s="181"/>
      <c r="AJ923" s="181"/>
      <c r="AK923" s="176"/>
      <c r="AL923" s="181"/>
      <c r="AM923" s="181"/>
      <c r="AN923" s="176"/>
      <c r="AO923" s="181"/>
      <c r="AP923" s="181"/>
    </row>
    <row r="924" ht="12.75" customHeight="1">
      <c r="A924" s="179"/>
      <c r="B924" s="459"/>
      <c r="C924" s="481"/>
      <c r="D924" s="180"/>
      <c r="E924" s="180"/>
      <c r="F924" s="180"/>
      <c r="G924" s="460"/>
      <c r="H924" s="181"/>
      <c r="I924" s="181"/>
      <c r="J924" s="181"/>
      <c r="K924" s="181"/>
      <c r="L924" s="181"/>
      <c r="M924" s="329"/>
      <c r="N924" s="181"/>
      <c r="O924" s="181"/>
      <c r="P924" s="176"/>
      <c r="Q924" s="181"/>
      <c r="R924" s="181"/>
      <c r="S924" s="176"/>
      <c r="T924" s="181"/>
      <c r="U924" s="181"/>
      <c r="V924" s="176"/>
      <c r="W924" s="181"/>
      <c r="X924" s="181"/>
      <c r="Y924" s="176"/>
      <c r="Z924" s="181"/>
      <c r="AA924" s="181"/>
      <c r="AB924" s="176"/>
      <c r="AC924" s="181"/>
      <c r="AD924" s="181"/>
      <c r="AE924" s="176"/>
      <c r="AF924" s="176"/>
      <c r="AG924" s="176"/>
      <c r="AH924" s="176"/>
      <c r="AI924" s="181"/>
      <c r="AJ924" s="181"/>
      <c r="AK924" s="176"/>
      <c r="AL924" s="181"/>
      <c r="AM924" s="181"/>
      <c r="AN924" s="176"/>
      <c r="AO924" s="181"/>
      <c r="AP924" s="181"/>
    </row>
    <row r="925" ht="12.75" customHeight="1">
      <c r="A925" s="179"/>
      <c r="B925" s="459"/>
      <c r="C925" s="481"/>
      <c r="D925" s="180"/>
      <c r="E925" s="180"/>
      <c r="F925" s="180"/>
      <c r="G925" s="460"/>
      <c r="H925" s="181"/>
      <c r="I925" s="181"/>
      <c r="J925" s="181"/>
      <c r="K925" s="181"/>
      <c r="L925" s="181"/>
      <c r="M925" s="329"/>
      <c r="N925" s="181"/>
      <c r="O925" s="181"/>
      <c r="P925" s="176"/>
      <c r="Q925" s="181"/>
      <c r="R925" s="181"/>
      <c r="S925" s="176"/>
      <c r="T925" s="181"/>
      <c r="U925" s="181"/>
      <c r="V925" s="176"/>
      <c r="W925" s="181"/>
      <c r="X925" s="181"/>
      <c r="Y925" s="176"/>
      <c r="Z925" s="181"/>
      <c r="AA925" s="181"/>
      <c r="AB925" s="176"/>
      <c r="AC925" s="181"/>
      <c r="AD925" s="181"/>
      <c r="AE925" s="176"/>
      <c r="AF925" s="176"/>
      <c r="AG925" s="176"/>
      <c r="AH925" s="176"/>
      <c r="AI925" s="181"/>
      <c r="AJ925" s="181"/>
      <c r="AK925" s="176"/>
      <c r="AL925" s="181"/>
      <c r="AM925" s="181"/>
      <c r="AN925" s="176"/>
      <c r="AO925" s="181"/>
      <c r="AP925" s="181"/>
    </row>
    <row r="926" ht="12.75" customHeight="1">
      <c r="A926" s="179"/>
      <c r="B926" s="459"/>
      <c r="C926" s="481"/>
      <c r="D926" s="180"/>
      <c r="E926" s="180"/>
      <c r="F926" s="180"/>
      <c r="G926" s="460"/>
      <c r="H926" s="181"/>
      <c r="I926" s="181"/>
      <c r="J926" s="181"/>
      <c r="K926" s="181"/>
      <c r="L926" s="181"/>
      <c r="M926" s="329"/>
      <c r="N926" s="181"/>
      <c r="O926" s="181"/>
      <c r="P926" s="176"/>
      <c r="Q926" s="181"/>
      <c r="R926" s="181"/>
      <c r="S926" s="176"/>
      <c r="T926" s="181"/>
      <c r="U926" s="181"/>
      <c r="V926" s="176"/>
      <c r="W926" s="181"/>
      <c r="X926" s="181"/>
      <c r="Y926" s="176"/>
      <c r="Z926" s="181"/>
      <c r="AA926" s="181"/>
      <c r="AB926" s="176"/>
      <c r="AC926" s="181"/>
      <c r="AD926" s="181"/>
      <c r="AE926" s="176"/>
      <c r="AF926" s="176"/>
      <c r="AG926" s="176"/>
      <c r="AH926" s="176"/>
      <c r="AI926" s="181"/>
      <c r="AJ926" s="181"/>
      <c r="AK926" s="176"/>
      <c r="AL926" s="181"/>
      <c r="AM926" s="181"/>
      <c r="AN926" s="176"/>
      <c r="AO926" s="181"/>
      <c r="AP926" s="181"/>
    </row>
    <row r="927" ht="12.75" customHeight="1">
      <c r="A927" s="179"/>
      <c r="B927" s="459"/>
      <c r="C927" s="481"/>
      <c r="D927" s="180"/>
      <c r="E927" s="180"/>
      <c r="F927" s="180"/>
      <c r="G927" s="460"/>
      <c r="H927" s="181"/>
      <c r="I927" s="181"/>
      <c r="J927" s="181"/>
      <c r="K927" s="181"/>
      <c r="L927" s="181"/>
      <c r="M927" s="329"/>
      <c r="N927" s="181"/>
      <c r="O927" s="181"/>
      <c r="P927" s="176"/>
      <c r="Q927" s="181"/>
      <c r="R927" s="181"/>
      <c r="S927" s="176"/>
      <c r="T927" s="181"/>
      <c r="U927" s="181"/>
      <c r="V927" s="176"/>
      <c r="W927" s="181"/>
      <c r="X927" s="181"/>
      <c r="Y927" s="176"/>
      <c r="Z927" s="181"/>
      <c r="AA927" s="181"/>
      <c r="AB927" s="176"/>
      <c r="AC927" s="181"/>
      <c r="AD927" s="181"/>
      <c r="AE927" s="176"/>
      <c r="AF927" s="176"/>
      <c r="AG927" s="176"/>
      <c r="AH927" s="176"/>
      <c r="AI927" s="181"/>
      <c r="AJ927" s="181"/>
      <c r="AK927" s="176"/>
      <c r="AL927" s="181"/>
      <c r="AM927" s="181"/>
      <c r="AN927" s="176"/>
      <c r="AO927" s="181"/>
      <c r="AP927" s="181"/>
    </row>
    <row r="928" ht="12.75" customHeight="1">
      <c r="A928" s="179"/>
      <c r="B928" s="459"/>
      <c r="C928" s="481"/>
      <c r="D928" s="180"/>
      <c r="E928" s="180"/>
      <c r="F928" s="180"/>
      <c r="G928" s="460"/>
      <c r="H928" s="181"/>
      <c r="I928" s="181"/>
      <c r="J928" s="181"/>
      <c r="K928" s="181"/>
      <c r="L928" s="181"/>
      <c r="M928" s="329"/>
      <c r="N928" s="181"/>
      <c r="O928" s="181"/>
      <c r="P928" s="176"/>
      <c r="Q928" s="181"/>
      <c r="R928" s="181"/>
      <c r="S928" s="176"/>
      <c r="T928" s="181"/>
      <c r="U928" s="181"/>
      <c r="V928" s="176"/>
      <c r="W928" s="181"/>
      <c r="X928" s="181"/>
      <c r="Y928" s="176"/>
      <c r="Z928" s="181"/>
      <c r="AA928" s="181"/>
      <c r="AB928" s="176"/>
      <c r="AC928" s="181"/>
      <c r="AD928" s="181"/>
      <c r="AE928" s="176"/>
      <c r="AF928" s="176"/>
      <c r="AG928" s="176"/>
      <c r="AH928" s="176"/>
      <c r="AI928" s="181"/>
      <c r="AJ928" s="181"/>
      <c r="AK928" s="176"/>
      <c r="AL928" s="181"/>
      <c r="AM928" s="181"/>
      <c r="AN928" s="176"/>
      <c r="AO928" s="181"/>
      <c r="AP928" s="181"/>
    </row>
    <row r="929" ht="12.75" customHeight="1">
      <c r="A929" s="179"/>
      <c r="B929" s="459"/>
      <c r="C929" s="481"/>
      <c r="D929" s="180"/>
      <c r="E929" s="180"/>
      <c r="F929" s="180"/>
      <c r="G929" s="460"/>
      <c r="H929" s="181"/>
      <c r="I929" s="181"/>
      <c r="J929" s="181"/>
      <c r="K929" s="181"/>
      <c r="L929" s="181"/>
      <c r="M929" s="329"/>
      <c r="N929" s="181"/>
      <c r="O929" s="181"/>
      <c r="P929" s="176"/>
      <c r="Q929" s="181"/>
      <c r="R929" s="181"/>
      <c r="S929" s="176"/>
      <c r="T929" s="181"/>
      <c r="U929" s="181"/>
      <c r="V929" s="176"/>
      <c r="W929" s="181"/>
      <c r="X929" s="181"/>
      <c r="Y929" s="176"/>
      <c r="Z929" s="181"/>
      <c r="AA929" s="181"/>
      <c r="AB929" s="176"/>
      <c r="AC929" s="181"/>
      <c r="AD929" s="181"/>
      <c r="AE929" s="176"/>
      <c r="AF929" s="176"/>
      <c r="AG929" s="176"/>
      <c r="AH929" s="176"/>
      <c r="AI929" s="181"/>
      <c r="AJ929" s="181"/>
      <c r="AK929" s="176"/>
      <c r="AL929" s="181"/>
      <c r="AM929" s="181"/>
      <c r="AN929" s="176"/>
      <c r="AO929" s="181"/>
      <c r="AP929" s="181"/>
    </row>
    <row r="930" ht="12.75" customHeight="1">
      <c r="A930" s="179"/>
      <c r="B930" s="459"/>
      <c r="C930" s="481"/>
      <c r="D930" s="180"/>
      <c r="E930" s="180"/>
      <c r="F930" s="180"/>
      <c r="G930" s="460"/>
      <c r="H930" s="181"/>
      <c r="I930" s="181"/>
      <c r="J930" s="181"/>
      <c r="K930" s="181"/>
      <c r="L930" s="181"/>
      <c r="M930" s="329"/>
      <c r="N930" s="181"/>
      <c r="O930" s="181"/>
      <c r="P930" s="176"/>
      <c r="Q930" s="181"/>
      <c r="R930" s="181"/>
      <c r="S930" s="176"/>
      <c r="T930" s="181"/>
      <c r="U930" s="181"/>
      <c r="V930" s="176"/>
      <c r="W930" s="181"/>
      <c r="X930" s="181"/>
      <c r="Y930" s="176"/>
      <c r="Z930" s="181"/>
      <c r="AA930" s="181"/>
      <c r="AB930" s="176"/>
      <c r="AC930" s="181"/>
      <c r="AD930" s="181"/>
      <c r="AE930" s="176"/>
      <c r="AF930" s="176"/>
      <c r="AG930" s="176"/>
      <c r="AH930" s="176"/>
      <c r="AI930" s="181"/>
      <c r="AJ930" s="181"/>
      <c r="AK930" s="176"/>
      <c r="AL930" s="181"/>
      <c r="AM930" s="181"/>
      <c r="AN930" s="176"/>
      <c r="AO930" s="181"/>
      <c r="AP930" s="181"/>
    </row>
    <row r="931" ht="12.75" customHeight="1">
      <c r="A931" s="179"/>
      <c r="B931" s="459"/>
      <c r="C931" s="481"/>
      <c r="D931" s="180"/>
      <c r="E931" s="180"/>
      <c r="F931" s="180"/>
      <c r="G931" s="460"/>
      <c r="H931" s="181"/>
      <c r="I931" s="181"/>
      <c r="J931" s="181"/>
      <c r="K931" s="181"/>
      <c r="L931" s="181"/>
      <c r="M931" s="329"/>
      <c r="N931" s="181"/>
      <c r="O931" s="181"/>
      <c r="P931" s="176"/>
      <c r="Q931" s="181"/>
      <c r="R931" s="181"/>
      <c r="S931" s="176"/>
      <c r="T931" s="181"/>
      <c r="U931" s="181"/>
      <c r="V931" s="176"/>
      <c r="W931" s="181"/>
      <c r="X931" s="181"/>
      <c r="Y931" s="176"/>
      <c r="Z931" s="181"/>
      <c r="AA931" s="181"/>
      <c r="AB931" s="176"/>
      <c r="AC931" s="181"/>
      <c r="AD931" s="181"/>
      <c r="AE931" s="176"/>
      <c r="AF931" s="176"/>
      <c r="AG931" s="176"/>
      <c r="AH931" s="176"/>
      <c r="AI931" s="181"/>
      <c r="AJ931" s="181"/>
      <c r="AK931" s="176"/>
      <c r="AL931" s="181"/>
      <c r="AM931" s="181"/>
      <c r="AN931" s="176"/>
      <c r="AO931" s="181"/>
      <c r="AP931" s="181"/>
    </row>
    <row r="932" ht="12.75" customHeight="1">
      <c r="A932" s="179"/>
      <c r="B932" s="459"/>
      <c r="C932" s="481"/>
      <c r="D932" s="180"/>
      <c r="E932" s="180"/>
      <c r="F932" s="180"/>
      <c r="G932" s="460"/>
      <c r="H932" s="181"/>
      <c r="I932" s="181"/>
      <c r="J932" s="181"/>
      <c r="K932" s="181"/>
      <c r="L932" s="181"/>
      <c r="M932" s="329"/>
      <c r="N932" s="181"/>
      <c r="O932" s="181"/>
      <c r="P932" s="176"/>
      <c r="Q932" s="181"/>
      <c r="R932" s="181"/>
      <c r="S932" s="176"/>
      <c r="T932" s="181"/>
      <c r="U932" s="181"/>
      <c r="V932" s="176"/>
      <c r="W932" s="181"/>
      <c r="X932" s="181"/>
      <c r="Y932" s="176"/>
      <c r="Z932" s="181"/>
      <c r="AA932" s="181"/>
      <c r="AB932" s="176"/>
      <c r="AC932" s="181"/>
      <c r="AD932" s="181"/>
      <c r="AE932" s="176"/>
      <c r="AF932" s="176"/>
      <c r="AG932" s="176"/>
      <c r="AH932" s="176"/>
      <c r="AI932" s="181"/>
      <c r="AJ932" s="181"/>
      <c r="AK932" s="176"/>
      <c r="AL932" s="181"/>
      <c r="AM932" s="181"/>
      <c r="AN932" s="176"/>
      <c r="AO932" s="181"/>
      <c r="AP932" s="181"/>
    </row>
    <row r="933" ht="12.75" customHeight="1">
      <c r="A933" s="179"/>
      <c r="B933" s="459"/>
      <c r="C933" s="481"/>
      <c r="D933" s="180"/>
      <c r="E933" s="180"/>
      <c r="F933" s="180"/>
      <c r="G933" s="460"/>
      <c r="H933" s="181"/>
      <c r="I933" s="181"/>
      <c r="J933" s="181"/>
      <c r="K933" s="181"/>
      <c r="L933" s="181"/>
      <c r="M933" s="329"/>
      <c r="N933" s="181"/>
      <c r="O933" s="181"/>
      <c r="P933" s="176"/>
      <c r="Q933" s="181"/>
      <c r="R933" s="181"/>
      <c r="S933" s="176"/>
      <c r="T933" s="181"/>
      <c r="U933" s="181"/>
      <c r="V933" s="176"/>
      <c r="W933" s="181"/>
      <c r="X933" s="181"/>
      <c r="Y933" s="176"/>
      <c r="Z933" s="181"/>
      <c r="AA933" s="181"/>
      <c r="AB933" s="176"/>
      <c r="AC933" s="181"/>
      <c r="AD933" s="181"/>
      <c r="AE933" s="176"/>
      <c r="AF933" s="176"/>
      <c r="AG933" s="176"/>
      <c r="AH933" s="176"/>
      <c r="AI933" s="181"/>
      <c r="AJ933" s="181"/>
      <c r="AK933" s="176"/>
      <c r="AL933" s="181"/>
      <c r="AM933" s="181"/>
      <c r="AN933" s="176"/>
      <c r="AO933" s="181"/>
      <c r="AP933" s="181"/>
    </row>
    <row r="934" ht="12.75" customHeight="1">
      <c r="A934" s="179"/>
      <c r="B934" s="459"/>
      <c r="C934" s="481"/>
      <c r="D934" s="180"/>
      <c r="E934" s="180"/>
      <c r="F934" s="180"/>
      <c r="G934" s="460"/>
      <c r="H934" s="181"/>
      <c r="I934" s="181"/>
      <c r="J934" s="181"/>
      <c r="K934" s="181"/>
      <c r="L934" s="181"/>
      <c r="M934" s="329"/>
      <c r="N934" s="181"/>
      <c r="O934" s="181"/>
      <c r="P934" s="176"/>
      <c r="Q934" s="181"/>
      <c r="R934" s="181"/>
      <c r="S934" s="176"/>
      <c r="T934" s="181"/>
      <c r="U934" s="181"/>
      <c r="V934" s="176"/>
      <c r="W934" s="181"/>
      <c r="X934" s="181"/>
      <c r="Y934" s="176"/>
      <c r="Z934" s="181"/>
      <c r="AA934" s="181"/>
      <c r="AB934" s="176"/>
      <c r="AC934" s="181"/>
      <c r="AD934" s="181"/>
      <c r="AE934" s="176"/>
      <c r="AF934" s="176"/>
      <c r="AG934" s="176"/>
      <c r="AH934" s="176"/>
      <c r="AI934" s="181"/>
      <c r="AJ934" s="181"/>
      <c r="AK934" s="176"/>
      <c r="AL934" s="181"/>
      <c r="AM934" s="181"/>
      <c r="AN934" s="176"/>
      <c r="AO934" s="181"/>
      <c r="AP934" s="181"/>
    </row>
    <row r="935" ht="12.75" customHeight="1">
      <c r="A935" s="179"/>
      <c r="B935" s="459"/>
      <c r="C935" s="481"/>
      <c r="D935" s="180"/>
      <c r="E935" s="180"/>
      <c r="F935" s="180"/>
      <c r="G935" s="460"/>
      <c r="H935" s="181"/>
      <c r="I935" s="181"/>
      <c r="J935" s="181"/>
      <c r="K935" s="181"/>
      <c r="L935" s="181"/>
      <c r="M935" s="329"/>
      <c r="N935" s="181"/>
      <c r="O935" s="181"/>
      <c r="P935" s="176"/>
      <c r="Q935" s="181"/>
      <c r="R935" s="181"/>
      <c r="S935" s="176"/>
      <c r="T935" s="181"/>
      <c r="U935" s="181"/>
      <c r="V935" s="176"/>
      <c r="W935" s="181"/>
      <c r="X935" s="181"/>
      <c r="Y935" s="176"/>
      <c r="Z935" s="181"/>
      <c r="AA935" s="181"/>
      <c r="AB935" s="176"/>
      <c r="AC935" s="181"/>
      <c r="AD935" s="181"/>
      <c r="AE935" s="176"/>
      <c r="AF935" s="176"/>
      <c r="AG935" s="176"/>
      <c r="AH935" s="176"/>
      <c r="AI935" s="181"/>
      <c r="AJ935" s="181"/>
      <c r="AK935" s="176"/>
      <c r="AL935" s="181"/>
      <c r="AM935" s="181"/>
      <c r="AN935" s="176"/>
      <c r="AO935" s="181"/>
      <c r="AP935" s="181"/>
    </row>
    <row r="936" ht="12.75" customHeight="1">
      <c r="A936" s="179"/>
      <c r="B936" s="459"/>
      <c r="C936" s="481"/>
      <c r="D936" s="180"/>
      <c r="E936" s="180"/>
      <c r="F936" s="180"/>
      <c r="G936" s="460"/>
      <c r="H936" s="181"/>
      <c r="I936" s="181"/>
      <c r="J936" s="181"/>
      <c r="K936" s="181"/>
      <c r="L936" s="181"/>
      <c r="M936" s="329"/>
      <c r="N936" s="181"/>
      <c r="O936" s="181"/>
      <c r="P936" s="176"/>
      <c r="Q936" s="181"/>
      <c r="R936" s="181"/>
      <c r="S936" s="176"/>
      <c r="T936" s="181"/>
      <c r="U936" s="181"/>
      <c r="V936" s="176"/>
      <c r="W936" s="181"/>
      <c r="X936" s="181"/>
      <c r="Y936" s="176"/>
      <c r="Z936" s="181"/>
      <c r="AA936" s="181"/>
      <c r="AB936" s="176"/>
      <c r="AC936" s="181"/>
      <c r="AD936" s="181"/>
      <c r="AE936" s="176"/>
      <c r="AF936" s="176"/>
      <c r="AG936" s="176"/>
      <c r="AH936" s="176"/>
      <c r="AI936" s="181"/>
      <c r="AJ936" s="181"/>
      <c r="AK936" s="176"/>
      <c r="AL936" s="181"/>
      <c r="AM936" s="181"/>
      <c r="AN936" s="176"/>
      <c r="AO936" s="181"/>
      <c r="AP936" s="181"/>
    </row>
    <row r="937" ht="12.75" customHeight="1">
      <c r="A937" s="179"/>
      <c r="B937" s="459"/>
      <c r="C937" s="481"/>
      <c r="D937" s="180"/>
      <c r="E937" s="180"/>
      <c r="F937" s="180"/>
      <c r="G937" s="460"/>
      <c r="H937" s="181"/>
      <c r="I937" s="181"/>
      <c r="J937" s="181"/>
      <c r="K937" s="181"/>
      <c r="L937" s="181"/>
      <c r="M937" s="329"/>
      <c r="N937" s="181"/>
      <c r="O937" s="181"/>
      <c r="P937" s="176"/>
      <c r="Q937" s="181"/>
      <c r="R937" s="181"/>
      <c r="S937" s="176"/>
      <c r="T937" s="181"/>
      <c r="U937" s="181"/>
      <c r="V937" s="176"/>
      <c r="W937" s="181"/>
      <c r="X937" s="181"/>
      <c r="Y937" s="176"/>
      <c r="Z937" s="181"/>
      <c r="AA937" s="181"/>
      <c r="AB937" s="176"/>
      <c r="AC937" s="181"/>
      <c r="AD937" s="181"/>
      <c r="AE937" s="176"/>
      <c r="AF937" s="176"/>
      <c r="AG937" s="176"/>
      <c r="AH937" s="176"/>
      <c r="AI937" s="181"/>
      <c r="AJ937" s="181"/>
      <c r="AK937" s="176"/>
      <c r="AL937" s="181"/>
      <c r="AM937" s="181"/>
      <c r="AN937" s="176"/>
      <c r="AO937" s="181"/>
      <c r="AP937" s="181"/>
    </row>
    <row r="938" ht="12.75" customHeight="1">
      <c r="A938" s="179"/>
      <c r="B938" s="459"/>
      <c r="C938" s="481"/>
      <c r="D938" s="180"/>
      <c r="E938" s="180"/>
      <c r="F938" s="180"/>
      <c r="G938" s="460"/>
      <c r="H938" s="181"/>
      <c r="I938" s="181"/>
      <c r="J938" s="181"/>
      <c r="K938" s="181"/>
      <c r="L938" s="181"/>
      <c r="M938" s="329"/>
      <c r="N938" s="181"/>
      <c r="O938" s="181"/>
      <c r="P938" s="176"/>
      <c r="Q938" s="181"/>
      <c r="R938" s="181"/>
      <c r="S938" s="176"/>
      <c r="T938" s="181"/>
      <c r="U938" s="181"/>
      <c r="V938" s="176"/>
      <c r="W938" s="181"/>
      <c r="X938" s="181"/>
      <c r="Y938" s="176"/>
      <c r="Z938" s="181"/>
      <c r="AA938" s="181"/>
      <c r="AB938" s="176"/>
      <c r="AC938" s="181"/>
      <c r="AD938" s="181"/>
      <c r="AE938" s="176"/>
      <c r="AF938" s="176"/>
      <c r="AG938" s="176"/>
      <c r="AH938" s="176"/>
      <c r="AI938" s="181"/>
      <c r="AJ938" s="181"/>
      <c r="AK938" s="176"/>
      <c r="AL938" s="181"/>
      <c r="AM938" s="181"/>
      <c r="AN938" s="176"/>
      <c r="AO938" s="181"/>
      <c r="AP938" s="181"/>
    </row>
    <row r="939" ht="12.75" customHeight="1">
      <c r="A939" s="179"/>
      <c r="B939" s="459"/>
      <c r="C939" s="481"/>
      <c r="D939" s="180"/>
      <c r="E939" s="180"/>
      <c r="F939" s="180"/>
      <c r="G939" s="460"/>
      <c r="H939" s="181"/>
      <c r="I939" s="181"/>
      <c r="J939" s="181"/>
      <c r="K939" s="181"/>
      <c r="L939" s="181"/>
      <c r="M939" s="329"/>
      <c r="N939" s="181"/>
      <c r="O939" s="181"/>
      <c r="P939" s="176"/>
      <c r="Q939" s="181"/>
      <c r="R939" s="181"/>
      <c r="S939" s="176"/>
      <c r="T939" s="181"/>
      <c r="U939" s="181"/>
      <c r="V939" s="176"/>
      <c r="W939" s="181"/>
      <c r="X939" s="181"/>
      <c r="Y939" s="176"/>
      <c r="Z939" s="181"/>
      <c r="AA939" s="181"/>
      <c r="AB939" s="176"/>
      <c r="AC939" s="181"/>
      <c r="AD939" s="181"/>
      <c r="AE939" s="176"/>
      <c r="AF939" s="176"/>
      <c r="AG939" s="176"/>
      <c r="AH939" s="176"/>
      <c r="AI939" s="181"/>
      <c r="AJ939" s="181"/>
      <c r="AK939" s="176"/>
      <c r="AL939" s="181"/>
      <c r="AM939" s="181"/>
      <c r="AN939" s="176"/>
      <c r="AO939" s="181"/>
      <c r="AP939" s="181"/>
    </row>
    <row r="940" ht="12.75" customHeight="1">
      <c r="A940" s="179"/>
      <c r="B940" s="459"/>
      <c r="C940" s="481"/>
      <c r="D940" s="180"/>
      <c r="E940" s="180"/>
      <c r="F940" s="180"/>
      <c r="G940" s="460"/>
      <c r="H940" s="181"/>
      <c r="I940" s="181"/>
      <c r="J940" s="181"/>
      <c r="K940" s="181"/>
      <c r="L940" s="181"/>
      <c r="M940" s="329"/>
      <c r="N940" s="181"/>
      <c r="O940" s="181"/>
      <c r="P940" s="176"/>
      <c r="Q940" s="181"/>
      <c r="R940" s="181"/>
      <c r="S940" s="176"/>
      <c r="T940" s="181"/>
      <c r="U940" s="181"/>
      <c r="V940" s="176"/>
      <c r="W940" s="181"/>
      <c r="X940" s="181"/>
      <c r="Y940" s="176"/>
      <c r="Z940" s="181"/>
      <c r="AA940" s="181"/>
      <c r="AB940" s="176"/>
      <c r="AC940" s="181"/>
      <c r="AD940" s="181"/>
      <c r="AE940" s="176"/>
      <c r="AF940" s="176"/>
      <c r="AG940" s="176"/>
      <c r="AH940" s="176"/>
      <c r="AI940" s="181"/>
      <c r="AJ940" s="181"/>
      <c r="AK940" s="176"/>
      <c r="AL940" s="181"/>
      <c r="AM940" s="181"/>
      <c r="AN940" s="176"/>
      <c r="AO940" s="181"/>
      <c r="AP940" s="181"/>
    </row>
    <row r="941" ht="12.75" customHeight="1">
      <c r="A941" s="179"/>
      <c r="B941" s="459"/>
      <c r="C941" s="481"/>
      <c r="D941" s="180"/>
      <c r="E941" s="180"/>
      <c r="F941" s="180"/>
      <c r="G941" s="460"/>
      <c r="H941" s="181"/>
      <c r="I941" s="181"/>
      <c r="J941" s="181"/>
      <c r="K941" s="181"/>
      <c r="L941" s="181"/>
      <c r="M941" s="329"/>
      <c r="N941" s="181"/>
      <c r="O941" s="181"/>
      <c r="P941" s="176"/>
      <c r="Q941" s="181"/>
      <c r="R941" s="181"/>
      <c r="S941" s="176"/>
      <c r="T941" s="181"/>
      <c r="U941" s="181"/>
      <c r="V941" s="176"/>
      <c r="W941" s="181"/>
      <c r="X941" s="181"/>
      <c r="Y941" s="176"/>
      <c r="Z941" s="181"/>
      <c r="AA941" s="181"/>
      <c r="AB941" s="176"/>
      <c r="AC941" s="181"/>
      <c r="AD941" s="181"/>
      <c r="AE941" s="176"/>
      <c r="AF941" s="176"/>
      <c r="AG941" s="176"/>
      <c r="AH941" s="176"/>
      <c r="AI941" s="181"/>
      <c r="AJ941" s="181"/>
      <c r="AK941" s="176"/>
      <c r="AL941" s="181"/>
      <c r="AM941" s="181"/>
      <c r="AN941" s="176"/>
      <c r="AO941" s="181"/>
      <c r="AP941" s="181"/>
    </row>
    <row r="942" ht="12.75" customHeight="1">
      <c r="A942" s="179"/>
      <c r="B942" s="459"/>
      <c r="C942" s="481"/>
      <c r="D942" s="180"/>
      <c r="E942" s="180"/>
      <c r="F942" s="180"/>
      <c r="G942" s="460"/>
      <c r="H942" s="181"/>
      <c r="I942" s="181"/>
      <c r="J942" s="181"/>
      <c r="K942" s="181"/>
      <c r="L942" s="181"/>
      <c r="M942" s="329"/>
      <c r="N942" s="181"/>
      <c r="O942" s="181"/>
      <c r="P942" s="176"/>
      <c r="Q942" s="181"/>
      <c r="R942" s="181"/>
      <c r="S942" s="176"/>
      <c r="T942" s="181"/>
      <c r="U942" s="181"/>
      <c r="V942" s="176"/>
      <c r="W942" s="181"/>
      <c r="X942" s="181"/>
      <c r="Y942" s="176"/>
      <c r="Z942" s="181"/>
      <c r="AA942" s="181"/>
      <c r="AB942" s="176"/>
      <c r="AC942" s="181"/>
      <c r="AD942" s="181"/>
      <c r="AE942" s="176"/>
      <c r="AF942" s="176"/>
      <c r="AG942" s="176"/>
      <c r="AH942" s="176"/>
      <c r="AI942" s="181"/>
      <c r="AJ942" s="181"/>
      <c r="AK942" s="176"/>
      <c r="AL942" s="181"/>
      <c r="AM942" s="181"/>
      <c r="AN942" s="176"/>
      <c r="AO942" s="181"/>
      <c r="AP942" s="181"/>
    </row>
    <row r="943" ht="12.75" customHeight="1">
      <c r="A943" s="179"/>
      <c r="B943" s="459"/>
      <c r="C943" s="481"/>
      <c r="D943" s="180"/>
      <c r="E943" s="180"/>
      <c r="F943" s="180"/>
      <c r="G943" s="460"/>
      <c r="H943" s="181"/>
      <c r="I943" s="181"/>
      <c r="J943" s="181"/>
      <c r="K943" s="181"/>
      <c r="L943" s="181"/>
      <c r="M943" s="329"/>
      <c r="N943" s="181"/>
      <c r="O943" s="181"/>
      <c r="P943" s="176"/>
      <c r="Q943" s="181"/>
      <c r="R943" s="181"/>
      <c r="S943" s="176"/>
      <c r="T943" s="181"/>
      <c r="U943" s="181"/>
      <c r="V943" s="176"/>
      <c r="W943" s="181"/>
      <c r="X943" s="181"/>
      <c r="Y943" s="176"/>
      <c r="Z943" s="181"/>
      <c r="AA943" s="181"/>
      <c r="AB943" s="176"/>
      <c r="AC943" s="181"/>
      <c r="AD943" s="181"/>
      <c r="AE943" s="176"/>
      <c r="AF943" s="176"/>
      <c r="AG943" s="176"/>
      <c r="AH943" s="176"/>
      <c r="AI943" s="181"/>
      <c r="AJ943" s="181"/>
      <c r="AK943" s="176"/>
      <c r="AL943" s="181"/>
      <c r="AM943" s="181"/>
      <c r="AN943" s="176"/>
      <c r="AO943" s="181"/>
      <c r="AP943" s="181"/>
    </row>
    <row r="944" ht="12.75" customHeight="1">
      <c r="A944" s="179"/>
      <c r="B944" s="459"/>
      <c r="C944" s="481"/>
      <c r="D944" s="180"/>
      <c r="E944" s="180"/>
      <c r="F944" s="180"/>
      <c r="G944" s="460"/>
      <c r="H944" s="181"/>
      <c r="I944" s="181"/>
      <c r="J944" s="181"/>
      <c r="K944" s="181"/>
      <c r="L944" s="181"/>
      <c r="M944" s="329"/>
      <c r="N944" s="181"/>
      <c r="O944" s="181"/>
      <c r="P944" s="176"/>
      <c r="Q944" s="181"/>
      <c r="R944" s="181"/>
      <c r="S944" s="176"/>
      <c r="T944" s="181"/>
      <c r="U944" s="181"/>
      <c r="V944" s="176"/>
      <c r="W944" s="181"/>
      <c r="X944" s="181"/>
      <c r="Y944" s="176"/>
      <c r="Z944" s="181"/>
      <c r="AA944" s="181"/>
      <c r="AB944" s="176"/>
      <c r="AC944" s="181"/>
      <c r="AD944" s="181"/>
      <c r="AE944" s="176"/>
      <c r="AF944" s="176"/>
      <c r="AG944" s="176"/>
      <c r="AH944" s="176"/>
      <c r="AI944" s="181"/>
      <c r="AJ944" s="181"/>
      <c r="AK944" s="176"/>
      <c r="AL944" s="181"/>
      <c r="AM944" s="181"/>
      <c r="AN944" s="176"/>
      <c r="AO944" s="181"/>
      <c r="AP944" s="181"/>
    </row>
    <row r="945" ht="12.75" customHeight="1">
      <c r="A945" s="179"/>
      <c r="B945" s="459"/>
      <c r="C945" s="481"/>
      <c r="D945" s="180"/>
      <c r="E945" s="180"/>
      <c r="F945" s="180"/>
      <c r="G945" s="460"/>
      <c r="H945" s="181"/>
      <c r="I945" s="181"/>
      <c r="J945" s="181"/>
      <c r="K945" s="181"/>
      <c r="L945" s="181"/>
      <c r="M945" s="329"/>
      <c r="N945" s="181"/>
      <c r="O945" s="181"/>
      <c r="P945" s="176"/>
      <c r="Q945" s="181"/>
      <c r="R945" s="181"/>
      <c r="S945" s="176"/>
      <c r="T945" s="181"/>
      <c r="U945" s="181"/>
      <c r="V945" s="176"/>
      <c r="W945" s="181"/>
      <c r="X945" s="181"/>
      <c r="Y945" s="176"/>
      <c r="Z945" s="181"/>
      <c r="AA945" s="181"/>
      <c r="AB945" s="176"/>
      <c r="AC945" s="181"/>
      <c r="AD945" s="181"/>
      <c r="AE945" s="176"/>
      <c r="AF945" s="176"/>
      <c r="AG945" s="176"/>
      <c r="AH945" s="176"/>
      <c r="AI945" s="181"/>
      <c r="AJ945" s="181"/>
      <c r="AK945" s="176"/>
      <c r="AL945" s="181"/>
      <c r="AM945" s="181"/>
      <c r="AN945" s="176"/>
      <c r="AO945" s="181"/>
      <c r="AP945" s="181"/>
    </row>
    <row r="946" ht="12.75" customHeight="1">
      <c r="A946" s="179"/>
      <c r="B946" s="459"/>
      <c r="C946" s="481"/>
      <c r="D946" s="180"/>
      <c r="E946" s="180"/>
      <c r="F946" s="180"/>
      <c r="G946" s="460"/>
      <c r="H946" s="181"/>
      <c r="I946" s="181"/>
      <c r="J946" s="181"/>
      <c r="K946" s="181"/>
      <c r="L946" s="181"/>
      <c r="M946" s="329"/>
      <c r="N946" s="181"/>
      <c r="O946" s="181"/>
      <c r="P946" s="176"/>
      <c r="Q946" s="181"/>
      <c r="R946" s="181"/>
      <c r="S946" s="176"/>
      <c r="T946" s="181"/>
      <c r="U946" s="181"/>
      <c r="V946" s="176"/>
      <c r="W946" s="181"/>
      <c r="X946" s="181"/>
      <c r="Y946" s="176"/>
      <c r="Z946" s="181"/>
      <c r="AA946" s="181"/>
      <c r="AB946" s="176"/>
      <c r="AC946" s="181"/>
      <c r="AD946" s="181"/>
      <c r="AE946" s="176"/>
      <c r="AF946" s="176"/>
      <c r="AG946" s="176"/>
      <c r="AH946" s="176"/>
      <c r="AI946" s="181"/>
      <c r="AJ946" s="181"/>
      <c r="AK946" s="176"/>
      <c r="AL946" s="181"/>
      <c r="AM946" s="181"/>
      <c r="AN946" s="176"/>
      <c r="AO946" s="181"/>
      <c r="AP946" s="181"/>
    </row>
    <row r="947" ht="12.75" customHeight="1">
      <c r="A947" s="179"/>
      <c r="B947" s="459"/>
      <c r="C947" s="481"/>
      <c r="D947" s="180"/>
      <c r="E947" s="180"/>
      <c r="F947" s="180"/>
      <c r="G947" s="460"/>
      <c r="H947" s="181"/>
      <c r="I947" s="181"/>
      <c r="J947" s="181"/>
      <c r="K947" s="181"/>
      <c r="L947" s="181"/>
      <c r="M947" s="329"/>
      <c r="N947" s="181"/>
      <c r="O947" s="181"/>
      <c r="P947" s="176"/>
      <c r="Q947" s="181"/>
      <c r="R947" s="181"/>
      <c r="S947" s="176"/>
      <c r="T947" s="181"/>
      <c r="U947" s="181"/>
      <c r="V947" s="176"/>
      <c r="W947" s="181"/>
      <c r="X947" s="181"/>
      <c r="Y947" s="176"/>
      <c r="Z947" s="181"/>
      <c r="AA947" s="181"/>
      <c r="AB947" s="176"/>
      <c r="AC947" s="181"/>
      <c r="AD947" s="181"/>
      <c r="AE947" s="176"/>
      <c r="AF947" s="176"/>
      <c r="AG947" s="176"/>
      <c r="AH947" s="176"/>
      <c r="AI947" s="181"/>
      <c r="AJ947" s="181"/>
      <c r="AK947" s="176"/>
      <c r="AL947" s="181"/>
      <c r="AM947" s="181"/>
      <c r="AN947" s="176"/>
      <c r="AO947" s="181"/>
      <c r="AP947" s="181"/>
    </row>
    <row r="948" ht="12.75" customHeight="1">
      <c r="A948" s="179"/>
      <c r="B948" s="459"/>
      <c r="C948" s="481"/>
      <c r="D948" s="180"/>
      <c r="E948" s="180"/>
      <c r="F948" s="180"/>
      <c r="G948" s="460"/>
      <c r="H948" s="181"/>
      <c r="I948" s="181"/>
      <c r="J948" s="181"/>
      <c r="K948" s="181"/>
      <c r="L948" s="181"/>
      <c r="M948" s="329"/>
      <c r="N948" s="181"/>
      <c r="O948" s="181"/>
      <c r="P948" s="176"/>
      <c r="Q948" s="181"/>
      <c r="R948" s="181"/>
      <c r="S948" s="176"/>
      <c r="T948" s="181"/>
      <c r="U948" s="181"/>
      <c r="V948" s="176"/>
      <c r="W948" s="181"/>
      <c r="X948" s="181"/>
      <c r="Y948" s="176"/>
      <c r="Z948" s="181"/>
      <c r="AA948" s="181"/>
      <c r="AB948" s="176"/>
      <c r="AC948" s="181"/>
      <c r="AD948" s="181"/>
      <c r="AE948" s="176"/>
      <c r="AF948" s="176"/>
      <c r="AG948" s="176"/>
      <c r="AH948" s="176"/>
      <c r="AI948" s="181"/>
      <c r="AJ948" s="181"/>
      <c r="AK948" s="176"/>
      <c r="AL948" s="181"/>
      <c r="AM948" s="181"/>
      <c r="AN948" s="176"/>
      <c r="AO948" s="181"/>
      <c r="AP948" s="181"/>
    </row>
    <row r="949" ht="12.75" customHeight="1">
      <c r="A949" s="179"/>
      <c r="B949" s="459"/>
      <c r="C949" s="481"/>
      <c r="D949" s="180"/>
      <c r="E949" s="180"/>
      <c r="F949" s="180"/>
      <c r="G949" s="460"/>
      <c r="H949" s="181"/>
      <c r="I949" s="181"/>
      <c r="J949" s="181"/>
      <c r="K949" s="181"/>
      <c r="L949" s="181"/>
      <c r="M949" s="329"/>
      <c r="N949" s="181"/>
      <c r="O949" s="181"/>
      <c r="P949" s="176"/>
      <c r="Q949" s="181"/>
      <c r="R949" s="181"/>
      <c r="S949" s="176"/>
      <c r="T949" s="181"/>
      <c r="U949" s="181"/>
      <c r="V949" s="176"/>
      <c r="W949" s="181"/>
      <c r="X949" s="181"/>
      <c r="Y949" s="176"/>
      <c r="Z949" s="181"/>
      <c r="AA949" s="181"/>
      <c r="AB949" s="176"/>
      <c r="AC949" s="181"/>
      <c r="AD949" s="181"/>
      <c r="AE949" s="176"/>
      <c r="AF949" s="176"/>
      <c r="AG949" s="176"/>
      <c r="AH949" s="176"/>
      <c r="AI949" s="181"/>
      <c r="AJ949" s="181"/>
      <c r="AK949" s="176"/>
      <c r="AL949" s="181"/>
      <c r="AM949" s="181"/>
      <c r="AN949" s="176"/>
      <c r="AO949" s="181"/>
      <c r="AP949" s="181"/>
    </row>
    <row r="950" ht="12.75" customHeight="1">
      <c r="A950" s="179"/>
      <c r="B950" s="459"/>
      <c r="C950" s="481"/>
      <c r="D950" s="180"/>
      <c r="E950" s="180"/>
      <c r="F950" s="180"/>
      <c r="G950" s="460"/>
      <c r="H950" s="181"/>
      <c r="I950" s="181"/>
      <c r="J950" s="181"/>
      <c r="K950" s="181"/>
      <c r="L950" s="181"/>
      <c r="M950" s="329"/>
      <c r="N950" s="181"/>
      <c r="O950" s="181"/>
      <c r="P950" s="176"/>
      <c r="Q950" s="181"/>
      <c r="R950" s="181"/>
      <c r="S950" s="176"/>
      <c r="T950" s="181"/>
      <c r="U950" s="181"/>
      <c r="V950" s="176"/>
      <c r="W950" s="181"/>
      <c r="X950" s="181"/>
      <c r="Y950" s="176"/>
      <c r="Z950" s="181"/>
      <c r="AA950" s="181"/>
      <c r="AB950" s="176"/>
      <c r="AC950" s="181"/>
      <c r="AD950" s="181"/>
      <c r="AE950" s="176"/>
      <c r="AF950" s="176"/>
      <c r="AG950" s="176"/>
      <c r="AH950" s="176"/>
      <c r="AI950" s="181"/>
      <c r="AJ950" s="181"/>
      <c r="AK950" s="176"/>
      <c r="AL950" s="181"/>
      <c r="AM950" s="181"/>
      <c r="AN950" s="176"/>
      <c r="AO950" s="181"/>
      <c r="AP950" s="181"/>
    </row>
    <row r="951" ht="12.75" customHeight="1">
      <c r="A951" s="179"/>
      <c r="B951" s="459"/>
      <c r="C951" s="481"/>
      <c r="D951" s="180"/>
      <c r="E951" s="180"/>
      <c r="F951" s="180"/>
      <c r="G951" s="460"/>
      <c r="H951" s="181"/>
      <c r="I951" s="181"/>
      <c r="J951" s="181"/>
      <c r="K951" s="181"/>
      <c r="L951" s="181"/>
      <c r="M951" s="329"/>
      <c r="N951" s="181"/>
      <c r="O951" s="181"/>
      <c r="P951" s="176"/>
      <c r="Q951" s="181"/>
      <c r="R951" s="181"/>
      <c r="S951" s="176"/>
      <c r="T951" s="181"/>
      <c r="U951" s="181"/>
      <c r="V951" s="176"/>
      <c r="W951" s="181"/>
      <c r="X951" s="181"/>
      <c r="Y951" s="176"/>
      <c r="Z951" s="181"/>
      <c r="AA951" s="181"/>
      <c r="AB951" s="176"/>
      <c r="AC951" s="181"/>
      <c r="AD951" s="181"/>
      <c r="AE951" s="176"/>
      <c r="AF951" s="176"/>
      <c r="AG951" s="176"/>
      <c r="AH951" s="176"/>
      <c r="AI951" s="181"/>
      <c r="AJ951" s="181"/>
      <c r="AK951" s="176"/>
      <c r="AL951" s="181"/>
      <c r="AM951" s="181"/>
      <c r="AN951" s="176"/>
      <c r="AO951" s="181"/>
      <c r="AP951" s="181"/>
    </row>
    <row r="952" ht="12.75" customHeight="1">
      <c r="A952" s="179"/>
      <c r="B952" s="459"/>
      <c r="C952" s="481"/>
      <c r="D952" s="180"/>
      <c r="E952" s="180"/>
      <c r="F952" s="180"/>
      <c r="G952" s="460"/>
      <c r="H952" s="181"/>
      <c r="I952" s="181"/>
      <c r="J952" s="181"/>
      <c r="K952" s="181"/>
      <c r="L952" s="181"/>
      <c r="M952" s="329"/>
      <c r="N952" s="181"/>
      <c r="O952" s="181"/>
      <c r="P952" s="176"/>
      <c r="Q952" s="181"/>
      <c r="R952" s="181"/>
      <c r="S952" s="176"/>
      <c r="T952" s="181"/>
      <c r="U952" s="181"/>
      <c r="V952" s="176"/>
      <c r="W952" s="181"/>
      <c r="X952" s="181"/>
      <c r="Y952" s="176"/>
      <c r="Z952" s="181"/>
      <c r="AA952" s="181"/>
      <c r="AB952" s="176"/>
      <c r="AC952" s="181"/>
      <c r="AD952" s="181"/>
      <c r="AE952" s="176"/>
      <c r="AF952" s="176"/>
      <c r="AG952" s="176"/>
      <c r="AH952" s="176"/>
      <c r="AI952" s="181"/>
      <c r="AJ952" s="181"/>
      <c r="AK952" s="176"/>
      <c r="AL952" s="181"/>
      <c r="AM952" s="181"/>
      <c r="AN952" s="176"/>
      <c r="AO952" s="181"/>
      <c r="AP952" s="181"/>
    </row>
    <row r="953" ht="12.75" customHeight="1">
      <c r="A953" s="179"/>
      <c r="B953" s="459"/>
      <c r="C953" s="481"/>
      <c r="D953" s="180"/>
      <c r="E953" s="180"/>
      <c r="F953" s="180"/>
      <c r="G953" s="460"/>
      <c r="H953" s="181"/>
      <c r="I953" s="181"/>
      <c r="J953" s="181"/>
      <c r="K953" s="181"/>
      <c r="L953" s="181"/>
      <c r="M953" s="329"/>
      <c r="N953" s="181"/>
      <c r="O953" s="181"/>
      <c r="P953" s="176"/>
      <c r="Q953" s="181"/>
      <c r="R953" s="181"/>
      <c r="S953" s="176"/>
      <c r="T953" s="181"/>
      <c r="U953" s="181"/>
      <c r="V953" s="176"/>
      <c r="W953" s="181"/>
      <c r="X953" s="181"/>
      <c r="Y953" s="176"/>
      <c r="Z953" s="181"/>
      <c r="AA953" s="181"/>
      <c r="AB953" s="176"/>
      <c r="AC953" s="181"/>
      <c r="AD953" s="181"/>
      <c r="AE953" s="176"/>
      <c r="AF953" s="176"/>
      <c r="AG953" s="176"/>
      <c r="AH953" s="176"/>
      <c r="AI953" s="181"/>
      <c r="AJ953" s="181"/>
      <c r="AK953" s="176"/>
      <c r="AL953" s="181"/>
      <c r="AM953" s="181"/>
      <c r="AN953" s="176"/>
      <c r="AO953" s="181"/>
      <c r="AP953" s="181"/>
    </row>
    <row r="954" ht="12.75" customHeight="1">
      <c r="A954" s="179"/>
      <c r="B954" s="459"/>
      <c r="C954" s="481"/>
      <c r="D954" s="180"/>
      <c r="E954" s="180"/>
      <c r="F954" s="180"/>
      <c r="G954" s="460"/>
      <c r="H954" s="181"/>
      <c r="I954" s="181"/>
      <c r="J954" s="181"/>
      <c r="K954" s="181"/>
      <c r="L954" s="181"/>
      <c r="M954" s="329"/>
      <c r="N954" s="181"/>
      <c r="O954" s="181"/>
      <c r="P954" s="176"/>
      <c r="Q954" s="181"/>
      <c r="R954" s="181"/>
      <c r="S954" s="176"/>
      <c r="T954" s="181"/>
      <c r="U954" s="181"/>
      <c r="V954" s="176"/>
      <c r="W954" s="181"/>
      <c r="X954" s="181"/>
      <c r="Y954" s="176"/>
      <c r="Z954" s="181"/>
      <c r="AA954" s="181"/>
      <c r="AB954" s="176"/>
      <c r="AC954" s="181"/>
      <c r="AD954" s="181"/>
      <c r="AE954" s="176"/>
      <c r="AF954" s="176"/>
      <c r="AG954" s="176"/>
      <c r="AH954" s="176"/>
      <c r="AI954" s="181"/>
      <c r="AJ954" s="181"/>
      <c r="AK954" s="176"/>
      <c r="AL954" s="181"/>
      <c r="AM954" s="181"/>
      <c r="AN954" s="176"/>
      <c r="AO954" s="181"/>
      <c r="AP954" s="181"/>
    </row>
    <row r="955" ht="12.75" customHeight="1">
      <c r="A955" s="179"/>
      <c r="B955" s="459"/>
      <c r="C955" s="481"/>
      <c r="D955" s="180"/>
      <c r="E955" s="180"/>
      <c r="F955" s="180"/>
      <c r="G955" s="460"/>
      <c r="H955" s="181"/>
      <c r="I955" s="181"/>
      <c r="J955" s="181"/>
      <c r="K955" s="181"/>
      <c r="L955" s="181"/>
      <c r="M955" s="329"/>
      <c r="N955" s="181"/>
      <c r="O955" s="181"/>
      <c r="P955" s="176"/>
      <c r="Q955" s="181"/>
      <c r="R955" s="181"/>
      <c r="S955" s="176"/>
      <c r="T955" s="181"/>
      <c r="U955" s="181"/>
      <c r="V955" s="176"/>
      <c r="W955" s="181"/>
      <c r="X955" s="181"/>
      <c r="Y955" s="176"/>
      <c r="Z955" s="181"/>
      <c r="AA955" s="181"/>
      <c r="AB955" s="176"/>
      <c r="AC955" s="181"/>
      <c r="AD955" s="181"/>
      <c r="AE955" s="176"/>
      <c r="AF955" s="176"/>
      <c r="AG955" s="176"/>
      <c r="AH955" s="176"/>
      <c r="AI955" s="181"/>
      <c r="AJ955" s="181"/>
      <c r="AK955" s="176"/>
      <c r="AL955" s="181"/>
      <c r="AM955" s="181"/>
      <c r="AN955" s="176"/>
      <c r="AO955" s="181"/>
      <c r="AP955" s="181"/>
    </row>
    <row r="956" ht="12.75" customHeight="1">
      <c r="A956" s="179"/>
      <c r="B956" s="459"/>
      <c r="C956" s="481"/>
      <c r="D956" s="180"/>
      <c r="E956" s="180"/>
      <c r="F956" s="180"/>
      <c r="G956" s="460"/>
      <c r="H956" s="181"/>
      <c r="I956" s="181"/>
      <c r="J956" s="181"/>
      <c r="K956" s="181"/>
      <c r="L956" s="181"/>
      <c r="M956" s="329"/>
      <c r="N956" s="181"/>
      <c r="O956" s="181"/>
      <c r="P956" s="176"/>
      <c r="Q956" s="181"/>
      <c r="R956" s="181"/>
      <c r="S956" s="176"/>
      <c r="T956" s="181"/>
      <c r="U956" s="181"/>
      <c r="V956" s="176"/>
      <c r="W956" s="181"/>
      <c r="X956" s="181"/>
      <c r="Y956" s="176"/>
      <c r="Z956" s="181"/>
      <c r="AA956" s="181"/>
      <c r="AB956" s="176"/>
      <c r="AC956" s="181"/>
      <c r="AD956" s="181"/>
      <c r="AE956" s="176"/>
      <c r="AF956" s="176"/>
      <c r="AG956" s="176"/>
      <c r="AH956" s="176"/>
      <c r="AI956" s="181"/>
      <c r="AJ956" s="181"/>
      <c r="AK956" s="176"/>
      <c r="AL956" s="181"/>
      <c r="AM956" s="181"/>
      <c r="AN956" s="176"/>
      <c r="AO956" s="181"/>
      <c r="AP956" s="181"/>
    </row>
    <row r="957" ht="12.75" customHeight="1">
      <c r="A957" s="179"/>
      <c r="B957" s="459"/>
      <c r="C957" s="481"/>
      <c r="D957" s="180"/>
      <c r="E957" s="180"/>
      <c r="F957" s="180"/>
      <c r="G957" s="460"/>
      <c r="H957" s="181"/>
      <c r="I957" s="181"/>
      <c r="J957" s="181"/>
      <c r="K957" s="181"/>
      <c r="L957" s="181"/>
      <c r="M957" s="329"/>
      <c r="N957" s="181"/>
      <c r="O957" s="181"/>
      <c r="P957" s="176"/>
      <c r="Q957" s="181"/>
      <c r="R957" s="181"/>
      <c r="S957" s="176"/>
      <c r="T957" s="181"/>
      <c r="U957" s="181"/>
      <c r="V957" s="176"/>
      <c r="W957" s="181"/>
      <c r="X957" s="181"/>
      <c r="Y957" s="176"/>
      <c r="Z957" s="181"/>
      <c r="AA957" s="181"/>
      <c r="AB957" s="176"/>
      <c r="AC957" s="181"/>
      <c r="AD957" s="181"/>
      <c r="AE957" s="176"/>
      <c r="AF957" s="176"/>
      <c r="AG957" s="176"/>
      <c r="AH957" s="176"/>
      <c r="AI957" s="181"/>
      <c r="AJ957" s="181"/>
      <c r="AK957" s="176"/>
      <c r="AL957" s="181"/>
      <c r="AM957" s="181"/>
      <c r="AN957" s="176"/>
      <c r="AO957" s="181"/>
      <c r="AP957" s="181"/>
    </row>
    <row r="958" ht="12.75" customHeight="1">
      <c r="A958" s="179"/>
      <c r="B958" s="459"/>
      <c r="C958" s="481"/>
      <c r="D958" s="180"/>
      <c r="E958" s="180"/>
      <c r="F958" s="180"/>
      <c r="G958" s="460"/>
      <c r="H958" s="181"/>
      <c r="I958" s="181"/>
      <c r="J958" s="181"/>
      <c r="K958" s="181"/>
      <c r="L958" s="181"/>
      <c r="M958" s="329"/>
      <c r="N958" s="181"/>
      <c r="O958" s="181"/>
      <c r="P958" s="176"/>
      <c r="Q958" s="181"/>
      <c r="R958" s="181"/>
      <c r="S958" s="176"/>
      <c r="T958" s="181"/>
      <c r="U958" s="181"/>
      <c r="V958" s="176"/>
      <c r="W958" s="181"/>
      <c r="X958" s="181"/>
      <c r="Y958" s="176"/>
      <c r="Z958" s="181"/>
      <c r="AA958" s="181"/>
      <c r="AB958" s="176"/>
      <c r="AC958" s="181"/>
      <c r="AD958" s="181"/>
      <c r="AE958" s="176"/>
      <c r="AF958" s="176"/>
      <c r="AG958" s="176"/>
      <c r="AH958" s="176"/>
      <c r="AI958" s="181"/>
      <c r="AJ958" s="181"/>
      <c r="AK958" s="176"/>
      <c r="AL958" s="181"/>
      <c r="AM958" s="181"/>
      <c r="AN958" s="176"/>
      <c r="AO958" s="181"/>
      <c r="AP958" s="181"/>
    </row>
    <row r="959" ht="12.75" customHeight="1">
      <c r="A959" s="179"/>
      <c r="B959" s="459"/>
      <c r="C959" s="481"/>
      <c r="D959" s="180"/>
      <c r="E959" s="180"/>
      <c r="F959" s="180"/>
      <c r="G959" s="460"/>
      <c r="H959" s="181"/>
      <c r="I959" s="181"/>
      <c r="J959" s="181"/>
      <c r="K959" s="181"/>
      <c r="L959" s="181"/>
      <c r="M959" s="329"/>
      <c r="N959" s="181"/>
      <c r="O959" s="181"/>
      <c r="P959" s="176"/>
      <c r="Q959" s="181"/>
      <c r="R959" s="181"/>
      <c r="S959" s="176"/>
      <c r="T959" s="181"/>
      <c r="U959" s="181"/>
      <c r="V959" s="176"/>
      <c r="W959" s="181"/>
      <c r="X959" s="181"/>
      <c r="Y959" s="176"/>
      <c r="Z959" s="181"/>
      <c r="AA959" s="181"/>
      <c r="AB959" s="176"/>
      <c r="AC959" s="181"/>
      <c r="AD959" s="181"/>
      <c r="AE959" s="176"/>
      <c r="AF959" s="176"/>
      <c r="AG959" s="176"/>
      <c r="AH959" s="176"/>
      <c r="AI959" s="181"/>
      <c r="AJ959" s="181"/>
      <c r="AK959" s="176"/>
      <c r="AL959" s="181"/>
      <c r="AM959" s="181"/>
      <c r="AN959" s="176"/>
      <c r="AO959" s="181"/>
      <c r="AP959" s="181"/>
    </row>
    <row r="960" ht="12.75" customHeight="1">
      <c r="A960" s="179"/>
      <c r="B960" s="459"/>
      <c r="C960" s="481"/>
      <c r="D960" s="180"/>
      <c r="E960" s="180"/>
      <c r="F960" s="180"/>
      <c r="G960" s="460"/>
      <c r="H960" s="181"/>
      <c r="I960" s="181"/>
      <c r="J960" s="181"/>
      <c r="K960" s="181"/>
      <c r="L960" s="181"/>
      <c r="M960" s="329"/>
      <c r="N960" s="181"/>
      <c r="O960" s="181"/>
      <c r="P960" s="176"/>
      <c r="Q960" s="181"/>
      <c r="R960" s="181"/>
      <c r="S960" s="176"/>
      <c r="T960" s="181"/>
      <c r="U960" s="181"/>
      <c r="V960" s="176"/>
      <c r="W960" s="181"/>
      <c r="X960" s="181"/>
      <c r="Y960" s="176"/>
      <c r="Z960" s="181"/>
      <c r="AA960" s="181"/>
      <c r="AB960" s="176"/>
      <c r="AC960" s="181"/>
      <c r="AD960" s="181"/>
      <c r="AE960" s="176"/>
      <c r="AF960" s="176"/>
      <c r="AG960" s="176"/>
      <c r="AH960" s="176"/>
      <c r="AI960" s="181"/>
      <c r="AJ960" s="181"/>
      <c r="AK960" s="176"/>
      <c r="AL960" s="181"/>
      <c r="AM960" s="181"/>
      <c r="AN960" s="176"/>
      <c r="AO960" s="181"/>
      <c r="AP960" s="181"/>
    </row>
    <row r="961" ht="12.75" customHeight="1">
      <c r="A961" s="179"/>
      <c r="B961" s="459"/>
      <c r="C961" s="481"/>
      <c r="D961" s="180"/>
      <c r="E961" s="180"/>
      <c r="F961" s="180"/>
      <c r="G961" s="460"/>
      <c r="H961" s="181"/>
      <c r="I961" s="181"/>
      <c r="J961" s="181"/>
      <c r="K961" s="181"/>
      <c r="L961" s="181"/>
      <c r="M961" s="329"/>
      <c r="N961" s="181"/>
      <c r="O961" s="181"/>
      <c r="P961" s="176"/>
      <c r="Q961" s="181"/>
      <c r="R961" s="181"/>
      <c r="S961" s="176"/>
      <c r="T961" s="181"/>
      <c r="U961" s="181"/>
      <c r="V961" s="176"/>
      <c r="W961" s="181"/>
      <c r="X961" s="181"/>
      <c r="Y961" s="176"/>
      <c r="Z961" s="181"/>
      <c r="AA961" s="181"/>
      <c r="AB961" s="176"/>
      <c r="AC961" s="181"/>
      <c r="AD961" s="181"/>
      <c r="AE961" s="176"/>
      <c r="AF961" s="176"/>
      <c r="AG961" s="176"/>
      <c r="AH961" s="176"/>
      <c r="AI961" s="181"/>
      <c r="AJ961" s="181"/>
      <c r="AK961" s="176"/>
      <c r="AL961" s="181"/>
      <c r="AM961" s="181"/>
      <c r="AN961" s="176"/>
      <c r="AO961" s="181"/>
      <c r="AP961" s="181"/>
    </row>
    <row r="962" ht="12.75" customHeight="1">
      <c r="A962" s="179"/>
      <c r="B962" s="459"/>
      <c r="C962" s="481"/>
      <c r="D962" s="180"/>
      <c r="E962" s="180"/>
      <c r="F962" s="180"/>
      <c r="G962" s="460"/>
      <c r="H962" s="181"/>
      <c r="I962" s="181"/>
      <c r="J962" s="181"/>
      <c r="K962" s="181"/>
      <c r="L962" s="181"/>
      <c r="M962" s="329"/>
      <c r="N962" s="181"/>
      <c r="O962" s="181"/>
      <c r="P962" s="176"/>
      <c r="Q962" s="181"/>
      <c r="R962" s="181"/>
      <c r="S962" s="176"/>
      <c r="T962" s="181"/>
      <c r="U962" s="181"/>
      <c r="V962" s="176"/>
      <c r="W962" s="181"/>
      <c r="X962" s="181"/>
      <c r="Y962" s="176"/>
      <c r="Z962" s="181"/>
      <c r="AA962" s="181"/>
      <c r="AB962" s="176"/>
      <c r="AC962" s="181"/>
      <c r="AD962" s="181"/>
      <c r="AE962" s="176"/>
      <c r="AF962" s="176"/>
      <c r="AG962" s="176"/>
      <c r="AH962" s="176"/>
      <c r="AI962" s="181"/>
      <c r="AJ962" s="181"/>
      <c r="AK962" s="176"/>
      <c r="AL962" s="181"/>
      <c r="AM962" s="181"/>
      <c r="AN962" s="176"/>
      <c r="AO962" s="181"/>
      <c r="AP962" s="181"/>
    </row>
    <row r="963" ht="12.75" customHeight="1">
      <c r="A963" s="179"/>
      <c r="B963" s="459"/>
      <c r="C963" s="481"/>
      <c r="D963" s="180"/>
      <c r="E963" s="180"/>
      <c r="F963" s="180"/>
      <c r="G963" s="460"/>
      <c r="H963" s="181"/>
      <c r="I963" s="181"/>
      <c r="J963" s="181"/>
      <c r="K963" s="181"/>
      <c r="L963" s="181"/>
      <c r="M963" s="329"/>
      <c r="N963" s="181"/>
      <c r="O963" s="181"/>
      <c r="P963" s="176"/>
      <c r="Q963" s="181"/>
      <c r="R963" s="181"/>
      <c r="S963" s="176"/>
      <c r="T963" s="181"/>
      <c r="U963" s="181"/>
      <c r="V963" s="176"/>
      <c r="W963" s="181"/>
      <c r="X963" s="181"/>
      <c r="Y963" s="176"/>
      <c r="Z963" s="181"/>
      <c r="AA963" s="181"/>
      <c r="AB963" s="176"/>
      <c r="AC963" s="181"/>
      <c r="AD963" s="181"/>
      <c r="AE963" s="176"/>
      <c r="AF963" s="176"/>
      <c r="AG963" s="176"/>
      <c r="AH963" s="176"/>
      <c r="AI963" s="181"/>
      <c r="AJ963" s="181"/>
      <c r="AK963" s="176"/>
      <c r="AL963" s="181"/>
      <c r="AM963" s="181"/>
      <c r="AN963" s="176"/>
      <c r="AO963" s="181"/>
      <c r="AP963" s="181"/>
    </row>
    <row r="964" ht="12.75" customHeight="1">
      <c r="A964" s="179"/>
      <c r="B964" s="459"/>
      <c r="C964" s="481"/>
      <c r="D964" s="180"/>
      <c r="E964" s="180"/>
      <c r="F964" s="180"/>
      <c r="G964" s="460"/>
      <c r="H964" s="181"/>
      <c r="I964" s="181"/>
      <c r="J964" s="181"/>
      <c r="K964" s="181"/>
      <c r="L964" s="181"/>
      <c r="M964" s="329"/>
      <c r="N964" s="181"/>
      <c r="O964" s="181"/>
      <c r="P964" s="176"/>
      <c r="Q964" s="181"/>
      <c r="R964" s="181"/>
      <c r="S964" s="176"/>
      <c r="T964" s="181"/>
      <c r="U964" s="181"/>
      <c r="V964" s="176"/>
      <c r="W964" s="181"/>
      <c r="X964" s="181"/>
      <c r="Y964" s="176"/>
      <c r="Z964" s="181"/>
      <c r="AA964" s="181"/>
      <c r="AB964" s="176"/>
      <c r="AC964" s="181"/>
      <c r="AD964" s="181"/>
      <c r="AE964" s="176"/>
      <c r="AF964" s="176"/>
      <c r="AG964" s="176"/>
      <c r="AH964" s="176"/>
      <c r="AI964" s="181"/>
      <c r="AJ964" s="181"/>
      <c r="AK964" s="176"/>
      <c r="AL964" s="181"/>
      <c r="AM964" s="181"/>
      <c r="AN964" s="176"/>
      <c r="AO964" s="181"/>
      <c r="AP964" s="181"/>
    </row>
    <row r="965" ht="12.75" customHeight="1">
      <c r="A965" s="179"/>
      <c r="B965" s="459"/>
      <c r="C965" s="481"/>
      <c r="D965" s="180"/>
      <c r="E965" s="180"/>
      <c r="F965" s="180"/>
      <c r="G965" s="460"/>
      <c r="H965" s="181"/>
      <c r="I965" s="181"/>
      <c r="J965" s="181"/>
      <c r="K965" s="181"/>
      <c r="L965" s="181"/>
      <c r="M965" s="329"/>
      <c r="N965" s="181"/>
      <c r="O965" s="181"/>
      <c r="P965" s="176"/>
      <c r="Q965" s="181"/>
      <c r="R965" s="181"/>
      <c r="S965" s="176"/>
      <c r="T965" s="181"/>
      <c r="U965" s="181"/>
      <c r="V965" s="176"/>
      <c r="W965" s="181"/>
      <c r="X965" s="181"/>
      <c r="Y965" s="176"/>
      <c r="Z965" s="181"/>
      <c r="AA965" s="181"/>
      <c r="AB965" s="176"/>
      <c r="AC965" s="181"/>
      <c r="AD965" s="181"/>
      <c r="AE965" s="176"/>
      <c r="AF965" s="176"/>
      <c r="AG965" s="176"/>
      <c r="AH965" s="176"/>
      <c r="AI965" s="181"/>
      <c r="AJ965" s="181"/>
      <c r="AK965" s="176"/>
      <c r="AL965" s="181"/>
      <c r="AM965" s="181"/>
      <c r="AN965" s="176"/>
      <c r="AO965" s="181"/>
      <c r="AP965" s="181"/>
    </row>
    <row r="966" ht="12.75" customHeight="1">
      <c r="A966" s="179"/>
      <c r="B966" s="459"/>
      <c r="C966" s="481"/>
      <c r="D966" s="180"/>
      <c r="E966" s="180"/>
      <c r="F966" s="180"/>
      <c r="G966" s="460"/>
      <c r="H966" s="181"/>
      <c r="I966" s="181"/>
      <c r="J966" s="181"/>
      <c r="K966" s="181"/>
      <c r="L966" s="181"/>
      <c r="M966" s="329"/>
      <c r="N966" s="181"/>
      <c r="O966" s="181"/>
      <c r="P966" s="176"/>
      <c r="Q966" s="181"/>
      <c r="R966" s="181"/>
      <c r="S966" s="176"/>
      <c r="T966" s="181"/>
      <c r="U966" s="181"/>
      <c r="V966" s="176"/>
      <c r="W966" s="181"/>
      <c r="X966" s="181"/>
      <c r="Y966" s="176"/>
      <c r="Z966" s="181"/>
      <c r="AA966" s="181"/>
      <c r="AB966" s="176"/>
      <c r="AC966" s="181"/>
      <c r="AD966" s="181"/>
      <c r="AE966" s="176"/>
      <c r="AF966" s="176"/>
      <c r="AG966" s="176"/>
      <c r="AH966" s="176"/>
      <c r="AI966" s="181"/>
      <c r="AJ966" s="181"/>
      <c r="AK966" s="176"/>
      <c r="AL966" s="181"/>
      <c r="AM966" s="181"/>
      <c r="AN966" s="176"/>
      <c r="AO966" s="181"/>
      <c r="AP966" s="181"/>
    </row>
    <row r="967" ht="12.75" customHeight="1">
      <c r="A967" s="179"/>
      <c r="B967" s="459"/>
      <c r="C967" s="481"/>
      <c r="D967" s="180"/>
      <c r="E967" s="180"/>
      <c r="F967" s="180"/>
      <c r="G967" s="460"/>
      <c r="H967" s="181"/>
      <c r="I967" s="181"/>
      <c r="J967" s="181"/>
      <c r="K967" s="181"/>
      <c r="L967" s="181"/>
      <c r="M967" s="329"/>
      <c r="N967" s="181"/>
      <c r="O967" s="181"/>
      <c r="P967" s="176"/>
      <c r="Q967" s="181"/>
      <c r="R967" s="181"/>
      <c r="S967" s="176"/>
      <c r="T967" s="181"/>
      <c r="U967" s="181"/>
      <c r="V967" s="176"/>
      <c r="W967" s="181"/>
      <c r="X967" s="181"/>
      <c r="Y967" s="176"/>
      <c r="Z967" s="181"/>
      <c r="AA967" s="181"/>
      <c r="AB967" s="176"/>
      <c r="AC967" s="181"/>
      <c r="AD967" s="181"/>
      <c r="AE967" s="176"/>
      <c r="AF967" s="176"/>
      <c r="AG967" s="176"/>
      <c r="AH967" s="176"/>
      <c r="AI967" s="181"/>
      <c r="AJ967" s="181"/>
      <c r="AK967" s="176"/>
      <c r="AL967" s="181"/>
      <c r="AM967" s="181"/>
      <c r="AN967" s="176"/>
      <c r="AO967" s="181"/>
      <c r="AP967" s="181"/>
    </row>
    <row r="968" ht="12.75" customHeight="1">
      <c r="A968" s="179"/>
      <c r="B968" s="459"/>
      <c r="C968" s="481"/>
      <c r="D968" s="180"/>
      <c r="E968" s="180"/>
      <c r="F968" s="180"/>
      <c r="G968" s="460"/>
      <c r="H968" s="181"/>
      <c r="I968" s="181"/>
      <c r="J968" s="181"/>
      <c r="K968" s="181"/>
      <c r="L968" s="181"/>
      <c r="M968" s="329"/>
      <c r="N968" s="181"/>
      <c r="O968" s="181"/>
      <c r="P968" s="176"/>
      <c r="Q968" s="181"/>
      <c r="R968" s="181"/>
      <c r="S968" s="176"/>
      <c r="T968" s="181"/>
      <c r="U968" s="181"/>
      <c r="V968" s="176"/>
      <c r="W968" s="181"/>
      <c r="X968" s="181"/>
      <c r="Y968" s="176"/>
      <c r="Z968" s="181"/>
      <c r="AA968" s="181"/>
      <c r="AB968" s="176"/>
      <c r="AC968" s="181"/>
      <c r="AD968" s="181"/>
      <c r="AE968" s="176"/>
      <c r="AF968" s="176"/>
      <c r="AG968" s="176"/>
      <c r="AH968" s="176"/>
      <c r="AI968" s="181"/>
      <c r="AJ968" s="181"/>
      <c r="AK968" s="176"/>
      <c r="AL968" s="181"/>
      <c r="AM968" s="181"/>
      <c r="AN968" s="176"/>
      <c r="AO968" s="181"/>
      <c r="AP968" s="181"/>
    </row>
    <row r="969" ht="12.75" customHeight="1">
      <c r="A969" s="179"/>
      <c r="B969" s="459"/>
      <c r="C969" s="481"/>
      <c r="D969" s="180"/>
      <c r="E969" s="180"/>
      <c r="F969" s="180"/>
      <c r="G969" s="460"/>
      <c r="H969" s="181"/>
      <c r="I969" s="181"/>
      <c r="J969" s="181"/>
      <c r="K969" s="181"/>
      <c r="L969" s="181"/>
      <c r="M969" s="329"/>
      <c r="N969" s="181"/>
      <c r="O969" s="181"/>
      <c r="P969" s="176"/>
      <c r="Q969" s="181"/>
      <c r="R969" s="181"/>
      <c r="S969" s="176"/>
      <c r="T969" s="181"/>
      <c r="U969" s="181"/>
      <c r="V969" s="176"/>
      <c r="W969" s="181"/>
      <c r="X969" s="181"/>
      <c r="Y969" s="176"/>
      <c r="Z969" s="181"/>
      <c r="AA969" s="181"/>
      <c r="AB969" s="176"/>
      <c r="AC969" s="181"/>
      <c r="AD969" s="181"/>
      <c r="AE969" s="176"/>
      <c r="AF969" s="176"/>
      <c r="AG969" s="176"/>
      <c r="AH969" s="176"/>
      <c r="AI969" s="181"/>
      <c r="AJ969" s="181"/>
      <c r="AK969" s="176"/>
      <c r="AL969" s="181"/>
      <c r="AM969" s="181"/>
      <c r="AN969" s="176"/>
      <c r="AO969" s="181"/>
      <c r="AP969" s="181"/>
    </row>
    <row r="970" ht="12.75" customHeight="1">
      <c r="A970" s="179"/>
      <c r="B970" s="459"/>
      <c r="C970" s="481"/>
      <c r="D970" s="180"/>
      <c r="E970" s="180"/>
      <c r="F970" s="180"/>
      <c r="G970" s="460"/>
      <c r="H970" s="181"/>
      <c r="I970" s="181"/>
      <c r="J970" s="181"/>
      <c r="K970" s="181"/>
      <c r="L970" s="181"/>
      <c r="M970" s="329"/>
      <c r="N970" s="181"/>
      <c r="O970" s="181"/>
      <c r="P970" s="176"/>
      <c r="Q970" s="181"/>
      <c r="R970" s="181"/>
      <c r="S970" s="176"/>
      <c r="T970" s="181"/>
      <c r="U970" s="181"/>
      <c r="V970" s="176"/>
      <c r="W970" s="181"/>
      <c r="X970" s="181"/>
      <c r="Y970" s="176"/>
      <c r="Z970" s="181"/>
      <c r="AA970" s="181"/>
      <c r="AB970" s="176"/>
      <c r="AC970" s="181"/>
      <c r="AD970" s="181"/>
      <c r="AE970" s="176"/>
      <c r="AF970" s="176"/>
      <c r="AG970" s="176"/>
      <c r="AH970" s="176"/>
      <c r="AI970" s="181"/>
      <c r="AJ970" s="181"/>
      <c r="AK970" s="176"/>
      <c r="AL970" s="181"/>
      <c r="AM970" s="181"/>
      <c r="AN970" s="176"/>
      <c r="AO970" s="181"/>
      <c r="AP970" s="181"/>
    </row>
    <row r="971" ht="12.75" customHeight="1">
      <c r="A971" s="179"/>
      <c r="B971" s="459"/>
      <c r="C971" s="481"/>
      <c r="D971" s="180"/>
      <c r="E971" s="180"/>
      <c r="F971" s="180"/>
      <c r="G971" s="460"/>
      <c r="H971" s="181"/>
      <c r="I971" s="181"/>
      <c r="J971" s="181"/>
      <c r="K971" s="181"/>
      <c r="L971" s="181"/>
      <c r="M971" s="329"/>
      <c r="N971" s="181"/>
      <c r="O971" s="181"/>
      <c r="P971" s="176"/>
      <c r="Q971" s="181"/>
      <c r="R971" s="181"/>
      <c r="S971" s="176"/>
      <c r="T971" s="181"/>
      <c r="U971" s="181"/>
      <c r="V971" s="176"/>
      <c r="W971" s="181"/>
      <c r="X971" s="181"/>
      <c r="Y971" s="176"/>
      <c r="Z971" s="181"/>
      <c r="AA971" s="181"/>
      <c r="AB971" s="176"/>
      <c r="AC971" s="181"/>
      <c r="AD971" s="181"/>
      <c r="AE971" s="176"/>
      <c r="AF971" s="176"/>
      <c r="AG971" s="176"/>
      <c r="AH971" s="176"/>
      <c r="AI971" s="181"/>
      <c r="AJ971" s="181"/>
      <c r="AK971" s="176"/>
      <c r="AL971" s="181"/>
      <c r="AM971" s="181"/>
      <c r="AN971" s="176"/>
      <c r="AO971" s="181"/>
      <c r="AP971" s="181"/>
    </row>
    <row r="972" ht="12.75" customHeight="1">
      <c r="A972" s="179"/>
      <c r="B972" s="459"/>
      <c r="C972" s="481"/>
      <c r="D972" s="180"/>
      <c r="E972" s="180"/>
      <c r="F972" s="180"/>
      <c r="G972" s="460"/>
      <c r="H972" s="181"/>
      <c r="I972" s="181"/>
      <c r="J972" s="181"/>
      <c r="K972" s="181"/>
      <c r="L972" s="181"/>
      <c r="M972" s="329"/>
      <c r="N972" s="181"/>
      <c r="O972" s="181"/>
      <c r="P972" s="176"/>
      <c r="Q972" s="181"/>
      <c r="R972" s="181"/>
      <c r="S972" s="176"/>
      <c r="T972" s="181"/>
      <c r="U972" s="181"/>
      <c r="V972" s="176"/>
      <c r="W972" s="181"/>
      <c r="X972" s="181"/>
      <c r="Y972" s="176"/>
      <c r="Z972" s="181"/>
      <c r="AA972" s="181"/>
      <c r="AB972" s="176"/>
      <c r="AC972" s="181"/>
      <c r="AD972" s="181"/>
      <c r="AE972" s="176"/>
      <c r="AF972" s="176"/>
      <c r="AG972" s="176"/>
      <c r="AH972" s="176"/>
      <c r="AI972" s="181"/>
      <c r="AJ972" s="181"/>
      <c r="AK972" s="176"/>
      <c r="AL972" s="181"/>
      <c r="AM972" s="181"/>
      <c r="AN972" s="176"/>
      <c r="AO972" s="181"/>
      <c r="AP972" s="181"/>
    </row>
    <row r="973" ht="12.75" customHeight="1">
      <c r="A973" s="179"/>
      <c r="B973" s="459"/>
      <c r="C973" s="481"/>
      <c r="D973" s="180"/>
      <c r="E973" s="180"/>
      <c r="F973" s="180"/>
      <c r="G973" s="460"/>
      <c r="H973" s="181"/>
      <c r="I973" s="181"/>
      <c r="J973" s="181"/>
      <c r="K973" s="181"/>
      <c r="L973" s="181"/>
      <c r="M973" s="329"/>
      <c r="N973" s="181"/>
      <c r="O973" s="181"/>
      <c r="P973" s="176"/>
      <c r="Q973" s="181"/>
      <c r="R973" s="181"/>
      <c r="S973" s="176"/>
      <c r="T973" s="181"/>
      <c r="U973" s="181"/>
      <c r="V973" s="176"/>
      <c r="W973" s="181"/>
      <c r="X973" s="181"/>
      <c r="Y973" s="176"/>
      <c r="Z973" s="181"/>
      <c r="AA973" s="181"/>
      <c r="AB973" s="176"/>
      <c r="AC973" s="181"/>
      <c r="AD973" s="181"/>
      <c r="AE973" s="176"/>
      <c r="AF973" s="176"/>
      <c r="AG973" s="176"/>
      <c r="AH973" s="176"/>
      <c r="AI973" s="181"/>
      <c r="AJ973" s="181"/>
      <c r="AK973" s="176"/>
      <c r="AL973" s="181"/>
      <c r="AM973" s="181"/>
      <c r="AN973" s="176"/>
      <c r="AO973" s="181"/>
      <c r="AP973" s="181"/>
    </row>
    <row r="974" ht="12.75" customHeight="1">
      <c r="A974" s="179"/>
      <c r="B974" s="459"/>
      <c r="C974" s="481"/>
      <c r="D974" s="180"/>
      <c r="E974" s="180"/>
      <c r="F974" s="180"/>
      <c r="G974" s="460"/>
      <c r="H974" s="181"/>
      <c r="I974" s="181"/>
      <c r="J974" s="181"/>
      <c r="K974" s="181"/>
      <c r="L974" s="181"/>
      <c r="M974" s="329"/>
      <c r="N974" s="181"/>
      <c r="O974" s="181"/>
      <c r="P974" s="176"/>
      <c r="Q974" s="181"/>
      <c r="R974" s="181"/>
      <c r="S974" s="176"/>
      <c r="T974" s="181"/>
      <c r="U974" s="181"/>
      <c r="V974" s="176"/>
      <c r="W974" s="181"/>
      <c r="X974" s="181"/>
      <c r="Y974" s="176"/>
      <c r="Z974" s="181"/>
      <c r="AA974" s="181"/>
      <c r="AB974" s="176"/>
      <c r="AC974" s="181"/>
      <c r="AD974" s="181"/>
      <c r="AE974" s="176"/>
      <c r="AF974" s="176"/>
      <c r="AG974" s="176"/>
      <c r="AH974" s="176"/>
      <c r="AI974" s="181"/>
      <c r="AJ974" s="181"/>
      <c r="AK974" s="176"/>
      <c r="AL974" s="181"/>
      <c r="AM974" s="181"/>
      <c r="AN974" s="176"/>
      <c r="AO974" s="181"/>
      <c r="AP974" s="181"/>
    </row>
    <row r="975" ht="12.75" customHeight="1">
      <c r="A975" s="179"/>
      <c r="B975" s="459"/>
      <c r="C975" s="481"/>
      <c r="D975" s="180"/>
      <c r="E975" s="180"/>
      <c r="F975" s="180"/>
      <c r="G975" s="460"/>
      <c r="H975" s="181"/>
      <c r="I975" s="181"/>
      <c r="J975" s="181"/>
      <c r="K975" s="181"/>
      <c r="L975" s="181"/>
      <c r="M975" s="329"/>
      <c r="N975" s="181"/>
      <c r="O975" s="181"/>
      <c r="P975" s="176"/>
      <c r="Q975" s="181"/>
      <c r="R975" s="181"/>
      <c r="S975" s="176"/>
      <c r="T975" s="181"/>
      <c r="U975" s="181"/>
      <c r="V975" s="176"/>
      <c r="W975" s="181"/>
      <c r="X975" s="181"/>
      <c r="Y975" s="176"/>
      <c r="Z975" s="181"/>
      <c r="AA975" s="181"/>
      <c r="AB975" s="176"/>
      <c r="AC975" s="181"/>
      <c r="AD975" s="181"/>
      <c r="AE975" s="176"/>
      <c r="AF975" s="176"/>
      <c r="AG975" s="176"/>
      <c r="AH975" s="176"/>
      <c r="AI975" s="181"/>
      <c r="AJ975" s="181"/>
      <c r="AK975" s="176"/>
      <c r="AL975" s="181"/>
      <c r="AM975" s="181"/>
      <c r="AN975" s="176"/>
      <c r="AO975" s="181"/>
      <c r="AP975" s="181"/>
    </row>
    <row r="976" ht="12.75" customHeight="1">
      <c r="A976" s="179"/>
      <c r="B976" s="459"/>
      <c r="C976" s="481"/>
      <c r="D976" s="180"/>
      <c r="E976" s="180"/>
      <c r="F976" s="180"/>
      <c r="G976" s="460"/>
      <c r="H976" s="181"/>
      <c r="I976" s="181"/>
      <c r="J976" s="181"/>
      <c r="K976" s="181"/>
      <c r="L976" s="181"/>
      <c r="M976" s="329"/>
      <c r="N976" s="181"/>
      <c r="O976" s="181"/>
      <c r="P976" s="176"/>
      <c r="Q976" s="181"/>
      <c r="R976" s="181"/>
      <c r="S976" s="176"/>
      <c r="T976" s="181"/>
      <c r="U976" s="181"/>
      <c r="V976" s="176"/>
      <c r="W976" s="181"/>
      <c r="X976" s="181"/>
      <c r="Y976" s="176"/>
      <c r="Z976" s="181"/>
      <c r="AA976" s="181"/>
      <c r="AB976" s="176"/>
      <c r="AC976" s="181"/>
      <c r="AD976" s="181"/>
      <c r="AE976" s="176"/>
      <c r="AF976" s="176"/>
      <c r="AG976" s="176"/>
      <c r="AH976" s="176"/>
      <c r="AI976" s="181"/>
      <c r="AJ976" s="181"/>
      <c r="AK976" s="176"/>
      <c r="AL976" s="181"/>
      <c r="AM976" s="181"/>
      <c r="AN976" s="176"/>
      <c r="AO976" s="181"/>
      <c r="AP976" s="181"/>
    </row>
    <row r="977" ht="12.75" customHeight="1">
      <c r="A977" s="179"/>
      <c r="B977" s="459"/>
      <c r="C977" s="481"/>
      <c r="D977" s="180"/>
      <c r="E977" s="180"/>
      <c r="F977" s="180"/>
      <c r="G977" s="460"/>
      <c r="H977" s="181"/>
      <c r="I977" s="181"/>
      <c r="J977" s="181"/>
      <c r="K977" s="181"/>
      <c r="L977" s="181"/>
      <c r="M977" s="329"/>
      <c r="N977" s="181"/>
      <c r="O977" s="181"/>
      <c r="P977" s="176"/>
      <c r="Q977" s="181"/>
      <c r="R977" s="181"/>
      <c r="S977" s="176"/>
      <c r="T977" s="181"/>
      <c r="U977" s="181"/>
      <c r="V977" s="176"/>
      <c r="W977" s="181"/>
      <c r="X977" s="181"/>
      <c r="Y977" s="176"/>
      <c r="Z977" s="181"/>
      <c r="AA977" s="181"/>
      <c r="AB977" s="176"/>
      <c r="AC977" s="181"/>
      <c r="AD977" s="181"/>
      <c r="AE977" s="176"/>
      <c r="AF977" s="176"/>
      <c r="AG977" s="176"/>
      <c r="AH977" s="176"/>
      <c r="AI977" s="181"/>
      <c r="AJ977" s="181"/>
      <c r="AK977" s="176"/>
      <c r="AL977" s="181"/>
      <c r="AM977" s="181"/>
      <c r="AN977" s="176"/>
      <c r="AO977" s="181"/>
      <c r="AP977" s="181"/>
    </row>
    <row r="978" ht="12.75" customHeight="1">
      <c r="A978" s="179"/>
      <c r="B978" s="459"/>
      <c r="C978" s="481"/>
      <c r="D978" s="180"/>
      <c r="E978" s="180"/>
      <c r="F978" s="180"/>
      <c r="G978" s="460"/>
      <c r="H978" s="181"/>
      <c r="I978" s="181"/>
      <c r="J978" s="181"/>
      <c r="K978" s="181"/>
      <c r="L978" s="181"/>
      <c r="M978" s="329"/>
      <c r="N978" s="181"/>
      <c r="O978" s="181"/>
      <c r="P978" s="176"/>
      <c r="Q978" s="181"/>
      <c r="R978" s="181"/>
      <c r="S978" s="176"/>
      <c r="T978" s="181"/>
      <c r="U978" s="181"/>
      <c r="V978" s="176"/>
      <c r="W978" s="181"/>
      <c r="X978" s="181"/>
      <c r="Y978" s="176"/>
      <c r="Z978" s="181"/>
      <c r="AA978" s="181"/>
      <c r="AB978" s="176"/>
      <c r="AC978" s="181"/>
      <c r="AD978" s="181"/>
      <c r="AE978" s="176"/>
      <c r="AF978" s="176"/>
      <c r="AG978" s="176"/>
      <c r="AH978" s="176"/>
      <c r="AI978" s="181"/>
      <c r="AJ978" s="181"/>
      <c r="AK978" s="176"/>
      <c r="AL978" s="181"/>
      <c r="AM978" s="181"/>
      <c r="AN978" s="176"/>
      <c r="AO978" s="181"/>
      <c r="AP978" s="181"/>
    </row>
    <row r="979" ht="12.75" customHeight="1">
      <c r="A979" s="179"/>
      <c r="B979" s="459"/>
      <c r="C979" s="481"/>
      <c r="D979" s="180"/>
      <c r="E979" s="180"/>
      <c r="F979" s="180"/>
      <c r="G979" s="460"/>
      <c r="H979" s="181"/>
      <c r="I979" s="181"/>
      <c r="J979" s="181"/>
      <c r="K979" s="181"/>
      <c r="L979" s="181"/>
      <c r="M979" s="329"/>
      <c r="N979" s="181"/>
      <c r="O979" s="181"/>
      <c r="P979" s="176"/>
      <c r="Q979" s="181"/>
      <c r="R979" s="181"/>
      <c r="S979" s="176"/>
      <c r="T979" s="181"/>
      <c r="U979" s="181"/>
      <c r="V979" s="176"/>
      <c r="W979" s="181"/>
      <c r="X979" s="181"/>
      <c r="Y979" s="176"/>
      <c r="Z979" s="181"/>
      <c r="AA979" s="181"/>
      <c r="AB979" s="176"/>
      <c r="AC979" s="181"/>
      <c r="AD979" s="181"/>
      <c r="AE979" s="176"/>
      <c r="AF979" s="176"/>
      <c r="AG979" s="176"/>
      <c r="AH979" s="176"/>
      <c r="AI979" s="181"/>
      <c r="AJ979" s="181"/>
      <c r="AK979" s="176"/>
      <c r="AL979" s="181"/>
      <c r="AM979" s="181"/>
      <c r="AN979" s="176"/>
      <c r="AO979" s="181"/>
      <c r="AP979" s="181"/>
    </row>
    <row r="980" ht="12.75" customHeight="1">
      <c r="A980" s="179"/>
      <c r="B980" s="459"/>
      <c r="C980" s="481"/>
      <c r="D980" s="180"/>
      <c r="E980" s="180"/>
      <c r="F980" s="180"/>
      <c r="G980" s="460"/>
      <c r="H980" s="181"/>
      <c r="I980" s="181"/>
      <c r="J980" s="181"/>
      <c r="K980" s="181"/>
      <c r="L980" s="181"/>
      <c r="M980" s="329"/>
      <c r="N980" s="181"/>
      <c r="O980" s="181"/>
      <c r="P980" s="176"/>
      <c r="Q980" s="181"/>
      <c r="R980" s="181"/>
      <c r="S980" s="176"/>
      <c r="T980" s="181"/>
      <c r="U980" s="181"/>
      <c r="V980" s="176"/>
      <c r="W980" s="181"/>
      <c r="X980" s="181"/>
      <c r="Y980" s="176"/>
      <c r="Z980" s="181"/>
      <c r="AA980" s="181"/>
      <c r="AB980" s="176"/>
      <c r="AC980" s="181"/>
      <c r="AD980" s="181"/>
      <c r="AE980" s="176"/>
      <c r="AF980" s="176"/>
      <c r="AG980" s="176"/>
      <c r="AH980" s="176"/>
      <c r="AI980" s="181"/>
      <c r="AJ980" s="181"/>
      <c r="AK980" s="176"/>
      <c r="AL980" s="181"/>
      <c r="AM980" s="181"/>
      <c r="AN980" s="176"/>
      <c r="AO980" s="181"/>
      <c r="AP980" s="181"/>
    </row>
    <row r="981" ht="12.75" customHeight="1">
      <c r="A981" s="179"/>
      <c r="B981" s="459"/>
      <c r="C981" s="481"/>
      <c r="D981" s="180"/>
      <c r="E981" s="180"/>
      <c r="F981" s="180"/>
      <c r="G981" s="460"/>
      <c r="H981" s="181"/>
      <c r="I981" s="181"/>
      <c r="J981" s="181"/>
      <c r="K981" s="181"/>
      <c r="L981" s="181"/>
      <c r="M981" s="329"/>
      <c r="N981" s="181"/>
      <c r="O981" s="181"/>
      <c r="P981" s="176"/>
      <c r="Q981" s="181"/>
      <c r="R981" s="181"/>
      <c r="S981" s="176"/>
      <c r="T981" s="181"/>
      <c r="U981" s="181"/>
      <c r="V981" s="176"/>
      <c r="W981" s="181"/>
      <c r="X981" s="181"/>
      <c r="Y981" s="176"/>
      <c r="Z981" s="181"/>
      <c r="AA981" s="181"/>
      <c r="AB981" s="176"/>
      <c r="AC981" s="181"/>
      <c r="AD981" s="181"/>
      <c r="AE981" s="176"/>
      <c r="AF981" s="176"/>
      <c r="AG981" s="176"/>
      <c r="AH981" s="176"/>
      <c r="AI981" s="181"/>
      <c r="AJ981" s="181"/>
      <c r="AK981" s="176"/>
      <c r="AL981" s="181"/>
      <c r="AM981" s="181"/>
      <c r="AN981" s="176"/>
      <c r="AO981" s="181"/>
      <c r="AP981" s="181"/>
    </row>
    <row r="982" ht="12.75" customHeight="1">
      <c r="A982" s="179"/>
      <c r="B982" s="459"/>
      <c r="C982" s="481"/>
      <c r="D982" s="180"/>
      <c r="E982" s="180"/>
      <c r="F982" s="180"/>
      <c r="G982" s="460"/>
      <c r="H982" s="181"/>
      <c r="I982" s="181"/>
      <c r="J982" s="181"/>
      <c r="K982" s="181"/>
      <c r="L982" s="181"/>
      <c r="M982" s="329"/>
      <c r="N982" s="181"/>
      <c r="O982" s="181"/>
      <c r="P982" s="176"/>
      <c r="Q982" s="181"/>
      <c r="R982" s="181"/>
      <c r="S982" s="176"/>
      <c r="T982" s="181"/>
      <c r="U982" s="181"/>
      <c r="V982" s="176"/>
      <c r="W982" s="181"/>
      <c r="X982" s="181"/>
      <c r="Y982" s="176"/>
      <c r="Z982" s="181"/>
      <c r="AA982" s="181"/>
      <c r="AB982" s="176"/>
      <c r="AC982" s="181"/>
      <c r="AD982" s="181"/>
      <c r="AE982" s="176"/>
      <c r="AF982" s="176"/>
      <c r="AG982" s="176"/>
      <c r="AH982" s="176"/>
      <c r="AI982" s="181"/>
      <c r="AJ982" s="181"/>
      <c r="AK982" s="176"/>
      <c r="AL982" s="181"/>
      <c r="AM982" s="181"/>
      <c r="AN982" s="176"/>
      <c r="AO982" s="181"/>
      <c r="AP982" s="181"/>
    </row>
    <row r="983" ht="12.75" customHeight="1">
      <c r="A983" s="179"/>
      <c r="B983" s="459"/>
      <c r="C983" s="481"/>
      <c r="D983" s="180"/>
      <c r="E983" s="180"/>
      <c r="F983" s="180"/>
      <c r="G983" s="460"/>
      <c r="H983" s="181"/>
      <c r="I983" s="181"/>
      <c r="J983" s="181"/>
      <c r="K983" s="181"/>
      <c r="L983" s="181"/>
      <c r="M983" s="329"/>
      <c r="N983" s="181"/>
      <c r="O983" s="181"/>
      <c r="P983" s="176"/>
      <c r="Q983" s="181"/>
      <c r="R983" s="181"/>
      <c r="S983" s="176"/>
      <c r="T983" s="181"/>
      <c r="U983" s="181"/>
      <c r="V983" s="176"/>
      <c r="W983" s="181"/>
      <c r="X983" s="181"/>
      <c r="Y983" s="176"/>
      <c r="Z983" s="181"/>
      <c r="AA983" s="181"/>
      <c r="AB983" s="176"/>
      <c r="AC983" s="181"/>
      <c r="AD983" s="181"/>
      <c r="AE983" s="176"/>
      <c r="AF983" s="176"/>
      <c r="AG983" s="176"/>
      <c r="AH983" s="176"/>
      <c r="AI983" s="181"/>
      <c r="AJ983" s="181"/>
      <c r="AK983" s="176"/>
      <c r="AL983" s="181"/>
      <c r="AM983" s="181"/>
      <c r="AN983" s="176"/>
      <c r="AO983" s="181"/>
      <c r="AP983" s="181"/>
    </row>
    <row r="984" ht="12.75" customHeight="1">
      <c r="A984" s="179"/>
      <c r="B984" s="459"/>
      <c r="C984" s="481"/>
      <c r="D984" s="180"/>
      <c r="E984" s="180"/>
      <c r="F984" s="180"/>
      <c r="G984" s="460"/>
      <c r="H984" s="181"/>
      <c r="I984" s="181"/>
      <c r="J984" s="181"/>
      <c r="K984" s="181"/>
      <c r="L984" s="181"/>
      <c r="M984" s="329"/>
      <c r="N984" s="181"/>
      <c r="O984" s="181"/>
      <c r="P984" s="176"/>
      <c r="Q984" s="181"/>
      <c r="R984" s="181"/>
      <c r="S984" s="176"/>
      <c r="T984" s="181"/>
      <c r="U984" s="181"/>
      <c r="V984" s="176"/>
      <c r="W984" s="181"/>
      <c r="X984" s="181"/>
      <c r="Y984" s="176"/>
      <c r="Z984" s="181"/>
      <c r="AA984" s="181"/>
      <c r="AB984" s="176"/>
      <c r="AC984" s="181"/>
      <c r="AD984" s="181"/>
      <c r="AE984" s="176"/>
      <c r="AF984" s="176"/>
      <c r="AG984" s="176"/>
      <c r="AH984" s="176"/>
      <c r="AI984" s="181"/>
      <c r="AJ984" s="181"/>
      <c r="AK984" s="176"/>
      <c r="AL984" s="181"/>
      <c r="AM984" s="181"/>
      <c r="AN984" s="176"/>
      <c r="AO984" s="181"/>
      <c r="AP984" s="181"/>
    </row>
    <row r="985" ht="12.75" customHeight="1">
      <c r="A985" s="179"/>
      <c r="B985" s="459"/>
      <c r="C985" s="481"/>
      <c r="D985" s="180"/>
      <c r="E985" s="180"/>
      <c r="F985" s="180"/>
      <c r="G985" s="460"/>
      <c r="H985" s="181"/>
      <c r="I985" s="181"/>
      <c r="J985" s="181"/>
      <c r="K985" s="181"/>
      <c r="L985" s="181"/>
      <c r="M985" s="329"/>
      <c r="N985" s="181"/>
      <c r="O985" s="181"/>
      <c r="P985" s="176"/>
      <c r="Q985" s="181"/>
      <c r="R985" s="181"/>
      <c r="S985" s="176"/>
      <c r="T985" s="181"/>
      <c r="U985" s="181"/>
      <c r="V985" s="176"/>
      <c r="W985" s="181"/>
      <c r="X985" s="181"/>
      <c r="Y985" s="176"/>
      <c r="Z985" s="181"/>
      <c r="AA985" s="181"/>
      <c r="AB985" s="176"/>
      <c r="AC985" s="181"/>
      <c r="AD985" s="181"/>
      <c r="AE985" s="176"/>
      <c r="AF985" s="176"/>
      <c r="AG985" s="176"/>
      <c r="AH985" s="176"/>
      <c r="AI985" s="181"/>
      <c r="AJ985" s="181"/>
      <c r="AK985" s="176"/>
      <c r="AL985" s="181"/>
      <c r="AM985" s="181"/>
      <c r="AN985" s="176"/>
      <c r="AO985" s="181"/>
      <c r="AP985" s="181"/>
    </row>
    <row r="986" ht="12.75" customHeight="1">
      <c r="A986" s="179"/>
      <c r="B986" s="459"/>
      <c r="C986" s="481"/>
      <c r="D986" s="180"/>
      <c r="E986" s="180"/>
      <c r="F986" s="180"/>
      <c r="G986" s="460"/>
      <c r="H986" s="181"/>
      <c r="I986" s="181"/>
      <c r="J986" s="181"/>
      <c r="K986" s="181"/>
      <c r="L986" s="181"/>
      <c r="M986" s="329"/>
      <c r="N986" s="181"/>
      <c r="O986" s="181"/>
      <c r="P986" s="176"/>
      <c r="Q986" s="181"/>
      <c r="R986" s="181"/>
      <c r="S986" s="176"/>
      <c r="T986" s="181"/>
      <c r="U986" s="181"/>
      <c r="V986" s="176"/>
      <c r="W986" s="181"/>
      <c r="X986" s="181"/>
      <c r="Y986" s="176"/>
      <c r="Z986" s="181"/>
      <c r="AA986" s="181"/>
      <c r="AB986" s="176"/>
      <c r="AC986" s="181"/>
      <c r="AD986" s="181"/>
      <c r="AE986" s="176"/>
      <c r="AF986" s="176"/>
      <c r="AG986" s="176"/>
      <c r="AH986" s="176"/>
      <c r="AI986" s="181"/>
      <c r="AJ986" s="181"/>
      <c r="AK986" s="176"/>
      <c r="AL986" s="181"/>
      <c r="AM986" s="181"/>
      <c r="AN986" s="176"/>
      <c r="AO986" s="181"/>
      <c r="AP986" s="181"/>
    </row>
    <row r="987" ht="12.75" customHeight="1">
      <c r="A987" s="179"/>
      <c r="B987" s="459"/>
      <c r="C987" s="481"/>
      <c r="D987" s="180"/>
      <c r="E987" s="180"/>
      <c r="F987" s="180"/>
      <c r="G987" s="460"/>
      <c r="H987" s="181"/>
      <c r="I987" s="181"/>
      <c r="J987" s="181"/>
      <c r="K987" s="181"/>
      <c r="L987" s="181"/>
      <c r="M987" s="329"/>
      <c r="N987" s="181"/>
      <c r="O987" s="181"/>
      <c r="P987" s="176"/>
      <c r="Q987" s="181"/>
      <c r="R987" s="181"/>
      <c r="S987" s="176"/>
      <c r="T987" s="181"/>
      <c r="U987" s="181"/>
      <c r="V987" s="176"/>
      <c r="W987" s="181"/>
      <c r="X987" s="181"/>
      <c r="Y987" s="176"/>
      <c r="Z987" s="181"/>
      <c r="AA987" s="181"/>
      <c r="AB987" s="176"/>
      <c r="AC987" s="181"/>
      <c r="AD987" s="181"/>
      <c r="AE987" s="176"/>
      <c r="AF987" s="176"/>
      <c r="AG987" s="176"/>
      <c r="AH987" s="176"/>
      <c r="AI987" s="181"/>
      <c r="AJ987" s="181"/>
      <c r="AK987" s="176"/>
      <c r="AL987" s="181"/>
      <c r="AM987" s="181"/>
      <c r="AN987" s="176"/>
      <c r="AO987" s="181"/>
      <c r="AP987" s="181"/>
    </row>
    <row r="988" ht="12.75" customHeight="1">
      <c r="A988" s="179"/>
      <c r="B988" s="459"/>
      <c r="C988" s="481"/>
      <c r="D988" s="180"/>
      <c r="E988" s="180"/>
      <c r="F988" s="180"/>
      <c r="G988" s="460"/>
      <c r="H988" s="181"/>
      <c r="I988" s="181"/>
      <c r="J988" s="181"/>
      <c r="K988" s="181"/>
      <c r="L988" s="181"/>
      <c r="M988" s="329"/>
      <c r="N988" s="181"/>
      <c r="O988" s="181"/>
      <c r="P988" s="176"/>
      <c r="Q988" s="181"/>
      <c r="R988" s="181"/>
      <c r="S988" s="176"/>
      <c r="T988" s="181"/>
      <c r="U988" s="181"/>
      <c r="V988" s="176"/>
      <c r="W988" s="181"/>
      <c r="X988" s="181"/>
      <c r="Y988" s="176"/>
      <c r="Z988" s="181"/>
      <c r="AA988" s="181"/>
      <c r="AB988" s="176"/>
      <c r="AC988" s="181"/>
      <c r="AD988" s="181"/>
      <c r="AE988" s="176"/>
      <c r="AF988" s="176"/>
      <c r="AG988" s="176"/>
      <c r="AH988" s="176"/>
      <c r="AI988" s="181"/>
      <c r="AJ988" s="181"/>
      <c r="AK988" s="176"/>
      <c r="AL988" s="181"/>
      <c r="AM988" s="181"/>
      <c r="AN988" s="176"/>
      <c r="AO988" s="181"/>
      <c r="AP988" s="181"/>
    </row>
    <row r="989" ht="12.75" customHeight="1">
      <c r="A989" s="179"/>
      <c r="B989" s="459"/>
      <c r="C989" s="481"/>
      <c r="D989" s="180"/>
      <c r="E989" s="180"/>
      <c r="F989" s="180"/>
      <c r="G989" s="460"/>
      <c r="H989" s="181"/>
      <c r="I989" s="181"/>
      <c r="J989" s="181"/>
      <c r="K989" s="181"/>
      <c r="L989" s="181"/>
      <c r="M989" s="329"/>
      <c r="N989" s="181"/>
      <c r="O989" s="181"/>
      <c r="P989" s="176"/>
      <c r="Q989" s="181"/>
      <c r="R989" s="181"/>
      <c r="S989" s="176"/>
      <c r="T989" s="181"/>
      <c r="U989" s="181"/>
      <c r="V989" s="176"/>
      <c r="W989" s="181"/>
      <c r="X989" s="181"/>
      <c r="Y989" s="176"/>
      <c r="Z989" s="181"/>
      <c r="AA989" s="181"/>
      <c r="AB989" s="176"/>
      <c r="AC989" s="181"/>
      <c r="AD989" s="181"/>
      <c r="AE989" s="176"/>
      <c r="AF989" s="176"/>
      <c r="AG989" s="176"/>
      <c r="AH989" s="176"/>
      <c r="AI989" s="181"/>
      <c r="AJ989" s="181"/>
      <c r="AK989" s="176"/>
      <c r="AL989" s="181"/>
      <c r="AM989" s="181"/>
      <c r="AN989" s="176"/>
      <c r="AO989" s="181"/>
      <c r="AP989" s="181"/>
    </row>
    <row r="990" ht="12.75" customHeight="1">
      <c r="A990" s="179"/>
      <c r="B990" s="459"/>
      <c r="C990" s="481"/>
      <c r="D990" s="180"/>
      <c r="E990" s="180"/>
      <c r="F990" s="180"/>
      <c r="G990" s="460"/>
      <c r="H990" s="181"/>
      <c r="I990" s="181"/>
      <c r="J990" s="181"/>
      <c r="K990" s="181"/>
      <c r="L990" s="181"/>
      <c r="M990" s="329"/>
      <c r="N990" s="181"/>
      <c r="O990" s="181"/>
      <c r="P990" s="176"/>
      <c r="Q990" s="181"/>
      <c r="R990" s="181"/>
      <c r="S990" s="176"/>
      <c r="T990" s="181"/>
      <c r="U990" s="181"/>
      <c r="V990" s="176"/>
      <c r="W990" s="181"/>
      <c r="X990" s="181"/>
      <c r="Y990" s="176"/>
      <c r="Z990" s="181"/>
      <c r="AA990" s="181"/>
      <c r="AB990" s="176"/>
      <c r="AC990" s="181"/>
      <c r="AD990" s="181"/>
      <c r="AE990" s="176"/>
      <c r="AF990" s="176"/>
      <c r="AG990" s="176"/>
      <c r="AH990" s="176"/>
      <c r="AI990" s="181"/>
      <c r="AJ990" s="181"/>
      <c r="AK990" s="176"/>
      <c r="AL990" s="181"/>
      <c r="AM990" s="181"/>
      <c r="AN990" s="176"/>
      <c r="AO990" s="181"/>
      <c r="AP990" s="181"/>
    </row>
    <row r="991" ht="12.75" customHeight="1">
      <c r="A991" s="179"/>
      <c r="B991" s="459"/>
      <c r="C991" s="481"/>
      <c r="D991" s="180"/>
      <c r="E991" s="180"/>
      <c r="F991" s="180"/>
      <c r="G991" s="460"/>
      <c r="H991" s="181"/>
      <c r="I991" s="181"/>
      <c r="J991" s="181"/>
      <c r="K991" s="181"/>
      <c r="L991" s="181"/>
      <c r="M991" s="329"/>
      <c r="N991" s="181"/>
      <c r="O991" s="181"/>
      <c r="P991" s="176"/>
      <c r="Q991" s="181"/>
      <c r="R991" s="181"/>
      <c r="S991" s="176"/>
      <c r="T991" s="181"/>
      <c r="U991" s="181"/>
      <c r="V991" s="176"/>
      <c r="W991" s="181"/>
      <c r="X991" s="181"/>
      <c r="Y991" s="176"/>
      <c r="Z991" s="181"/>
      <c r="AA991" s="181"/>
      <c r="AB991" s="176"/>
      <c r="AC991" s="181"/>
      <c r="AD991" s="181"/>
      <c r="AE991" s="176"/>
      <c r="AF991" s="176"/>
      <c r="AG991" s="176"/>
      <c r="AH991" s="176"/>
      <c r="AI991" s="181"/>
      <c r="AJ991" s="181"/>
      <c r="AK991" s="176"/>
      <c r="AL991" s="181"/>
      <c r="AM991" s="181"/>
      <c r="AN991" s="176"/>
      <c r="AO991" s="181"/>
      <c r="AP991" s="181"/>
    </row>
    <row r="992" ht="12.75" customHeight="1">
      <c r="A992" s="179"/>
      <c r="B992" s="459"/>
      <c r="C992" s="481"/>
      <c r="D992" s="180"/>
      <c r="E992" s="180"/>
      <c r="F992" s="180"/>
      <c r="G992" s="460"/>
      <c r="H992" s="181"/>
      <c r="I992" s="181"/>
      <c r="J992" s="181"/>
      <c r="K992" s="181"/>
      <c r="L992" s="181"/>
      <c r="M992" s="329"/>
      <c r="N992" s="181"/>
      <c r="O992" s="181"/>
      <c r="P992" s="176"/>
      <c r="Q992" s="181"/>
      <c r="R992" s="181"/>
      <c r="S992" s="176"/>
      <c r="T992" s="181"/>
      <c r="U992" s="181"/>
      <c r="V992" s="176"/>
      <c r="W992" s="181"/>
      <c r="X992" s="181"/>
      <c r="Y992" s="176"/>
      <c r="Z992" s="181"/>
      <c r="AA992" s="181"/>
      <c r="AB992" s="176"/>
      <c r="AC992" s="181"/>
      <c r="AD992" s="181"/>
      <c r="AE992" s="176"/>
      <c r="AF992" s="176"/>
      <c r="AG992" s="176"/>
      <c r="AH992" s="176"/>
      <c r="AI992" s="181"/>
      <c r="AJ992" s="181"/>
      <c r="AK992" s="176"/>
      <c r="AL992" s="181"/>
      <c r="AM992" s="181"/>
      <c r="AN992" s="176"/>
      <c r="AO992" s="181"/>
      <c r="AP992" s="181"/>
    </row>
    <row r="993" ht="12.75" customHeight="1">
      <c r="A993" s="179"/>
      <c r="B993" s="459"/>
      <c r="C993" s="481"/>
      <c r="D993" s="180"/>
      <c r="E993" s="180"/>
      <c r="F993" s="180"/>
      <c r="G993" s="460"/>
      <c r="H993" s="181"/>
      <c r="I993" s="181"/>
      <c r="J993" s="181"/>
      <c r="K993" s="181"/>
      <c r="L993" s="181"/>
      <c r="M993" s="329"/>
      <c r="N993" s="181"/>
      <c r="O993" s="181"/>
      <c r="P993" s="176"/>
      <c r="Q993" s="181"/>
      <c r="R993" s="181"/>
      <c r="S993" s="176"/>
      <c r="T993" s="181"/>
      <c r="U993" s="181"/>
      <c r="V993" s="176"/>
      <c r="W993" s="181"/>
      <c r="X993" s="181"/>
      <c r="Y993" s="176"/>
      <c r="Z993" s="181"/>
      <c r="AA993" s="181"/>
      <c r="AB993" s="176"/>
      <c r="AC993" s="181"/>
      <c r="AD993" s="181"/>
      <c r="AE993" s="176"/>
      <c r="AF993" s="176"/>
      <c r="AG993" s="176"/>
      <c r="AH993" s="176"/>
      <c r="AI993" s="181"/>
      <c r="AJ993" s="181"/>
      <c r="AK993" s="176"/>
      <c r="AL993" s="181"/>
      <c r="AM993" s="181"/>
      <c r="AN993" s="176"/>
      <c r="AO993" s="181"/>
      <c r="AP993" s="181"/>
    </row>
    <row r="994" ht="12.75" customHeight="1">
      <c r="A994" s="179"/>
      <c r="B994" s="459"/>
      <c r="C994" s="481"/>
      <c r="D994" s="180"/>
      <c r="E994" s="180"/>
      <c r="F994" s="180"/>
      <c r="G994" s="460"/>
      <c r="H994" s="181"/>
      <c r="I994" s="181"/>
      <c r="J994" s="181"/>
      <c r="K994" s="181"/>
      <c r="L994" s="181"/>
      <c r="M994" s="329"/>
      <c r="N994" s="181"/>
      <c r="O994" s="181"/>
      <c r="P994" s="176"/>
      <c r="Q994" s="181"/>
      <c r="R994" s="181"/>
      <c r="S994" s="176"/>
      <c r="T994" s="181"/>
      <c r="U994" s="181"/>
      <c r="V994" s="176"/>
      <c r="W994" s="181"/>
      <c r="X994" s="181"/>
      <c r="Y994" s="176"/>
      <c r="Z994" s="181"/>
      <c r="AA994" s="181"/>
      <c r="AB994" s="176"/>
      <c r="AC994" s="181"/>
      <c r="AD994" s="181"/>
      <c r="AE994" s="176"/>
      <c r="AF994" s="176"/>
      <c r="AG994" s="176"/>
      <c r="AH994" s="176"/>
      <c r="AI994" s="181"/>
      <c r="AJ994" s="181"/>
      <c r="AK994" s="176"/>
      <c r="AL994" s="181"/>
      <c r="AM994" s="181"/>
      <c r="AN994" s="176"/>
      <c r="AO994" s="181"/>
      <c r="AP994" s="181"/>
    </row>
    <row r="995" ht="12.75" customHeight="1">
      <c r="A995" s="179"/>
      <c r="B995" s="459"/>
      <c r="C995" s="481"/>
      <c r="D995" s="180"/>
      <c r="E995" s="180"/>
      <c r="F995" s="180"/>
      <c r="G995" s="460"/>
      <c r="H995" s="181"/>
      <c r="I995" s="181"/>
      <c r="J995" s="181"/>
      <c r="K995" s="181"/>
      <c r="L995" s="181"/>
      <c r="M995" s="329"/>
      <c r="N995" s="181"/>
      <c r="O995" s="181"/>
      <c r="P995" s="176"/>
      <c r="Q995" s="181"/>
      <c r="R995" s="181"/>
      <c r="S995" s="176"/>
      <c r="T995" s="181"/>
      <c r="U995" s="181"/>
      <c r="V995" s="176"/>
      <c r="W995" s="181"/>
      <c r="X995" s="181"/>
      <c r="Y995" s="176"/>
      <c r="Z995" s="181"/>
      <c r="AA995" s="181"/>
      <c r="AB995" s="176"/>
      <c r="AC995" s="181"/>
      <c r="AD995" s="181"/>
      <c r="AE995" s="176"/>
      <c r="AF995" s="176"/>
      <c r="AG995" s="176"/>
      <c r="AH995" s="176"/>
      <c r="AI995" s="181"/>
      <c r="AJ995" s="181"/>
      <c r="AK995" s="176"/>
      <c r="AL995" s="181"/>
      <c r="AM995" s="181"/>
      <c r="AN995" s="176"/>
      <c r="AO995" s="181"/>
      <c r="AP995" s="181"/>
    </row>
    <row r="996" ht="12.75" customHeight="1">
      <c r="A996" s="179"/>
      <c r="B996" s="459"/>
      <c r="C996" s="481"/>
      <c r="D996" s="180"/>
      <c r="E996" s="180"/>
      <c r="F996" s="180"/>
      <c r="G996" s="460"/>
      <c r="H996" s="181"/>
      <c r="I996" s="181"/>
      <c r="J996" s="181"/>
      <c r="K996" s="181"/>
      <c r="L996" s="181"/>
      <c r="M996" s="329"/>
      <c r="N996" s="181"/>
      <c r="O996" s="181"/>
      <c r="P996" s="176"/>
      <c r="Q996" s="181"/>
      <c r="R996" s="181"/>
      <c r="S996" s="176"/>
      <c r="T996" s="181"/>
      <c r="U996" s="181"/>
      <c r="V996" s="176"/>
      <c r="W996" s="181"/>
      <c r="X996" s="181"/>
      <c r="Y996" s="176"/>
      <c r="Z996" s="181"/>
      <c r="AA996" s="181"/>
      <c r="AB996" s="176"/>
      <c r="AC996" s="181"/>
      <c r="AD996" s="181"/>
      <c r="AE996" s="176"/>
      <c r="AF996" s="176"/>
      <c r="AG996" s="176"/>
      <c r="AH996" s="176"/>
      <c r="AI996" s="181"/>
      <c r="AJ996" s="181"/>
      <c r="AK996" s="176"/>
      <c r="AL996" s="181"/>
      <c r="AM996" s="181"/>
      <c r="AN996" s="176"/>
      <c r="AO996" s="181"/>
      <c r="AP996" s="181"/>
    </row>
    <row r="997" ht="12.75" customHeight="1">
      <c r="A997" s="179"/>
      <c r="B997" s="459"/>
      <c r="C997" s="481"/>
      <c r="D997" s="180"/>
      <c r="E997" s="180"/>
      <c r="F997" s="180"/>
      <c r="G997" s="460"/>
      <c r="H997" s="181"/>
      <c r="I997" s="181"/>
      <c r="J997" s="181"/>
      <c r="K997" s="181"/>
      <c r="L997" s="181"/>
      <c r="M997" s="329"/>
      <c r="N997" s="181"/>
      <c r="O997" s="181"/>
      <c r="P997" s="176"/>
      <c r="Q997" s="181"/>
      <c r="R997" s="181"/>
      <c r="S997" s="176"/>
      <c r="T997" s="181"/>
      <c r="U997" s="181"/>
      <c r="V997" s="176"/>
      <c r="W997" s="181"/>
      <c r="X997" s="181"/>
      <c r="Y997" s="176"/>
      <c r="Z997" s="181"/>
      <c r="AA997" s="181"/>
      <c r="AB997" s="176"/>
      <c r="AC997" s="181"/>
      <c r="AD997" s="181"/>
      <c r="AE997" s="176"/>
      <c r="AF997" s="176"/>
      <c r="AG997" s="176"/>
      <c r="AH997" s="176"/>
      <c r="AI997" s="181"/>
      <c r="AJ997" s="181"/>
      <c r="AK997" s="176"/>
      <c r="AL997" s="181"/>
      <c r="AM997" s="181"/>
      <c r="AN997" s="176"/>
      <c r="AO997" s="181"/>
      <c r="AP997" s="181"/>
    </row>
    <row r="998" ht="12.75" customHeight="1">
      <c r="A998" s="179"/>
      <c r="B998" s="459"/>
      <c r="C998" s="481"/>
      <c r="D998" s="180"/>
      <c r="E998" s="180"/>
      <c r="F998" s="180"/>
      <c r="G998" s="460"/>
      <c r="H998" s="181"/>
      <c r="I998" s="181"/>
      <c r="J998" s="181"/>
      <c r="K998" s="181"/>
      <c r="L998" s="181"/>
      <c r="M998" s="329"/>
      <c r="N998" s="181"/>
      <c r="O998" s="181"/>
      <c r="P998" s="176"/>
      <c r="Q998" s="181"/>
      <c r="R998" s="181"/>
      <c r="S998" s="176"/>
      <c r="T998" s="181"/>
      <c r="U998" s="181"/>
      <c r="V998" s="176"/>
      <c r="W998" s="181"/>
      <c r="X998" s="181"/>
      <c r="Y998" s="176"/>
      <c r="Z998" s="181"/>
      <c r="AA998" s="181"/>
      <c r="AB998" s="176"/>
      <c r="AC998" s="181"/>
      <c r="AD998" s="181"/>
      <c r="AE998" s="176"/>
      <c r="AF998" s="176"/>
      <c r="AG998" s="176"/>
      <c r="AH998" s="176"/>
      <c r="AI998" s="181"/>
      <c r="AJ998" s="181"/>
      <c r="AK998" s="176"/>
      <c r="AL998" s="181"/>
      <c r="AM998" s="181"/>
      <c r="AN998" s="176"/>
      <c r="AO998" s="181"/>
      <c r="AP998" s="181"/>
    </row>
    <row r="999" ht="12.75" customHeight="1">
      <c r="A999" s="179"/>
      <c r="B999" s="459"/>
      <c r="C999" s="481"/>
      <c r="D999" s="180"/>
      <c r="E999" s="180"/>
      <c r="F999" s="180"/>
      <c r="G999" s="460"/>
      <c r="H999" s="181"/>
      <c r="I999" s="181"/>
      <c r="J999" s="181"/>
      <c r="K999" s="181"/>
      <c r="L999" s="181"/>
      <c r="M999" s="329"/>
      <c r="N999" s="181"/>
      <c r="O999" s="181"/>
      <c r="P999" s="176"/>
      <c r="Q999" s="181"/>
      <c r="R999" s="181"/>
      <c r="S999" s="176"/>
      <c r="T999" s="181"/>
      <c r="U999" s="181"/>
      <c r="V999" s="176"/>
      <c r="W999" s="181"/>
      <c r="X999" s="181"/>
      <c r="Y999" s="176"/>
      <c r="Z999" s="181"/>
      <c r="AA999" s="181"/>
      <c r="AB999" s="176"/>
      <c r="AC999" s="181"/>
      <c r="AD999" s="181"/>
      <c r="AE999" s="176"/>
      <c r="AF999" s="176"/>
      <c r="AG999" s="176"/>
      <c r="AH999" s="176"/>
      <c r="AI999" s="181"/>
      <c r="AJ999" s="181"/>
      <c r="AK999" s="176"/>
      <c r="AL999" s="181"/>
      <c r="AM999" s="181"/>
      <c r="AN999" s="176"/>
      <c r="AO999" s="181"/>
      <c r="AP999" s="181"/>
    </row>
    <row r="1000" ht="12.75" customHeight="1">
      <c r="A1000" s="179"/>
      <c r="B1000" s="459"/>
      <c r="C1000" s="481"/>
      <c r="D1000" s="180"/>
      <c r="E1000" s="180"/>
      <c r="F1000" s="180"/>
      <c r="G1000" s="460"/>
      <c r="H1000" s="181"/>
      <c r="I1000" s="181"/>
      <c r="J1000" s="181"/>
      <c r="K1000" s="181"/>
      <c r="L1000" s="181"/>
      <c r="M1000" s="329"/>
      <c r="N1000" s="181"/>
      <c r="O1000" s="181"/>
      <c r="P1000" s="176"/>
      <c r="Q1000" s="181"/>
      <c r="R1000" s="181"/>
      <c r="S1000" s="176"/>
      <c r="T1000" s="181"/>
      <c r="U1000" s="181"/>
      <c r="V1000" s="176"/>
      <c r="W1000" s="181"/>
      <c r="X1000" s="181"/>
      <c r="Y1000" s="176"/>
      <c r="Z1000" s="181"/>
      <c r="AA1000" s="181"/>
      <c r="AB1000" s="176"/>
      <c r="AC1000" s="181"/>
      <c r="AD1000" s="181"/>
      <c r="AE1000" s="176"/>
      <c r="AF1000" s="176"/>
      <c r="AG1000" s="176"/>
      <c r="AH1000" s="176"/>
      <c r="AI1000" s="181"/>
      <c r="AJ1000" s="181"/>
      <c r="AK1000" s="176"/>
      <c r="AL1000" s="181"/>
      <c r="AM1000" s="181"/>
      <c r="AN1000" s="176"/>
      <c r="AO1000" s="181"/>
      <c r="AP1000" s="181"/>
    </row>
    <row r="1001" ht="12.75" customHeight="1">
      <c r="A1001" s="179"/>
      <c r="B1001" s="459"/>
      <c r="C1001" s="481"/>
      <c r="D1001" s="180"/>
      <c r="E1001" s="180"/>
      <c r="F1001" s="180"/>
      <c r="G1001" s="460"/>
      <c r="H1001" s="181"/>
      <c r="I1001" s="181"/>
      <c r="J1001" s="181"/>
      <c r="K1001" s="181"/>
      <c r="L1001" s="181"/>
      <c r="M1001" s="329"/>
      <c r="N1001" s="181"/>
      <c r="O1001" s="181"/>
      <c r="P1001" s="176"/>
      <c r="Q1001" s="181"/>
      <c r="R1001" s="181"/>
      <c r="S1001" s="176"/>
      <c r="T1001" s="181"/>
      <c r="U1001" s="181"/>
      <c r="V1001" s="176"/>
      <c r="W1001" s="181"/>
      <c r="X1001" s="181"/>
      <c r="Y1001" s="176"/>
      <c r="Z1001" s="181"/>
      <c r="AA1001" s="181"/>
      <c r="AB1001" s="176"/>
      <c r="AC1001" s="181"/>
      <c r="AD1001" s="181"/>
      <c r="AE1001" s="176"/>
      <c r="AF1001" s="176"/>
      <c r="AG1001" s="176"/>
      <c r="AH1001" s="176"/>
      <c r="AI1001" s="181"/>
      <c r="AJ1001" s="181"/>
      <c r="AK1001" s="176"/>
      <c r="AL1001" s="181"/>
      <c r="AM1001" s="181"/>
      <c r="AN1001" s="176"/>
      <c r="AO1001" s="181"/>
      <c r="AP1001" s="181"/>
    </row>
    <row r="1002" ht="12.75" customHeight="1">
      <c r="A1002" s="179"/>
      <c r="B1002" s="459"/>
      <c r="C1002" s="481"/>
      <c r="D1002" s="180"/>
      <c r="E1002" s="180"/>
      <c r="F1002" s="180"/>
      <c r="G1002" s="460"/>
      <c r="H1002" s="181"/>
      <c r="I1002" s="181"/>
      <c r="J1002" s="181"/>
      <c r="K1002" s="181"/>
      <c r="L1002" s="181"/>
      <c r="M1002" s="329"/>
      <c r="N1002" s="181"/>
      <c r="O1002" s="181"/>
      <c r="P1002" s="176"/>
      <c r="Q1002" s="181"/>
      <c r="R1002" s="181"/>
      <c r="S1002" s="176"/>
      <c r="T1002" s="181"/>
      <c r="U1002" s="181"/>
      <c r="V1002" s="176"/>
      <c r="W1002" s="181"/>
      <c r="X1002" s="181"/>
      <c r="Y1002" s="176"/>
      <c r="Z1002" s="181"/>
      <c r="AA1002" s="181"/>
      <c r="AB1002" s="176"/>
      <c r="AC1002" s="181"/>
      <c r="AD1002" s="181"/>
      <c r="AE1002" s="176"/>
      <c r="AF1002" s="176"/>
      <c r="AG1002" s="176"/>
      <c r="AH1002" s="176"/>
      <c r="AI1002" s="181"/>
      <c r="AJ1002" s="181"/>
      <c r="AK1002" s="176"/>
      <c r="AL1002" s="181"/>
      <c r="AM1002" s="181"/>
      <c r="AN1002" s="176"/>
      <c r="AO1002" s="181"/>
      <c r="AP1002" s="181"/>
    </row>
    <row r="1003" ht="12.75" customHeight="1">
      <c r="A1003" s="179"/>
      <c r="B1003" s="459"/>
      <c r="C1003" s="481"/>
      <c r="D1003" s="180"/>
      <c r="E1003" s="180"/>
      <c r="F1003" s="180"/>
      <c r="G1003" s="460"/>
      <c r="H1003" s="181"/>
      <c r="I1003" s="181"/>
      <c r="J1003" s="181"/>
      <c r="K1003" s="181"/>
      <c r="L1003" s="181"/>
      <c r="M1003" s="329"/>
      <c r="N1003" s="181"/>
      <c r="O1003" s="181"/>
      <c r="P1003" s="176"/>
      <c r="Q1003" s="181"/>
      <c r="R1003" s="181"/>
      <c r="S1003" s="176"/>
      <c r="T1003" s="181"/>
      <c r="U1003" s="181"/>
      <c r="V1003" s="176"/>
      <c r="W1003" s="181"/>
      <c r="X1003" s="181"/>
      <c r="Y1003" s="176"/>
      <c r="Z1003" s="181"/>
      <c r="AA1003" s="181"/>
      <c r="AB1003" s="176"/>
      <c r="AC1003" s="181"/>
      <c r="AD1003" s="181"/>
      <c r="AE1003" s="176"/>
      <c r="AF1003" s="176"/>
      <c r="AG1003" s="176"/>
      <c r="AH1003" s="176"/>
      <c r="AI1003" s="181"/>
      <c r="AJ1003" s="181"/>
      <c r="AK1003" s="176"/>
      <c r="AL1003" s="181"/>
      <c r="AM1003" s="181"/>
      <c r="AN1003" s="176"/>
      <c r="AO1003" s="181"/>
      <c r="AP1003" s="181"/>
    </row>
    <row r="1004" ht="12.75" customHeight="1">
      <c r="A1004" s="179"/>
      <c r="B1004" s="459"/>
      <c r="C1004" s="481"/>
      <c r="D1004" s="180"/>
      <c r="E1004" s="180"/>
      <c r="F1004" s="180"/>
      <c r="G1004" s="460"/>
      <c r="H1004" s="181"/>
      <c r="I1004" s="181"/>
      <c r="J1004" s="181"/>
      <c r="K1004" s="181"/>
      <c r="L1004" s="181"/>
      <c r="M1004" s="329"/>
      <c r="N1004" s="181"/>
      <c r="O1004" s="181"/>
      <c r="P1004" s="176"/>
      <c r="Q1004" s="181"/>
      <c r="R1004" s="181"/>
      <c r="S1004" s="176"/>
      <c r="T1004" s="181"/>
      <c r="U1004" s="181"/>
      <c r="V1004" s="176"/>
      <c r="W1004" s="181"/>
      <c r="X1004" s="181"/>
      <c r="Y1004" s="176"/>
      <c r="Z1004" s="181"/>
      <c r="AA1004" s="181"/>
      <c r="AB1004" s="176"/>
      <c r="AC1004" s="181"/>
      <c r="AD1004" s="181"/>
      <c r="AE1004" s="176"/>
      <c r="AF1004" s="176"/>
      <c r="AG1004" s="176"/>
      <c r="AH1004" s="176"/>
      <c r="AI1004" s="181"/>
      <c r="AJ1004" s="181"/>
      <c r="AK1004" s="176"/>
      <c r="AL1004" s="181"/>
      <c r="AM1004" s="181"/>
      <c r="AN1004" s="176"/>
      <c r="AO1004" s="181"/>
      <c r="AP1004" s="181"/>
    </row>
    <row r="1005" ht="12.75" customHeight="1">
      <c r="A1005" s="179"/>
      <c r="B1005" s="459"/>
      <c r="C1005" s="481"/>
      <c r="D1005" s="180"/>
      <c r="E1005" s="180"/>
      <c r="F1005" s="180"/>
      <c r="G1005" s="460"/>
      <c r="H1005" s="181"/>
      <c r="I1005" s="181"/>
      <c r="J1005" s="181"/>
      <c r="K1005" s="181"/>
      <c r="L1005" s="181"/>
      <c r="M1005" s="329"/>
      <c r="N1005" s="181"/>
      <c r="O1005" s="181"/>
      <c r="P1005" s="176"/>
      <c r="Q1005" s="181"/>
      <c r="R1005" s="181"/>
      <c r="S1005" s="176"/>
      <c r="T1005" s="181"/>
      <c r="U1005" s="181"/>
      <c r="V1005" s="176"/>
      <c r="W1005" s="181"/>
      <c r="X1005" s="181"/>
      <c r="Y1005" s="176"/>
      <c r="Z1005" s="181"/>
      <c r="AA1005" s="181"/>
      <c r="AB1005" s="176"/>
      <c r="AC1005" s="181"/>
      <c r="AD1005" s="181"/>
      <c r="AE1005" s="176"/>
      <c r="AF1005" s="176"/>
      <c r="AG1005" s="176"/>
      <c r="AH1005" s="176"/>
      <c r="AI1005" s="181"/>
      <c r="AJ1005" s="181"/>
      <c r="AK1005" s="176"/>
      <c r="AL1005" s="181"/>
      <c r="AM1005" s="181"/>
      <c r="AN1005" s="176"/>
      <c r="AO1005" s="181"/>
      <c r="AP1005" s="181"/>
    </row>
    <row r="1006" ht="12.75" customHeight="1">
      <c r="A1006" s="179"/>
      <c r="B1006" s="459"/>
      <c r="C1006" s="481"/>
      <c r="D1006" s="180"/>
      <c r="E1006" s="180"/>
      <c r="F1006" s="180"/>
      <c r="G1006" s="460"/>
      <c r="H1006" s="181"/>
      <c r="I1006" s="181"/>
      <c r="J1006" s="181"/>
      <c r="K1006" s="181"/>
      <c r="L1006" s="181"/>
      <c r="M1006" s="329"/>
      <c r="N1006" s="181"/>
      <c r="O1006" s="181"/>
      <c r="P1006" s="176"/>
      <c r="Q1006" s="181"/>
      <c r="R1006" s="181"/>
      <c r="S1006" s="176"/>
      <c r="T1006" s="181"/>
      <c r="U1006" s="181"/>
      <c r="V1006" s="176"/>
      <c r="W1006" s="181"/>
      <c r="X1006" s="181"/>
      <c r="Y1006" s="176"/>
      <c r="Z1006" s="181"/>
      <c r="AA1006" s="181"/>
      <c r="AB1006" s="176"/>
      <c r="AC1006" s="181"/>
      <c r="AD1006" s="181"/>
      <c r="AE1006" s="176"/>
      <c r="AF1006" s="176"/>
      <c r="AG1006" s="176"/>
      <c r="AH1006" s="176"/>
      <c r="AI1006" s="181"/>
      <c r="AJ1006" s="181"/>
      <c r="AK1006" s="176"/>
      <c r="AL1006" s="181"/>
      <c r="AM1006" s="181"/>
      <c r="AN1006" s="176"/>
      <c r="AO1006" s="181"/>
      <c r="AP1006" s="181"/>
    </row>
    <row r="1007" ht="12.75" customHeight="1">
      <c r="A1007" s="179"/>
      <c r="B1007" s="459"/>
      <c r="C1007" s="481"/>
      <c r="D1007" s="180"/>
      <c r="E1007" s="180"/>
      <c r="F1007" s="180"/>
      <c r="G1007" s="460"/>
      <c r="H1007" s="181"/>
      <c r="I1007" s="181"/>
      <c r="J1007" s="181"/>
      <c r="K1007" s="181"/>
      <c r="L1007" s="181"/>
      <c r="M1007" s="329"/>
      <c r="N1007" s="181"/>
      <c r="O1007" s="181"/>
      <c r="P1007" s="176"/>
      <c r="Q1007" s="181"/>
      <c r="R1007" s="181"/>
      <c r="S1007" s="176"/>
      <c r="T1007" s="181"/>
      <c r="U1007" s="181"/>
      <c r="V1007" s="176"/>
      <c r="W1007" s="181"/>
      <c r="X1007" s="181"/>
      <c r="Y1007" s="176"/>
      <c r="Z1007" s="181"/>
      <c r="AA1007" s="181"/>
      <c r="AB1007" s="176"/>
      <c r="AC1007" s="181"/>
      <c r="AD1007" s="181"/>
      <c r="AE1007" s="176"/>
      <c r="AF1007" s="176"/>
      <c r="AG1007" s="176"/>
      <c r="AH1007" s="176"/>
      <c r="AI1007" s="181"/>
      <c r="AJ1007" s="181"/>
      <c r="AK1007" s="176"/>
      <c r="AL1007" s="181"/>
      <c r="AM1007" s="181"/>
      <c r="AN1007" s="176"/>
      <c r="AO1007" s="181"/>
      <c r="AP1007" s="181"/>
    </row>
  </sheetData>
  <autoFilter ref="$A$14:$AP$308"/>
  <mergeCells count="11">
    <mergeCell ref="AC13:AE13"/>
    <mergeCell ref="AF13:AH13"/>
    <mergeCell ref="AI13:AK13"/>
    <mergeCell ref="AL13:AN13"/>
    <mergeCell ref="A3:C3"/>
    <mergeCell ref="K13:M13"/>
    <mergeCell ref="N13:P13"/>
    <mergeCell ref="Q13:S13"/>
    <mergeCell ref="T13:V13"/>
    <mergeCell ref="W13:Y13"/>
    <mergeCell ref="Z13:AB13"/>
  </mergeCells>
  <conditionalFormatting sqref="E95:E112">
    <cfRule type="containsText" dxfId="0" priority="1" operator="containsText" text="No Sales">
      <formula>NOT(ISERROR(SEARCH(("No Sales"),(E95))))</formula>
    </cfRule>
  </conditionalFormatting>
  <conditionalFormatting sqref="F94:F112">
    <cfRule type="containsText" dxfId="1" priority="2" operator="containsText" text="SAME VALUES">
      <formula>NOT(ISERROR(SEARCH(("SAME VALUES"),(F94))))</formula>
    </cfRule>
  </conditionalFormatting>
  <conditionalFormatting sqref="A16:A1007 B16:B84 C16:D1007 E16:E84 F16:I1007 K16:K1007 L16:L51 M16:M1007 N16:N54 O16:O52 P16:P1007 Q16:Q89 R16:R50 S16:T1007 U16:U101 V16:V1007 W16:W85 X16:X98 Y16:Z1007 AA16:AA65 AB16:AF1007 AG16:AG113 AH16:AP1007 J18:J1007 R52:R54 L53:L68 O55:O57 N57:N84 R58:R64 O65:O66 R66:R67 AA67:AA1007 O68:O93 R69:R95 L71:L108 N86:N88 W87:W92 E90:E91 N90:N91 Q92:Q1007 N93:N1007 E94:E1007 W94:W1007 O96 R97 O98:O99 R99:R100 X100:X122 O101:O102 R102:R105 U103:U106 O106:O111 R107:R110 U109:U117 L111:L112 R112:R119 B113:B1007 O113:O114 L114:L1007 AG115:AG116 O117:O120 AG118:AG123 U120:U128 R121:R125 O123:O126 X124:X1007 AG126:AG1007 R127:R1007 O129:O1007 U130:U1007">
    <cfRule type="containsText" dxfId="2" priority="3" operator="containsText" text="Payment">
      <formula>NOT(ISERROR(SEARCH(("Payment"),(A16))))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5.57"/>
    <col customWidth="1" min="2" max="2" width="15.0"/>
    <col customWidth="1" min="3" max="3" width="14.43"/>
    <col customWidth="1" min="4" max="4" width="12.57"/>
    <col customWidth="1" min="5" max="5" width="12.86"/>
    <col customWidth="1" min="6" max="6" width="24.71"/>
    <col customWidth="1" min="7" max="7" width="18.57"/>
    <col customWidth="1" min="8" max="8" width="48.29"/>
    <col customWidth="1" min="9" max="9" width="22.29"/>
    <col customWidth="1" min="10" max="10" width="14.57"/>
    <col customWidth="1" min="11" max="11" width="32.86"/>
    <col customWidth="1" min="12" max="12" width="41.57"/>
    <col customWidth="1" min="13" max="13" width="15.71"/>
    <col customWidth="1" min="14" max="14" width="11.71"/>
    <col customWidth="1" min="15" max="15" width="20.71"/>
    <col customWidth="1" min="16" max="16" width="11.43"/>
    <col customWidth="1" min="17" max="17" width="12.14"/>
    <col customWidth="1" min="18" max="18" width="10.14"/>
    <col customWidth="1" min="19" max="19" width="10.43"/>
    <col customWidth="1" min="20" max="26" width="8.86"/>
  </cols>
  <sheetData>
    <row r="1" ht="12.75" customHeight="1">
      <c r="A1" s="336">
        <v>46060.0</v>
      </c>
      <c r="D1" s="337"/>
      <c r="E1" s="338"/>
      <c r="F1" s="339"/>
      <c r="G1" s="339"/>
      <c r="H1" s="339"/>
      <c r="I1" s="339"/>
      <c r="J1" s="339"/>
      <c r="K1" s="339"/>
      <c r="L1" s="339"/>
      <c r="M1" s="339"/>
      <c r="N1" s="339"/>
      <c r="O1" s="340"/>
      <c r="P1" s="341"/>
      <c r="Q1" s="342"/>
      <c r="R1" s="342"/>
      <c r="S1" s="341"/>
      <c r="T1" s="342"/>
      <c r="U1" s="342"/>
      <c r="V1" s="342"/>
      <c r="W1" s="342"/>
      <c r="X1" s="342"/>
      <c r="Y1" s="342"/>
      <c r="Z1" s="342"/>
    </row>
    <row r="2" ht="16.5" customHeight="1">
      <c r="A2" s="345" t="s">
        <v>497</v>
      </c>
      <c r="B2" s="346" t="s">
        <v>499</v>
      </c>
      <c r="C2" s="347" t="s">
        <v>501</v>
      </c>
      <c r="D2" s="348" t="s">
        <v>338</v>
      </c>
      <c r="E2" s="349" t="s">
        <v>264</v>
      </c>
      <c r="F2" s="350" t="s">
        <v>504</v>
      </c>
      <c r="G2" s="350" t="s">
        <v>505</v>
      </c>
      <c r="H2" s="350" t="s">
        <v>10</v>
      </c>
      <c r="I2" s="351"/>
      <c r="J2" s="351"/>
      <c r="K2" s="351"/>
      <c r="L2" s="351"/>
      <c r="M2" s="351"/>
      <c r="N2" s="351"/>
      <c r="O2" s="352"/>
      <c r="P2" s="353"/>
      <c r="Q2" s="354"/>
      <c r="R2" s="354"/>
      <c r="S2" s="353"/>
      <c r="T2" s="354"/>
      <c r="U2" s="354"/>
      <c r="V2" s="354"/>
      <c r="W2" s="354"/>
      <c r="X2" s="354"/>
      <c r="Y2" s="354"/>
      <c r="Z2" s="354"/>
    </row>
    <row r="3" ht="12.75" customHeight="1">
      <c r="A3" s="355">
        <v>45908.0</v>
      </c>
      <c r="B3" s="356">
        <v>46011.0</v>
      </c>
      <c r="C3" s="357">
        <v>46011.0</v>
      </c>
      <c r="D3" s="358">
        <v>938016.0</v>
      </c>
      <c r="E3" s="359">
        <v>20000.0</v>
      </c>
      <c r="F3" s="360" t="s">
        <v>145</v>
      </c>
      <c r="K3" s="360"/>
      <c r="L3" s="339"/>
      <c r="M3" s="339"/>
      <c r="N3" s="339"/>
      <c r="O3" s="363"/>
      <c r="P3" s="363"/>
      <c r="Q3" s="365"/>
      <c r="R3" s="339"/>
      <c r="S3" s="366"/>
      <c r="T3" s="342"/>
      <c r="U3" s="342"/>
      <c r="V3" s="342"/>
      <c r="W3" s="342"/>
      <c r="X3" s="342"/>
      <c r="Y3" s="342"/>
      <c r="Z3" s="342"/>
    </row>
    <row r="4" ht="12.75" customHeight="1">
      <c r="A4" s="367"/>
      <c r="B4" s="368"/>
      <c r="C4" s="357">
        <v>46017.0</v>
      </c>
      <c r="D4" s="369"/>
      <c r="E4" s="359">
        <v>18000.0</v>
      </c>
      <c r="F4" s="360" t="s">
        <v>508</v>
      </c>
      <c r="G4" s="339"/>
      <c r="H4" s="339"/>
      <c r="I4" s="339"/>
      <c r="J4" s="339"/>
      <c r="K4" s="365"/>
      <c r="L4" s="365"/>
      <c r="M4" s="365"/>
      <c r="N4" s="370"/>
      <c r="O4" s="366"/>
      <c r="P4" s="371"/>
      <c r="Q4" s="372"/>
      <c r="R4" s="373"/>
      <c r="S4" s="342"/>
      <c r="T4" s="342"/>
      <c r="U4" s="342"/>
      <c r="V4" s="342"/>
      <c r="W4" s="342"/>
      <c r="X4" s="342"/>
      <c r="Y4" s="342"/>
      <c r="Z4" s="342"/>
    </row>
    <row r="5" ht="12.75" customHeight="1">
      <c r="A5" s="367"/>
      <c r="B5" s="356">
        <v>46017.0</v>
      </c>
      <c r="C5" s="374"/>
      <c r="D5" s="358">
        <v>942969.0</v>
      </c>
      <c r="E5" s="359">
        <v>13800.0</v>
      </c>
      <c r="F5" s="360" t="s">
        <v>512</v>
      </c>
      <c r="G5" s="339"/>
      <c r="H5" s="339"/>
      <c r="I5" s="339"/>
      <c r="J5" s="339"/>
      <c r="K5" s="339"/>
      <c r="L5" s="339"/>
      <c r="M5" s="339"/>
      <c r="N5" s="370"/>
      <c r="O5" s="340"/>
      <c r="P5" s="341"/>
      <c r="Q5" s="342"/>
      <c r="R5" s="342"/>
      <c r="S5" s="341"/>
      <c r="T5" s="342"/>
      <c r="U5" s="342"/>
      <c r="V5" s="342"/>
      <c r="W5" s="342"/>
      <c r="X5" s="342"/>
      <c r="Y5" s="342"/>
      <c r="Z5" s="342"/>
    </row>
    <row r="6" ht="12.75" hidden="1" customHeight="1">
      <c r="A6" s="377"/>
      <c r="B6" s="378"/>
      <c r="C6" s="380"/>
      <c r="D6" s="382"/>
      <c r="E6" s="383"/>
      <c r="F6" s="387"/>
      <c r="G6" s="387"/>
      <c r="H6" s="387"/>
      <c r="I6" s="387"/>
      <c r="J6" s="387"/>
      <c r="K6" s="388"/>
      <c r="L6" s="388"/>
      <c r="M6" s="388"/>
      <c r="N6" s="389"/>
      <c r="O6" s="390"/>
      <c r="P6" s="391"/>
      <c r="Q6" s="392"/>
      <c r="R6" s="392"/>
      <c r="S6" s="391"/>
      <c r="T6" s="392"/>
      <c r="U6" s="392"/>
      <c r="V6" s="392"/>
      <c r="W6" s="392"/>
      <c r="X6" s="392"/>
      <c r="Y6" s="392"/>
      <c r="Z6" s="392"/>
    </row>
    <row r="7" ht="13.5" customHeight="1">
      <c r="A7" s="355">
        <v>45978.0</v>
      </c>
      <c r="B7" s="356">
        <v>46003.0</v>
      </c>
      <c r="C7" s="357">
        <v>45669.0</v>
      </c>
      <c r="D7" s="394">
        <v>938046.0</v>
      </c>
      <c r="E7" s="395">
        <v>11800.0</v>
      </c>
      <c r="F7" s="360" t="s">
        <v>97</v>
      </c>
      <c r="G7" s="360" t="s">
        <v>520</v>
      </c>
      <c r="H7" s="396" t="s">
        <v>521</v>
      </c>
      <c r="I7" s="339"/>
      <c r="J7" s="339"/>
      <c r="K7" s="339"/>
      <c r="L7" s="339"/>
      <c r="M7" s="339"/>
      <c r="N7" s="339"/>
      <c r="O7" s="340"/>
      <c r="P7" s="341"/>
      <c r="Q7" s="342"/>
      <c r="R7" s="342"/>
      <c r="S7" s="341"/>
      <c r="T7" s="342"/>
      <c r="U7" s="342"/>
      <c r="V7" s="342"/>
      <c r="W7" s="342"/>
      <c r="X7" s="342"/>
      <c r="Y7" s="342"/>
      <c r="Z7" s="342"/>
    </row>
    <row r="8" ht="12.75" customHeight="1">
      <c r="A8" s="367"/>
      <c r="B8" s="356">
        <v>46035.0</v>
      </c>
      <c r="C8" s="357">
        <v>45670.0</v>
      </c>
      <c r="D8" s="394">
        <v>942956.0</v>
      </c>
      <c r="E8" s="359">
        <v>13800.0</v>
      </c>
      <c r="F8" s="360" t="s">
        <v>523</v>
      </c>
      <c r="G8" s="398">
        <v>45945.0</v>
      </c>
      <c r="H8" s="339"/>
      <c r="I8" s="339"/>
      <c r="J8" s="339"/>
      <c r="K8" s="339"/>
      <c r="L8" s="339"/>
      <c r="M8" s="339"/>
      <c r="N8" s="339"/>
      <c r="O8" s="340"/>
      <c r="P8" s="341"/>
      <c r="Q8" s="342"/>
      <c r="R8" s="342"/>
      <c r="S8" s="341"/>
      <c r="T8" s="342"/>
      <c r="U8" s="342"/>
      <c r="V8" s="342"/>
      <c r="W8" s="342"/>
      <c r="X8" s="342"/>
      <c r="Y8" s="342"/>
      <c r="Z8" s="342"/>
    </row>
    <row r="9" ht="16.5" customHeight="1">
      <c r="A9" s="367"/>
      <c r="B9" s="356">
        <v>46035.0</v>
      </c>
      <c r="C9" s="357">
        <v>45670.0</v>
      </c>
      <c r="D9" s="394">
        <v>942957.0</v>
      </c>
      <c r="E9" s="359">
        <v>16300.0</v>
      </c>
      <c r="F9" s="360" t="s">
        <v>526</v>
      </c>
      <c r="G9" s="398">
        <v>45959.0</v>
      </c>
      <c r="H9" s="339"/>
      <c r="I9" s="339"/>
      <c r="J9" s="339"/>
      <c r="K9" s="339"/>
      <c r="L9" s="339"/>
      <c r="M9" s="339"/>
      <c r="N9" s="339"/>
      <c r="O9" s="340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 ht="12.75" customHeight="1">
      <c r="A10" s="355">
        <v>45845.0</v>
      </c>
      <c r="B10" s="356">
        <v>45924.0</v>
      </c>
      <c r="C10" s="357">
        <v>46010.0</v>
      </c>
      <c r="D10" s="394">
        <v>917636.0</v>
      </c>
      <c r="E10" s="359">
        <v>5310.0</v>
      </c>
      <c r="F10" s="360" t="s">
        <v>149</v>
      </c>
      <c r="G10" s="360" t="s">
        <v>527</v>
      </c>
      <c r="H10" s="396" t="s">
        <v>528</v>
      </c>
      <c r="I10" s="339"/>
      <c r="J10" s="339"/>
      <c r="K10" s="339"/>
      <c r="L10" s="339"/>
      <c r="M10" s="339"/>
      <c r="N10" s="370"/>
      <c r="O10" s="340"/>
      <c r="P10" s="341"/>
      <c r="Q10" s="342"/>
      <c r="R10" s="342"/>
      <c r="S10" s="341"/>
      <c r="T10" s="342"/>
      <c r="U10" s="342"/>
      <c r="V10" s="342"/>
      <c r="W10" s="342"/>
      <c r="X10" s="342"/>
      <c r="Y10" s="342"/>
      <c r="Z10" s="342"/>
    </row>
    <row r="11" ht="16.5" customHeight="1">
      <c r="A11" s="355">
        <v>45845.0</v>
      </c>
      <c r="B11" s="356">
        <v>45952.0</v>
      </c>
      <c r="C11" s="357">
        <v>46010.0</v>
      </c>
      <c r="D11" s="394">
        <v>917637.0</v>
      </c>
      <c r="E11" s="359">
        <v>18760.0</v>
      </c>
      <c r="F11" s="360" t="s">
        <v>149</v>
      </c>
      <c r="G11" s="360" t="s">
        <v>530</v>
      </c>
      <c r="H11" s="399" t="s">
        <v>528</v>
      </c>
      <c r="I11" s="339"/>
      <c r="J11" s="339"/>
      <c r="K11" s="339"/>
      <c r="L11" s="339"/>
      <c r="M11" s="339"/>
      <c r="N11" s="339"/>
      <c r="O11" s="340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 ht="12.75" customHeight="1">
      <c r="A12" s="355">
        <v>45845.0</v>
      </c>
      <c r="B12" s="356">
        <v>45961.0</v>
      </c>
      <c r="C12" s="357">
        <v>46010.0</v>
      </c>
      <c r="D12" s="394">
        <v>917646.0</v>
      </c>
      <c r="E12" s="359">
        <v>10020.0</v>
      </c>
      <c r="F12" s="360" t="s">
        <v>149</v>
      </c>
      <c r="G12" s="360" t="s">
        <v>532</v>
      </c>
      <c r="H12" s="396" t="s">
        <v>528</v>
      </c>
      <c r="I12" s="339"/>
      <c r="J12" s="339"/>
      <c r="K12" s="400"/>
      <c r="L12" s="339"/>
      <c r="M12" s="339"/>
      <c r="N12" s="339"/>
      <c r="O12" s="340"/>
      <c r="P12" s="341"/>
      <c r="Q12" s="342"/>
      <c r="R12" s="342"/>
      <c r="S12" s="341"/>
      <c r="T12" s="342"/>
      <c r="U12" s="342"/>
      <c r="V12" s="342"/>
      <c r="W12" s="342"/>
      <c r="X12" s="342"/>
      <c r="Y12" s="342"/>
      <c r="Z12" s="342"/>
    </row>
    <row r="13" ht="12.75" customHeight="1">
      <c r="A13" s="367"/>
      <c r="B13" s="356">
        <v>46036.0</v>
      </c>
      <c r="C13" s="357">
        <v>45671.0</v>
      </c>
      <c r="D13" s="394">
        <v>942953.0</v>
      </c>
      <c r="E13" s="359">
        <v>32118.0</v>
      </c>
      <c r="F13" s="360" t="s">
        <v>534</v>
      </c>
      <c r="K13" s="401"/>
      <c r="L13" s="339"/>
      <c r="M13" s="365"/>
      <c r="N13" s="365"/>
      <c r="O13" s="363"/>
      <c r="P13" s="363"/>
      <c r="Q13" s="339"/>
      <c r="R13" s="339"/>
      <c r="S13" s="340"/>
      <c r="T13" s="342"/>
      <c r="U13" s="342"/>
      <c r="V13" s="342"/>
      <c r="W13" s="342"/>
      <c r="X13" s="342"/>
      <c r="Y13" s="342"/>
      <c r="Z13" s="342"/>
    </row>
    <row r="14" ht="12.75" customHeight="1">
      <c r="A14" s="367"/>
      <c r="B14" s="368"/>
      <c r="C14" s="357">
        <v>46037.0</v>
      </c>
      <c r="D14" s="369"/>
      <c r="E14" s="395">
        <v>15600.0</v>
      </c>
      <c r="F14" s="360" t="s">
        <v>57</v>
      </c>
      <c r="G14" s="339"/>
      <c r="H14" s="402"/>
      <c r="I14" s="339"/>
      <c r="J14" s="339"/>
      <c r="K14" s="400"/>
      <c r="L14" s="339"/>
      <c r="M14" s="400"/>
      <c r="N14" s="400"/>
      <c r="O14" s="339"/>
      <c r="P14" s="372"/>
      <c r="Q14" s="373"/>
      <c r="R14" s="342"/>
      <c r="S14" s="341"/>
      <c r="T14" s="342"/>
      <c r="U14" s="342"/>
      <c r="V14" s="342"/>
      <c r="W14" s="342"/>
      <c r="X14" s="342"/>
      <c r="Y14" s="342"/>
      <c r="Z14" s="342"/>
    </row>
    <row r="15" ht="12.75" customHeight="1">
      <c r="A15" s="355">
        <v>45940.0</v>
      </c>
      <c r="B15" s="356">
        <v>45966.0</v>
      </c>
      <c r="C15" s="357">
        <v>46037.0</v>
      </c>
      <c r="D15" s="394">
        <v>938035.0</v>
      </c>
      <c r="E15" s="395">
        <v>20000.0</v>
      </c>
      <c r="F15" s="360" t="s">
        <v>353</v>
      </c>
      <c r="G15" s="360" t="s">
        <v>537</v>
      </c>
      <c r="H15" s="396" t="s">
        <v>538</v>
      </c>
      <c r="I15" s="339"/>
      <c r="J15" s="339"/>
      <c r="K15" s="339"/>
      <c r="L15" s="339"/>
      <c r="M15" s="339"/>
      <c r="N15" s="370"/>
      <c r="O15" s="340"/>
      <c r="P15" s="341"/>
      <c r="Q15" s="342"/>
      <c r="R15" s="342"/>
      <c r="S15" s="341"/>
      <c r="T15" s="342"/>
      <c r="U15" s="342"/>
      <c r="V15" s="342"/>
      <c r="W15" s="342"/>
      <c r="X15" s="342"/>
      <c r="Y15" s="342"/>
      <c r="Z15" s="342"/>
    </row>
    <row r="16" ht="12.75" customHeight="1">
      <c r="A16" s="355">
        <v>45978.0</v>
      </c>
      <c r="B16" s="356">
        <v>46000.0</v>
      </c>
      <c r="C16" s="357">
        <v>46038.0</v>
      </c>
      <c r="D16" s="394">
        <v>938045.0</v>
      </c>
      <c r="E16" s="403">
        <v>27260.0</v>
      </c>
      <c r="F16" s="360" t="s">
        <v>97</v>
      </c>
      <c r="G16" s="360" t="s">
        <v>540</v>
      </c>
      <c r="H16" s="396" t="s">
        <v>541</v>
      </c>
      <c r="I16" s="339"/>
      <c r="J16" s="339"/>
      <c r="K16" s="339"/>
      <c r="L16" s="339"/>
      <c r="M16" s="339"/>
      <c r="N16" s="370"/>
      <c r="O16" s="340"/>
      <c r="P16" s="341"/>
      <c r="Q16" s="342"/>
      <c r="R16" s="342"/>
      <c r="S16" s="341"/>
      <c r="T16" s="342"/>
      <c r="U16" s="342"/>
      <c r="V16" s="342"/>
      <c r="W16" s="342"/>
      <c r="X16" s="342"/>
      <c r="Y16" s="342"/>
      <c r="Z16" s="342"/>
    </row>
    <row r="17" ht="12.75" customHeight="1">
      <c r="A17" s="367"/>
      <c r="B17" s="356">
        <v>46038.0</v>
      </c>
      <c r="C17" s="357">
        <v>46038.0</v>
      </c>
      <c r="D17" s="394">
        <v>942958.0</v>
      </c>
      <c r="E17" s="359">
        <v>12000.0</v>
      </c>
      <c r="F17" s="360" t="s">
        <v>543</v>
      </c>
      <c r="G17" s="398">
        <v>45972.0</v>
      </c>
      <c r="H17" s="339"/>
      <c r="I17" s="339"/>
      <c r="J17" s="339"/>
      <c r="K17" s="339"/>
      <c r="L17" s="339"/>
      <c r="M17" s="339"/>
      <c r="N17" s="370"/>
      <c r="O17" s="340"/>
      <c r="P17" s="341"/>
      <c r="Q17" s="342"/>
      <c r="R17" s="342"/>
      <c r="S17" s="341"/>
      <c r="T17" s="342"/>
      <c r="U17" s="342"/>
      <c r="V17" s="342"/>
      <c r="W17" s="342"/>
      <c r="X17" s="342"/>
      <c r="Y17" s="342"/>
      <c r="Z17" s="342"/>
    </row>
    <row r="18" ht="12.75" hidden="1" customHeight="1">
      <c r="A18" s="404"/>
      <c r="B18" s="405">
        <v>46038.0</v>
      </c>
      <c r="C18" s="406">
        <v>46038.0</v>
      </c>
      <c r="D18" s="407">
        <v>942959.0</v>
      </c>
      <c r="E18" s="408">
        <v>10800.0</v>
      </c>
      <c r="F18" s="67" t="s">
        <v>545</v>
      </c>
      <c r="G18" s="409">
        <v>45973.0</v>
      </c>
      <c r="H18" s="387"/>
      <c r="I18" s="387"/>
      <c r="J18" s="387"/>
      <c r="K18" s="410"/>
      <c r="L18" s="387"/>
      <c r="M18" s="387"/>
      <c r="N18" s="387"/>
      <c r="O18" s="411"/>
      <c r="P18" s="391"/>
      <c r="Q18" s="392"/>
      <c r="R18" s="392"/>
      <c r="S18" s="391"/>
      <c r="T18" s="392"/>
      <c r="U18" s="392"/>
      <c r="V18" s="392"/>
      <c r="W18" s="392"/>
      <c r="X18" s="392"/>
      <c r="Y18" s="392"/>
      <c r="Z18" s="392"/>
    </row>
    <row r="19" ht="12.75" hidden="1" customHeight="1">
      <c r="A19" s="377"/>
      <c r="B19" s="378"/>
      <c r="C19" s="380"/>
      <c r="D19" s="382"/>
      <c r="E19" s="383"/>
      <c r="F19" s="387"/>
      <c r="G19" s="387"/>
      <c r="H19" s="387"/>
      <c r="I19" s="387"/>
      <c r="J19" s="388"/>
      <c r="K19" s="412"/>
      <c r="L19" s="388"/>
      <c r="M19" s="388"/>
      <c r="N19" s="387"/>
      <c r="O19" s="390"/>
      <c r="P19" s="391"/>
      <c r="Q19" s="392"/>
      <c r="R19" s="392"/>
      <c r="S19" s="391"/>
      <c r="T19" s="392"/>
      <c r="U19" s="392"/>
      <c r="V19" s="392"/>
      <c r="W19" s="392"/>
      <c r="X19" s="392"/>
      <c r="Y19" s="392"/>
      <c r="Z19" s="392"/>
    </row>
    <row r="20" ht="12.75" customHeight="1">
      <c r="A20" s="355">
        <v>45908.0</v>
      </c>
      <c r="B20" s="356">
        <v>46042.0</v>
      </c>
      <c r="C20" s="357">
        <v>46042.0</v>
      </c>
      <c r="D20" s="394">
        <v>938017.0</v>
      </c>
      <c r="E20" s="395">
        <v>20000.0</v>
      </c>
      <c r="F20" s="360" t="s">
        <v>145</v>
      </c>
      <c r="K20" s="360"/>
      <c r="L20" s="339"/>
      <c r="M20" s="339"/>
      <c r="N20" s="417"/>
      <c r="O20" s="363"/>
      <c r="P20" s="365"/>
      <c r="Q20" s="363"/>
      <c r="R20" s="400"/>
      <c r="S20" s="420"/>
      <c r="T20" s="342"/>
      <c r="U20" s="342"/>
      <c r="V20" s="342"/>
      <c r="W20" s="342"/>
      <c r="X20" s="342"/>
      <c r="Y20" s="342"/>
      <c r="Z20" s="342"/>
    </row>
    <row r="21" ht="12.75" customHeight="1">
      <c r="A21" s="367"/>
      <c r="B21" s="356">
        <v>46030.0</v>
      </c>
      <c r="C21" s="357">
        <v>46044.0</v>
      </c>
      <c r="D21" s="394">
        <v>942970.0</v>
      </c>
      <c r="E21" s="359">
        <v>44145.0</v>
      </c>
      <c r="F21" s="360" t="s">
        <v>506</v>
      </c>
      <c r="G21" s="339"/>
      <c r="H21" s="360" t="s">
        <v>553</v>
      </c>
      <c r="I21" s="339"/>
      <c r="J21" s="339"/>
      <c r="K21" s="400"/>
      <c r="L21" s="339"/>
      <c r="M21" s="339"/>
      <c r="N21" s="339"/>
      <c r="O21" s="339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ht="12.75" customHeight="1">
      <c r="A22" s="355">
        <v>46036.0</v>
      </c>
      <c r="B22" s="356">
        <v>45672.0</v>
      </c>
      <c r="C22" s="357">
        <v>46044.0</v>
      </c>
      <c r="D22" s="394">
        <v>942972.0</v>
      </c>
      <c r="E22" s="359">
        <v>26928.0</v>
      </c>
      <c r="F22" s="360" t="s">
        <v>506</v>
      </c>
      <c r="G22" s="360" t="s">
        <v>556</v>
      </c>
      <c r="H22" s="360" t="s">
        <v>557</v>
      </c>
      <c r="I22" s="339"/>
      <c r="J22" s="339"/>
      <c r="K22" s="339"/>
      <c r="L22" s="339"/>
      <c r="M22" s="339"/>
      <c r="N22" s="400"/>
      <c r="O22" s="340"/>
      <c r="P22" s="371"/>
      <c r="Q22" s="372"/>
      <c r="R22" s="373"/>
      <c r="S22" s="426"/>
      <c r="T22" s="342"/>
      <c r="U22" s="342"/>
      <c r="V22" s="342"/>
      <c r="W22" s="342"/>
      <c r="X22" s="342"/>
      <c r="Y22" s="342"/>
      <c r="Z22" s="342"/>
    </row>
    <row r="23" ht="12.75" customHeight="1">
      <c r="A23" s="367"/>
      <c r="B23" s="356">
        <v>46044.0</v>
      </c>
      <c r="C23" s="357">
        <v>46044.0</v>
      </c>
      <c r="D23" s="394">
        <v>942960.0</v>
      </c>
      <c r="E23" s="359">
        <v>8550.0</v>
      </c>
      <c r="F23" s="360" t="s">
        <v>559</v>
      </c>
      <c r="G23" s="398">
        <v>45980.0</v>
      </c>
      <c r="H23" s="339"/>
      <c r="I23" s="339"/>
      <c r="J23" s="339"/>
      <c r="K23" s="339"/>
      <c r="L23" s="339"/>
      <c r="M23" s="339"/>
      <c r="N23" s="339"/>
      <c r="O23" s="339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ht="12.75" customHeight="1">
      <c r="A24" s="367"/>
      <c r="B24" s="356">
        <v>46041.0</v>
      </c>
      <c r="C24" s="357">
        <v>46045.0</v>
      </c>
      <c r="D24" s="394">
        <v>942955.0</v>
      </c>
      <c r="E24" s="359">
        <v>18858.4</v>
      </c>
      <c r="F24" s="360" t="s">
        <v>566</v>
      </c>
      <c r="G24" s="433">
        <v>45996.0</v>
      </c>
      <c r="H24" s="339"/>
      <c r="I24" s="339"/>
      <c r="J24" s="339"/>
      <c r="K24" s="400"/>
      <c r="L24" s="339"/>
      <c r="M24" s="339"/>
      <c r="N24" s="339"/>
      <c r="O24" s="339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ht="12.75" customHeight="1">
      <c r="A25" s="355">
        <v>45905.0</v>
      </c>
      <c r="B25" s="356">
        <v>45965.0</v>
      </c>
      <c r="C25" s="357">
        <v>45314.0</v>
      </c>
      <c r="D25" s="394">
        <v>917650.0</v>
      </c>
      <c r="E25" s="395">
        <v>3650.0</v>
      </c>
      <c r="F25" s="360" t="s">
        <v>149</v>
      </c>
      <c r="G25" s="360" t="s">
        <v>567</v>
      </c>
      <c r="H25" s="396" t="s">
        <v>568</v>
      </c>
      <c r="I25" s="339"/>
      <c r="J25" s="339"/>
      <c r="K25" s="400"/>
      <c r="L25" s="339"/>
      <c r="M25" s="339"/>
      <c r="N25" s="339"/>
      <c r="O25" s="339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 ht="16.5" customHeight="1">
      <c r="A26" s="355">
        <v>45905.0</v>
      </c>
      <c r="B26" s="356">
        <v>45970.0</v>
      </c>
      <c r="C26" s="357">
        <v>45314.0</v>
      </c>
      <c r="D26" s="394">
        <v>938001.0</v>
      </c>
      <c r="E26" s="395">
        <v>7470.0</v>
      </c>
      <c r="F26" s="360" t="s">
        <v>149</v>
      </c>
      <c r="G26" s="360" t="s">
        <v>570</v>
      </c>
      <c r="H26" s="399" t="s">
        <v>568</v>
      </c>
      <c r="I26" s="339"/>
      <c r="J26" s="339"/>
      <c r="K26" s="339"/>
      <c r="L26" s="339"/>
      <c r="M26" s="339"/>
      <c r="N26" s="370"/>
      <c r="O26" s="340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 ht="16.5" hidden="1" customHeight="1">
      <c r="A27" s="377"/>
      <c r="B27" s="378"/>
      <c r="C27" s="380"/>
      <c r="D27" s="382"/>
      <c r="E27" s="383"/>
      <c r="F27" s="387"/>
      <c r="G27" s="440"/>
      <c r="H27" s="387"/>
      <c r="I27" s="387"/>
      <c r="J27" s="387"/>
      <c r="K27" s="387"/>
      <c r="L27" s="387"/>
      <c r="M27" s="387"/>
      <c r="N27" s="389"/>
      <c r="O27" s="411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</row>
    <row r="28" ht="12.75" customHeight="1">
      <c r="A28" s="355">
        <v>45940.0</v>
      </c>
      <c r="B28" s="356">
        <v>45971.0</v>
      </c>
      <c r="C28" s="357">
        <v>46048.0</v>
      </c>
      <c r="D28" s="394">
        <v>938036.0</v>
      </c>
      <c r="E28" s="395">
        <v>25600.0</v>
      </c>
      <c r="F28" s="360" t="s">
        <v>353</v>
      </c>
      <c r="G28" s="360" t="s">
        <v>537</v>
      </c>
      <c r="H28" s="396" t="s">
        <v>572</v>
      </c>
      <c r="I28" s="339"/>
      <c r="J28" s="339"/>
      <c r="K28" s="339"/>
      <c r="L28" s="339"/>
      <c r="M28" s="339"/>
      <c r="N28" s="339"/>
      <c r="O28" s="340"/>
      <c r="P28" s="341"/>
      <c r="Q28" s="342"/>
      <c r="R28" s="342"/>
      <c r="S28" s="341"/>
      <c r="T28" s="342"/>
      <c r="U28" s="342"/>
      <c r="V28" s="342"/>
      <c r="W28" s="342"/>
      <c r="X28" s="342"/>
      <c r="Y28" s="342"/>
      <c r="Z28" s="342"/>
    </row>
    <row r="29" ht="12.75" customHeight="1">
      <c r="A29" s="367"/>
      <c r="B29" s="368"/>
      <c r="C29" s="357">
        <v>46052.0</v>
      </c>
      <c r="D29" s="369"/>
      <c r="E29" s="395">
        <v>18000.0</v>
      </c>
      <c r="F29" s="360" t="s">
        <v>57</v>
      </c>
      <c r="G29" s="339"/>
      <c r="H29" s="351"/>
      <c r="I29" s="339"/>
      <c r="J29" s="339"/>
      <c r="K29" s="400"/>
      <c r="L29" s="339"/>
      <c r="M29" s="339"/>
      <c r="N29" s="339"/>
      <c r="O29" s="339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 ht="16.5" hidden="1" customHeight="1">
      <c r="A30" s="447"/>
      <c r="B30" s="449"/>
      <c r="C30" s="450"/>
      <c r="D30" s="452"/>
      <c r="E30" s="453"/>
      <c r="F30" s="387"/>
      <c r="G30" s="387"/>
      <c r="H30" s="411"/>
      <c r="I30" s="387"/>
      <c r="J30" s="388"/>
      <c r="K30" s="388"/>
      <c r="L30" s="388"/>
      <c r="M30" s="388"/>
      <c r="N30" s="389"/>
      <c r="O30" s="390"/>
      <c r="P30" s="36"/>
      <c r="Q30" s="31"/>
      <c r="R30" s="454"/>
      <c r="S30" s="455"/>
      <c r="T30" s="392"/>
      <c r="U30" s="392"/>
      <c r="V30" s="392"/>
      <c r="W30" s="392"/>
      <c r="X30" s="392"/>
      <c r="Y30" s="392"/>
      <c r="Z30" s="392"/>
    </row>
    <row r="31" ht="12.75" customHeight="1">
      <c r="A31" s="367"/>
      <c r="B31" s="356">
        <v>46045.0</v>
      </c>
      <c r="C31" s="357">
        <v>46058.0</v>
      </c>
      <c r="D31" s="358">
        <v>942965.0</v>
      </c>
      <c r="E31" s="359">
        <v>27450.0</v>
      </c>
      <c r="F31" s="360" t="s">
        <v>577</v>
      </c>
      <c r="G31" s="456">
        <v>45989.0</v>
      </c>
      <c r="H31" s="350" t="s">
        <v>578</v>
      </c>
      <c r="I31" s="339"/>
      <c r="J31" s="339"/>
      <c r="K31" s="339"/>
      <c r="L31" s="339"/>
      <c r="M31" s="339"/>
      <c r="N31" s="339"/>
      <c r="O31" s="340"/>
      <c r="P31" s="341"/>
      <c r="Q31" s="372"/>
      <c r="R31" s="373"/>
      <c r="S31" s="426"/>
      <c r="T31" s="342"/>
      <c r="U31" s="342"/>
      <c r="V31" s="342"/>
      <c r="W31" s="342"/>
      <c r="X31" s="342"/>
      <c r="Y31" s="342"/>
      <c r="Z31" s="342"/>
    </row>
    <row r="32" ht="12.75" customHeight="1">
      <c r="A32" s="367"/>
      <c r="B32" s="356">
        <v>46044.0</v>
      </c>
      <c r="C32" s="357">
        <v>46058.0</v>
      </c>
      <c r="D32" s="358">
        <v>942961.0</v>
      </c>
      <c r="E32" s="359">
        <v>18610.0</v>
      </c>
      <c r="F32" s="360" t="s">
        <v>580</v>
      </c>
      <c r="G32" s="398">
        <v>45980.0</v>
      </c>
      <c r="H32" s="350" t="s">
        <v>578</v>
      </c>
      <c r="I32" s="339"/>
      <c r="J32" s="339"/>
      <c r="K32" s="400"/>
      <c r="L32" s="339"/>
      <c r="M32" s="400"/>
      <c r="N32" s="458"/>
      <c r="O32" s="339"/>
      <c r="P32" s="37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 ht="12.75" customHeight="1">
      <c r="A33" s="355">
        <v>45981.0</v>
      </c>
      <c r="B33" s="356">
        <v>46008.0</v>
      </c>
      <c r="C33" s="357">
        <v>46047.0</v>
      </c>
      <c r="D33" s="358">
        <v>942952.0</v>
      </c>
      <c r="E33" s="395">
        <v>35000.0</v>
      </c>
      <c r="F33" s="360" t="s">
        <v>353</v>
      </c>
      <c r="G33" s="360" t="s">
        <v>583</v>
      </c>
      <c r="H33" s="396" t="s">
        <v>584</v>
      </c>
      <c r="J33" s="339"/>
      <c r="K33" s="339"/>
      <c r="L33" s="339"/>
      <c r="M33" s="339"/>
      <c r="N33" s="458"/>
      <c r="O33" s="339"/>
      <c r="P33" s="372"/>
      <c r="Q33" s="342"/>
      <c r="R33" s="342"/>
      <c r="S33" s="341"/>
      <c r="T33" s="342"/>
      <c r="U33" s="342"/>
      <c r="V33" s="342"/>
      <c r="W33" s="342"/>
      <c r="X33" s="342"/>
      <c r="Y33" s="342"/>
      <c r="Z33" s="342"/>
    </row>
    <row r="34" ht="12.75" customHeight="1">
      <c r="A34" s="367"/>
      <c r="B34" s="356">
        <v>46059.0</v>
      </c>
      <c r="C34" s="357">
        <v>45694.0</v>
      </c>
      <c r="D34" s="358">
        <v>942962.0</v>
      </c>
      <c r="E34" s="359">
        <v>12850.0</v>
      </c>
      <c r="F34" s="360" t="s">
        <v>586</v>
      </c>
      <c r="G34" s="461">
        <v>45994.0</v>
      </c>
      <c r="H34" s="462" t="s">
        <v>587</v>
      </c>
      <c r="I34" s="339"/>
      <c r="J34" s="339"/>
      <c r="K34" s="400"/>
      <c r="L34" s="339"/>
      <c r="M34" s="339"/>
      <c r="N34" s="458"/>
      <c r="O34" s="339"/>
      <c r="P34" s="37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 ht="12.75" hidden="1" customHeight="1">
      <c r="A35" s="377"/>
      <c r="B35" s="378"/>
      <c r="C35" s="380"/>
      <c r="D35" s="382"/>
      <c r="E35" s="383"/>
      <c r="F35" s="67"/>
      <c r="G35" s="463"/>
      <c r="H35" s="387"/>
      <c r="I35" s="387"/>
      <c r="J35" s="387"/>
      <c r="K35" s="387"/>
      <c r="L35" s="387"/>
      <c r="M35" s="387"/>
      <c r="N35" s="387"/>
      <c r="O35" s="387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</row>
    <row r="36" ht="12.75" customHeight="1">
      <c r="A36" s="355">
        <v>46037.0</v>
      </c>
      <c r="B36" s="356">
        <v>46065.0</v>
      </c>
      <c r="C36" s="357">
        <v>46065.0</v>
      </c>
      <c r="D36" s="358">
        <v>942974.0</v>
      </c>
      <c r="E36" s="359">
        <v>23500.0</v>
      </c>
      <c r="F36" s="360" t="s">
        <v>590</v>
      </c>
      <c r="G36" s="339"/>
      <c r="H36" s="339"/>
      <c r="I36" s="339"/>
      <c r="J36" s="339"/>
      <c r="K36" s="400"/>
      <c r="L36" s="339"/>
      <c r="M36" s="339"/>
      <c r="N36" s="339"/>
      <c r="O36" s="339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 ht="12.75" customHeight="1">
      <c r="A37" s="355">
        <v>46037.0</v>
      </c>
      <c r="B37" s="356">
        <v>46066.0</v>
      </c>
      <c r="C37" s="357">
        <v>46066.0</v>
      </c>
      <c r="D37" s="358">
        <v>942975.0</v>
      </c>
      <c r="E37" s="359">
        <v>10290.0</v>
      </c>
      <c r="F37" s="360" t="s">
        <v>582</v>
      </c>
      <c r="G37" s="339"/>
      <c r="H37" s="339"/>
      <c r="I37" s="339"/>
      <c r="J37" s="339"/>
      <c r="K37" s="339"/>
      <c r="L37" s="339"/>
      <c r="M37" s="339"/>
      <c r="N37" s="339"/>
      <c r="O37" s="340"/>
      <c r="P37" s="341"/>
      <c r="Q37" s="342"/>
      <c r="R37" s="342"/>
      <c r="S37" s="341"/>
      <c r="T37" s="342"/>
      <c r="U37" s="342"/>
      <c r="V37" s="342"/>
      <c r="W37" s="342"/>
      <c r="X37" s="342"/>
      <c r="Y37" s="342"/>
      <c r="Z37" s="342"/>
    </row>
    <row r="38" ht="12.75" customHeight="1">
      <c r="A38" s="355">
        <v>46037.0</v>
      </c>
      <c r="B38" s="356">
        <v>46066.0</v>
      </c>
      <c r="C38" s="357">
        <v>46066.0</v>
      </c>
      <c r="D38" s="358">
        <v>942976.0</v>
      </c>
      <c r="E38" s="359">
        <v>9400.0</v>
      </c>
      <c r="F38" s="360" t="s">
        <v>592</v>
      </c>
      <c r="G38" s="339"/>
      <c r="H38" s="339"/>
      <c r="I38" s="365"/>
      <c r="J38" s="365"/>
      <c r="K38" s="365"/>
      <c r="L38" s="365"/>
      <c r="M38" s="339"/>
      <c r="N38" s="339"/>
      <c r="O38" s="340"/>
      <c r="P38" s="341"/>
      <c r="Q38" s="342"/>
      <c r="R38" s="342"/>
      <c r="S38" s="341"/>
      <c r="T38" s="342"/>
      <c r="U38" s="342"/>
      <c r="V38" s="342"/>
      <c r="W38" s="342"/>
      <c r="X38" s="342"/>
      <c r="Y38" s="342"/>
      <c r="Z38" s="342"/>
    </row>
    <row r="39" ht="12.75" customHeight="1">
      <c r="A39" s="367"/>
      <c r="B39" s="368"/>
      <c r="C39" s="357">
        <v>46066.0</v>
      </c>
      <c r="D39" s="369"/>
      <c r="E39" s="359">
        <v>18000.0</v>
      </c>
      <c r="F39" s="360" t="s">
        <v>57</v>
      </c>
      <c r="G39" s="360"/>
      <c r="H39" s="396"/>
      <c r="I39" s="339"/>
      <c r="J39" s="339"/>
      <c r="K39" s="339"/>
      <c r="L39" s="339"/>
      <c r="M39" s="339"/>
      <c r="N39" s="339"/>
      <c r="O39" s="340"/>
      <c r="P39" s="341"/>
      <c r="Q39" s="342"/>
      <c r="R39" s="373"/>
      <c r="S39" s="341"/>
      <c r="T39" s="342"/>
      <c r="U39" s="342"/>
      <c r="V39" s="342"/>
      <c r="W39" s="342"/>
      <c r="X39" s="342"/>
      <c r="Y39" s="342"/>
      <c r="Z39" s="342"/>
    </row>
    <row r="40" ht="12.75" hidden="1" customHeight="1">
      <c r="A40" s="377"/>
      <c r="B40" s="378"/>
      <c r="C40" s="380"/>
      <c r="D40" s="382"/>
      <c r="E40" s="383"/>
      <c r="F40" s="67"/>
      <c r="G40" s="67"/>
      <c r="H40" s="467"/>
      <c r="I40" s="387"/>
      <c r="J40" s="387"/>
      <c r="K40" s="387"/>
      <c r="L40" s="387"/>
      <c r="M40" s="387"/>
      <c r="N40" s="387"/>
      <c r="O40" s="411"/>
      <c r="P40" s="391"/>
      <c r="Q40" s="392"/>
      <c r="R40" s="454"/>
      <c r="S40" s="391"/>
      <c r="T40" s="392"/>
      <c r="U40" s="392"/>
      <c r="V40" s="392"/>
      <c r="W40" s="392"/>
      <c r="X40" s="392"/>
      <c r="Y40" s="392"/>
      <c r="Z40" s="392"/>
    </row>
    <row r="41" ht="12.75" customHeight="1">
      <c r="A41" s="367"/>
      <c r="B41" s="356">
        <v>46069.0</v>
      </c>
      <c r="C41" s="357">
        <v>46069.0</v>
      </c>
      <c r="D41" s="358">
        <v>942999.0</v>
      </c>
      <c r="E41" s="359">
        <v>10290.0</v>
      </c>
      <c r="F41" s="360" t="s">
        <v>582</v>
      </c>
      <c r="G41" s="360" t="s">
        <v>594</v>
      </c>
      <c r="H41" s="339"/>
      <c r="I41" s="339"/>
      <c r="J41" s="339"/>
      <c r="K41" s="339"/>
      <c r="L41" s="339"/>
      <c r="M41" s="339"/>
      <c r="N41" s="339"/>
      <c r="O41" s="340"/>
      <c r="P41" s="341"/>
      <c r="Q41" s="342"/>
      <c r="R41" s="373"/>
      <c r="S41" s="341"/>
      <c r="T41" s="342"/>
      <c r="U41" s="342"/>
      <c r="V41" s="342"/>
      <c r="W41" s="342"/>
      <c r="X41" s="342"/>
      <c r="Y41" s="342"/>
      <c r="Z41" s="342"/>
    </row>
    <row r="42" ht="12.75" hidden="1" customHeight="1">
      <c r="A42" s="377"/>
      <c r="B42" s="378"/>
      <c r="C42" s="380"/>
      <c r="D42" s="382"/>
      <c r="E42" s="383"/>
      <c r="F42" s="67"/>
      <c r="G42" s="67"/>
      <c r="H42" s="67"/>
      <c r="I42" s="67"/>
      <c r="J42" s="67"/>
      <c r="K42" s="67"/>
      <c r="L42" s="387"/>
      <c r="M42" s="387"/>
      <c r="N42" s="387"/>
      <c r="O42" s="411"/>
      <c r="P42" s="411"/>
      <c r="Q42" s="387"/>
      <c r="R42" s="387"/>
      <c r="S42" s="411"/>
      <c r="T42" s="392"/>
      <c r="U42" s="392"/>
      <c r="V42" s="392"/>
      <c r="W42" s="392"/>
      <c r="X42" s="392"/>
      <c r="Y42" s="392"/>
      <c r="Z42" s="392"/>
    </row>
    <row r="43" ht="12.75" customHeight="1">
      <c r="A43" s="367"/>
      <c r="B43" s="356">
        <v>46075.0</v>
      </c>
      <c r="C43" s="357">
        <v>46075.0</v>
      </c>
      <c r="D43" s="358">
        <v>943000.0</v>
      </c>
      <c r="E43" s="359">
        <v>9400.0</v>
      </c>
      <c r="F43" s="360" t="s">
        <v>597</v>
      </c>
      <c r="G43" s="360" t="s">
        <v>598</v>
      </c>
      <c r="H43" s="339"/>
      <c r="I43" s="339"/>
      <c r="J43" s="339"/>
      <c r="K43" s="339"/>
      <c r="L43" s="339"/>
      <c r="M43" s="339"/>
      <c r="N43" s="339"/>
      <c r="O43" s="340"/>
      <c r="P43" s="341"/>
      <c r="Q43" s="342"/>
      <c r="R43" s="342"/>
      <c r="S43" s="341"/>
      <c r="T43" s="342"/>
      <c r="U43" s="342"/>
      <c r="V43" s="342"/>
      <c r="W43" s="342"/>
      <c r="X43" s="342"/>
      <c r="Y43" s="342"/>
      <c r="Z43" s="342"/>
    </row>
    <row r="44" ht="12.75" customHeight="1">
      <c r="A44" s="367"/>
      <c r="B44" s="356">
        <v>46078.0</v>
      </c>
      <c r="C44" s="357">
        <v>46078.0</v>
      </c>
      <c r="D44" s="358">
        <v>943001.0</v>
      </c>
      <c r="E44" s="359">
        <v>19240.0</v>
      </c>
      <c r="F44" s="360" t="s">
        <v>119</v>
      </c>
      <c r="G44" s="360" t="s">
        <v>600</v>
      </c>
      <c r="H44" s="360" t="s">
        <v>601</v>
      </c>
      <c r="I44" s="339"/>
      <c r="J44" s="339"/>
      <c r="K44" s="339"/>
      <c r="L44" s="339"/>
      <c r="M44" s="339"/>
      <c r="N44" s="339"/>
      <c r="O44" s="340"/>
      <c r="P44" s="341"/>
      <c r="Q44" s="342"/>
      <c r="R44" s="342"/>
      <c r="S44" s="341"/>
      <c r="T44" s="342"/>
      <c r="U44" s="342"/>
      <c r="V44" s="342"/>
      <c r="W44" s="342"/>
      <c r="X44" s="342"/>
      <c r="Y44" s="342"/>
      <c r="Z44" s="342"/>
    </row>
    <row r="45" ht="12.75" hidden="1" customHeight="1">
      <c r="A45" s="377"/>
      <c r="B45" s="378"/>
      <c r="C45" s="380"/>
      <c r="D45" s="382"/>
      <c r="E45" s="383"/>
      <c r="F45" s="67"/>
      <c r="G45" s="67"/>
      <c r="H45" s="67"/>
      <c r="I45" s="67"/>
      <c r="J45" s="67"/>
      <c r="K45" s="67"/>
      <c r="L45" s="387"/>
      <c r="M45" s="387"/>
      <c r="N45" s="387"/>
      <c r="O45" s="411"/>
      <c r="P45" s="411"/>
      <c r="Q45" s="387"/>
      <c r="R45" s="387"/>
      <c r="S45" s="411"/>
      <c r="T45" s="392"/>
      <c r="U45" s="392"/>
      <c r="V45" s="392"/>
      <c r="W45" s="392"/>
      <c r="X45" s="392"/>
      <c r="Y45" s="392"/>
      <c r="Z45" s="392"/>
    </row>
    <row r="46" ht="12.75" customHeight="1">
      <c r="A46" s="355">
        <v>45908.0</v>
      </c>
      <c r="B46" s="356">
        <v>46073.0</v>
      </c>
      <c r="C46" s="357">
        <v>46073.0</v>
      </c>
      <c r="D46" s="358">
        <v>938018.0</v>
      </c>
      <c r="E46" s="359">
        <v>20000.0</v>
      </c>
      <c r="F46" s="360" t="s">
        <v>145</v>
      </c>
      <c r="G46" s="360"/>
      <c r="H46" s="360" t="s">
        <v>603</v>
      </c>
      <c r="I46" s="360"/>
      <c r="J46" s="360"/>
      <c r="K46" s="360"/>
      <c r="L46" s="339"/>
      <c r="M46" s="339"/>
      <c r="N46" s="339"/>
      <c r="O46" s="340"/>
      <c r="P46" s="340"/>
      <c r="Q46" s="339"/>
      <c r="R46" s="339"/>
      <c r="S46" s="340"/>
      <c r="T46" s="342"/>
      <c r="U46" s="342"/>
      <c r="V46" s="342"/>
      <c r="W46" s="342"/>
      <c r="X46" s="342"/>
      <c r="Y46" s="342"/>
      <c r="Z46" s="342"/>
    </row>
    <row r="47" ht="12.75" customHeight="1">
      <c r="A47" s="355">
        <v>46036.0</v>
      </c>
      <c r="B47" s="356">
        <v>46043.0</v>
      </c>
      <c r="C47" s="357">
        <v>46080.0</v>
      </c>
      <c r="D47" s="358">
        <v>942973.0</v>
      </c>
      <c r="E47" s="359">
        <v>16000.0</v>
      </c>
      <c r="F47" s="360" t="s">
        <v>136</v>
      </c>
      <c r="G47" s="360" t="s">
        <v>605</v>
      </c>
      <c r="H47" s="360" t="s">
        <v>606</v>
      </c>
      <c r="I47" s="339"/>
      <c r="J47" s="339"/>
      <c r="K47" s="400"/>
      <c r="L47" s="339"/>
      <c r="M47" s="339"/>
      <c r="N47" s="339"/>
      <c r="O47" s="339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 ht="12.75" customHeight="1">
      <c r="A48" s="367"/>
      <c r="B48" s="356"/>
      <c r="C48" s="357">
        <v>46081.0</v>
      </c>
      <c r="D48" s="358"/>
      <c r="E48" s="359">
        <v>18000.0</v>
      </c>
      <c r="F48" s="360" t="s">
        <v>57</v>
      </c>
      <c r="G48" s="360"/>
      <c r="H48" s="339"/>
      <c r="I48" s="339"/>
      <c r="J48" s="339"/>
      <c r="K48" s="339"/>
      <c r="L48" s="339"/>
      <c r="M48" s="339"/>
      <c r="N48" s="339"/>
      <c r="O48" s="340"/>
      <c r="P48" s="341"/>
      <c r="Q48" s="342"/>
      <c r="R48" s="342"/>
      <c r="S48" s="341"/>
      <c r="T48" s="342"/>
      <c r="U48" s="342"/>
      <c r="V48" s="342"/>
      <c r="W48" s="342"/>
      <c r="X48" s="342"/>
      <c r="Y48" s="342"/>
      <c r="Z48" s="342"/>
    </row>
    <row r="49" ht="16.5" customHeight="1">
      <c r="A49" s="367"/>
      <c r="B49" s="468"/>
      <c r="C49" s="469">
        <v>46052.0</v>
      </c>
      <c r="D49" s="337"/>
      <c r="E49" s="470">
        <v>10000.0</v>
      </c>
      <c r="F49" s="360" t="s">
        <v>128</v>
      </c>
      <c r="G49" s="471" t="s">
        <v>155</v>
      </c>
      <c r="H49" s="340"/>
      <c r="I49" s="339"/>
      <c r="J49" s="339"/>
      <c r="K49" s="339"/>
      <c r="L49" s="339"/>
      <c r="M49" s="339"/>
      <c r="N49" s="370"/>
      <c r="O49" s="340"/>
      <c r="P49" s="341"/>
      <c r="Q49" s="342"/>
      <c r="R49" s="342"/>
      <c r="S49" s="341"/>
      <c r="T49" s="342"/>
      <c r="U49" s="342"/>
      <c r="V49" s="342"/>
      <c r="W49" s="342"/>
      <c r="X49" s="342"/>
      <c r="Y49" s="342"/>
      <c r="Z49" s="342"/>
    </row>
    <row r="50" ht="12.75" customHeight="1">
      <c r="A50" s="367"/>
      <c r="B50" s="346"/>
      <c r="C50" s="469">
        <v>46081.0</v>
      </c>
      <c r="D50" s="472"/>
      <c r="E50" s="470">
        <v>10000.0</v>
      </c>
      <c r="F50" s="360" t="s">
        <v>128</v>
      </c>
      <c r="G50" s="471" t="s">
        <v>155</v>
      </c>
      <c r="H50" s="339"/>
      <c r="I50" s="339"/>
      <c r="J50" s="339"/>
      <c r="K50" s="339"/>
      <c r="L50" s="339"/>
      <c r="M50" s="339"/>
      <c r="N50" s="339"/>
      <c r="O50" s="340"/>
      <c r="P50" s="341"/>
      <c r="Q50" s="342"/>
      <c r="R50" s="342"/>
      <c r="S50" s="341"/>
      <c r="T50" s="342"/>
      <c r="U50" s="342"/>
      <c r="V50" s="342"/>
      <c r="W50" s="342"/>
      <c r="X50" s="342"/>
      <c r="Y50" s="342"/>
      <c r="Z50" s="342"/>
    </row>
    <row r="51" ht="12.75" customHeight="1">
      <c r="A51" s="367"/>
      <c r="B51" s="468"/>
      <c r="C51" s="469">
        <v>46096.0</v>
      </c>
      <c r="D51" s="337"/>
      <c r="E51" s="470">
        <v>30000.0</v>
      </c>
      <c r="F51" s="360" t="s">
        <v>610</v>
      </c>
      <c r="G51" s="339"/>
      <c r="H51" s="339"/>
      <c r="I51" s="339"/>
      <c r="J51" s="339"/>
      <c r="K51" s="339"/>
      <c r="L51" s="339"/>
      <c r="M51" s="339"/>
      <c r="N51" s="370"/>
      <c r="O51" s="340"/>
      <c r="P51" s="371"/>
      <c r="Q51" s="372"/>
      <c r="R51" s="373"/>
      <c r="S51" s="426"/>
      <c r="T51" s="342"/>
      <c r="U51" s="342"/>
      <c r="V51" s="342"/>
      <c r="W51" s="342"/>
      <c r="X51" s="342"/>
      <c r="Y51" s="342"/>
      <c r="Z51" s="342"/>
    </row>
    <row r="52" hidden="1">
      <c r="A52" s="473"/>
      <c r="B52" s="474"/>
    </row>
    <row r="53" hidden="1"/>
    <row r="54" hidden="1"/>
    <row r="55" hidden="1"/>
    <row r="56" hidden="1"/>
    <row r="57" hidden="1"/>
    <row r="58" hidden="1"/>
    <row r="59" ht="12.75" hidden="1" customHeight="1">
      <c r="A59" s="377"/>
      <c r="B59" s="378"/>
      <c r="C59" s="380"/>
      <c r="D59" s="382"/>
      <c r="E59" s="383"/>
      <c r="F59" s="67"/>
      <c r="G59" s="67"/>
      <c r="H59" s="387"/>
      <c r="I59" s="387"/>
      <c r="J59" s="387"/>
      <c r="K59" s="387"/>
      <c r="L59" s="387"/>
      <c r="M59" s="387"/>
      <c r="N59" s="387"/>
      <c r="O59" s="411"/>
      <c r="P59" s="391"/>
      <c r="Q59" s="392"/>
      <c r="R59" s="392"/>
      <c r="S59" s="391"/>
      <c r="T59" s="392"/>
      <c r="U59" s="392"/>
      <c r="V59" s="392"/>
      <c r="W59" s="392"/>
      <c r="X59" s="392"/>
      <c r="Y59" s="392"/>
      <c r="Z59" s="392"/>
    </row>
    <row r="60" ht="12.75" hidden="1" customHeight="1">
      <c r="A60" s="404"/>
      <c r="B60" s="405">
        <v>46081.0</v>
      </c>
      <c r="C60" s="476">
        <v>46081.0</v>
      </c>
      <c r="D60" s="477">
        <v>943002.0</v>
      </c>
      <c r="E60" s="408">
        <v>9200.0</v>
      </c>
      <c r="F60" s="67" t="s">
        <v>613</v>
      </c>
      <c r="G60" s="67" t="s">
        <v>614</v>
      </c>
      <c r="H60" s="387"/>
      <c r="I60" s="387"/>
      <c r="J60" s="411">
        <f>VLOOKUP(D60, '2026 AP'!$G$75:$H$93, 2, FALSE)</f>
        <v>9200</v>
      </c>
      <c r="K60" s="411">
        <f>J60-E60</f>
        <v>0</v>
      </c>
      <c r="L60" s="387"/>
      <c r="M60" s="387"/>
      <c r="N60" s="387"/>
      <c r="O60" s="411"/>
      <c r="P60" s="391"/>
      <c r="Q60" s="392"/>
      <c r="R60" s="392"/>
      <c r="S60" s="391"/>
      <c r="T60" s="392"/>
      <c r="U60" s="392"/>
      <c r="V60" s="392"/>
      <c r="W60" s="392"/>
      <c r="X60" s="392"/>
      <c r="Y60" s="392"/>
      <c r="Z60" s="392"/>
    </row>
    <row r="61" ht="12.75" customHeight="1">
      <c r="A61" s="355"/>
      <c r="B61" s="356"/>
      <c r="C61" s="357">
        <v>46083.0</v>
      </c>
      <c r="D61" s="358"/>
      <c r="E61" s="395">
        <v>16926.8</v>
      </c>
      <c r="F61" s="360" t="s">
        <v>369</v>
      </c>
      <c r="G61" s="360"/>
      <c r="H61" s="396" t="s">
        <v>620</v>
      </c>
      <c r="I61" s="339"/>
      <c r="J61" s="339"/>
      <c r="K61" s="339"/>
      <c r="L61" s="339"/>
      <c r="M61" s="339"/>
      <c r="N61" s="339"/>
      <c r="O61" s="340"/>
      <c r="P61" s="341"/>
      <c r="Q61" s="342"/>
      <c r="R61" s="342"/>
      <c r="S61" s="341"/>
      <c r="T61" s="342"/>
      <c r="U61" s="342"/>
      <c r="V61" s="342"/>
      <c r="W61" s="342"/>
      <c r="X61" s="342"/>
      <c r="Y61" s="342"/>
      <c r="Z61" s="342"/>
    </row>
    <row r="62" ht="12.75" customHeight="1">
      <c r="A62" s="355">
        <v>45905.0</v>
      </c>
      <c r="B62" s="356">
        <v>45974.0</v>
      </c>
      <c r="C62" s="357">
        <v>46084.0</v>
      </c>
      <c r="D62" s="358">
        <v>938002.0</v>
      </c>
      <c r="E62" s="395">
        <v>12150.0</v>
      </c>
      <c r="F62" s="360" t="s">
        <v>622</v>
      </c>
      <c r="G62" s="360" t="s">
        <v>623</v>
      </c>
      <c r="H62" s="396" t="s">
        <v>624</v>
      </c>
      <c r="I62" s="339"/>
      <c r="J62" s="340">
        <f>VLOOKUP(D62, '2026 AP'!$G$75:$H$93, 2, FALSE)</f>
        <v>12150</v>
      </c>
      <c r="K62" s="340">
        <f t="shared" ref="K62:K78" si="1">J62-E62</f>
        <v>0</v>
      </c>
      <c r="L62" s="339"/>
      <c r="M62" s="339"/>
      <c r="N62" s="339"/>
      <c r="O62" s="340"/>
      <c r="P62" s="341"/>
      <c r="Q62" s="342"/>
      <c r="R62" s="342"/>
      <c r="S62" s="341"/>
      <c r="T62" s="342"/>
      <c r="U62" s="342"/>
      <c r="V62" s="342"/>
      <c r="W62" s="342"/>
      <c r="X62" s="342"/>
      <c r="Y62" s="342"/>
      <c r="Z62" s="342"/>
    </row>
    <row r="63" ht="12.75" customHeight="1">
      <c r="A63" s="367"/>
      <c r="B63" s="356">
        <v>46051.0</v>
      </c>
      <c r="C63" s="357">
        <v>46086.0</v>
      </c>
      <c r="D63" s="358">
        <v>942954.0</v>
      </c>
      <c r="E63" s="359">
        <v>25230.8</v>
      </c>
      <c r="F63" s="360" t="s">
        <v>627</v>
      </c>
      <c r="G63" s="461">
        <v>45922.0</v>
      </c>
      <c r="H63" s="396" t="s">
        <v>628</v>
      </c>
      <c r="I63" s="339"/>
      <c r="J63" s="339" t="str">
        <f>VLOOKUP(D63, '2026 AP'!$G$75:$H$93, 2, FALSE)</f>
        <v>#N/A</v>
      </c>
      <c r="K63" s="339" t="str">
        <f t="shared" si="1"/>
        <v>#N/A</v>
      </c>
      <c r="L63" s="339"/>
      <c r="M63" s="339"/>
      <c r="N63" s="339"/>
      <c r="O63" s="340"/>
      <c r="P63" s="341"/>
      <c r="Q63" s="342"/>
      <c r="R63" s="342"/>
      <c r="S63" s="341"/>
      <c r="T63" s="342"/>
      <c r="U63" s="342"/>
      <c r="V63" s="342"/>
      <c r="W63" s="342"/>
      <c r="X63" s="342"/>
      <c r="Y63" s="342"/>
      <c r="Z63" s="342"/>
    </row>
    <row r="64" ht="12.75" customHeight="1">
      <c r="A64" s="367"/>
      <c r="B64" s="356">
        <v>46078.0</v>
      </c>
      <c r="C64" s="357">
        <v>46093.0</v>
      </c>
      <c r="D64" s="358">
        <v>943007.0</v>
      </c>
      <c r="E64" s="359">
        <v>35360.0</v>
      </c>
      <c r="F64" s="360" t="s">
        <v>506</v>
      </c>
      <c r="G64" s="360" t="s">
        <v>380</v>
      </c>
      <c r="H64" s="360" t="s">
        <v>629</v>
      </c>
      <c r="I64" s="339"/>
      <c r="J64" s="339" t="str">
        <f>VLOOKUP(D64, '2026 AP'!$G$75:$H$93, 2, FALSE)</f>
        <v>#N/A</v>
      </c>
      <c r="K64" s="339" t="str">
        <f t="shared" si="1"/>
        <v>#N/A</v>
      </c>
      <c r="L64" s="339"/>
      <c r="M64" s="339"/>
      <c r="N64" s="339"/>
      <c r="O64" s="340"/>
      <c r="P64" s="341"/>
      <c r="Q64" s="342"/>
      <c r="R64" s="342"/>
      <c r="S64" s="341"/>
      <c r="T64" s="342"/>
      <c r="U64" s="342"/>
      <c r="V64" s="342"/>
      <c r="W64" s="342"/>
      <c r="X64" s="342"/>
      <c r="Y64" s="342"/>
      <c r="Z64" s="342"/>
    </row>
    <row r="65" ht="12.75" customHeight="1">
      <c r="A65" s="367"/>
      <c r="B65" s="356">
        <v>46087.0</v>
      </c>
      <c r="C65" s="357">
        <v>46087.0</v>
      </c>
      <c r="D65" s="358">
        <v>943003.0</v>
      </c>
      <c r="E65" s="359">
        <v>22500.0</v>
      </c>
      <c r="F65" s="360" t="s">
        <v>147</v>
      </c>
      <c r="G65" s="360" t="s">
        <v>630</v>
      </c>
      <c r="H65" s="396" t="s">
        <v>631</v>
      </c>
      <c r="I65" s="339"/>
      <c r="J65" s="340">
        <f>VLOOKUP(D65, '2026 AP'!$G$75:$H$93, 2, FALSE)</f>
        <v>22500</v>
      </c>
      <c r="K65" s="340">
        <f t="shared" si="1"/>
        <v>0</v>
      </c>
      <c r="L65" s="339"/>
      <c r="M65" s="339"/>
      <c r="N65" s="339"/>
      <c r="O65" s="340"/>
      <c r="P65" s="341"/>
      <c r="Q65" s="342"/>
      <c r="R65" s="342"/>
      <c r="S65" s="341"/>
      <c r="T65" s="342"/>
      <c r="U65" s="342"/>
      <c r="V65" s="342"/>
      <c r="W65" s="342"/>
      <c r="X65" s="342"/>
      <c r="Y65" s="342"/>
      <c r="Z65" s="342"/>
    </row>
    <row r="66" ht="12.75" customHeight="1">
      <c r="A66" s="367"/>
      <c r="B66" s="356">
        <v>46089.0</v>
      </c>
      <c r="C66" s="480">
        <v>46089.0</v>
      </c>
      <c r="D66" s="358">
        <v>943005.0</v>
      </c>
      <c r="E66" s="359">
        <v>6385.0</v>
      </c>
      <c r="F66" s="360" t="s">
        <v>632</v>
      </c>
      <c r="G66" s="360" t="s">
        <v>633</v>
      </c>
      <c r="H66" s="339"/>
      <c r="I66" s="339"/>
      <c r="J66" s="340">
        <f>VLOOKUP(D66, '2026 AP'!$G$75:$H$93, 2, FALSE)</f>
        <v>6385</v>
      </c>
      <c r="K66" s="340">
        <f t="shared" si="1"/>
        <v>0</v>
      </c>
      <c r="L66" s="339"/>
      <c r="M66" s="400"/>
      <c r="N66" s="400"/>
      <c r="O66" s="339"/>
      <c r="P66" s="372"/>
      <c r="Q66" s="373"/>
      <c r="R66" s="342"/>
      <c r="S66" s="341"/>
      <c r="T66" s="342"/>
      <c r="U66" s="342"/>
      <c r="V66" s="342"/>
      <c r="W66" s="342"/>
      <c r="X66" s="342"/>
      <c r="Y66" s="342"/>
      <c r="Z66" s="342"/>
    </row>
    <row r="67" ht="12.75" customHeight="1">
      <c r="A67" s="355">
        <v>46051.0</v>
      </c>
      <c r="B67" s="356">
        <v>46059.0</v>
      </c>
      <c r="C67" s="357">
        <v>46100.0</v>
      </c>
      <c r="D67" s="358">
        <v>942979.0</v>
      </c>
      <c r="E67" s="359">
        <v>16400.0</v>
      </c>
      <c r="F67" s="360" t="s">
        <v>136</v>
      </c>
      <c r="G67" s="360" t="s">
        <v>605</v>
      </c>
      <c r="H67" s="339"/>
      <c r="I67" s="365"/>
      <c r="J67" s="339" t="str">
        <f>VLOOKUP(D67, '2026 AP'!$G$75:$H$93, 2, FALSE)</f>
        <v>#N/A</v>
      </c>
      <c r="K67" s="339" t="str">
        <f t="shared" si="1"/>
        <v>#N/A</v>
      </c>
      <c r="L67" s="365"/>
      <c r="M67" s="339"/>
      <c r="N67" s="458"/>
      <c r="O67" s="339"/>
      <c r="P67" s="37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 ht="12.75" customHeight="1">
      <c r="A68" s="355">
        <v>45845.0</v>
      </c>
      <c r="B68" s="356">
        <v>45965.0</v>
      </c>
      <c r="C68" s="357">
        <v>46087.0</v>
      </c>
      <c r="D68" s="358">
        <v>917639.0</v>
      </c>
      <c r="E68" s="395">
        <v>20660.0</v>
      </c>
      <c r="F68" s="360" t="s">
        <v>622</v>
      </c>
      <c r="G68" s="360" t="s">
        <v>634</v>
      </c>
      <c r="H68" s="396" t="s">
        <v>635</v>
      </c>
      <c r="I68" s="339"/>
      <c r="J68" s="340">
        <f>VLOOKUP(D68, '2026 AP'!$G$75:$H$93, 2, FALSE)</f>
        <v>20660</v>
      </c>
      <c r="K68" s="340">
        <f t="shared" si="1"/>
        <v>0</v>
      </c>
      <c r="L68" s="339"/>
      <c r="M68" s="339"/>
      <c r="N68" s="339"/>
      <c r="O68" s="339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 ht="12.75" customHeight="1">
      <c r="A69" s="367"/>
      <c r="B69" s="356">
        <v>46099.0</v>
      </c>
      <c r="C69" s="480">
        <v>46099.0</v>
      </c>
      <c r="D69" s="358">
        <v>943006.0</v>
      </c>
      <c r="E69" s="359">
        <v>20730.0</v>
      </c>
      <c r="F69" s="360" t="s">
        <v>636</v>
      </c>
      <c r="G69" s="360" t="s">
        <v>637</v>
      </c>
      <c r="H69" s="339"/>
      <c r="I69" s="339"/>
      <c r="J69" s="340">
        <f>VLOOKUP(D69, '2026 AP'!$G$75:$H$93, 2, FALSE)</f>
        <v>20730</v>
      </c>
      <c r="K69" s="340">
        <f t="shared" si="1"/>
        <v>0</v>
      </c>
      <c r="L69" s="339"/>
      <c r="M69" s="400"/>
      <c r="N69" s="400"/>
      <c r="O69" s="339"/>
      <c r="P69" s="372"/>
      <c r="Q69" s="373"/>
      <c r="R69" s="342"/>
      <c r="S69" s="341"/>
      <c r="T69" s="342"/>
      <c r="U69" s="342"/>
      <c r="V69" s="342"/>
      <c r="W69" s="342"/>
      <c r="X69" s="342"/>
      <c r="Y69" s="342"/>
      <c r="Z69" s="342"/>
    </row>
    <row r="70" ht="12.75" customHeight="1">
      <c r="A70" s="355">
        <v>45905.0</v>
      </c>
      <c r="B70" s="356">
        <v>45982.0</v>
      </c>
      <c r="C70" s="357">
        <v>46052.0</v>
      </c>
      <c r="D70" s="358">
        <v>938003.0</v>
      </c>
      <c r="E70" s="395">
        <v>19680.0</v>
      </c>
      <c r="F70" s="360" t="s">
        <v>149</v>
      </c>
      <c r="G70" s="360" t="s">
        <v>638</v>
      </c>
      <c r="H70" s="396" t="s">
        <v>639</v>
      </c>
      <c r="I70" s="339"/>
      <c r="J70" s="340">
        <f>VLOOKUP(D70, '2026 AP'!$G$75:$H$93, 2, FALSE)</f>
        <v>19680</v>
      </c>
      <c r="K70" s="340">
        <f t="shared" si="1"/>
        <v>0</v>
      </c>
      <c r="L70" s="365"/>
      <c r="M70" s="365"/>
      <c r="N70" s="339"/>
      <c r="O70" s="366"/>
      <c r="P70" s="341"/>
      <c r="Q70" s="342"/>
      <c r="R70" s="342"/>
      <c r="S70" s="341"/>
      <c r="T70" s="342"/>
      <c r="U70" s="342"/>
      <c r="V70" s="342"/>
      <c r="W70" s="342"/>
      <c r="X70" s="342"/>
      <c r="Y70" s="342"/>
      <c r="Z70" s="342"/>
    </row>
    <row r="71" ht="12.75" customHeight="1">
      <c r="A71" s="355"/>
      <c r="B71" s="356">
        <v>46102.0</v>
      </c>
      <c r="C71" s="357">
        <v>46102.0</v>
      </c>
      <c r="D71" s="358">
        <v>943008.0</v>
      </c>
      <c r="E71" s="359">
        <v>7530.0</v>
      </c>
      <c r="F71" s="360" t="s">
        <v>97</v>
      </c>
      <c r="G71" s="360" t="s">
        <v>641</v>
      </c>
      <c r="H71" s="360"/>
      <c r="I71" s="339"/>
      <c r="J71" s="340">
        <f>VLOOKUP(D71, '2026 AP'!$G$75:$H$93, 2, FALSE)</f>
        <v>7530</v>
      </c>
      <c r="K71" s="340">
        <f t="shared" si="1"/>
        <v>0</v>
      </c>
      <c r="L71" s="339"/>
      <c r="M71" s="339"/>
      <c r="N71" s="339"/>
      <c r="O71" s="340"/>
      <c r="P71" s="341"/>
      <c r="Q71" s="342"/>
      <c r="R71" s="342"/>
      <c r="S71" s="341"/>
      <c r="T71" s="342"/>
      <c r="U71" s="342"/>
      <c r="V71" s="342"/>
      <c r="W71" s="342"/>
      <c r="X71" s="342"/>
      <c r="Y71" s="342"/>
      <c r="Z71" s="342"/>
    </row>
    <row r="72">
      <c r="A72" s="482"/>
      <c r="B72" s="356">
        <v>46099.0</v>
      </c>
      <c r="C72" s="480">
        <v>46099.0</v>
      </c>
      <c r="D72" s="483">
        <v>943017.0</v>
      </c>
      <c r="E72" s="484">
        <v>60000.0</v>
      </c>
      <c r="F72" s="485" t="s">
        <v>143</v>
      </c>
      <c r="G72" s="486"/>
      <c r="H72" s="396" t="s">
        <v>642</v>
      </c>
      <c r="I72" s="486"/>
      <c r="J72" s="340">
        <f>VLOOKUP(D72, '2026 AP'!$G$75:$H$93, 2, FALSE)</f>
        <v>60000</v>
      </c>
      <c r="K72" s="340">
        <f t="shared" si="1"/>
        <v>0</v>
      </c>
      <c r="L72" s="486"/>
      <c r="M72" s="486"/>
      <c r="N72" s="486"/>
      <c r="O72" s="486"/>
      <c r="P72" s="486"/>
      <c r="Q72" s="486"/>
      <c r="R72" s="486"/>
      <c r="S72" s="486"/>
      <c r="T72" s="486"/>
      <c r="U72" s="486"/>
      <c r="V72" s="486"/>
      <c r="W72" s="486"/>
      <c r="X72" s="486"/>
      <c r="Y72" s="486"/>
      <c r="Z72" s="486"/>
    </row>
    <row r="73" ht="12.75" customHeight="1">
      <c r="A73" s="355">
        <v>45908.0</v>
      </c>
      <c r="B73" s="356">
        <v>46101.0</v>
      </c>
      <c r="C73" s="480">
        <v>46105.0</v>
      </c>
      <c r="D73" s="358">
        <v>938019.0</v>
      </c>
      <c r="E73" s="359">
        <v>20000.0</v>
      </c>
      <c r="F73" s="360" t="s">
        <v>145</v>
      </c>
      <c r="G73" s="360"/>
      <c r="H73" s="396" t="s">
        <v>643</v>
      </c>
      <c r="I73" s="360"/>
      <c r="J73" s="340">
        <f>VLOOKUP(D73, '2026 AP'!$G$75:$H$93, 2, FALSE)</f>
        <v>20000</v>
      </c>
      <c r="K73" s="340">
        <f t="shared" si="1"/>
        <v>0</v>
      </c>
      <c r="L73" s="339"/>
      <c r="M73" s="400"/>
      <c r="N73" s="400"/>
      <c r="O73" s="339"/>
      <c r="P73" s="340"/>
      <c r="Q73" s="400"/>
      <c r="R73" s="339"/>
      <c r="S73" s="340"/>
      <c r="T73" s="342"/>
      <c r="U73" s="342"/>
      <c r="V73" s="342"/>
      <c r="W73" s="342"/>
      <c r="X73" s="342"/>
      <c r="Y73" s="342"/>
      <c r="Z73" s="342"/>
    </row>
    <row r="74" ht="12.75" customHeight="1">
      <c r="A74" s="367"/>
      <c r="B74" s="356">
        <v>46102.0</v>
      </c>
      <c r="C74" s="480">
        <v>46108.0</v>
      </c>
      <c r="D74" s="358">
        <v>943004.0</v>
      </c>
      <c r="E74" s="359">
        <v>22500.0</v>
      </c>
      <c r="F74" s="360" t="s">
        <v>147</v>
      </c>
      <c r="G74" s="360" t="s">
        <v>644</v>
      </c>
      <c r="H74" s="396" t="s">
        <v>645</v>
      </c>
      <c r="I74" s="339"/>
      <c r="J74" s="340">
        <f>VLOOKUP(D74, '2026 AP'!$G$75:$H$93, 2, FALSE)</f>
        <v>22500</v>
      </c>
      <c r="K74" s="340">
        <f t="shared" si="1"/>
        <v>0</v>
      </c>
      <c r="L74" s="339"/>
      <c r="M74" s="400"/>
      <c r="N74" s="400"/>
      <c r="O74" s="339"/>
      <c r="P74" s="372"/>
      <c r="Q74" s="373"/>
      <c r="R74" s="342"/>
      <c r="S74" s="341"/>
      <c r="T74" s="342"/>
      <c r="U74" s="342"/>
      <c r="V74" s="342"/>
      <c r="W74" s="342"/>
      <c r="X74" s="342"/>
      <c r="Y74" s="342"/>
      <c r="Z74" s="342"/>
    </row>
    <row r="75" ht="12.75" customHeight="1">
      <c r="A75" s="355">
        <v>45978.0</v>
      </c>
      <c r="B75" s="356">
        <v>46007.0</v>
      </c>
      <c r="C75" s="480">
        <v>46108.0</v>
      </c>
      <c r="D75" s="358">
        <v>938047.0</v>
      </c>
      <c r="E75" s="395">
        <v>19070.0</v>
      </c>
      <c r="F75" s="360" t="s">
        <v>149</v>
      </c>
      <c r="G75" s="360" t="s">
        <v>646</v>
      </c>
      <c r="H75" s="396" t="s">
        <v>645</v>
      </c>
      <c r="I75" s="339"/>
      <c r="J75" s="340">
        <f>VLOOKUP(D75, '2026 AP'!$G$75:$H$93, 2, FALSE)</f>
        <v>19070</v>
      </c>
      <c r="K75" s="340">
        <f t="shared" si="1"/>
        <v>0</v>
      </c>
      <c r="L75" s="339"/>
      <c r="M75" s="339"/>
      <c r="N75" s="339"/>
      <c r="O75" s="339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 ht="12.75" customHeight="1">
      <c r="A76" s="355">
        <v>45978.0</v>
      </c>
      <c r="B76" s="356">
        <v>46034.0</v>
      </c>
      <c r="C76" s="480">
        <v>46108.0</v>
      </c>
      <c r="D76" s="358">
        <v>938048.0</v>
      </c>
      <c r="E76" s="395">
        <v>21250.0</v>
      </c>
      <c r="F76" s="360" t="s">
        <v>149</v>
      </c>
      <c r="G76" s="360" t="s">
        <v>647</v>
      </c>
      <c r="H76" s="396" t="s">
        <v>648</v>
      </c>
      <c r="I76" s="339"/>
      <c r="J76" s="340">
        <f>VLOOKUP(D76, '2026 AP'!$G$75:$H$93, 2, FALSE)</f>
        <v>21250</v>
      </c>
      <c r="K76" s="340">
        <f t="shared" si="1"/>
        <v>0</v>
      </c>
      <c r="L76" s="339"/>
      <c r="M76" s="339"/>
      <c r="N76" s="339"/>
      <c r="O76" s="340"/>
      <c r="P76" s="341"/>
      <c r="Q76" s="342"/>
      <c r="R76" s="373"/>
      <c r="S76" s="341"/>
      <c r="T76" s="342"/>
      <c r="U76" s="342"/>
      <c r="V76" s="342"/>
      <c r="W76" s="342"/>
      <c r="X76" s="342"/>
      <c r="Y76" s="342"/>
      <c r="Z76" s="342"/>
    </row>
    <row r="77" ht="12.75" customHeight="1">
      <c r="A77" s="367"/>
      <c r="B77" s="356">
        <v>46110.0</v>
      </c>
      <c r="C77" s="357">
        <v>46110.0</v>
      </c>
      <c r="D77" s="358">
        <v>943009.0</v>
      </c>
      <c r="E77" s="359">
        <v>17050.0</v>
      </c>
      <c r="F77" s="487" t="s">
        <v>97</v>
      </c>
      <c r="G77" s="360" t="s">
        <v>373</v>
      </c>
      <c r="H77" s="339"/>
      <c r="I77" s="365"/>
      <c r="J77" s="340">
        <f>VLOOKUP(D77, '2026 AP'!$G$75:$H$93, 2, FALSE)</f>
        <v>17050</v>
      </c>
      <c r="K77" s="340">
        <f t="shared" si="1"/>
        <v>0</v>
      </c>
      <c r="L77" s="365"/>
      <c r="M77" s="339"/>
      <c r="N77" s="339"/>
      <c r="O77" s="340"/>
      <c r="P77" s="341"/>
      <c r="Q77" s="342"/>
      <c r="R77" s="342"/>
      <c r="S77" s="341"/>
      <c r="T77" s="342"/>
      <c r="U77" s="342"/>
      <c r="V77" s="342"/>
      <c r="W77" s="342"/>
      <c r="X77" s="342"/>
      <c r="Y77" s="342"/>
      <c r="Z77" s="342"/>
    </row>
    <row r="78">
      <c r="A78" s="482"/>
      <c r="B78" s="356">
        <v>46107.0</v>
      </c>
      <c r="C78" s="480">
        <v>46112.0</v>
      </c>
      <c r="D78" s="483">
        <v>943018.0</v>
      </c>
      <c r="E78" s="484">
        <v>131644.12</v>
      </c>
      <c r="F78" s="485" t="s">
        <v>143</v>
      </c>
      <c r="G78" s="486"/>
      <c r="H78" s="396" t="s">
        <v>649</v>
      </c>
      <c r="I78" s="486"/>
      <c r="J78" s="340">
        <f>VLOOKUP(D78, '2026 AP'!$G$75:$H$93, 2, FALSE)</f>
        <v>131644.12</v>
      </c>
      <c r="K78" s="340">
        <f t="shared" si="1"/>
        <v>0</v>
      </c>
      <c r="L78" s="486"/>
      <c r="M78" s="486"/>
      <c r="N78" s="486"/>
      <c r="O78" s="486"/>
      <c r="P78" s="486"/>
      <c r="Q78" s="486"/>
      <c r="R78" s="486"/>
      <c r="S78" s="486"/>
      <c r="T78" s="486"/>
      <c r="U78" s="486"/>
      <c r="V78" s="486"/>
      <c r="W78" s="486"/>
      <c r="X78" s="486"/>
      <c r="Y78" s="486"/>
      <c r="Z78" s="486"/>
    </row>
    <row r="79" ht="12.75" customHeight="1">
      <c r="A79" s="488"/>
      <c r="B79" s="489"/>
      <c r="C79" s="490"/>
      <c r="D79" s="491"/>
      <c r="E79" s="492"/>
      <c r="F79" s="339"/>
      <c r="G79" s="339"/>
      <c r="H79" s="339"/>
      <c r="I79" s="339"/>
      <c r="J79" s="339"/>
      <c r="K79" s="339"/>
      <c r="L79" s="339"/>
      <c r="M79" s="400"/>
      <c r="N79" s="400"/>
      <c r="O79" s="339"/>
      <c r="P79" s="372"/>
      <c r="Q79" s="373"/>
      <c r="R79" s="342"/>
      <c r="S79" s="341"/>
      <c r="T79" s="342"/>
      <c r="U79" s="342"/>
      <c r="V79" s="342"/>
      <c r="W79" s="342"/>
      <c r="X79" s="342"/>
      <c r="Y79" s="342"/>
      <c r="Z79" s="342"/>
    </row>
    <row r="80" ht="12.75" customHeight="1">
      <c r="A80" s="367"/>
      <c r="B80" s="356">
        <v>46116.0</v>
      </c>
      <c r="C80" s="357">
        <v>46116.0</v>
      </c>
      <c r="D80" s="358">
        <v>943010.0</v>
      </c>
      <c r="E80" s="359">
        <v>18090.0</v>
      </c>
      <c r="F80" s="360" t="s">
        <v>97</v>
      </c>
      <c r="G80" s="360" t="s">
        <v>374</v>
      </c>
      <c r="H80" s="339"/>
      <c r="I80" s="339"/>
      <c r="J80" s="339"/>
      <c r="K80" s="339"/>
      <c r="L80" s="339"/>
      <c r="M80" s="339"/>
      <c r="N80" s="339"/>
      <c r="O80" s="340"/>
      <c r="P80" s="341"/>
      <c r="Q80" s="342"/>
      <c r="R80" s="342"/>
      <c r="S80" s="341"/>
      <c r="T80" s="342"/>
      <c r="U80" s="342"/>
      <c r="V80" s="342"/>
      <c r="W80" s="342"/>
      <c r="X80" s="342"/>
      <c r="Y80" s="342"/>
      <c r="Z80" s="342"/>
    </row>
    <row r="81" ht="12.75" customHeight="1">
      <c r="A81" s="367"/>
      <c r="B81" s="356">
        <v>46122.0</v>
      </c>
      <c r="C81" s="357">
        <v>46122.0</v>
      </c>
      <c r="D81" s="358">
        <v>943011.0</v>
      </c>
      <c r="E81" s="359">
        <v>7840.0</v>
      </c>
      <c r="F81" s="360" t="s">
        <v>97</v>
      </c>
      <c r="G81" s="360" t="s">
        <v>650</v>
      </c>
      <c r="H81" s="339"/>
      <c r="I81" s="339"/>
      <c r="J81" s="339"/>
      <c r="K81" s="339"/>
      <c r="L81" s="339"/>
      <c r="M81" s="339"/>
      <c r="N81" s="339"/>
      <c r="O81" s="340"/>
      <c r="P81" s="341"/>
      <c r="Q81" s="342"/>
      <c r="R81" s="342"/>
      <c r="S81" s="341"/>
      <c r="T81" s="342"/>
      <c r="U81" s="342"/>
      <c r="V81" s="342"/>
      <c r="W81" s="342"/>
      <c r="X81" s="342"/>
      <c r="Y81" s="342"/>
      <c r="Z81" s="342"/>
    </row>
    <row r="82" ht="12.75" customHeight="1">
      <c r="A82" s="367"/>
      <c r="B82" s="356">
        <v>46062.0</v>
      </c>
      <c r="C82" s="480">
        <v>46122.0</v>
      </c>
      <c r="D82" s="358">
        <v>942966.0</v>
      </c>
      <c r="E82" s="359">
        <v>20250.0</v>
      </c>
      <c r="F82" s="360" t="s">
        <v>160</v>
      </c>
      <c r="G82" s="456">
        <v>45972.0</v>
      </c>
      <c r="H82" s="396" t="s">
        <v>651</v>
      </c>
      <c r="I82" s="339"/>
      <c r="J82" s="339"/>
      <c r="K82" s="339"/>
      <c r="L82" s="339"/>
      <c r="M82" s="339"/>
      <c r="N82" s="339"/>
      <c r="O82" s="339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 ht="12.75" customHeight="1">
      <c r="A83" s="367"/>
      <c r="B83" s="356">
        <v>46064.0</v>
      </c>
      <c r="C83" s="480">
        <v>46122.0</v>
      </c>
      <c r="D83" s="358">
        <v>942967.0</v>
      </c>
      <c r="E83" s="359">
        <v>3900.0</v>
      </c>
      <c r="F83" s="360" t="s">
        <v>162</v>
      </c>
      <c r="G83" s="456">
        <v>45974.0</v>
      </c>
      <c r="H83" s="396" t="s">
        <v>651</v>
      </c>
      <c r="I83" s="339"/>
      <c r="J83" s="339"/>
      <c r="K83" s="339"/>
      <c r="L83" s="339"/>
      <c r="M83" s="339"/>
      <c r="N83" s="339"/>
      <c r="O83" s="339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>
      <c r="A84" s="493"/>
      <c r="B84" s="494">
        <v>46127.0</v>
      </c>
      <c r="C84" s="480">
        <v>46127.0</v>
      </c>
      <c r="D84" s="483" t="s">
        <v>652</v>
      </c>
      <c r="E84" s="484">
        <v>46200.0</v>
      </c>
      <c r="F84" s="485" t="s">
        <v>164</v>
      </c>
      <c r="G84" s="485" t="s">
        <v>653</v>
      </c>
      <c r="H84" s="396"/>
      <c r="I84" s="486"/>
      <c r="J84" s="486"/>
      <c r="K84" s="486"/>
      <c r="L84" s="486"/>
      <c r="M84" s="486"/>
      <c r="N84" s="486"/>
      <c r="O84" s="486"/>
      <c r="P84" s="486"/>
      <c r="Q84" s="486"/>
      <c r="R84" s="486"/>
      <c r="S84" s="486"/>
      <c r="T84" s="486"/>
      <c r="U84" s="486"/>
      <c r="V84" s="486"/>
      <c r="W84" s="486"/>
      <c r="X84" s="486"/>
      <c r="Y84" s="486"/>
      <c r="Z84" s="486"/>
    </row>
    <row r="85" ht="12.75" customHeight="1">
      <c r="A85" s="355">
        <v>45978.0</v>
      </c>
      <c r="B85" s="356">
        <v>46044.0</v>
      </c>
      <c r="C85" s="357">
        <v>46129.0</v>
      </c>
      <c r="D85" s="358">
        <v>938049.0</v>
      </c>
      <c r="E85" s="359">
        <v>25400.0</v>
      </c>
      <c r="F85" s="360" t="s">
        <v>167</v>
      </c>
      <c r="G85" s="360" t="s">
        <v>654</v>
      </c>
      <c r="H85" s="396" t="s">
        <v>655</v>
      </c>
      <c r="I85" s="339"/>
      <c r="J85" s="339"/>
      <c r="K85" s="339"/>
      <c r="L85" s="339"/>
      <c r="M85" s="339"/>
      <c r="N85" s="339"/>
      <c r="O85" s="340"/>
      <c r="P85" s="341"/>
      <c r="Q85" s="342"/>
      <c r="R85" s="342"/>
      <c r="S85" s="341"/>
      <c r="T85" s="342"/>
      <c r="U85" s="342"/>
      <c r="V85" s="342"/>
      <c r="W85" s="342"/>
      <c r="X85" s="342"/>
      <c r="Y85" s="342"/>
      <c r="Z85" s="342"/>
    </row>
    <row r="86" ht="12.75" customHeight="1">
      <c r="A86" s="367"/>
      <c r="B86" s="356">
        <v>46070.0</v>
      </c>
      <c r="C86" s="357">
        <v>46129.0</v>
      </c>
      <c r="D86" s="358">
        <v>942968.0</v>
      </c>
      <c r="E86" s="359">
        <v>12600.0</v>
      </c>
      <c r="F86" s="360" t="s">
        <v>169</v>
      </c>
      <c r="G86" s="456">
        <v>45980.0</v>
      </c>
      <c r="H86" s="396" t="s">
        <v>655</v>
      </c>
      <c r="I86" s="339"/>
      <c r="J86" s="339"/>
      <c r="K86" s="339"/>
      <c r="L86" s="339"/>
      <c r="M86" s="339"/>
      <c r="N86" s="339"/>
      <c r="O86" s="340"/>
      <c r="P86" s="341"/>
      <c r="Q86" s="342"/>
      <c r="R86" s="342"/>
      <c r="S86" s="341"/>
      <c r="T86" s="342"/>
      <c r="U86" s="342"/>
      <c r="V86" s="342"/>
      <c r="W86" s="342"/>
      <c r="X86" s="342"/>
      <c r="Y86" s="342"/>
      <c r="Z86" s="342"/>
    </row>
    <row r="87">
      <c r="A87" s="493"/>
      <c r="B87" s="356">
        <v>46133.0</v>
      </c>
      <c r="C87" s="357">
        <v>46133.0</v>
      </c>
      <c r="D87" s="483"/>
      <c r="E87" s="484">
        <v>23100.0</v>
      </c>
      <c r="F87" s="485" t="s">
        <v>164</v>
      </c>
      <c r="G87" s="485"/>
      <c r="H87" s="396" t="s">
        <v>656</v>
      </c>
      <c r="I87" s="486"/>
      <c r="J87" s="486"/>
      <c r="K87" s="486"/>
      <c r="L87" s="486"/>
      <c r="M87" s="486"/>
      <c r="N87" s="486"/>
      <c r="O87" s="486"/>
      <c r="P87" s="486"/>
      <c r="Q87" s="486"/>
      <c r="R87" s="486"/>
      <c r="S87" s="486"/>
      <c r="T87" s="486"/>
      <c r="U87" s="486"/>
      <c r="V87" s="486"/>
      <c r="W87" s="486"/>
      <c r="X87" s="486"/>
      <c r="Y87" s="486"/>
      <c r="Z87" s="486"/>
    </row>
    <row r="88" ht="12.75" customHeight="1">
      <c r="A88" s="355"/>
      <c r="B88" s="356"/>
      <c r="C88" s="357">
        <v>46132.0</v>
      </c>
      <c r="D88" s="358"/>
      <c r="E88" s="359">
        <v>5500.0</v>
      </c>
      <c r="F88" s="360" t="s">
        <v>657</v>
      </c>
      <c r="G88" s="360"/>
      <c r="H88" s="396" t="s">
        <v>658</v>
      </c>
      <c r="I88" s="360"/>
      <c r="J88" s="360"/>
      <c r="K88" s="360"/>
      <c r="L88" s="339"/>
      <c r="M88" s="400"/>
      <c r="N88" s="400"/>
      <c r="O88" s="340"/>
      <c r="P88" s="340"/>
      <c r="Q88" s="400"/>
      <c r="R88" s="339"/>
      <c r="S88" s="340"/>
      <c r="T88" s="342"/>
      <c r="U88" s="342"/>
      <c r="V88" s="342"/>
      <c r="W88" s="342"/>
      <c r="X88" s="342"/>
      <c r="Y88" s="342"/>
      <c r="Z88" s="342"/>
    </row>
    <row r="89" ht="12.75" customHeight="1">
      <c r="A89" s="355">
        <v>45908.0</v>
      </c>
      <c r="B89" s="356">
        <v>46132.0</v>
      </c>
      <c r="C89" s="357">
        <v>46132.0</v>
      </c>
      <c r="D89" s="358">
        <v>938021.0</v>
      </c>
      <c r="E89" s="359">
        <v>20000.0</v>
      </c>
      <c r="F89" s="360" t="s">
        <v>145</v>
      </c>
      <c r="G89" s="360"/>
      <c r="H89" s="360"/>
      <c r="I89" s="360"/>
      <c r="J89" s="360"/>
      <c r="K89" s="360"/>
      <c r="L89" s="339"/>
      <c r="M89" s="400"/>
      <c r="N89" s="400"/>
      <c r="O89" s="340"/>
      <c r="P89" s="340"/>
      <c r="Q89" s="400"/>
      <c r="R89" s="339"/>
      <c r="S89" s="340"/>
      <c r="T89" s="342"/>
      <c r="U89" s="342"/>
      <c r="V89" s="342"/>
      <c r="W89" s="342"/>
      <c r="X89" s="342"/>
      <c r="Y89" s="342"/>
      <c r="Z89" s="342"/>
    </row>
    <row r="90">
      <c r="A90" s="493">
        <v>46102.0</v>
      </c>
      <c r="B90" s="494">
        <v>46122.0</v>
      </c>
      <c r="C90" s="495">
        <v>46129.0</v>
      </c>
      <c r="D90" s="483">
        <v>943020.0</v>
      </c>
      <c r="E90" s="484">
        <v>20695.0</v>
      </c>
      <c r="F90" s="485" t="s">
        <v>97</v>
      </c>
      <c r="G90" s="485" t="s">
        <v>659</v>
      </c>
      <c r="H90" s="396" t="s">
        <v>660</v>
      </c>
      <c r="I90" s="486"/>
      <c r="J90" s="486"/>
      <c r="K90" s="486"/>
      <c r="L90" s="486"/>
      <c r="M90" s="486"/>
      <c r="N90" s="486"/>
      <c r="O90" s="486"/>
      <c r="P90" s="486"/>
      <c r="Q90" s="486"/>
      <c r="R90" s="486"/>
      <c r="S90" s="486"/>
      <c r="T90" s="486"/>
      <c r="U90" s="486"/>
      <c r="V90" s="486"/>
      <c r="W90" s="486"/>
      <c r="X90" s="486"/>
      <c r="Y90" s="486"/>
      <c r="Z90" s="486"/>
    </row>
    <row r="91">
      <c r="A91" s="493">
        <v>46102.0</v>
      </c>
      <c r="B91" s="494">
        <v>46129.0</v>
      </c>
      <c r="C91" s="495">
        <v>46129.0</v>
      </c>
      <c r="D91" s="483">
        <v>943022.0</v>
      </c>
      <c r="E91" s="484">
        <v>38530.0</v>
      </c>
      <c r="F91" s="485" t="s">
        <v>97</v>
      </c>
      <c r="G91" s="485" t="s">
        <v>661</v>
      </c>
      <c r="H91" s="486"/>
      <c r="I91" s="486"/>
      <c r="J91" s="486"/>
      <c r="K91" s="486"/>
      <c r="L91" s="486"/>
      <c r="M91" s="486"/>
      <c r="N91" s="486"/>
      <c r="O91" s="486"/>
      <c r="P91" s="486"/>
      <c r="Q91" s="486"/>
      <c r="R91" s="486"/>
      <c r="S91" s="486"/>
      <c r="T91" s="486"/>
      <c r="U91" s="486"/>
      <c r="V91" s="486"/>
      <c r="W91" s="486"/>
      <c r="X91" s="486"/>
      <c r="Y91" s="486"/>
      <c r="Z91" s="486"/>
    </row>
    <row r="92" ht="12.75" customHeight="1">
      <c r="A92" s="355"/>
      <c r="B92" s="356"/>
      <c r="C92" s="357">
        <v>46134.0</v>
      </c>
      <c r="D92" s="358"/>
      <c r="E92" s="359">
        <v>13600.0</v>
      </c>
      <c r="F92" s="360" t="s">
        <v>662</v>
      </c>
      <c r="G92" s="360"/>
      <c r="H92" s="360"/>
      <c r="I92" s="360"/>
      <c r="J92" s="360"/>
      <c r="K92" s="360"/>
      <c r="L92" s="339"/>
      <c r="M92" s="400"/>
      <c r="N92" s="400"/>
      <c r="O92" s="340"/>
      <c r="P92" s="340"/>
      <c r="Q92" s="400"/>
      <c r="R92" s="339"/>
      <c r="S92" s="340"/>
      <c r="T92" s="342"/>
      <c r="U92" s="342"/>
      <c r="V92" s="342"/>
      <c r="W92" s="342"/>
      <c r="X92" s="342"/>
      <c r="Y92" s="342"/>
      <c r="Z92" s="342"/>
    </row>
    <row r="93" ht="12.75" customHeight="1">
      <c r="A93" s="355">
        <v>45978.0</v>
      </c>
      <c r="B93" s="356">
        <v>46071.0</v>
      </c>
      <c r="C93" s="357">
        <v>46136.0</v>
      </c>
      <c r="D93" s="358">
        <v>938050.0</v>
      </c>
      <c r="E93" s="359">
        <v>31300.0</v>
      </c>
      <c r="F93" s="485" t="s">
        <v>183</v>
      </c>
      <c r="G93" s="360" t="s">
        <v>663</v>
      </c>
      <c r="H93" s="396" t="s">
        <v>664</v>
      </c>
      <c r="I93" s="339"/>
      <c r="J93" s="339"/>
      <c r="K93" s="339"/>
      <c r="L93" s="339"/>
      <c r="M93" s="339"/>
      <c r="N93" s="339"/>
      <c r="O93" s="340"/>
      <c r="P93" s="341"/>
      <c r="Q93" s="342"/>
      <c r="R93" s="342"/>
      <c r="S93" s="341"/>
      <c r="T93" s="342"/>
      <c r="U93" s="342"/>
      <c r="V93" s="342"/>
      <c r="W93" s="342"/>
      <c r="X93" s="342"/>
      <c r="Y93" s="342"/>
      <c r="Z93" s="342"/>
    </row>
    <row r="94">
      <c r="A94" s="493">
        <v>46102.0</v>
      </c>
      <c r="B94" s="494">
        <v>46136.0</v>
      </c>
      <c r="C94" s="357">
        <v>46136.0</v>
      </c>
      <c r="D94" s="483">
        <v>943024.0</v>
      </c>
      <c r="E94" s="484">
        <v>18080.0</v>
      </c>
      <c r="F94" s="485" t="s">
        <v>97</v>
      </c>
      <c r="G94" s="485" t="s">
        <v>665</v>
      </c>
      <c r="H94" s="486"/>
      <c r="I94" s="486"/>
      <c r="J94" s="486"/>
      <c r="K94" s="486"/>
      <c r="L94" s="486"/>
      <c r="M94" s="486"/>
      <c r="N94" s="486"/>
      <c r="O94" s="486"/>
      <c r="P94" s="486"/>
      <c r="Q94" s="486"/>
      <c r="R94" s="486"/>
      <c r="S94" s="486"/>
      <c r="T94" s="486"/>
      <c r="U94" s="486"/>
      <c r="V94" s="486"/>
      <c r="W94" s="486"/>
      <c r="X94" s="486"/>
      <c r="Y94" s="486"/>
      <c r="Z94" s="486"/>
    </row>
    <row r="95">
      <c r="A95" s="493">
        <v>46102.0</v>
      </c>
      <c r="B95" s="494">
        <v>46136.0</v>
      </c>
      <c r="C95" s="357">
        <v>46136.0</v>
      </c>
      <c r="D95" s="483">
        <v>943027.0</v>
      </c>
      <c r="E95" s="484">
        <v>25000.0</v>
      </c>
      <c r="F95" s="485" t="s">
        <v>186</v>
      </c>
      <c r="G95" s="485" t="s">
        <v>666</v>
      </c>
      <c r="H95" s="486"/>
      <c r="I95" s="486"/>
      <c r="J95" s="486"/>
      <c r="K95" s="486"/>
      <c r="L95" s="486"/>
      <c r="M95" s="486"/>
      <c r="N95" s="486"/>
      <c r="O95" s="486"/>
      <c r="P95" s="486"/>
      <c r="Q95" s="486"/>
      <c r="R95" s="486"/>
      <c r="S95" s="486"/>
      <c r="T95" s="486"/>
      <c r="U95" s="486"/>
      <c r="V95" s="486"/>
      <c r="W95" s="486"/>
      <c r="X95" s="486"/>
      <c r="Y95" s="486"/>
      <c r="Z95" s="486"/>
    </row>
    <row r="96" ht="12.75" hidden="1" customHeight="1">
      <c r="A96" s="367"/>
      <c r="B96" s="356">
        <v>46139.0</v>
      </c>
      <c r="C96" s="374"/>
      <c r="D96" s="369"/>
      <c r="E96" s="359">
        <v>46200.0</v>
      </c>
      <c r="F96" s="485" t="s">
        <v>164</v>
      </c>
      <c r="G96" s="485" t="s">
        <v>653</v>
      </c>
      <c r="H96" s="339"/>
      <c r="I96" s="339"/>
      <c r="J96" s="339"/>
      <c r="K96" s="339"/>
      <c r="L96" s="339"/>
      <c r="M96" s="400"/>
      <c r="N96" s="400"/>
      <c r="O96" s="340"/>
      <c r="P96" s="341"/>
      <c r="Q96" s="373"/>
      <c r="R96" s="342"/>
      <c r="S96" s="341"/>
      <c r="T96" s="342"/>
      <c r="U96" s="342"/>
      <c r="V96" s="342"/>
      <c r="W96" s="342"/>
      <c r="X96" s="342"/>
      <c r="Y96" s="342"/>
      <c r="Z96" s="342"/>
    </row>
    <row r="97" ht="12.75" hidden="1" customHeight="1">
      <c r="A97" s="367"/>
      <c r="B97" s="356">
        <v>46142.0</v>
      </c>
      <c r="C97" s="374"/>
      <c r="D97" s="369"/>
      <c r="E97" s="359">
        <v>20000.0</v>
      </c>
      <c r="F97" s="360" t="s">
        <v>667</v>
      </c>
      <c r="G97" s="339"/>
      <c r="H97" s="339"/>
      <c r="I97" s="339"/>
      <c r="J97" s="339"/>
      <c r="K97" s="339"/>
      <c r="L97" s="339"/>
      <c r="M97" s="400"/>
      <c r="N97" s="400"/>
      <c r="O97" s="340"/>
      <c r="P97" s="341"/>
      <c r="Q97" s="373"/>
      <c r="R97" s="342"/>
      <c r="S97" s="341"/>
      <c r="T97" s="342"/>
      <c r="U97" s="342"/>
      <c r="V97" s="342"/>
      <c r="W97" s="342"/>
      <c r="X97" s="342"/>
      <c r="Y97" s="342"/>
      <c r="Z97" s="342"/>
    </row>
    <row r="98" ht="12.75" hidden="1" customHeight="1">
      <c r="A98" s="488"/>
      <c r="B98" s="489"/>
      <c r="C98" s="490"/>
      <c r="D98" s="491"/>
      <c r="E98" s="492"/>
      <c r="F98" s="339"/>
      <c r="G98" s="339"/>
      <c r="H98" s="339"/>
      <c r="I98" s="339"/>
      <c r="J98" s="339"/>
      <c r="K98" s="339"/>
      <c r="L98" s="339"/>
      <c r="M98" s="400"/>
      <c r="N98" s="400"/>
      <c r="O98" s="340"/>
      <c r="P98" s="341"/>
      <c r="Q98" s="373"/>
      <c r="R98" s="342"/>
      <c r="S98" s="341"/>
      <c r="T98" s="342"/>
      <c r="U98" s="342"/>
      <c r="V98" s="342"/>
      <c r="W98" s="342"/>
      <c r="X98" s="342"/>
      <c r="Y98" s="342"/>
      <c r="Z98" s="342"/>
    </row>
    <row r="99" hidden="1">
      <c r="A99" s="493">
        <v>46130.0</v>
      </c>
      <c r="B99" s="494">
        <v>46146.0</v>
      </c>
      <c r="C99" s="496"/>
      <c r="D99" s="483">
        <v>943031.0</v>
      </c>
      <c r="E99" s="484">
        <v>9200.0</v>
      </c>
      <c r="F99" s="485" t="s">
        <v>97</v>
      </c>
      <c r="G99" s="485" t="s">
        <v>409</v>
      </c>
      <c r="H99" s="486"/>
      <c r="I99" s="486"/>
      <c r="J99" s="486"/>
      <c r="K99" s="486"/>
      <c r="L99" s="486"/>
      <c r="M99" s="486"/>
      <c r="N99" s="486"/>
      <c r="O99" s="486"/>
      <c r="P99" s="486"/>
      <c r="Q99" s="486"/>
      <c r="R99" s="486"/>
      <c r="S99" s="486"/>
      <c r="T99" s="486"/>
      <c r="U99" s="486"/>
      <c r="V99" s="486"/>
      <c r="W99" s="486"/>
      <c r="X99" s="486"/>
      <c r="Y99" s="486"/>
      <c r="Z99" s="486"/>
    </row>
    <row r="100" hidden="1">
      <c r="A100" s="493">
        <v>46130.0</v>
      </c>
      <c r="B100" s="494">
        <v>46147.0</v>
      </c>
      <c r="C100" s="496"/>
      <c r="D100" s="483">
        <v>943029.0</v>
      </c>
      <c r="E100" s="484">
        <v>22170.0</v>
      </c>
      <c r="F100" s="485" t="s">
        <v>97</v>
      </c>
      <c r="G100" s="485" t="s">
        <v>668</v>
      </c>
      <c r="H100" s="396" t="s">
        <v>669</v>
      </c>
      <c r="I100" s="486"/>
      <c r="J100" s="486"/>
      <c r="K100" s="486"/>
      <c r="L100" s="486"/>
      <c r="M100" s="486"/>
      <c r="N100" s="486"/>
      <c r="O100" s="486"/>
      <c r="P100" s="486"/>
      <c r="Q100" s="486"/>
      <c r="R100" s="486"/>
      <c r="S100" s="486"/>
      <c r="T100" s="486"/>
      <c r="U100" s="486"/>
      <c r="V100" s="486"/>
      <c r="W100" s="486"/>
      <c r="X100" s="486"/>
      <c r="Y100" s="486"/>
      <c r="Z100" s="486"/>
    </row>
    <row r="101" ht="12.75" hidden="1" customHeight="1">
      <c r="A101" s="367"/>
      <c r="B101" s="356">
        <v>46142.0</v>
      </c>
      <c r="C101" s="374"/>
      <c r="D101" s="369"/>
      <c r="E101" s="359">
        <f>7700*4</f>
        <v>30800</v>
      </c>
      <c r="F101" s="485" t="s">
        <v>164</v>
      </c>
      <c r="G101" s="360" t="s">
        <v>670</v>
      </c>
      <c r="H101" s="339"/>
      <c r="I101" s="339"/>
      <c r="J101" s="339"/>
      <c r="K101" s="339"/>
      <c r="L101" s="339"/>
      <c r="M101" s="400"/>
      <c r="N101" s="400"/>
      <c r="O101" s="340"/>
      <c r="P101" s="341"/>
      <c r="Q101" s="373"/>
      <c r="R101" s="342"/>
      <c r="S101" s="341"/>
      <c r="T101" s="342"/>
      <c r="U101" s="342"/>
      <c r="V101" s="342"/>
      <c r="W101" s="342"/>
      <c r="X101" s="342"/>
      <c r="Y101" s="342"/>
      <c r="Z101" s="342"/>
    </row>
    <row r="102" ht="12.75" hidden="1" customHeight="1">
      <c r="A102" s="355"/>
      <c r="B102" s="356"/>
      <c r="C102" s="374"/>
      <c r="D102" s="358"/>
      <c r="E102" s="359">
        <v>9500.0</v>
      </c>
      <c r="F102" s="360" t="s">
        <v>671</v>
      </c>
      <c r="G102" s="360"/>
      <c r="H102" s="360"/>
      <c r="I102" s="360"/>
      <c r="J102" s="360"/>
      <c r="K102" s="360"/>
      <c r="L102" s="339"/>
      <c r="M102" s="400"/>
      <c r="N102" s="400"/>
      <c r="O102" s="340"/>
      <c r="P102" s="340"/>
      <c r="Q102" s="400"/>
      <c r="R102" s="339"/>
      <c r="S102" s="340"/>
      <c r="T102" s="342"/>
      <c r="U102" s="342"/>
      <c r="V102" s="342"/>
      <c r="W102" s="342"/>
      <c r="X102" s="342"/>
      <c r="Y102" s="342"/>
      <c r="Z102" s="342"/>
    </row>
    <row r="103" ht="12.75" hidden="1" customHeight="1">
      <c r="A103" s="367"/>
      <c r="B103" s="346">
        <v>46095.0</v>
      </c>
      <c r="C103" s="469">
        <v>46136.0</v>
      </c>
      <c r="D103" s="472">
        <v>942994.0</v>
      </c>
      <c r="E103" s="470">
        <v>4750.0</v>
      </c>
      <c r="F103" s="485" t="s">
        <v>183</v>
      </c>
      <c r="G103" s="360" t="s">
        <v>672</v>
      </c>
      <c r="H103" s="396" t="s">
        <v>673</v>
      </c>
      <c r="I103" s="339"/>
      <c r="J103" s="339"/>
      <c r="K103" s="339"/>
      <c r="L103" s="339"/>
      <c r="M103" s="400"/>
      <c r="N103" s="400"/>
      <c r="O103" s="339"/>
      <c r="P103" s="372"/>
      <c r="Q103" s="373"/>
      <c r="R103" s="342"/>
      <c r="S103" s="341"/>
      <c r="T103" s="342"/>
      <c r="U103" s="342"/>
      <c r="V103" s="342"/>
      <c r="W103" s="342"/>
      <c r="X103" s="342"/>
      <c r="Y103" s="342"/>
      <c r="Z103" s="342"/>
    </row>
    <row r="104" ht="12.75" hidden="1" customHeight="1">
      <c r="A104" s="367"/>
      <c r="B104" s="356">
        <v>46084.0</v>
      </c>
      <c r="C104" s="480"/>
      <c r="D104" s="358">
        <v>942993.0</v>
      </c>
      <c r="E104" s="359">
        <v>31350.0</v>
      </c>
      <c r="F104" s="485" t="s">
        <v>183</v>
      </c>
      <c r="G104" s="360" t="s">
        <v>674</v>
      </c>
      <c r="H104" s="396" t="s">
        <v>675</v>
      </c>
      <c r="I104" s="339"/>
      <c r="J104" s="339"/>
      <c r="K104" s="339"/>
      <c r="L104" s="339"/>
      <c r="M104" s="339"/>
      <c r="N104" s="339"/>
      <c r="O104" s="340"/>
      <c r="P104" s="341"/>
      <c r="Q104" s="342"/>
      <c r="R104" s="342"/>
      <c r="S104" s="341"/>
      <c r="T104" s="342"/>
      <c r="U104" s="342"/>
      <c r="V104" s="342"/>
      <c r="W104" s="342"/>
      <c r="X104" s="342"/>
      <c r="Y104" s="342"/>
      <c r="Z104" s="342"/>
    </row>
    <row r="105" ht="12.75" hidden="1" customHeight="1">
      <c r="A105" s="367"/>
      <c r="B105" s="356">
        <v>46104.0</v>
      </c>
      <c r="C105" s="480"/>
      <c r="D105" s="358">
        <v>942995.0</v>
      </c>
      <c r="E105" s="359">
        <v>5100.0</v>
      </c>
      <c r="F105" s="485" t="s">
        <v>183</v>
      </c>
      <c r="G105" s="360" t="s">
        <v>676</v>
      </c>
      <c r="H105" s="396" t="s">
        <v>675</v>
      </c>
      <c r="I105" s="339"/>
      <c r="J105" s="339"/>
      <c r="K105" s="339"/>
      <c r="L105" s="339"/>
      <c r="M105" s="400"/>
      <c r="N105" s="400"/>
      <c r="O105" s="339"/>
      <c r="P105" s="372"/>
      <c r="Q105" s="373"/>
      <c r="R105" s="342"/>
      <c r="S105" s="341"/>
      <c r="T105" s="342"/>
      <c r="U105" s="342"/>
      <c r="V105" s="342"/>
      <c r="W105" s="342"/>
      <c r="X105" s="342"/>
      <c r="Y105" s="342"/>
      <c r="Z105" s="342"/>
    </row>
    <row r="106" hidden="1">
      <c r="A106" s="493">
        <v>46130.0</v>
      </c>
      <c r="B106" s="494">
        <v>46150.0</v>
      </c>
      <c r="C106" s="496"/>
      <c r="D106" s="483">
        <v>943033.0</v>
      </c>
      <c r="E106" s="484">
        <v>9500.0</v>
      </c>
      <c r="F106" s="485" t="s">
        <v>97</v>
      </c>
      <c r="G106" s="485" t="s">
        <v>677</v>
      </c>
      <c r="H106" s="486"/>
      <c r="I106" s="486"/>
      <c r="J106" s="486"/>
      <c r="K106" s="486"/>
      <c r="L106" s="486"/>
      <c r="M106" s="486"/>
      <c r="N106" s="486"/>
      <c r="O106" s="486"/>
      <c r="P106" s="486"/>
      <c r="Q106" s="486"/>
      <c r="R106" s="486"/>
      <c r="S106" s="486"/>
      <c r="T106" s="486"/>
      <c r="U106" s="486"/>
      <c r="V106" s="486"/>
      <c r="W106" s="486"/>
      <c r="X106" s="486"/>
      <c r="Y106" s="486"/>
      <c r="Z106" s="486"/>
    </row>
    <row r="107">
      <c r="A107" s="488"/>
      <c r="B107" s="489"/>
      <c r="C107" s="490"/>
      <c r="D107" s="491"/>
      <c r="E107" s="492"/>
      <c r="F107" s="485"/>
      <c r="G107" s="485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486"/>
      <c r="V107" s="486"/>
      <c r="W107" s="486"/>
      <c r="X107" s="486"/>
      <c r="Y107" s="486"/>
      <c r="Z107" s="486"/>
    </row>
    <row r="108">
      <c r="A108" s="493">
        <v>46102.0</v>
      </c>
      <c r="B108" s="494">
        <v>46150.0</v>
      </c>
      <c r="C108" s="496"/>
      <c r="D108" s="483">
        <v>943028.0</v>
      </c>
      <c r="E108" s="484">
        <v>25000.0</v>
      </c>
      <c r="F108" s="485" t="s">
        <v>186</v>
      </c>
      <c r="G108" s="485" t="s">
        <v>678</v>
      </c>
      <c r="H108" s="486"/>
      <c r="I108" s="486"/>
      <c r="J108" s="486"/>
      <c r="K108" s="486"/>
      <c r="L108" s="486"/>
      <c r="M108" s="486"/>
      <c r="N108" s="486"/>
      <c r="O108" s="486"/>
      <c r="P108" s="486"/>
      <c r="Q108" s="486"/>
      <c r="R108" s="486"/>
      <c r="S108" s="486"/>
      <c r="T108" s="486"/>
      <c r="U108" s="486"/>
      <c r="V108" s="486"/>
      <c r="W108" s="486"/>
      <c r="X108" s="486"/>
      <c r="Y108" s="486"/>
      <c r="Z108" s="486"/>
    </row>
    <row r="109">
      <c r="A109" s="493">
        <v>46130.0</v>
      </c>
      <c r="B109" s="494">
        <v>46157.0</v>
      </c>
      <c r="C109" s="496"/>
      <c r="D109" s="483">
        <v>943030.0</v>
      </c>
      <c r="E109" s="484">
        <v>20000.0</v>
      </c>
      <c r="F109" s="485" t="s">
        <v>97</v>
      </c>
      <c r="G109" s="485" t="s">
        <v>679</v>
      </c>
      <c r="H109" s="486"/>
      <c r="I109" s="486"/>
      <c r="J109" s="486"/>
      <c r="K109" s="486"/>
      <c r="L109" s="486"/>
      <c r="M109" s="486"/>
      <c r="N109" s="486"/>
      <c r="O109" s="486"/>
      <c r="P109" s="486"/>
      <c r="Q109" s="486"/>
      <c r="R109" s="486"/>
      <c r="S109" s="486"/>
      <c r="T109" s="486"/>
      <c r="U109" s="486"/>
      <c r="V109" s="486"/>
      <c r="W109" s="486"/>
      <c r="X109" s="486"/>
      <c r="Y109" s="486"/>
      <c r="Z109" s="486"/>
    </row>
    <row r="110">
      <c r="A110" s="493">
        <v>46130.0</v>
      </c>
      <c r="B110" s="494">
        <v>46157.0</v>
      </c>
      <c r="C110" s="496"/>
      <c r="D110" s="483">
        <v>943032.0</v>
      </c>
      <c r="E110" s="484">
        <v>4800.0</v>
      </c>
      <c r="F110" s="485" t="s">
        <v>97</v>
      </c>
      <c r="G110" s="485" t="s">
        <v>422</v>
      </c>
      <c r="H110" s="486"/>
      <c r="I110" s="486"/>
      <c r="J110" s="486"/>
      <c r="K110" s="486"/>
      <c r="L110" s="486"/>
      <c r="M110" s="486"/>
      <c r="N110" s="486"/>
      <c r="O110" s="486"/>
      <c r="P110" s="486"/>
      <c r="Q110" s="486"/>
      <c r="R110" s="486"/>
      <c r="S110" s="486"/>
      <c r="T110" s="486"/>
      <c r="U110" s="486"/>
      <c r="V110" s="486"/>
      <c r="W110" s="486"/>
      <c r="X110" s="486"/>
      <c r="Y110" s="486"/>
      <c r="Z110" s="486"/>
    </row>
    <row r="111" ht="12.75" customHeight="1">
      <c r="A111" s="355">
        <v>45908.0</v>
      </c>
      <c r="B111" s="356">
        <v>46162.0</v>
      </c>
      <c r="C111" s="374"/>
      <c r="D111" s="358">
        <v>938022.0</v>
      </c>
      <c r="E111" s="359">
        <v>20000.0</v>
      </c>
      <c r="F111" s="360" t="s">
        <v>145</v>
      </c>
      <c r="G111" s="360"/>
      <c r="H111" s="360"/>
      <c r="I111" s="360"/>
      <c r="J111" s="360"/>
      <c r="K111" s="360"/>
      <c r="L111" s="339"/>
      <c r="M111" s="400"/>
      <c r="N111" s="400"/>
      <c r="O111" s="340"/>
      <c r="P111" s="340"/>
      <c r="Q111" s="400"/>
      <c r="R111" s="339"/>
      <c r="S111" s="340"/>
      <c r="T111" s="342"/>
      <c r="U111" s="342"/>
      <c r="V111" s="342"/>
      <c r="W111" s="342"/>
      <c r="X111" s="342"/>
      <c r="Y111" s="342"/>
      <c r="Z111" s="342"/>
    </row>
    <row r="112">
      <c r="A112" s="493">
        <v>46130.0</v>
      </c>
      <c r="B112" s="494">
        <v>46166.0</v>
      </c>
      <c r="C112" s="496"/>
      <c r="D112" s="483">
        <v>943034.0</v>
      </c>
      <c r="E112" s="484">
        <v>28200.0</v>
      </c>
      <c r="F112" s="485" t="s">
        <v>97</v>
      </c>
      <c r="G112" s="485" t="s">
        <v>680</v>
      </c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486"/>
      <c r="U112" s="486"/>
      <c r="V112" s="486"/>
      <c r="W112" s="486"/>
      <c r="X112" s="486"/>
      <c r="Y112" s="486"/>
      <c r="Z112" s="486"/>
    </row>
    <row r="113">
      <c r="A113" s="493">
        <v>46143.0</v>
      </c>
      <c r="B113" s="497">
        <v>46171.0</v>
      </c>
      <c r="C113" s="496"/>
      <c r="D113" s="498">
        <v>943048.0</v>
      </c>
      <c r="E113" s="499">
        <f>27470-1550</f>
        <v>25920</v>
      </c>
      <c r="F113" s="500" t="s">
        <v>97</v>
      </c>
      <c r="G113" s="500" t="s">
        <v>436</v>
      </c>
      <c r="H113" s="486"/>
      <c r="I113" s="486"/>
      <c r="J113" s="486"/>
      <c r="K113" s="486"/>
      <c r="L113" s="486"/>
      <c r="M113" s="486"/>
      <c r="N113" s="486"/>
      <c r="O113" s="486"/>
      <c r="P113" s="486"/>
      <c r="Q113" s="486"/>
      <c r="R113" s="486"/>
      <c r="S113" s="486"/>
      <c r="T113" s="486"/>
      <c r="U113" s="486"/>
      <c r="V113" s="486"/>
      <c r="W113" s="486"/>
      <c r="X113" s="486"/>
      <c r="Y113" s="486"/>
      <c r="Z113" s="486"/>
    </row>
    <row r="114">
      <c r="A114" s="493"/>
      <c r="B114" s="497">
        <v>46171.0</v>
      </c>
      <c r="C114" s="496"/>
      <c r="D114" s="483"/>
      <c r="E114" s="484">
        <v>20000.0</v>
      </c>
      <c r="F114" s="485" t="s">
        <v>508</v>
      </c>
      <c r="G114" s="485"/>
      <c r="H114" s="486"/>
      <c r="I114" s="486"/>
      <c r="J114" s="486"/>
      <c r="K114" s="486"/>
      <c r="L114" s="486"/>
      <c r="M114" s="486"/>
      <c r="N114" s="486"/>
      <c r="O114" s="486"/>
      <c r="P114" s="486"/>
      <c r="Q114" s="486"/>
      <c r="R114" s="486"/>
      <c r="S114" s="486"/>
      <c r="T114" s="486"/>
      <c r="U114" s="486"/>
      <c r="V114" s="486"/>
      <c r="W114" s="486"/>
      <c r="X114" s="486"/>
      <c r="Y114" s="486"/>
      <c r="Z114" s="486"/>
    </row>
    <row r="115">
      <c r="A115" s="493"/>
      <c r="B115" s="497">
        <v>46171.0</v>
      </c>
      <c r="C115" s="496"/>
      <c r="D115" s="483"/>
      <c r="E115" s="484">
        <v>10000.0</v>
      </c>
      <c r="F115" s="485" t="s">
        <v>681</v>
      </c>
      <c r="G115" s="485"/>
      <c r="H115" s="486"/>
      <c r="I115" s="486"/>
      <c r="J115" s="486"/>
      <c r="K115" s="486"/>
      <c r="L115" s="486"/>
      <c r="M115" s="486"/>
      <c r="N115" s="486"/>
      <c r="O115" s="486"/>
      <c r="P115" s="486"/>
      <c r="Q115" s="486"/>
      <c r="R115" s="486"/>
      <c r="S115" s="486"/>
      <c r="T115" s="486"/>
      <c r="U115" s="486"/>
      <c r="V115" s="486"/>
      <c r="W115" s="486"/>
      <c r="X115" s="486"/>
      <c r="Y115" s="486"/>
      <c r="Z115" s="486"/>
    </row>
    <row r="116" ht="12.75" customHeight="1">
      <c r="A116" s="488"/>
      <c r="B116" s="489"/>
      <c r="C116" s="490"/>
      <c r="D116" s="491"/>
      <c r="E116" s="492"/>
      <c r="F116" s="360"/>
      <c r="G116" s="360"/>
      <c r="H116" s="360"/>
      <c r="I116" s="360"/>
      <c r="J116" s="360"/>
      <c r="K116" s="360"/>
      <c r="L116" s="339"/>
      <c r="M116" s="339"/>
      <c r="N116" s="339"/>
      <c r="O116" s="340"/>
      <c r="P116" s="340"/>
      <c r="Q116" s="400"/>
      <c r="R116" s="339"/>
      <c r="S116" s="340"/>
      <c r="T116" s="342"/>
      <c r="U116" s="342"/>
      <c r="V116" s="342"/>
      <c r="W116" s="342"/>
      <c r="X116" s="342"/>
      <c r="Y116" s="342"/>
      <c r="Z116" s="342"/>
    </row>
    <row r="117" ht="12.75" customHeight="1">
      <c r="A117" s="493">
        <v>46130.0</v>
      </c>
      <c r="B117" s="356">
        <v>46178.0</v>
      </c>
      <c r="C117" s="501"/>
      <c r="D117" s="502">
        <v>943038.0</v>
      </c>
      <c r="E117" s="503">
        <v>27202.5</v>
      </c>
      <c r="F117" s="504" t="s">
        <v>405</v>
      </c>
      <c r="G117" s="504" t="s">
        <v>682</v>
      </c>
      <c r="H117" s="342"/>
      <c r="I117" s="342"/>
      <c r="J117" s="342"/>
      <c r="K117" s="342"/>
      <c r="L117" s="342"/>
      <c r="M117" s="342"/>
      <c r="N117" s="342"/>
      <c r="O117" s="341"/>
      <c r="P117" s="341"/>
      <c r="Q117" s="342"/>
      <c r="R117" s="342"/>
      <c r="S117" s="341"/>
      <c r="T117" s="342"/>
      <c r="U117" s="342"/>
      <c r="V117" s="342"/>
      <c r="W117" s="342"/>
      <c r="X117" s="342"/>
      <c r="Y117" s="342"/>
      <c r="Z117" s="342"/>
    </row>
    <row r="118">
      <c r="A118" s="493">
        <v>46143.0</v>
      </c>
      <c r="B118" s="497">
        <v>46178.0</v>
      </c>
      <c r="C118" s="496"/>
      <c r="D118" s="498">
        <v>943050.0</v>
      </c>
      <c r="E118" s="505">
        <v>17225.0</v>
      </c>
      <c r="F118" s="507" t="s">
        <v>97</v>
      </c>
      <c r="G118" s="507" t="s">
        <v>446</v>
      </c>
      <c r="H118" s="486"/>
      <c r="I118" s="486"/>
      <c r="J118" s="486"/>
      <c r="K118" s="486"/>
      <c r="L118" s="486"/>
      <c r="M118" s="486"/>
      <c r="N118" s="486"/>
      <c r="O118" s="486"/>
      <c r="P118" s="486"/>
      <c r="Q118" s="486"/>
      <c r="R118" s="486"/>
      <c r="S118" s="486"/>
      <c r="T118" s="486"/>
      <c r="U118" s="486"/>
      <c r="V118" s="486"/>
      <c r="W118" s="486"/>
      <c r="X118" s="486"/>
      <c r="Y118" s="486"/>
      <c r="Z118" s="486"/>
    </row>
    <row r="119">
      <c r="A119" s="493">
        <v>46143.0</v>
      </c>
      <c r="B119" s="497">
        <v>46183.0</v>
      </c>
      <c r="C119" s="496"/>
      <c r="D119" s="498">
        <v>943047.0</v>
      </c>
      <c r="E119" s="499">
        <v>5325.0</v>
      </c>
      <c r="F119" s="500" t="s">
        <v>97</v>
      </c>
      <c r="G119" s="500" t="s">
        <v>435</v>
      </c>
      <c r="H119" s="486"/>
      <c r="I119" s="486"/>
      <c r="J119" s="486"/>
      <c r="K119" s="486"/>
      <c r="L119" s="486"/>
      <c r="M119" s="486"/>
      <c r="N119" s="486"/>
      <c r="O119" s="486"/>
      <c r="P119" s="486"/>
      <c r="Q119" s="486"/>
      <c r="R119" s="486"/>
      <c r="S119" s="486"/>
      <c r="T119" s="486"/>
      <c r="U119" s="486"/>
      <c r="V119" s="486"/>
      <c r="W119" s="486"/>
      <c r="X119" s="486"/>
      <c r="Y119" s="486"/>
      <c r="Z119" s="486"/>
    </row>
    <row r="120">
      <c r="A120" s="493">
        <v>46143.0</v>
      </c>
      <c r="B120" s="497">
        <v>46185.0</v>
      </c>
      <c r="C120" s="496"/>
      <c r="D120" s="498">
        <v>956451.0</v>
      </c>
      <c r="E120" s="499">
        <v>24760.0</v>
      </c>
      <c r="F120" s="507" t="s">
        <v>97</v>
      </c>
      <c r="G120" s="500" t="s">
        <v>449</v>
      </c>
      <c r="H120" s="486"/>
      <c r="I120" s="486"/>
      <c r="J120" s="486"/>
      <c r="K120" s="486"/>
      <c r="L120" s="486"/>
      <c r="M120" s="486"/>
      <c r="N120" s="486"/>
      <c r="O120" s="486"/>
      <c r="P120" s="486"/>
      <c r="Q120" s="486"/>
      <c r="R120" s="486"/>
      <c r="S120" s="486"/>
      <c r="T120" s="486"/>
      <c r="U120" s="486"/>
      <c r="V120" s="486"/>
      <c r="W120" s="486"/>
      <c r="X120" s="486"/>
      <c r="Y120" s="486"/>
      <c r="Z120" s="486"/>
    </row>
    <row r="121" ht="12.75" customHeight="1">
      <c r="A121" s="493">
        <v>46130.0</v>
      </c>
      <c r="B121" s="356">
        <v>46185.0</v>
      </c>
      <c r="C121" s="501"/>
      <c r="D121" s="502">
        <v>943039.0</v>
      </c>
      <c r="E121" s="503">
        <v>27202.5</v>
      </c>
      <c r="F121" s="504" t="s">
        <v>405</v>
      </c>
      <c r="G121" s="504" t="s">
        <v>683</v>
      </c>
      <c r="H121" s="342"/>
      <c r="I121" s="342"/>
      <c r="J121" s="342"/>
      <c r="K121" s="342"/>
      <c r="L121" s="342"/>
      <c r="M121" s="342"/>
      <c r="N121" s="342"/>
      <c r="O121" s="341"/>
      <c r="P121" s="341"/>
      <c r="Q121" s="342"/>
      <c r="R121" s="342"/>
      <c r="S121" s="341"/>
      <c r="T121" s="342"/>
      <c r="U121" s="342"/>
      <c r="V121" s="342"/>
      <c r="W121" s="342"/>
      <c r="X121" s="342"/>
      <c r="Y121" s="342"/>
      <c r="Z121" s="342"/>
    </row>
    <row r="122" ht="12.75" customHeight="1">
      <c r="A122" s="493"/>
      <c r="B122" s="356">
        <v>46188.0</v>
      </c>
      <c r="C122" s="501"/>
      <c r="D122" s="502"/>
      <c r="E122" s="503">
        <v>20000.0</v>
      </c>
      <c r="F122" s="504" t="s">
        <v>508</v>
      </c>
      <c r="G122" s="504"/>
      <c r="H122" s="342"/>
      <c r="I122" s="342"/>
      <c r="J122" s="342"/>
      <c r="K122" s="342"/>
      <c r="L122" s="342"/>
      <c r="M122" s="342"/>
      <c r="N122" s="342"/>
      <c r="O122" s="341"/>
      <c r="P122" s="341"/>
      <c r="Q122" s="342"/>
      <c r="R122" s="342"/>
      <c r="S122" s="341"/>
      <c r="T122" s="342"/>
      <c r="U122" s="342"/>
      <c r="V122" s="342"/>
      <c r="W122" s="342"/>
      <c r="X122" s="342"/>
      <c r="Y122" s="342"/>
      <c r="Z122" s="342"/>
    </row>
    <row r="123">
      <c r="A123" s="508">
        <v>46169.0</v>
      </c>
      <c r="B123" s="509">
        <v>46170.0</v>
      </c>
      <c r="C123" s="496"/>
      <c r="D123" s="510">
        <v>956463.0</v>
      </c>
      <c r="E123" s="511">
        <v>4750.0</v>
      </c>
      <c r="F123" s="512" t="s">
        <v>684</v>
      </c>
      <c r="G123" s="512"/>
      <c r="H123" s="396" t="s">
        <v>685</v>
      </c>
      <c r="I123" s="486"/>
      <c r="J123" s="486"/>
      <c r="K123" s="486"/>
      <c r="L123" s="486"/>
      <c r="M123" s="486"/>
      <c r="N123" s="486"/>
      <c r="O123" s="486"/>
      <c r="P123" s="486"/>
      <c r="Q123" s="486"/>
      <c r="R123" s="486"/>
      <c r="S123" s="486"/>
      <c r="T123" s="486"/>
      <c r="U123" s="486"/>
      <c r="V123" s="486"/>
      <c r="W123" s="486"/>
      <c r="X123" s="486"/>
      <c r="Y123" s="486"/>
      <c r="Z123" s="486"/>
    </row>
    <row r="124" ht="12.75" customHeight="1">
      <c r="A124" s="367"/>
      <c r="B124" s="356">
        <v>46134.0</v>
      </c>
      <c r="C124" s="374"/>
      <c r="D124" s="358">
        <v>942997.0</v>
      </c>
      <c r="E124" s="359">
        <v>5650.0</v>
      </c>
      <c r="F124" s="485" t="s">
        <v>183</v>
      </c>
      <c r="G124" s="360" t="s">
        <v>686</v>
      </c>
      <c r="H124" s="396" t="s">
        <v>687</v>
      </c>
      <c r="I124" s="339"/>
      <c r="J124" s="339"/>
      <c r="K124" s="339"/>
      <c r="L124" s="339"/>
      <c r="M124" s="400"/>
      <c r="N124" s="400"/>
      <c r="O124" s="340"/>
      <c r="P124" s="341"/>
      <c r="Q124" s="373"/>
      <c r="R124" s="342"/>
      <c r="S124" s="341"/>
      <c r="T124" s="342"/>
      <c r="U124" s="342"/>
      <c r="V124" s="342"/>
      <c r="W124" s="342"/>
      <c r="X124" s="342"/>
      <c r="Y124" s="342"/>
      <c r="Z124" s="342"/>
    </row>
    <row r="125" ht="12.75" customHeight="1">
      <c r="A125" s="355">
        <v>46037.0</v>
      </c>
      <c r="B125" s="356">
        <v>46126.0</v>
      </c>
      <c r="C125" s="357"/>
      <c r="D125" s="358">
        <v>942978.0</v>
      </c>
      <c r="E125" s="359">
        <v>14550.0</v>
      </c>
      <c r="F125" s="485" t="s">
        <v>183</v>
      </c>
      <c r="G125" s="339"/>
      <c r="H125" s="396" t="s">
        <v>687</v>
      </c>
      <c r="I125" s="365"/>
      <c r="J125" s="365"/>
      <c r="K125" s="365"/>
      <c r="L125" s="365"/>
      <c r="M125" s="400"/>
      <c r="N125" s="400"/>
      <c r="O125" s="339"/>
      <c r="P125" s="372"/>
      <c r="Q125" s="373"/>
      <c r="R125" s="342"/>
      <c r="S125" s="341"/>
      <c r="T125" s="342"/>
      <c r="U125" s="342"/>
      <c r="V125" s="342"/>
      <c r="W125" s="342"/>
      <c r="X125" s="342"/>
      <c r="Y125" s="342"/>
      <c r="Z125" s="342"/>
    </row>
    <row r="126" ht="12.75" customHeight="1">
      <c r="A126" s="367"/>
      <c r="B126" s="356">
        <v>46133.0</v>
      </c>
      <c r="C126" s="374"/>
      <c r="D126" s="358">
        <v>942996.0</v>
      </c>
      <c r="E126" s="359">
        <v>6750.0</v>
      </c>
      <c r="F126" s="485" t="s">
        <v>183</v>
      </c>
      <c r="G126" s="360" t="s">
        <v>688</v>
      </c>
      <c r="H126" s="396" t="s">
        <v>687</v>
      </c>
      <c r="I126" s="339"/>
      <c r="J126" s="339"/>
      <c r="K126" s="339"/>
      <c r="L126" s="339"/>
      <c r="M126" s="400"/>
      <c r="N126" s="400"/>
      <c r="O126" s="340"/>
      <c r="P126" s="341"/>
      <c r="Q126" s="373"/>
      <c r="R126" s="342"/>
      <c r="S126" s="341"/>
      <c r="T126" s="342"/>
      <c r="U126" s="342"/>
      <c r="V126" s="342"/>
      <c r="W126" s="342"/>
      <c r="X126" s="342"/>
      <c r="Y126" s="342"/>
      <c r="Z126" s="342"/>
    </row>
    <row r="127" ht="12.75" customHeight="1">
      <c r="A127" s="493">
        <v>46130.0</v>
      </c>
      <c r="B127" s="513">
        <v>46192.0</v>
      </c>
      <c r="C127" s="501"/>
      <c r="D127" s="502">
        <v>943042.0</v>
      </c>
      <c r="E127" s="503">
        <v>19463.12</v>
      </c>
      <c r="F127" s="504" t="s">
        <v>405</v>
      </c>
      <c r="G127" s="504" t="s">
        <v>689</v>
      </c>
      <c r="H127" s="342"/>
      <c r="I127" s="342"/>
      <c r="J127" s="342"/>
      <c r="K127" s="342"/>
      <c r="L127" s="342"/>
      <c r="M127" s="342"/>
      <c r="N127" s="342"/>
      <c r="O127" s="341"/>
      <c r="P127" s="341"/>
      <c r="Q127" s="342"/>
      <c r="R127" s="342"/>
      <c r="S127" s="341"/>
      <c r="T127" s="342"/>
      <c r="U127" s="342"/>
      <c r="V127" s="342"/>
      <c r="W127" s="342"/>
      <c r="X127" s="342"/>
      <c r="Y127" s="342"/>
      <c r="Z127" s="342"/>
    </row>
    <row r="128" ht="12.75" customHeight="1">
      <c r="A128" s="493">
        <v>46130.0</v>
      </c>
      <c r="B128" s="356">
        <v>46192.0</v>
      </c>
      <c r="C128" s="501"/>
      <c r="D128" s="502">
        <v>943040.0</v>
      </c>
      <c r="E128" s="503">
        <v>27202.5</v>
      </c>
      <c r="F128" s="504" t="s">
        <v>405</v>
      </c>
      <c r="G128" s="504" t="s">
        <v>690</v>
      </c>
      <c r="H128" s="342"/>
      <c r="I128" s="342"/>
      <c r="J128" s="342"/>
      <c r="K128" s="342"/>
      <c r="L128" s="342"/>
      <c r="M128" s="342"/>
      <c r="N128" s="342"/>
      <c r="O128" s="341"/>
      <c r="P128" s="341"/>
      <c r="Q128" s="342"/>
      <c r="R128" s="342"/>
      <c r="S128" s="341"/>
      <c r="T128" s="342"/>
      <c r="U128" s="342"/>
      <c r="V128" s="342"/>
      <c r="W128" s="342"/>
      <c r="X128" s="342"/>
      <c r="Y128" s="342"/>
      <c r="Z128" s="342"/>
    </row>
    <row r="129">
      <c r="A129" s="514">
        <v>46169.0</v>
      </c>
      <c r="B129" s="509">
        <v>46194.0</v>
      </c>
      <c r="C129" s="496"/>
      <c r="D129" s="510">
        <v>956454.0</v>
      </c>
      <c r="E129" s="511">
        <v>5200.0</v>
      </c>
      <c r="F129" s="512" t="s">
        <v>97</v>
      </c>
      <c r="G129" s="512" t="s">
        <v>453</v>
      </c>
      <c r="H129" s="486"/>
      <c r="I129" s="486"/>
      <c r="J129" s="486"/>
      <c r="K129" s="486"/>
      <c r="L129" s="486"/>
      <c r="M129" s="486"/>
      <c r="N129" s="486"/>
      <c r="O129" s="486"/>
      <c r="P129" s="486"/>
      <c r="Q129" s="486"/>
      <c r="R129" s="486"/>
      <c r="S129" s="486"/>
      <c r="T129" s="486"/>
      <c r="U129" s="486"/>
      <c r="V129" s="486"/>
      <c r="W129" s="486"/>
      <c r="X129" s="486"/>
      <c r="Y129" s="486"/>
      <c r="Z129" s="486"/>
    </row>
    <row r="130" ht="12.75" customHeight="1">
      <c r="A130" s="355">
        <v>45908.0</v>
      </c>
      <c r="B130" s="356">
        <v>46193.0</v>
      </c>
      <c r="C130" s="374"/>
      <c r="D130" s="358">
        <v>938023.0</v>
      </c>
      <c r="E130" s="359">
        <v>20000.0</v>
      </c>
      <c r="F130" s="360" t="s">
        <v>145</v>
      </c>
      <c r="G130" s="360"/>
      <c r="H130" s="360"/>
      <c r="I130" s="360"/>
      <c r="J130" s="360"/>
      <c r="K130" s="360"/>
      <c r="L130" s="339"/>
      <c r="M130" s="339"/>
      <c r="N130" s="339"/>
      <c r="O130" s="340"/>
      <c r="P130" s="340"/>
      <c r="Q130" s="400"/>
      <c r="R130" s="339"/>
      <c r="S130" s="340"/>
      <c r="T130" s="342"/>
      <c r="U130" s="342"/>
      <c r="V130" s="342"/>
      <c r="W130" s="342"/>
      <c r="X130" s="342"/>
      <c r="Y130" s="342"/>
      <c r="Z130" s="342"/>
    </row>
    <row r="131" ht="12.75" customHeight="1">
      <c r="A131" s="367"/>
      <c r="B131" s="356">
        <v>46139.0</v>
      </c>
      <c r="C131" s="374"/>
      <c r="D131" s="358">
        <v>942998.0</v>
      </c>
      <c r="E131" s="359">
        <v>10800.0</v>
      </c>
      <c r="F131" s="485" t="s">
        <v>183</v>
      </c>
      <c r="G131" s="360" t="s">
        <v>691</v>
      </c>
      <c r="H131" s="396" t="s">
        <v>692</v>
      </c>
      <c r="I131" s="339"/>
      <c r="J131" s="339"/>
      <c r="K131" s="339"/>
      <c r="L131" s="339"/>
      <c r="M131" s="400"/>
      <c r="N131" s="400"/>
      <c r="O131" s="340"/>
      <c r="P131" s="341"/>
      <c r="Q131" s="373"/>
      <c r="R131" s="342"/>
      <c r="S131" s="341"/>
      <c r="T131" s="342"/>
      <c r="U131" s="342"/>
      <c r="V131" s="342"/>
      <c r="W131" s="342"/>
      <c r="X131" s="342"/>
      <c r="Y131" s="342"/>
      <c r="Z131" s="342"/>
    </row>
    <row r="132" ht="12.75" customHeight="1">
      <c r="A132" s="367"/>
      <c r="B132" s="356">
        <v>46141.0</v>
      </c>
      <c r="C132" s="374"/>
      <c r="D132" s="358">
        <v>943012.0</v>
      </c>
      <c r="E132" s="359">
        <v>8500.0</v>
      </c>
      <c r="F132" s="360" t="s">
        <v>183</v>
      </c>
      <c r="G132" s="360" t="s">
        <v>367</v>
      </c>
      <c r="H132" s="396" t="s">
        <v>692</v>
      </c>
      <c r="I132" s="339"/>
      <c r="J132" s="339"/>
      <c r="K132" s="339"/>
      <c r="L132" s="339"/>
      <c r="M132" s="339"/>
      <c r="N132" s="339"/>
      <c r="O132" s="340"/>
      <c r="P132" s="341"/>
      <c r="Q132" s="342"/>
      <c r="R132" s="342"/>
      <c r="S132" s="341"/>
      <c r="T132" s="342"/>
      <c r="U132" s="342"/>
      <c r="V132" s="342"/>
      <c r="W132" s="342"/>
      <c r="X132" s="342"/>
      <c r="Y132" s="342"/>
      <c r="Z132" s="342"/>
    </row>
    <row r="133">
      <c r="A133" s="514">
        <v>46169.0</v>
      </c>
      <c r="B133" s="509">
        <v>46199.0</v>
      </c>
      <c r="C133" s="496"/>
      <c r="D133" s="510">
        <v>956453.0</v>
      </c>
      <c r="E133" s="511">
        <v>15170.0</v>
      </c>
      <c r="F133" s="512" t="s">
        <v>97</v>
      </c>
      <c r="G133" s="512" t="s">
        <v>452</v>
      </c>
      <c r="H133" s="486"/>
      <c r="I133" s="486"/>
      <c r="J133" s="486"/>
      <c r="K133" s="486"/>
      <c r="L133" s="486"/>
      <c r="M133" s="486"/>
      <c r="N133" s="486"/>
      <c r="O133" s="486"/>
      <c r="P133" s="486"/>
      <c r="Q133" s="486"/>
      <c r="R133" s="486"/>
      <c r="S133" s="486"/>
      <c r="T133" s="486"/>
      <c r="U133" s="486"/>
      <c r="V133" s="486"/>
      <c r="W133" s="486"/>
      <c r="X133" s="486"/>
      <c r="Y133" s="486"/>
      <c r="Z133" s="486"/>
    </row>
    <row r="134">
      <c r="A134" s="514">
        <v>46169.0</v>
      </c>
      <c r="B134" s="509">
        <v>46199.0</v>
      </c>
      <c r="C134" s="496"/>
      <c r="D134" s="510">
        <v>956455.0</v>
      </c>
      <c r="E134" s="511">
        <v>16595.0</v>
      </c>
      <c r="F134" s="512" t="s">
        <v>97</v>
      </c>
      <c r="G134" s="512" t="s">
        <v>693</v>
      </c>
      <c r="H134" s="486"/>
      <c r="I134" s="486"/>
      <c r="J134" s="486"/>
      <c r="K134" s="486"/>
      <c r="L134" s="486"/>
      <c r="M134" s="486"/>
      <c r="N134" s="486"/>
      <c r="O134" s="486"/>
      <c r="P134" s="486"/>
      <c r="Q134" s="486"/>
      <c r="R134" s="486"/>
      <c r="S134" s="486"/>
      <c r="T134" s="486"/>
      <c r="U134" s="486"/>
      <c r="V134" s="486"/>
      <c r="W134" s="486"/>
      <c r="X134" s="486"/>
      <c r="Y134" s="486"/>
      <c r="Z134" s="486"/>
    </row>
    <row r="135" ht="12.75" customHeight="1">
      <c r="A135" s="493">
        <v>46130.0</v>
      </c>
      <c r="B135" s="356">
        <v>46199.0</v>
      </c>
      <c r="C135" s="501"/>
      <c r="D135" s="502">
        <v>943041.0</v>
      </c>
      <c r="E135" s="503">
        <v>27202.5</v>
      </c>
      <c r="F135" s="504" t="s">
        <v>405</v>
      </c>
      <c r="G135" s="504" t="s">
        <v>694</v>
      </c>
      <c r="H135" s="342"/>
      <c r="I135" s="342"/>
      <c r="J135" s="342"/>
      <c r="K135" s="342"/>
      <c r="L135" s="342"/>
      <c r="M135" s="342"/>
      <c r="N135" s="342"/>
      <c r="O135" s="341"/>
      <c r="P135" s="341"/>
      <c r="Q135" s="342"/>
      <c r="R135" s="342"/>
      <c r="S135" s="341"/>
      <c r="T135" s="342"/>
      <c r="U135" s="342"/>
      <c r="V135" s="342"/>
      <c r="W135" s="342"/>
      <c r="X135" s="342"/>
      <c r="Y135" s="342"/>
      <c r="Z135" s="342"/>
    </row>
    <row r="136">
      <c r="A136" s="493">
        <v>46143.0</v>
      </c>
      <c r="B136" s="494">
        <v>46199.0</v>
      </c>
      <c r="C136" s="496"/>
      <c r="D136" s="483">
        <v>943045.0</v>
      </c>
      <c r="E136" s="484">
        <v>16780.0</v>
      </c>
      <c r="F136" s="500" t="s">
        <v>405</v>
      </c>
      <c r="G136" s="500" t="s">
        <v>416</v>
      </c>
      <c r="H136" s="486"/>
      <c r="I136" s="486"/>
      <c r="J136" s="486"/>
      <c r="K136" s="486"/>
      <c r="L136" s="486"/>
      <c r="M136" s="486"/>
      <c r="N136" s="486"/>
      <c r="O136" s="486"/>
      <c r="P136" s="486"/>
      <c r="Q136" s="486"/>
      <c r="R136" s="486"/>
      <c r="S136" s="486"/>
      <c r="T136" s="486"/>
      <c r="U136" s="486"/>
      <c r="V136" s="486"/>
      <c r="W136" s="486"/>
      <c r="X136" s="486"/>
      <c r="Y136" s="486"/>
      <c r="Z136" s="486"/>
    </row>
    <row r="137">
      <c r="A137" s="493">
        <v>46102.0</v>
      </c>
      <c r="B137" s="515">
        <v>46122.0</v>
      </c>
      <c r="C137" s="516">
        <v>46125.0</v>
      </c>
      <c r="D137" s="517">
        <v>943026.0</v>
      </c>
      <c r="E137" s="518">
        <v>36031.0</v>
      </c>
      <c r="F137" s="485" t="s">
        <v>186</v>
      </c>
      <c r="G137" s="485" t="s">
        <v>695</v>
      </c>
      <c r="H137" s="396" t="s">
        <v>696</v>
      </c>
      <c r="I137" s="486"/>
      <c r="J137" s="486"/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6"/>
      <c r="W137" s="486"/>
      <c r="X137" s="486"/>
      <c r="Y137" s="486"/>
      <c r="Z137" s="486"/>
    </row>
    <row r="138" ht="12.75" customHeight="1">
      <c r="A138" s="488"/>
      <c r="B138" s="489"/>
      <c r="C138" s="490"/>
      <c r="D138" s="491"/>
      <c r="E138" s="492"/>
      <c r="F138" s="360"/>
      <c r="G138" s="360"/>
      <c r="H138" s="360"/>
      <c r="I138" s="360"/>
      <c r="J138" s="360"/>
      <c r="K138" s="360"/>
      <c r="L138" s="339"/>
      <c r="M138" s="339"/>
      <c r="N138" s="339"/>
      <c r="O138" s="340"/>
      <c r="P138" s="340"/>
      <c r="Q138" s="339"/>
      <c r="R138" s="339"/>
      <c r="S138" s="340"/>
      <c r="T138" s="342"/>
      <c r="U138" s="342"/>
      <c r="V138" s="342"/>
      <c r="W138" s="342"/>
      <c r="X138" s="342"/>
      <c r="Y138" s="342"/>
      <c r="Z138" s="342"/>
    </row>
    <row r="139" ht="12.75" customHeight="1">
      <c r="A139" s="493">
        <v>46130.0</v>
      </c>
      <c r="B139" s="513">
        <v>46206.0</v>
      </c>
      <c r="C139" s="501"/>
      <c r="D139" s="502">
        <v>943043.0</v>
      </c>
      <c r="E139" s="503">
        <v>20000.0</v>
      </c>
      <c r="F139" s="504" t="s">
        <v>405</v>
      </c>
      <c r="G139" s="504" t="s">
        <v>697</v>
      </c>
      <c r="H139" s="342"/>
      <c r="I139" s="342"/>
      <c r="J139" s="342"/>
      <c r="K139" s="342"/>
      <c r="L139" s="342"/>
      <c r="M139" s="342"/>
      <c r="N139" s="342"/>
      <c r="O139" s="341"/>
      <c r="P139" s="341"/>
      <c r="Q139" s="342"/>
      <c r="R139" s="342"/>
      <c r="S139" s="341"/>
      <c r="T139" s="342"/>
      <c r="U139" s="342"/>
      <c r="V139" s="342"/>
      <c r="W139" s="342"/>
      <c r="X139" s="342"/>
      <c r="Y139" s="342"/>
      <c r="Z139" s="342"/>
    </row>
    <row r="140">
      <c r="A140" s="493">
        <v>46143.0</v>
      </c>
      <c r="B140" s="497">
        <v>46206.0</v>
      </c>
      <c r="C140" s="496"/>
      <c r="D140" s="483">
        <v>943046.0</v>
      </c>
      <c r="E140" s="484">
        <v>28330.0</v>
      </c>
      <c r="F140" s="500" t="s">
        <v>405</v>
      </c>
      <c r="G140" s="500" t="s">
        <v>417</v>
      </c>
      <c r="H140" s="486"/>
      <c r="I140" s="486"/>
      <c r="J140" s="486"/>
      <c r="K140" s="486"/>
      <c r="L140" s="486"/>
      <c r="M140" s="486"/>
      <c r="N140" s="486"/>
      <c r="O140" s="486"/>
      <c r="P140" s="486"/>
      <c r="Q140" s="486"/>
      <c r="R140" s="486"/>
      <c r="S140" s="486"/>
      <c r="T140" s="486"/>
      <c r="U140" s="486"/>
      <c r="V140" s="486"/>
      <c r="W140" s="486"/>
      <c r="X140" s="486"/>
      <c r="Y140" s="486"/>
      <c r="Z140" s="486"/>
    </row>
    <row r="141">
      <c r="A141" s="514">
        <v>46169.0</v>
      </c>
      <c r="B141" s="509">
        <v>46211.0</v>
      </c>
      <c r="C141" s="496"/>
      <c r="D141" s="510">
        <v>956457.0</v>
      </c>
      <c r="E141" s="511">
        <v>15000.0</v>
      </c>
      <c r="F141" s="512" t="s">
        <v>97</v>
      </c>
      <c r="G141" s="512" t="s">
        <v>698</v>
      </c>
      <c r="H141" s="486"/>
      <c r="I141" s="486"/>
      <c r="J141" s="486"/>
      <c r="K141" s="486"/>
      <c r="L141" s="486"/>
      <c r="M141" s="486"/>
      <c r="N141" s="486"/>
      <c r="O141" s="486"/>
      <c r="P141" s="486"/>
      <c r="Q141" s="486"/>
      <c r="R141" s="486"/>
      <c r="S141" s="486"/>
      <c r="T141" s="486"/>
      <c r="U141" s="486"/>
      <c r="V141" s="486"/>
      <c r="W141" s="486"/>
      <c r="X141" s="486"/>
      <c r="Y141" s="486"/>
      <c r="Z141" s="486"/>
    </row>
    <row r="142">
      <c r="A142" s="514"/>
      <c r="B142" s="509">
        <v>46206.0</v>
      </c>
      <c r="C142" s="496"/>
      <c r="D142" s="510"/>
      <c r="E142" s="511">
        <f>7900*8</f>
        <v>63200</v>
      </c>
      <c r="F142" s="512" t="s">
        <v>164</v>
      </c>
      <c r="G142" s="512" t="s">
        <v>699</v>
      </c>
      <c r="H142" s="396" t="s">
        <v>700</v>
      </c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6"/>
      <c r="V142" s="486"/>
      <c r="W142" s="486"/>
      <c r="X142" s="486"/>
      <c r="Y142" s="486"/>
      <c r="Z142" s="486"/>
    </row>
    <row r="143">
      <c r="A143" s="514">
        <v>46169.0</v>
      </c>
      <c r="B143" s="509">
        <v>46213.0</v>
      </c>
      <c r="C143" s="496"/>
      <c r="D143" s="510">
        <v>956456.0</v>
      </c>
      <c r="E143" s="511">
        <v>20000.0</v>
      </c>
      <c r="F143" s="512" t="s">
        <v>97</v>
      </c>
      <c r="G143" s="512" t="s">
        <v>701</v>
      </c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6"/>
      <c r="V143" s="486"/>
      <c r="W143" s="486"/>
      <c r="X143" s="486"/>
      <c r="Y143" s="486"/>
      <c r="Z143" s="486"/>
    </row>
    <row r="144" ht="12.75" customHeight="1">
      <c r="A144" s="493">
        <v>46130.0</v>
      </c>
      <c r="B144" s="513">
        <v>46213.0</v>
      </c>
      <c r="C144" s="501"/>
      <c r="D144" s="502">
        <v>943044.0</v>
      </c>
      <c r="E144" s="503">
        <v>20000.0</v>
      </c>
      <c r="F144" s="504" t="s">
        <v>405</v>
      </c>
      <c r="G144" s="504" t="s">
        <v>702</v>
      </c>
      <c r="H144" s="342"/>
      <c r="I144" s="342"/>
      <c r="J144" s="342"/>
      <c r="K144" s="342"/>
      <c r="L144" s="342"/>
      <c r="M144" s="342"/>
      <c r="N144" s="342"/>
      <c r="O144" s="341"/>
      <c r="P144" s="341"/>
      <c r="Q144" s="342"/>
      <c r="R144" s="342"/>
      <c r="S144" s="341"/>
      <c r="T144" s="342"/>
      <c r="U144" s="342"/>
      <c r="V144" s="342"/>
      <c r="W144" s="342"/>
      <c r="X144" s="342"/>
      <c r="Y144" s="342"/>
      <c r="Z144" s="342"/>
    </row>
    <row r="145">
      <c r="A145" s="493">
        <v>46102.0</v>
      </c>
      <c r="B145" s="494">
        <v>46146.0</v>
      </c>
      <c r="C145" s="496"/>
      <c r="D145" s="483">
        <v>943019.0</v>
      </c>
      <c r="E145" s="484">
        <v>10500.0</v>
      </c>
      <c r="F145" s="485" t="s">
        <v>183</v>
      </c>
      <c r="G145" s="485" t="s">
        <v>368</v>
      </c>
      <c r="H145" s="396" t="s">
        <v>703</v>
      </c>
      <c r="I145" s="486"/>
      <c r="J145" s="486"/>
      <c r="K145" s="486"/>
      <c r="L145" s="486"/>
      <c r="M145" s="486"/>
      <c r="N145" s="486"/>
      <c r="O145" s="486"/>
      <c r="P145" s="486"/>
      <c r="Q145" s="486"/>
      <c r="R145" s="486"/>
      <c r="S145" s="486"/>
      <c r="T145" s="486"/>
      <c r="U145" s="486"/>
      <c r="V145" s="486"/>
      <c r="W145" s="486"/>
      <c r="X145" s="486"/>
      <c r="Y145" s="486"/>
      <c r="Z145" s="486"/>
    </row>
    <row r="146" ht="12.75" customHeight="1">
      <c r="A146" s="493">
        <v>46102.0</v>
      </c>
      <c r="B146" s="356">
        <v>46148.0</v>
      </c>
      <c r="C146" s="374"/>
      <c r="D146" s="358">
        <v>943013.0</v>
      </c>
      <c r="E146" s="359">
        <v>15550.0</v>
      </c>
      <c r="F146" s="360" t="s">
        <v>183</v>
      </c>
      <c r="G146" s="360" t="s">
        <v>372</v>
      </c>
      <c r="H146" s="396" t="s">
        <v>703</v>
      </c>
      <c r="I146" s="339"/>
      <c r="J146" s="339"/>
      <c r="K146" s="339"/>
      <c r="L146" s="339"/>
      <c r="M146" s="339"/>
      <c r="N146" s="339"/>
      <c r="O146" s="340"/>
      <c r="P146" s="341"/>
      <c r="Q146" s="342"/>
      <c r="R146" s="342"/>
      <c r="S146" s="341"/>
      <c r="T146" s="342"/>
      <c r="U146" s="342"/>
      <c r="V146" s="342"/>
      <c r="W146" s="342"/>
      <c r="X146" s="342"/>
      <c r="Y146" s="342"/>
      <c r="Z146" s="342"/>
    </row>
    <row r="147">
      <c r="A147" s="514"/>
      <c r="B147" s="509">
        <v>46212.0</v>
      </c>
      <c r="C147" s="496"/>
      <c r="D147" s="510"/>
      <c r="E147" s="511">
        <v>8726.58</v>
      </c>
      <c r="F147" s="512" t="s">
        <v>704</v>
      </c>
      <c r="G147" s="512" t="s">
        <v>705</v>
      </c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486"/>
      <c r="W147" s="486"/>
      <c r="X147" s="486"/>
      <c r="Y147" s="486"/>
      <c r="Z147" s="486"/>
    </row>
    <row r="148">
      <c r="A148" s="514"/>
      <c r="B148" s="509">
        <v>46218.0</v>
      </c>
      <c r="C148" s="496"/>
      <c r="D148" s="510"/>
      <c r="E148" s="511">
        <v>20000.0</v>
      </c>
      <c r="F148" s="512" t="s">
        <v>57</v>
      </c>
      <c r="G148" s="512"/>
      <c r="H148" s="486"/>
      <c r="I148" s="486"/>
      <c r="J148" s="486"/>
      <c r="K148" s="486"/>
      <c r="L148" s="486"/>
      <c r="M148" s="486"/>
      <c r="N148" s="486"/>
      <c r="O148" s="486"/>
      <c r="P148" s="486"/>
      <c r="Q148" s="486"/>
      <c r="R148" s="486"/>
      <c r="S148" s="486"/>
      <c r="T148" s="486"/>
      <c r="U148" s="486"/>
      <c r="V148" s="486"/>
      <c r="W148" s="486"/>
      <c r="X148" s="486"/>
      <c r="Y148" s="486"/>
      <c r="Z148" s="486"/>
    </row>
    <row r="149">
      <c r="A149" s="514">
        <v>46169.0</v>
      </c>
      <c r="B149" s="509">
        <v>46218.0</v>
      </c>
      <c r="C149" s="496"/>
      <c r="D149" s="510">
        <v>956458.0</v>
      </c>
      <c r="E149" s="511">
        <v>15000.0</v>
      </c>
      <c r="F149" s="512" t="s">
        <v>97</v>
      </c>
      <c r="G149" s="512" t="s">
        <v>706</v>
      </c>
      <c r="H149" s="486"/>
      <c r="I149" s="486"/>
      <c r="J149" s="486"/>
      <c r="K149" s="486"/>
      <c r="L149" s="486"/>
      <c r="M149" s="486"/>
      <c r="N149" s="486"/>
      <c r="O149" s="486"/>
      <c r="P149" s="486"/>
      <c r="Q149" s="486"/>
      <c r="R149" s="486"/>
      <c r="S149" s="486"/>
      <c r="T149" s="486"/>
      <c r="U149" s="486"/>
      <c r="V149" s="486"/>
      <c r="W149" s="486"/>
      <c r="X149" s="486"/>
      <c r="Y149" s="486"/>
      <c r="Z149" s="486"/>
    </row>
    <row r="150">
      <c r="A150" s="482"/>
      <c r="B150" s="494">
        <v>46218.0</v>
      </c>
      <c r="C150" s="496"/>
      <c r="D150" s="483"/>
      <c r="E150" s="484">
        <v>15000.0</v>
      </c>
      <c r="F150" s="485" t="s">
        <v>707</v>
      </c>
      <c r="G150" s="485"/>
      <c r="H150" s="486"/>
      <c r="I150" s="486"/>
      <c r="J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486"/>
      <c r="U150" s="486"/>
      <c r="V150" s="486"/>
      <c r="W150" s="486"/>
      <c r="X150" s="486"/>
      <c r="Y150" s="486"/>
      <c r="Z150" s="486"/>
    </row>
    <row r="151">
      <c r="A151" s="482"/>
      <c r="B151" s="494">
        <v>46220.0</v>
      </c>
      <c r="C151" s="496"/>
      <c r="D151" s="483">
        <v>956477.0</v>
      </c>
      <c r="E151" s="484">
        <v>22580.0</v>
      </c>
      <c r="F151" s="485" t="s">
        <v>97</v>
      </c>
      <c r="G151" s="485" t="s">
        <v>477</v>
      </c>
      <c r="H151" s="486"/>
      <c r="I151" s="486"/>
      <c r="J151" s="486"/>
      <c r="K151" s="486"/>
      <c r="L151" s="486"/>
      <c r="M151" s="486"/>
      <c r="N151" s="486"/>
      <c r="O151" s="486"/>
      <c r="P151" s="486"/>
      <c r="Q151" s="486"/>
      <c r="R151" s="486"/>
      <c r="S151" s="486"/>
      <c r="T151" s="486"/>
      <c r="U151" s="486"/>
      <c r="V151" s="486"/>
      <c r="W151" s="486"/>
      <c r="X151" s="486"/>
      <c r="Y151" s="486"/>
      <c r="Z151" s="486"/>
    </row>
    <row r="152">
      <c r="A152" s="493"/>
      <c r="B152" s="494">
        <v>46220.0</v>
      </c>
      <c r="C152" s="496"/>
      <c r="D152" s="498"/>
      <c r="E152" s="499">
        <v>4263.29</v>
      </c>
      <c r="F152" s="500" t="s">
        <v>708</v>
      </c>
      <c r="G152" s="500" t="s">
        <v>709</v>
      </c>
      <c r="H152" s="486"/>
      <c r="I152" s="486"/>
      <c r="J152" s="486"/>
      <c r="K152" s="486"/>
      <c r="L152" s="486"/>
      <c r="M152" s="486"/>
      <c r="N152" s="486"/>
      <c r="O152" s="486"/>
      <c r="P152" s="486"/>
      <c r="Q152" s="486"/>
      <c r="R152" s="486"/>
      <c r="S152" s="486"/>
      <c r="T152" s="486"/>
      <c r="U152" s="486"/>
      <c r="V152" s="486"/>
      <c r="W152" s="486"/>
      <c r="X152" s="486"/>
      <c r="Y152" s="486"/>
      <c r="Z152" s="486"/>
    </row>
    <row r="153" ht="12.75" customHeight="1">
      <c r="A153" s="493">
        <v>46102.0</v>
      </c>
      <c r="B153" s="356">
        <v>46161.0</v>
      </c>
      <c r="C153" s="501"/>
      <c r="D153" s="358">
        <v>943014.0</v>
      </c>
      <c r="E153" s="520">
        <v>11750.0</v>
      </c>
      <c r="F153" s="504" t="s">
        <v>183</v>
      </c>
      <c r="G153" s="504" t="s">
        <v>375</v>
      </c>
      <c r="H153" s="396" t="s">
        <v>710</v>
      </c>
      <c r="I153" s="342"/>
      <c r="J153" s="342"/>
      <c r="K153" s="342"/>
      <c r="L153" s="342"/>
      <c r="M153" s="342"/>
      <c r="N153" s="342"/>
      <c r="O153" s="341"/>
      <c r="P153" s="341"/>
      <c r="Q153" s="342"/>
      <c r="R153" s="342"/>
      <c r="S153" s="341"/>
      <c r="T153" s="342"/>
      <c r="U153" s="342"/>
      <c r="V153" s="342"/>
      <c r="W153" s="342"/>
      <c r="X153" s="342"/>
      <c r="Y153" s="342"/>
      <c r="Z153" s="342"/>
    </row>
    <row r="154" ht="12.75" customHeight="1">
      <c r="A154" s="493">
        <v>46102.0</v>
      </c>
      <c r="B154" s="356">
        <v>46166.0</v>
      </c>
      <c r="C154" s="501"/>
      <c r="D154" s="358">
        <v>943015.0</v>
      </c>
      <c r="E154" s="520">
        <v>20000.0</v>
      </c>
      <c r="F154" s="504" t="s">
        <v>183</v>
      </c>
      <c r="G154" s="504" t="s">
        <v>711</v>
      </c>
      <c r="H154" s="396" t="s">
        <v>710</v>
      </c>
      <c r="I154" s="342"/>
      <c r="J154" s="342"/>
      <c r="K154" s="342"/>
      <c r="L154" s="342"/>
      <c r="M154" s="342"/>
      <c r="N154" s="342"/>
      <c r="O154" s="341"/>
      <c r="P154" s="341"/>
      <c r="Q154" s="342"/>
      <c r="R154" s="342"/>
      <c r="S154" s="341"/>
      <c r="T154" s="342"/>
      <c r="U154" s="342"/>
      <c r="V154" s="342"/>
      <c r="W154" s="342"/>
      <c r="X154" s="342"/>
      <c r="Y154" s="342"/>
      <c r="Z154" s="342"/>
    </row>
    <row r="155">
      <c r="A155" s="493"/>
      <c r="B155" s="494">
        <v>46222.0</v>
      </c>
      <c r="C155" s="496"/>
      <c r="D155" s="498"/>
      <c r="E155" s="499">
        <v>3331.0</v>
      </c>
      <c r="F155" s="500" t="s">
        <v>712</v>
      </c>
      <c r="G155" s="500" t="s">
        <v>713</v>
      </c>
      <c r="H155" s="486"/>
      <c r="I155" s="486"/>
      <c r="J155" s="486"/>
      <c r="K155" s="486"/>
      <c r="L155" s="486"/>
      <c r="M155" s="486"/>
      <c r="N155" s="486"/>
      <c r="O155" s="486"/>
      <c r="P155" s="486"/>
      <c r="Q155" s="486"/>
      <c r="R155" s="486"/>
      <c r="S155" s="486"/>
      <c r="T155" s="486"/>
      <c r="U155" s="486"/>
      <c r="V155" s="486"/>
      <c r="W155" s="486"/>
      <c r="X155" s="486"/>
      <c r="Y155" s="486"/>
      <c r="Z155" s="486"/>
    </row>
    <row r="156">
      <c r="A156" s="493">
        <v>46143.0</v>
      </c>
      <c r="B156" s="497">
        <v>46222.0</v>
      </c>
      <c r="C156" s="496"/>
      <c r="D156" s="498">
        <v>956452.0</v>
      </c>
      <c r="E156" s="499">
        <v>7360.0</v>
      </c>
      <c r="F156" s="500" t="s">
        <v>405</v>
      </c>
      <c r="G156" s="500" t="s">
        <v>450</v>
      </c>
      <c r="H156" s="486"/>
      <c r="I156" s="486"/>
      <c r="J156" s="486"/>
      <c r="K156" s="486"/>
      <c r="L156" s="486"/>
      <c r="M156" s="486"/>
      <c r="N156" s="486"/>
      <c r="O156" s="486"/>
      <c r="P156" s="486"/>
      <c r="Q156" s="486"/>
      <c r="R156" s="486"/>
      <c r="S156" s="486"/>
      <c r="T156" s="486"/>
      <c r="U156" s="486"/>
      <c r="V156" s="486"/>
      <c r="W156" s="486"/>
      <c r="X156" s="486"/>
      <c r="Y156" s="486"/>
      <c r="Z156" s="486"/>
    </row>
    <row r="157">
      <c r="A157" s="514">
        <v>46169.0</v>
      </c>
      <c r="B157" s="509">
        <v>46223.0</v>
      </c>
      <c r="C157" s="496"/>
      <c r="D157" s="510">
        <v>956459.0</v>
      </c>
      <c r="E157" s="511">
        <v>18685.0</v>
      </c>
      <c r="F157" s="512" t="s">
        <v>97</v>
      </c>
      <c r="G157" s="512" t="s">
        <v>714</v>
      </c>
      <c r="H157" s="486"/>
      <c r="I157" s="486"/>
      <c r="J157" s="486"/>
      <c r="K157" s="486"/>
      <c r="L157" s="486"/>
      <c r="M157" s="486"/>
      <c r="N157" s="486"/>
      <c r="O157" s="486"/>
      <c r="P157" s="486"/>
      <c r="Q157" s="486"/>
      <c r="R157" s="486"/>
      <c r="S157" s="486"/>
      <c r="T157" s="486"/>
      <c r="U157" s="486"/>
      <c r="V157" s="486"/>
      <c r="W157" s="486"/>
      <c r="X157" s="486"/>
      <c r="Y157" s="486"/>
      <c r="Z157" s="486"/>
    </row>
    <row r="158" ht="12.75" customHeight="1">
      <c r="A158" s="355">
        <v>45908.0</v>
      </c>
      <c r="B158" s="356">
        <v>46223.0</v>
      </c>
      <c r="C158" s="374"/>
      <c r="D158" s="358">
        <v>938026.0</v>
      </c>
      <c r="E158" s="359">
        <v>20000.0</v>
      </c>
      <c r="F158" s="360" t="s">
        <v>145</v>
      </c>
      <c r="G158" s="360"/>
      <c r="H158" s="360"/>
      <c r="I158" s="360"/>
      <c r="J158" s="360"/>
      <c r="K158" s="360"/>
      <c r="L158" s="339"/>
      <c r="M158" s="339"/>
      <c r="N158" s="339"/>
      <c r="O158" s="340"/>
      <c r="P158" s="340"/>
      <c r="Q158" s="339"/>
      <c r="R158" s="339"/>
      <c r="S158" s="340"/>
      <c r="T158" s="342"/>
      <c r="U158" s="342"/>
      <c r="V158" s="342"/>
      <c r="W158" s="342"/>
      <c r="X158" s="342"/>
      <c r="Y158" s="342"/>
      <c r="Z158" s="342"/>
    </row>
    <row r="159">
      <c r="A159" s="493">
        <v>46102.0</v>
      </c>
      <c r="B159" s="494">
        <v>46176.0</v>
      </c>
      <c r="C159" s="496"/>
      <c r="D159" s="483">
        <v>943021.0</v>
      </c>
      <c r="E159" s="484">
        <v>20000.0</v>
      </c>
      <c r="F159" s="485" t="s">
        <v>183</v>
      </c>
      <c r="G159" s="485" t="s">
        <v>715</v>
      </c>
      <c r="H159" s="396" t="s">
        <v>716</v>
      </c>
      <c r="I159" s="486"/>
      <c r="J159" s="486"/>
      <c r="K159" s="486"/>
      <c r="L159" s="486"/>
      <c r="M159" s="486"/>
      <c r="N159" s="486"/>
      <c r="O159" s="486"/>
      <c r="P159" s="486"/>
      <c r="Q159" s="486"/>
      <c r="R159" s="486"/>
      <c r="S159" s="486"/>
      <c r="T159" s="486"/>
      <c r="U159" s="486"/>
      <c r="V159" s="486"/>
      <c r="W159" s="486"/>
      <c r="X159" s="486"/>
      <c r="Y159" s="486"/>
      <c r="Z159" s="486"/>
    </row>
    <row r="160" ht="12.75" customHeight="1">
      <c r="A160" s="493">
        <v>46102.0</v>
      </c>
      <c r="B160" s="356">
        <v>46178.0</v>
      </c>
      <c r="C160" s="501"/>
      <c r="D160" s="358">
        <v>943016.0</v>
      </c>
      <c r="E160" s="520">
        <v>23850.0</v>
      </c>
      <c r="F160" s="504" t="s">
        <v>183</v>
      </c>
      <c r="G160" s="504" t="s">
        <v>711</v>
      </c>
      <c r="H160" s="396" t="s">
        <v>716</v>
      </c>
      <c r="I160" s="342"/>
      <c r="J160" s="342"/>
      <c r="K160" s="342"/>
      <c r="L160" s="342"/>
      <c r="M160" s="342"/>
      <c r="N160" s="342"/>
      <c r="O160" s="341"/>
      <c r="P160" s="341"/>
      <c r="Q160" s="342"/>
      <c r="R160" s="342"/>
      <c r="S160" s="341"/>
      <c r="T160" s="342"/>
      <c r="U160" s="342"/>
      <c r="V160" s="342"/>
      <c r="W160" s="342"/>
      <c r="X160" s="342"/>
      <c r="Y160" s="342"/>
      <c r="Z160" s="342"/>
    </row>
    <row r="161">
      <c r="A161" s="482"/>
      <c r="B161" s="494">
        <v>46227.0</v>
      </c>
      <c r="C161" s="496"/>
      <c r="D161" s="483">
        <v>956478.0</v>
      </c>
      <c r="E161" s="484">
        <v>17350.0</v>
      </c>
      <c r="F161" s="485" t="s">
        <v>97</v>
      </c>
      <c r="G161" s="485" t="s">
        <v>481</v>
      </c>
      <c r="H161" s="486"/>
      <c r="I161" s="486"/>
      <c r="J161" s="486"/>
      <c r="K161" s="486"/>
      <c r="L161" s="486"/>
      <c r="M161" s="486"/>
      <c r="N161" s="486"/>
      <c r="O161" s="486"/>
      <c r="P161" s="486"/>
      <c r="Q161" s="486"/>
      <c r="R161" s="486"/>
      <c r="S161" s="486"/>
      <c r="T161" s="486"/>
      <c r="U161" s="486"/>
      <c r="V161" s="486"/>
      <c r="W161" s="486"/>
      <c r="X161" s="486"/>
      <c r="Y161" s="486"/>
      <c r="Z161" s="486"/>
    </row>
    <row r="162" ht="12.75" customHeight="1">
      <c r="A162" s="493"/>
      <c r="B162" s="494">
        <v>46227.0</v>
      </c>
      <c r="C162" s="501"/>
      <c r="D162" s="502">
        <v>956494.0</v>
      </c>
      <c r="E162" s="503">
        <v>4150.0</v>
      </c>
      <c r="F162" s="485" t="s">
        <v>97</v>
      </c>
      <c r="G162" s="485" t="s">
        <v>479</v>
      </c>
      <c r="H162" s="342"/>
      <c r="I162" s="342"/>
      <c r="J162" s="342"/>
      <c r="K162" s="342"/>
      <c r="L162" s="342"/>
      <c r="M162" s="342"/>
      <c r="N162" s="342"/>
      <c r="O162" s="341"/>
      <c r="P162" s="341"/>
      <c r="Q162" s="342"/>
      <c r="R162" s="342"/>
      <c r="S162" s="341"/>
      <c r="T162" s="342"/>
      <c r="U162" s="342"/>
      <c r="V162" s="342"/>
      <c r="W162" s="342"/>
      <c r="X162" s="342"/>
      <c r="Y162" s="342"/>
      <c r="Z162" s="342"/>
    </row>
    <row r="163" ht="12.75" customHeight="1">
      <c r="A163" s="367"/>
      <c r="B163" s="356">
        <v>46234.0</v>
      </c>
      <c r="C163" s="374"/>
      <c r="D163" s="483"/>
      <c r="E163" s="499">
        <v>55300.0</v>
      </c>
      <c r="F163" s="500" t="s">
        <v>128</v>
      </c>
      <c r="G163" s="500" t="s">
        <v>717</v>
      </c>
      <c r="H163" s="360" t="s">
        <v>718</v>
      </c>
      <c r="I163" s="360"/>
      <c r="J163" s="360"/>
      <c r="K163" s="360"/>
      <c r="L163" s="339"/>
      <c r="M163" s="339"/>
      <c r="N163" s="339"/>
      <c r="O163" s="340"/>
      <c r="P163" s="340"/>
      <c r="Q163" s="339"/>
      <c r="R163" s="339"/>
      <c r="S163" s="340"/>
      <c r="T163" s="342"/>
      <c r="U163" s="342"/>
      <c r="V163" s="342"/>
      <c r="W163" s="342"/>
      <c r="X163" s="342"/>
      <c r="Y163" s="342"/>
      <c r="Z163" s="342"/>
    </row>
    <row r="164" ht="12.75" customHeight="1">
      <c r="A164" s="367"/>
      <c r="B164" s="356">
        <v>46234.0</v>
      </c>
      <c r="C164" s="374"/>
      <c r="D164" s="483">
        <v>956495.0</v>
      </c>
      <c r="E164" s="499">
        <v>34950.0</v>
      </c>
      <c r="F164" s="500" t="s">
        <v>97</v>
      </c>
      <c r="G164" s="500" t="s">
        <v>478</v>
      </c>
      <c r="H164" s="360"/>
      <c r="I164" s="360"/>
      <c r="J164" s="360"/>
      <c r="K164" s="360"/>
      <c r="L164" s="339"/>
      <c r="M164" s="339"/>
      <c r="N164" s="339"/>
      <c r="O164" s="340"/>
      <c r="P164" s="340"/>
      <c r="Q164" s="339"/>
      <c r="R164" s="339"/>
      <c r="S164" s="340"/>
      <c r="T164" s="342"/>
      <c r="U164" s="342"/>
      <c r="V164" s="342"/>
      <c r="W164" s="342"/>
      <c r="X164" s="342"/>
      <c r="Y164" s="342"/>
      <c r="Z164" s="342"/>
    </row>
    <row r="165" ht="12.75" customHeight="1">
      <c r="A165" s="367"/>
      <c r="B165" s="356">
        <v>46234.0</v>
      </c>
      <c r="C165" s="374"/>
      <c r="D165" s="369"/>
      <c r="E165" s="359">
        <v>20000.0</v>
      </c>
      <c r="F165" s="360" t="s">
        <v>57</v>
      </c>
      <c r="G165" s="360"/>
      <c r="H165" s="360"/>
      <c r="I165" s="360"/>
      <c r="J165" s="360"/>
      <c r="K165" s="360"/>
      <c r="L165" s="339"/>
      <c r="M165" s="339"/>
      <c r="N165" s="339"/>
      <c r="O165" s="340"/>
      <c r="P165" s="340"/>
      <c r="Q165" s="339"/>
      <c r="R165" s="339"/>
      <c r="S165" s="340"/>
      <c r="T165" s="342"/>
      <c r="U165" s="342"/>
      <c r="V165" s="342"/>
      <c r="W165" s="342"/>
      <c r="X165" s="342"/>
      <c r="Y165" s="342"/>
      <c r="Z165" s="342"/>
    </row>
    <row r="166">
      <c r="A166" s="493">
        <v>46102.0</v>
      </c>
      <c r="B166" s="494">
        <v>46182.0</v>
      </c>
      <c r="C166" s="496"/>
      <c r="D166" s="483">
        <v>943023.0</v>
      </c>
      <c r="E166" s="484">
        <v>20680.0</v>
      </c>
      <c r="F166" s="485" t="s">
        <v>183</v>
      </c>
      <c r="G166" s="485" t="s">
        <v>719</v>
      </c>
      <c r="H166" s="396" t="s">
        <v>720</v>
      </c>
      <c r="I166" s="486"/>
      <c r="J166" s="486"/>
      <c r="K166" s="486"/>
      <c r="L166" s="486"/>
      <c r="M166" s="486"/>
      <c r="N166" s="486"/>
      <c r="O166" s="486"/>
      <c r="P166" s="486"/>
      <c r="Q166" s="486"/>
      <c r="R166" s="486"/>
      <c r="S166" s="486"/>
      <c r="T166" s="486"/>
      <c r="U166" s="486"/>
      <c r="V166" s="486"/>
      <c r="W166" s="486"/>
      <c r="X166" s="486"/>
      <c r="Y166" s="486"/>
      <c r="Z166" s="486"/>
    </row>
    <row r="167">
      <c r="A167" s="493">
        <v>46102.0</v>
      </c>
      <c r="B167" s="494">
        <v>46189.0</v>
      </c>
      <c r="C167" s="496"/>
      <c r="D167" s="483">
        <v>943025.0</v>
      </c>
      <c r="E167" s="484">
        <v>14300.0</v>
      </c>
      <c r="F167" s="485" t="s">
        <v>183</v>
      </c>
      <c r="G167" s="485" t="s">
        <v>646</v>
      </c>
      <c r="H167" s="396" t="s">
        <v>720</v>
      </c>
      <c r="I167" s="486"/>
      <c r="J167" s="486"/>
      <c r="K167" s="486"/>
      <c r="L167" s="486"/>
      <c r="M167" s="486"/>
      <c r="N167" s="486"/>
      <c r="O167" s="486"/>
      <c r="P167" s="486"/>
      <c r="Q167" s="486"/>
      <c r="R167" s="486"/>
      <c r="S167" s="486"/>
      <c r="T167" s="486"/>
      <c r="U167" s="486"/>
      <c r="V167" s="486"/>
      <c r="W167" s="486"/>
      <c r="X167" s="486"/>
      <c r="Y167" s="486"/>
      <c r="Z167" s="486"/>
    </row>
    <row r="168">
      <c r="A168" s="493">
        <v>46130.0</v>
      </c>
      <c r="B168" s="494">
        <v>46196.0</v>
      </c>
      <c r="C168" s="496"/>
      <c r="D168" s="483">
        <v>943035.0</v>
      </c>
      <c r="E168" s="484">
        <v>5250.0</v>
      </c>
      <c r="F168" s="485" t="s">
        <v>183</v>
      </c>
      <c r="G168" s="485" t="s">
        <v>414</v>
      </c>
      <c r="H168" s="396" t="s">
        <v>720</v>
      </c>
      <c r="I168" s="486"/>
      <c r="J168" s="486"/>
      <c r="K168" s="486"/>
      <c r="L168" s="486"/>
      <c r="M168" s="486"/>
      <c r="N168" s="486"/>
      <c r="O168" s="486"/>
      <c r="P168" s="486"/>
      <c r="Q168" s="486"/>
      <c r="R168" s="486"/>
      <c r="S168" s="486"/>
      <c r="T168" s="486"/>
      <c r="U168" s="486"/>
      <c r="V168" s="486"/>
      <c r="W168" s="486"/>
      <c r="X168" s="486"/>
      <c r="Y168" s="486"/>
      <c r="Z168" s="486"/>
    </row>
    <row r="169" ht="12.75" customHeight="1">
      <c r="A169" s="488"/>
      <c r="B169" s="489"/>
      <c r="C169" s="490"/>
      <c r="D169" s="491"/>
      <c r="E169" s="492"/>
      <c r="F169" s="360"/>
      <c r="G169" s="360"/>
      <c r="H169" s="360"/>
      <c r="I169" s="360"/>
      <c r="J169" s="360"/>
      <c r="K169" s="360"/>
      <c r="L169" s="339"/>
      <c r="M169" s="339"/>
      <c r="N169" s="339"/>
      <c r="O169" s="340"/>
      <c r="P169" s="340"/>
      <c r="Q169" s="339"/>
      <c r="R169" s="339"/>
      <c r="S169" s="340"/>
      <c r="T169" s="342"/>
      <c r="U169" s="342"/>
      <c r="V169" s="342"/>
      <c r="W169" s="342"/>
      <c r="X169" s="342"/>
      <c r="Y169" s="342"/>
      <c r="Z169" s="342"/>
    </row>
    <row r="170">
      <c r="A170" s="508"/>
      <c r="B170" s="509">
        <v>46237.0</v>
      </c>
      <c r="C170" s="496"/>
      <c r="D170" s="510"/>
      <c r="E170" s="511">
        <v>6000.0</v>
      </c>
      <c r="F170" s="512" t="s">
        <v>721</v>
      </c>
      <c r="G170" s="512" t="s">
        <v>722</v>
      </c>
      <c r="H170" s="486"/>
      <c r="I170" s="486"/>
      <c r="J170" s="486"/>
      <c r="K170" s="486"/>
      <c r="L170" s="486"/>
      <c r="M170" s="486"/>
      <c r="N170" s="486"/>
      <c r="O170" s="486"/>
      <c r="P170" s="486"/>
      <c r="Q170" s="486"/>
      <c r="R170" s="486"/>
      <c r="S170" s="486"/>
      <c r="T170" s="486"/>
      <c r="U170" s="486"/>
      <c r="V170" s="486"/>
      <c r="W170" s="486"/>
      <c r="X170" s="486"/>
      <c r="Y170" s="486"/>
      <c r="Z170" s="486"/>
    </row>
    <row r="171">
      <c r="A171" s="486"/>
      <c r="B171" s="509">
        <v>46238.0</v>
      </c>
      <c r="C171" s="496"/>
      <c r="D171" s="521"/>
      <c r="E171" s="511">
        <v>5973.0</v>
      </c>
      <c r="F171" s="512" t="s">
        <v>723</v>
      </c>
      <c r="G171" s="512" t="s">
        <v>724</v>
      </c>
      <c r="H171" s="486"/>
      <c r="I171" s="486"/>
      <c r="J171" s="486"/>
      <c r="K171" s="486"/>
      <c r="L171" s="486"/>
      <c r="M171" s="486"/>
      <c r="N171" s="486"/>
      <c r="O171" s="486"/>
      <c r="P171" s="486"/>
      <c r="Q171" s="486"/>
      <c r="R171" s="486"/>
      <c r="S171" s="486"/>
      <c r="T171" s="486"/>
      <c r="U171" s="486"/>
      <c r="V171" s="486"/>
      <c r="W171" s="486"/>
      <c r="X171" s="486"/>
      <c r="Y171" s="486"/>
      <c r="Z171" s="486"/>
    </row>
    <row r="172" ht="12.75" customHeight="1">
      <c r="A172" s="367"/>
      <c r="B172" s="356">
        <v>46234.0</v>
      </c>
      <c r="C172" s="374"/>
      <c r="D172" s="483"/>
      <c r="E172" s="499">
        <v>79000.0</v>
      </c>
      <c r="F172" s="500" t="s">
        <v>164</v>
      </c>
      <c r="G172" s="500" t="s">
        <v>514</v>
      </c>
      <c r="H172" s="396" t="s">
        <v>725</v>
      </c>
      <c r="I172" s="360"/>
      <c r="J172" s="360"/>
      <c r="K172" s="360"/>
      <c r="L172" s="339"/>
      <c r="M172" s="339"/>
      <c r="N172" s="339"/>
      <c r="O172" s="340"/>
      <c r="P172" s="340"/>
      <c r="Q172" s="339"/>
      <c r="R172" s="339"/>
      <c r="S172" s="340"/>
      <c r="T172" s="342"/>
      <c r="U172" s="342"/>
      <c r="V172" s="342"/>
      <c r="W172" s="342"/>
      <c r="X172" s="342"/>
      <c r="Y172" s="342"/>
      <c r="Z172" s="342"/>
    </row>
    <row r="173">
      <c r="A173" s="486"/>
      <c r="B173" s="509">
        <v>46241.0</v>
      </c>
      <c r="C173" s="496"/>
      <c r="D173" s="483">
        <v>956496.0</v>
      </c>
      <c r="E173" s="511">
        <v>29350.0</v>
      </c>
      <c r="F173" s="512" t="s">
        <v>97</v>
      </c>
      <c r="G173" s="500" t="s">
        <v>483</v>
      </c>
      <c r="H173" s="396" t="s">
        <v>726</v>
      </c>
      <c r="I173" s="486"/>
      <c r="J173" s="486"/>
      <c r="K173" s="486"/>
      <c r="L173" s="486"/>
      <c r="M173" s="486"/>
      <c r="N173" s="486"/>
      <c r="O173" s="486"/>
      <c r="P173" s="486"/>
      <c r="Q173" s="486"/>
      <c r="R173" s="486"/>
      <c r="S173" s="486"/>
      <c r="T173" s="486"/>
      <c r="U173" s="486"/>
      <c r="V173" s="486"/>
      <c r="W173" s="486"/>
      <c r="X173" s="486"/>
      <c r="Y173" s="486"/>
      <c r="Z173" s="486"/>
    </row>
    <row r="174">
      <c r="A174" s="493"/>
      <c r="B174" s="494"/>
      <c r="C174" s="522">
        <v>46241.0</v>
      </c>
      <c r="D174" s="483"/>
      <c r="E174" s="484">
        <v>10000.0</v>
      </c>
      <c r="F174" s="485" t="s">
        <v>155</v>
      </c>
      <c r="G174" s="485"/>
      <c r="H174" s="396" t="s">
        <v>727</v>
      </c>
      <c r="I174" s="486"/>
      <c r="J174" s="486"/>
      <c r="K174" s="486"/>
      <c r="L174" s="486"/>
      <c r="M174" s="486"/>
      <c r="N174" s="486"/>
      <c r="O174" s="486"/>
      <c r="P174" s="486"/>
      <c r="Q174" s="486"/>
      <c r="R174" s="486"/>
      <c r="S174" s="486"/>
      <c r="T174" s="486"/>
      <c r="U174" s="486"/>
      <c r="V174" s="486"/>
      <c r="W174" s="486"/>
      <c r="X174" s="486"/>
      <c r="Y174" s="486"/>
      <c r="Z174" s="486"/>
    </row>
    <row r="175">
      <c r="A175" s="486"/>
      <c r="B175" s="509">
        <v>46243.0</v>
      </c>
      <c r="C175" s="496"/>
      <c r="D175" s="521"/>
      <c r="E175" s="511">
        <v>8726.58</v>
      </c>
      <c r="F175" s="512" t="s">
        <v>704</v>
      </c>
      <c r="G175" s="512" t="s">
        <v>728</v>
      </c>
      <c r="H175" s="486"/>
      <c r="I175" s="486"/>
      <c r="J175" s="486"/>
      <c r="K175" s="486"/>
      <c r="L175" s="486"/>
      <c r="M175" s="486"/>
      <c r="N175" s="486"/>
      <c r="O175" s="486"/>
      <c r="P175" s="486"/>
      <c r="Q175" s="486"/>
      <c r="R175" s="486"/>
      <c r="S175" s="486"/>
      <c r="T175" s="486"/>
      <c r="U175" s="486"/>
      <c r="V175" s="486"/>
      <c r="W175" s="486"/>
      <c r="X175" s="486"/>
      <c r="Y175" s="486"/>
      <c r="Z175" s="486"/>
    </row>
    <row r="176">
      <c r="A176" s="493"/>
      <c r="B176" s="494">
        <v>46248.0</v>
      </c>
      <c r="C176" s="496"/>
      <c r="D176" s="483">
        <v>956497.0</v>
      </c>
      <c r="E176" s="499">
        <v>28360.0</v>
      </c>
      <c r="F176" s="500" t="s">
        <v>97</v>
      </c>
      <c r="G176" s="500" t="s">
        <v>491</v>
      </c>
      <c r="H176" s="486"/>
      <c r="I176" s="486"/>
      <c r="J176" s="486"/>
      <c r="K176" s="486"/>
      <c r="L176" s="486"/>
      <c r="M176" s="486"/>
      <c r="N176" s="486"/>
      <c r="O176" s="486"/>
      <c r="P176" s="486"/>
      <c r="Q176" s="486"/>
      <c r="R176" s="486"/>
      <c r="S176" s="486"/>
      <c r="T176" s="486"/>
      <c r="U176" s="486"/>
      <c r="V176" s="486"/>
      <c r="W176" s="486"/>
      <c r="X176" s="486"/>
      <c r="Y176" s="486"/>
      <c r="Z176" s="486"/>
    </row>
    <row r="177">
      <c r="A177" s="493"/>
      <c r="B177" s="494"/>
      <c r="C177" s="496"/>
      <c r="D177" s="498"/>
      <c r="E177" s="499">
        <v>18000.0</v>
      </c>
      <c r="F177" s="500" t="s">
        <v>57</v>
      </c>
      <c r="G177" s="500"/>
      <c r="H177" s="486"/>
      <c r="I177" s="486"/>
      <c r="J177" s="486"/>
      <c r="K177" s="486"/>
      <c r="L177" s="486"/>
      <c r="M177" s="486"/>
      <c r="N177" s="486"/>
      <c r="O177" s="486"/>
      <c r="P177" s="486"/>
      <c r="Q177" s="486"/>
      <c r="R177" s="486"/>
      <c r="S177" s="486"/>
      <c r="T177" s="486"/>
      <c r="U177" s="486"/>
      <c r="V177" s="486"/>
      <c r="W177" s="486"/>
      <c r="X177" s="486"/>
      <c r="Y177" s="486"/>
      <c r="Z177" s="486"/>
    </row>
    <row r="178">
      <c r="A178" s="493"/>
      <c r="B178" s="494">
        <v>46251.0</v>
      </c>
      <c r="C178" s="496"/>
      <c r="D178" s="498"/>
      <c r="E178" s="499">
        <v>4263.29</v>
      </c>
      <c r="F178" s="500" t="s">
        <v>708</v>
      </c>
      <c r="G178" s="500" t="s">
        <v>705</v>
      </c>
      <c r="H178" s="486"/>
      <c r="I178" s="486"/>
      <c r="J178" s="486"/>
      <c r="K178" s="486"/>
      <c r="L178" s="486"/>
      <c r="M178" s="486"/>
      <c r="N178" s="486"/>
      <c r="O178" s="486"/>
      <c r="P178" s="486"/>
      <c r="Q178" s="486"/>
      <c r="R178" s="486"/>
      <c r="S178" s="486"/>
      <c r="T178" s="486"/>
      <c r="U178" s="486"/>
      <c r="V178" s="486"/>
      <c r="W178" s="486"/>
      <c r="X178" s="486"/>
      <c r="Y178" s="486"/>
      <c r="Z178" s="486"/>
    </row>
    <row r="179">
      <c r="A179" s="493"/>
      <c r="B179" s="494">
        <v>46253.0</v>
      </c>
      <c r="C179" s="496"/>
      <c r="D179" s="498"/>
      <c r="E179" s="499">
        <v>3331.0</v>
      </c>
      <c r="F179" s="500" t="s">
        <v>712</v>
      </c>
      <c r="G179" s="500" t="s">
        <v>729</v>
      </c>
      <c r="H179" s="486"/>
      <c r="I179" s="486"/>
      <c r="J179" s="486"/>
      <c r="K179" s="486"/>
      <c r="L179" s="486"/>
      <c r="M179" s="486"/>
      <c r="N179" s="486"/>
      <c r="O179" s="486"/>
      <c r="P179" s="486"/>
      <c r="Q179" s="486"/>
      <c r="R179" s="486"/>
      <c r="S179" s="486"/>
      <c r="T179" s="486"/>
      <c r="U179" s="486"/>
      <c r="V179" s="486"/>
      <c r="W179" s="486"/>
      <c r="X179" s="486"/>
      <c r="Y179" s="486"/>
      <c r="Z179" s="486"/>
    </row>
    <row r="180" ht="12.75" customHeight="1">
      <c r="A180" s="355">
        <v>45908.0</v>
      </c>
      <c r="B180" s="356">
        <v>46254.0</v>
      </c>
      <c r="C180" s="374"/>
      <c r="D180" s="358">
        <v>938027.0</v>
      </c>
      <c r="E180" s="359">
        <v>20000.0</v>
      </c>
      <c r="F180" s="360" t="s">
        <v>145</v>
      </c>
      <c r="G180" s="360"/>
      <c r="H180" s="360"/>
      <c r="I180" s="360"/>
      <c r="J180" s="360"/>
      <c r="K180" s="360"/>
      <c r="L180" s="339"/>
      <c r="M180" s="339"/>
      <c r="N180" s="339"/>
      <c r="O180" s="340"/>
      <c r="P180" s="340"/>
      <c r="Q180" s="339"/>
      <c r="R180" s="339"/>
      <c r="S180" s="340"/>
      <c r="T180" s="342"/>
      <c r="U180" s="342"/>
      <c r="V180" s="342"/>
      <c r="W180" s="342"/>
      <c r="X180" s="342"/>
      <c r="Y180" s="342"/>
      <c r="Z180" s="342"/>
    </row>
    <row r="181">
      <c r="A181" s="514"/>
      <c r="B181" s="509">
        <v>46255.0</v>
      </c>
      <c r="C181" s="496"/>
      <c r="D181" s="483">
        <v>956498.0</v>
      </c>
      <c r="E181" s="499">
        <v>17500.0</v>
      </c>
      <c r="F181" s="512" t="s">
        <v>97</v>
      </c>
      <c r="G181" s="500" t="s">
        <v>495</v>
      </c>
      <c r="H181" s="486"/>
      <c r="I181" s="486"/>
      <c r="J181" s="486"/>
      <c r="K181" s="486"/>
      <c r="L181" s="486"/>
      <c r="M181" s="486"/>
      <c r="N181" s="486"/>
      <c r="O181" s="486"/>
      <c r="P181" s="486"/>
      <c r="Q181" s="486"/>
      <c r="R181" s="486"/>
      <c r="S181" s="486"/>
      <c r="T181" s="486"/>
      <c r="U181" s="486"/>
      <c r="V181" s="486"/>
      <c r="W181" s="486"/>
      <c r="X181" s="486"/>
      <c r="Y181" s="486"/>
      <c r="Z181" s="486"/>
    </row>
    <row r="182">
      <c r="A182" s="514"/>
      <c r="B182" s="509">
        <v>46255.0</v>
      </c>
      <c r="C182" s="496"/>
      <c r="D182" s="483">
        <v>956499.0</v>
      </c>
      <c r="E182" s="511">
        <v>15000.0</v>
      </c>
      <c r="F182" s="512" t="s">
        <v>97</v>
      </c>
      <c r="G182" s="500" t="s">
        <v>730</v>
      </c>
      <c r="H182" s="486"/>
      <c r="I182" s="486"/>
      <c r="J182" s="486"/>
      <c r="K182" s="486"/>
      <c r="L182" s="486"/>
      <c r="M182" s="486"/>
      <c r="N182" s="486"/>
      <c r="O182" s="486"/>
      <c r="P182" s="486"/>
      <c r="Q182" s="486"/>
      <c r="R182" s="486"/>
      <c r="S182" s="486"/>
      <c r="T182" s="486"/>
      <c r="U182" s="486"/>
      <c r="V182" s="486"/>
      <c r="W182" s="486"/>
      <c r="X182" s="486"/>
      <c r="Y182" s="486"/>
      <c r="Z182" s="486"/>
    </row>
    <row r="183">
      <c r="A183" s="486"/>
      <c r="B183" s="509">
        <v>46241.0</v>
      </c>
      <c r="C183" s="496"/>
      <c r="D183" s="521"/>
      <c r="E183" s="499">
        <v>79000.0</v>
      </c>
      <c r="F183" s="512" t="s">
        <v>164</v>
      </c>
      <c r="G183" s="500" t="s">
        <v>535</v>
      </c>
      <c r="H183" s="523" t="s">
        <v>731</v>
      </c>
      <c r="I183" s="524"/>
      <c r="J183" s="524"/>
      <c r="K183" s="486"/>
      <c r="L183" s="486"/>
      <c r="M183" s="486"/>
      <c r="N183" s="486"/>
      <c r="O183" s="486"/>
      <c r="P183" s="486"/>
      <c r="Q183" s="486"/>
      <c r="R183" s="486"/>
      <c r="S183" s="486"/>
      <c r="T183" s="486"/>
      <c r="U183" s="486"/>
      <c r="V183" s="486"/>
      <c r="W183" s="486"/>
      <c r="X183" s="486"/>
      <c r="Y183" s="486"/>
      <c r="Z183" s="486"/>
    </row>
    <row r="184" ht="12.75" customHeight="1">
      <c r="A184" s="367"/>
      <c r="B184" s="356">
        <v>46262.0</v>
      </c>
      <c r="C184" s="374"/>
      <c r="D184" s="483">
        <v>956500.0</v>
      </c>
      <c r="E184" s="359">
        <v>18705.0</v>
      </c>
      <c r="F184" s="512" t="s">
        <v>97</v>
      </c>
      <c r="G184" s="500" t="s">
        <v>732</v>
      </c>
      <c r="H184" s="360"/>
      <c r="I184" s="360"/>
      <c r="J184" s="360"/>
      <c r="K184" s="360"/>
      <c r="L184" s="339"/>
      <c r="M184" s="365"/>
      <c r="N184" s="365"/>
      <c r="O184" s="363"/>
      <c r="P184" s="363"/>
      <c r="Q184" s="339"/>
      <c r="R184" s="339"/>
      <c r="S184" s="340"/>
      <c r="T184" s="342"/>
      <c r="U184" s="342"/>
      <c r="V184" s="342"/>
      <c r="W184" s="342"/>
      <c r="X184" s="342"/>
      <c r="Y184" s="342"/>
      <c r="Z184" s="342"/>
    </row>
    <row r="185" ht="12.75" customHeight="1">
      <c r="A185" s="367"/>
      <c r="B185" s="356">
        <v>46262.0</v>
      </c>
      <c r="C185" s="374"/>
      <c r="D185" s="483">
        <v>956502.0</v>
      </c>
      <c r="E185" s="359">
        <v>15000.0</v>
      </c>
      <c r="F185" s="360" t="s">
        <v>97</v>
      </c>
      <c r="G185" s="500" t="s">
        <v>733</v>
      </c>
      <c r="H185" s="360"/>
      <c r="I185" s="360"/>
      <c r="J185" s="360"/>
      <c r="K185" s="360"/>
      <c r="L185" s="339"/>
      <c r="M185" s="365"/>
      <c r="N185" s="365"/>
      <c r="O185" s="363"/>
      <c r="P185" s="363"/>
      <c r="Q185" s="339"/>
      <c r="R185" s="339"/>
      <c r="S185" s="340"/>
      <c r="T185" s="342"/>
      <c r="U185" s="342"/>
      <c r="V185" s="342"/>
      <c r="W185" s="342"/>
      <c r="X185" s="342"/>
      <c r="Y185" s="342"/>
      <c r="Z185" s="342"/>
    </row>
    <row r="186">
      <c r="A186" s="486"/>
      <c r="B186" s="356">
        <v>46263.0</v>
      </c>
      <c r="C186" s="496"/>
      <c r="D186" s="521"/>
      <c r="E186" s="359">
        <v>14000.0</v>
      </c>
      <c r="F186" s="500" t="s">
        <v>57</v>
      </c>
      <c r="G186" s="486"/>
      <c r="H186" s="486"/>
      <c r="I186" s="486"/>
      <c r="J186" s="486"/>
      <c r="K186" s="486"/>
      <c r="L186" s="486"/>
      <c r="M186" s="486"/>
      <c r="N186" s="486"/>
      <c r="O186" s="486"/>
      <c r="P186" s="486"/>
      <c r="Q186" s="486"/>
      <c r="R186" s="486"/>
      <c r="S186" s="486"/>
      <c r="T186" s="486"/>
      <c r="U186" s="486"/>
      <c r="V186" s="486"/>
      <c r="W186" s="486"/>
      <c r="X186" s="486"/>
      <c r="Y186" s="486"/>
      <c r="Z186" s="486"/>
    </row>
    <row r="187">
      <c r="A187" s="493">
        <v>46143.0</v>
      </c>
      <c r="B187" s="525">
        <v>46230.0</v>
      </c>
      <c r="C187" s="526"/>
      <c r="D187" s="527">
        <v>943049.0</v>
      </c>
      <c r="E187" s="528">
        <v>34720.0</v>
      </c>
      <c r="F187" s="529" t="s">
        <v>341</v>
      </c>
      <c r="G187" s="500" t="s">
        <v>445</v>
      </c>
      <c r="H187" s="530" t="s">
        <v>734</v>
      </c>
      <c r="I187" s="485" t="s">
        <v>735</v>
      </c>
      <c r="J187" s="486"/>
      <c r="K187" s="486"/>
      <c r="L187" s="486"/>
      <c r="M187" s="486"/>
      <c r="N187" s="486"/>
      <c r="O187" s="486"/>
      <c r="P187" s="486"/>
      <c r="Q187" s="486"/>
      <c r="R187" s="486"/>
      <c r="S187" s="486"/>
      <c r="T187" s="486"/>
      <c r="U187" s="486"/>
      <c r="V187" s="486"/>
      <c r="W187" s="486"/>
      <c r="X187" s="486"/>
      <c r="Y187" s="486"/>
      <c r="Z187" s="486"/>
    </row>
    <row r="188" ht="12.75" customHeight="1">
      <c r="A188" s="488"/>
      <c r="B188" s="489"/>
      <c r="C188" s="490"/>
      <c r="D188" s="491"/>
      <c r="E188" s="492"/>
      <c r="F188" s="360"/>
      <c r="G188" s="360"/>
      <c r="H188" s="360"/>
      <c r="I188" s="360"/>
      <c r="J188" s="360"/>
      <c r="K188" s="360"/>
      <c r="L188" s="339"/>
      <c r="M188" s="365"/>
      <c r="N188" s="365"/>
      <c r="O188" s="363"/>
      <c r="P188" s="363"/>
      <c r="Q188" s="339"/>
      <c r="R188" s="339"/>
      <c r="S188" s="340"/>
      <c r="T188" s="342"/>
      <c r="U188" s="342"/>
      <c r="V188" s="342"/>
      <c r="W188" s="342"/>
      <c r="X188" s="342"/>
      <c r="Y188" s="342"/>
      <c r="Z188" s="342"/>
    </row>
    <row r="189">
      <c r="A189" s="486"/>
      <c r="B189" s="494">
        <v>46269.0</v>
      </c>
      <c r="C189" s="496"/>
      <c r="D189" s="521"/>
      <c r="E189" s="511">
        <v>5973.0</v>
      </c>
      <c r="F189" s="512" t="s">
        <v>723</v>
      </c>
      <c r="G189" s="512" t="s">
        <v>736</v>
      </c>
      <c r="H189" s="486"/>
      <c r="I189" s="486"/>
      <c r="J189" s="486"/>
      <c r="K189" s="486"/>
      <c r="L189" s="486"/>
      <c r="M189" s="486"/>
      <c r="N189" s="486"/>
      <c r="O189" s="486"/>
      <c r="P189" s="486"/>
      <c r="Q189" s="486"/>
      <c r="R189" s="486"/>
      <c r="S189" s="486"/>
      <c r="T189" s="486"/>
      <c r="U189" s="486"/>
      <c r="V189" s="486"/>
      <c r="W189" s="486"/>
      <c r="X189" s="486"/>
      <c r="Y189" s="486"/>
      <c r="Z189" s="486"/>
    </row>
    <row r="190">
      <c r="A190" s="482"/>
      <c r="B190" s="494">
        <v>46269.0</v>
      </c>
      <c r="C190" s="496"/>
      <c r="D190" s="483">
        <v>956503.0</v>
      </c>
      <c r="E190" s="484">
        <v>15000.0</v>
      </c>
      <c r="F190" s="485" t="s">
        <v>97</v>
      </c>
      <c r="G190" s="500" t="s">
        <v>737</v>
      </c>
      <c r="H190" s="486"/>
      <c r="I190" s="486"/>
      <c r="J190" s="486"/>
      <c r="K190" s="486"/>
      <c r="L190" s="486"/>
      <c r="M190" s="486"/>
      <c r="N190" s="486"/>
      <c r="O190" s="486"/>
      <c r="P190" s="486"/>
      <c r="Q190" s="486"/>
      <c r="R190" s="486"/>
      <c r="S190" s="486"/>
      <c r="T190" s="486"/>
      <c r="U190" s="486"/>
      <c r="V190" s="486"/>
      <c r="W190" s="486"/>
      <c r="X190" s="486"/>
      <c r="Y190" s="486"/>
      <c r="Z190" s="486"/>
    </row>
    <row r="191">
      <c r="A191" s="486"/>
      <c r="B191" s="532">
        <v>46274.0</v>
      </c>
      <c r="C191" s="496"/>
      <c r="D191" s="521"/>
      <c r="E191" s="511">
        <v>8726.58</v>
      </c>
      <c r="F191" s="512" t="s">
        <v>704</v>
      </c>
      <c r="G191" s="512" t="s">
        <v>738</v>
      </c>
      <c r="H191" s="486"/>
      <c r="I191" s="486"/>
      <c r="J191" s="486"/>
      <c r="K191" s="486"/>
      <c r="L191" s="486"/>
      <c r="M191" s="486"/>
      <c r="N191" s="486"/>
      <c r="O191" s="486"/>
      <c r="P191" s="486"/>
      <c r="Q191" s="486"/>
      <c r="R191" s="486"/>
      <c r="S191" s="486"/>
      <c r="T191" s="486"/>
      <c r="U191" s="486"/>
      <c r="V191" s="486"/>
      <c r="W191" s="486"/>
      <c r="X191" s="486"/>
      <c r="Y191" s="486"/>
      <c r="Z191" s="486"/>
    </row>
    <row r="192">
      <c r="A192" s="482"/>
      <c r="B192" s="494">
        <v>46269.0</v>
      </c>
      <c r="C192" s="496"/>
      <c r="D192" s="483">
        <v>956501.0</v>
      </c>
      <c r="E192" s="499">
        <v>27250.0</v>
      </c>
      <c r="F192" s="485" t="s">
        <v>97</v>
      </c>
      <c r="G192" s="500" t="s">
        <v>513</v>
      </c>
      <c r="H192" s="486"/>
      <c r="I192" s="486"/>
      <c r="J192" s="486"/>
      <c r="K192" s="486"/>
      <c r="L192" s="486"/>
      <c r="M192" s="486"/>
      <c r="N192" s="486"/>
      <c r="O192" s="486"/>
      <c r="P192" s="486"/>
      <c r="Q192" s="486"/>
      <c r="R192" s="486"/>
      <c r="S192" s="486"/>
      <c r="T192" s="486"/>
      <c r="U192" s="486"/>
      <c r="V192" s="486"/>
      <c r="W192" s="486"/>
      <c r="X192" s="486"/>
      <c r="Y192" s="486"/>
      <c r="Z192" s="486"/>
    </row>
    <row r="193">
      <c r="A193" s="486"/>
      <c r="B193" s="533">
        <v>46276.0</v>
      </c>
      <c r="C193" s="496"/>
      <c r="D193" s="483">
        <v>956506.0</v>
      </c>
      <c r="E193" s="484">
        <v>18500.0</v>
      </c>
      <c r="F193" s="485" t="s">
        <v>97</v>
      </c>
      <c r="G193" s="485" t="s">
        <v>536</v>
      </c>
      <c r="H193" s="486"/>
      <c r="I193" s="486"/>
      <c r="J193" s="486"/>
      <c r="K193" s="486"/>
      <c r="L193" s="486"/>
      <c r="M193" s="486"/>
      <c r="N193" s="486"/>
      <c r="O193" s="486"/>
      <c r="P193" s="486"/>
      <c r="Q193" s="486"/>
      <c r="R193" s="486"/>
      <c r="S193" s="486"/>
      <c r="T193" s="486"/>
      <c r="U193" s="486"/>
      <c r="V193" s="486"/>
      <c r="W193" s="486"/>
      <c r="X193" s="486"/>
      <c r="Y193" s="486"/>
      <c r="Z193" s="486"/>
    </row>
    <row r="194">
      <c r="A194" s="482"/>
      <c r="B194" s="494">
        <v>46276.0</v>
      </c>
      <c r="C194" s="496"/>
      <c r="D194" s="483">
        <v>956504.0</v>
      </c>
      <c r="E194" s="484">
        <v>15750.0</v>
      </c>
      <c r="F194" s="485" t="s">
        <v>97</v>
      </c>
      <c r="G194" s="500" t="s">
        <v>739</v>
      </c>
      <c r="H194" s="486"/>
      <c r="I194" s="486"/>
      <c r="J194" s="486"/>
      <c r="K194" s="486"/>
      <c r="L194" s="486"/>
      <c r="M194" s="486"/>
      <c r="N194" s="486"/>
      <c r="O194" s="486"/>
      <c r="P194" s="486"/>
      <c r="Q194" s="486"/>
      <c r="R194" s="486"/>
      <c r="S194" s="486"/>
      <c r="T194" s="486"/>
      <c r="U194" s="486"/>
      <c r="V194" s="486"/>
      <c r="W194" s="486"/>
      <c r="X194" s="486"/>
      <c r="Y194" s="486"/>
      <c r="Z194" s="486"/>
    </row>
    <row r="195">
      <c r="A195" s="493"/>
      <c r="B195" s="494">
        <v>46280.0</v>
      </c>
      <c r="C195" s="496"/>
      <c r="D195" s="498"/>
      <c r="E195" s="499">
        <v>20000.0</v>
      </c>
      <c r="F195" s="500" t="s">
        <v>57</v>
      </c>
      <c r="G195" s="500"/>
      <c r="H195" s="486"/>
      <c r="I195" s="486"/>
      <c r="J195" s="486"/>
      <c r="K195" s="486"/>
      <c r="L195" s="486"/>
      <c r="M195" s="486"/>
      <c r="N195" s="486"/>
      <c r="O195" s="486"/>
      <c r="P195" s="486"/>
      <c r="Q195" s="486"/>
      <c r="R195" s="486"/>
      <c r="S195" s="486"/>
      <c r="T195" s="486"/>
      <c r="U195" s="486"/>
      <c r="V195" s="486"/>
      <c r="W195" s="486"/>
      <c r="X195" s="486"/>
      <c r="Y195" s="486"/>
      <c r="Z195" s="486"/>
    </row>
    <row r="196">
      <c r="A196" s="493"/>
      <c r="B196" s="494">
        <v>46282.0</v>
      </c>
      <c r="C196" s="496"/>
      <c r="D196" s="498"/>
      <c r="E196" s="499">
        <v>4263.29</v>
      </c>
      <c r="F196" s="500" t="s">
        <v>708</v>
      </c>
      <c r="G196" s="500" t="s">
        <v>728</v>
      </c>
      <c r="H196" s="486"/>
      <c r="I196" s="486"/>
      <c r="J196" s="486"/>
      <c r="K196" s="486"/>
      <c r="L196" s="486"/>
      <c r="M196" s="486"/>
      <c r="N196" s="486"/>
      <c r="O196" s="486"/>
      <c r="P196" s="486"/>
      <c r="Q196" s="486"/>
      <c r="R196" s="486"/>
      <c r="S196" s="486"/>
      <c r="T196" s="486"/>
      <c r="U196" s="486"/>
      <c r="V196" s="486"/>
      <c r="W196" s="486"/>
      <c r="X196" s="486"/>
      <c r="Y196" s="486"/>
      <c r="Z196" s="486"/>
    </row>
    <row r="197">
      <c r="A197" s="486"/>
      <c r="B197" s="533"/>
      <c r="C197" s="496"/>
      <c r="D197" s="483"/>
      <c r="E197" s="484">
        <v>16440.0</v>
      </c>
      <c r="F197" s="485" t="s">
        <v>341</v>
      </c>
      <c r="G197" s="485"/>
      <c r="H197" s="485" t="s">
        <v>740</v>
      </c>
      <c r="I197" s="486"/>
      <c r="J197" s="486"/>
      <c r="K197" s="486"/>
      <c r="L197" s="486"/>
      <c r="M197" s="486"/>
      <c r="N197" s="486"/>
      <c r="O197" s="486"/>
      <c r="P197" s="486"/>
      <c r="Q197" s="486"/>
      <c r="R197" s="486"/>
      <c r="S197" s="486"/>
      <c r="T197" s="486"/>
      <c r="U197" s="486"/>
      <c r="V197" s="486"/>
      <c r="W197" s="486"/>
      <c r="X197" s="486"/>
      <c r="Y197" s="486"/>
      <c r="Z197" s="486"/>
    </row>
    <row r="198">
      <c r="A198" s="486"/>
      <c r="B198" s="533">
        <v>46283.0</v>
      </c>
      <c r="C198" s="496"/>
      <c r="D198" s="483">
        <v>956507.0</v>
      </c>
      <c r="E198" s="484">
        <v>16625.0</v>
      </c>
      <c r="F198" s="485" t="s">
        <v>97</v>
      </c>
      <c r="G198" s="485" t="s">
        <v>539</v>
      </c>
      <c r="H198" s="486"/>
      <c r="I198" s="486"/>
      <c r="J198" s="486"/>
      <c r="K198" s="486"/>
      <c r="L198" s="486"/>
      <c r="M198" s="486"/>
      <c r="N198" s="486"/>
      <c r="O198" s="486"/>
      <c r="P198" s="486"/>
      <c r="Q198" s="486"/>
      <c r="R198" s="486"/>
      <c r="S198" s="486"/>
      <c r="T198" s="486"/>
      <c r="U198" s="486"/>
      <c r="V198" s="486"/>
      <c r="W198" s="486"/>
      <c r="X198" s="486"/>
      <c r="Y198" s="486"/>
      <c r="Z198" s="486"/>
    </row>
    <row r="199" ht="12.75" customHeight="1">
      <c r="A199" s="534"/>
      <c r="B199" s="535">
        <v>46283.0</v>
      </c>
      <c r="C199" s="501"/>
      <c r="D199" s="502">
        <v>956521.0</v>
      </c>
      <c r="E199" s="503">
        <v>16000.0</v>
      </c>
      <c r="F199" s="504" t="s">
        <v>97</v>
      </c>
      <c r="G199" s="504" t="s">
        <v>558</v>
      </c>
      <c r="H199" s="504" t="s">
        <v>741</v>
      </c>
      <c r="I199" s="342"/>
      <c r="J199" s="342"/>
      <c r="K199" s="342"/>
      <c r="L199" s="342"/>
      <c r="M199" s="342"/>
      <c r="N199" s="342"/>
      <c r="O199" s="341"/>
      <c r="P199" s="341"/>
      <c r="Q199" s="342"/>
      <c r="R199" s="342"/>
      <c r="S199" s="341"/>
      <c r="T199" s="342"/>
      <c r="U199" s="342"/>
      <c r="V199" s="342"/>
      <c r="W199" s="342"/>
      <c r="X199" s="342"/>
      <c r="Y199" s="342"/>
      <c r="Z199" s="342"/>
    </row>
    <row r="200">
      <c r="A200" s="493"/>
      <c r="B200" s="536">
        <v>46284.0</v>
      </c>
      <c r="C200" s="496"/>
      <c r="D200" s="498"/>
      <c r="E200" s="499">
        <v>3331.0</v>
      </c>
      <c r="F200" s="500" t="s">
        <v>712</v>
      </c>
      <c r="G200" s="500" t="s">
        <v>742</v>
      </c>
      <c r="H200" s="486"/>
      <c r="I200" s="486"/>
      <c r="J200" s="486"/>
      <c r="K200" s="486"/>
      <c r="L200" s="486"/>
      <c r="M200" s="486"/>
      <c r="N200" s="486"/>
      <c r="O200" s="486"/>
      <c r="P200" s="486"/>
      <c r="Q200" s="486"/>
      <c r="R200" s="486"/>
      <c r="S200" s="486"/>
      <c r="T200" s="486"/>
      <c r="U200" s="486"/>
      <c r="V200" s="486"/>
      <c r="W200" s="486"/>
      <c r="X200" s="486"/>
      <c r="Y200" s="486"/>
      <c r="Z200" s="486"/>
    </row>
    <row r="201" ht="12.75" customHeight="1">
      <c r="A201" s="534"/>
      <c r="B201" s="536">
        <v>46284.0</v>
      </c>
      <c r="C201" s="501"/>
      <c r="D201" s="502">
        <v>956517.0</v>
      </c>
      <c r="E201" s="503">
        <v>2600.0</v>
      </c>
      <c r="F201" s="504" t="s">
        <v>97</v>
      </c>
      <c r="G201" s="504" t="s">
        <v>573</v>
      </c>
      <c r="H201" s="342"/>
      <c r="I201" s="342"/>
      <c r="J201" s="342"/>
      <c r="K201" s="342"/>
      <c r="L201" s="342"/>
      <c r="M201" s="342"/>
      <c r="N201" s="342"/>
      <c r="O201" s="341"/>
      <c r="P201" s="341"/>
      <c r="Q201" s="342"/>
      <c r="R201" s="342"/>
      <c r="S201" s="341"/>
      <c r="T201" s="342"/>
      <c r="U201" s="342"/>
      <c r="V201" s="342"/>
      <c r="W201" s="342"/>
      <c r="X201" s="342"/>
      <c r="Y201" s="342"/>
      <c r="Z201" s="342"/>
    </row>
    <row r="202" ht="12.75" customHeight="1">
      <c r="A202" s="367"/>
      <c r="B202" s="356">
        <v>46272.0</v>
      </c>
      <c r="C202" s="374"/>
      <c r="D202" s="358">
        <v>956488.0</v>
      </c>
      <c r="E202" s="537">
        <v>7950.0</v>
      </c>
      <c r="F202" s="485" t="s">
        <v>341</v>
      </c>
      <c r="G202" s="360" t="s">
        <v>482</v>
      </c>
      <c r="H202" s="360"/>
      <c r="I202" s="360"/>
      <c r="J202" s="360"/>
      <c r="K202" s="360"/>
      <c r="L202" s="339"/>
      <c r="M202" s="365"/>
      <c r="N202" s="365"/>
      <c r="O202" s="363"/>
      <c r="P202" s="363"/>
      <c r="Q202" s="339"/>
      <c r="R202" s="339"/>
      <c r="S202" s="340"/>
      <c r="T202" s="342"/>
      <c r="U202" s="342"/>
      <c r="V202" s="342"/>
      <c r="W202" s="342"/>
      <c r="X202" s="342"/>
      <c r="Y202" s="342"/>
      <c r="Z202" s="342"/>
    </row>
    <row r="203" ht="12.75" customHeight="1">
      <c r="A203" s="367"/>
      <c r="B203" s="356">
        <v>46287.0</v>
      </c>
      <c r="C203" s="374"/>
      <c r="D203" s="358">
        <v>956489.0</v>
      </c>
      <c r="E203" s="359">
        <v>17000.0</v>
      </c>
      <c r="F203" s="360" t="s">
        <v>341</v>
      </c>
      <c r="G203" s="360" t="s">
        <v>743</v>
      </c>
      <c r="H203" s="543" t="s">
        <v>744</v>
      </c>
      <c r="I203" s="360"/>
      <c r="J203" s="360"/>
      <c r="K203" s="360"/>
      <c r="L203" s="339"/>
      <c r="M203" s="365"/>
      <c r="N203" s="365"/>
      <c r="O203" s="363"/>
      <c r="P203" s="363"/>
      <c r="Q203" s="339"/>
      <c r="R203" s="339"/>
      <c r="S203" s="340"/>
      <c r="T203" s="342"/>
      <c r="U203" s="342"/>
      <c r="V203" s="342"/>
      <c r="W203" s="342"/>
      <c r="X203" s="342"/>
      <c r="Y203" s="342"/>
      <c r="Z203" s="342"/>
    </row>
    <row r="204" ht="12.75" customHeight="1">
      <c r="A204" s="534"/>
      <c r="B204" s="535">
        <v>46290.0</v>
      </c>
      <c r="C204" s="501"/>
      <c r="D204" s="502">
        <v>956514.0</v>
      </c>
      <c r="E204" s="503">
        <v>16400.0</v>
      </c>
      <c r="F204" s="504" t="s">
        <v>97</v>
      </c>
      <c r="G204" s="504" t="s">
        <v>558</v>
      </c>
      <c r="H204" s="504" t="s">
        <v>745</v>
      </c>
      <c r="I204" s="342"/>
      <c r="J204" s="342"/>
      <c r="K204" s="342"/>
      <c r="L204" s="342"/>
      <c r="M204" s="342"/>
      <c r="N204" s="342"/>
      <c r="O204" s="341"/>
      <c r="P204" s="341"/>
      <c r="Q204" s="342"/>
      <c r="R204" s="342"/>
      <c r="S204" s="341"/>
      <c r="T204" s="342"/>
      <c r="U204" s="342"/>
      <c r="V204" s="342"/>
      <c r="W204" s="342"/>
      <c r="X204" s="342"/>
      <c r="Y204" s="342"/>
      <c r="Z204" s="342"/>
    </row>
    <row r="205" ht="12.75" customHeight="1">
      <c r="A205" s="534"/>
      <c r="B205" s="535">
        <v>46290.0</v>
      </c>
      <c r="C205" s="501"/>
      <c r="D205" s="502">
        <v>956522.0</v>
      </c>
      <c r="E205" s="503">
        <v>7100.0</v>
      </c>
      <c r="F205" s="504" t="s">
        <v>97</v>
      </c>
      <c r="G205" s="504" t="s">
        <v>549</v>
      </c>
      <c r="H205" s="504"/>
      <c r="I205" s="342"/>
      <c r="J205" s="342"/>
      <c r="K205" s="342"/>
      <c r="L205" s="342"/>
      <c r="M205" s="342"/>
      <c r="N205" s="342"/>
      <c r="O205" s="341"/>
      <c r="P205" s="341"/>
      <c r="Q205" s="342"/>
      <c r="R205" s="342"/>
      <c r="S205" s="341"/>
      <c r="T205" s="342"/>
      <c r="U205" s="342"/>
      <c r="V205" s="342"/>
      <c r="W205" s="342"/>
      <c r="X205" s="342"/>
      <c r="Y205" s="342"/>
      <c r="Z205" s="342"/>
    </row>
    <row r="206">
      <c r="A206" s="493"/>
      <c r="B206" s="494">
        <v>46249.0</v>
      </c>
      <c r="C206" s="496"/>
      <c r="D206" s="498"/>
      <c r="E206" s="499">
        <v>79000.0</v>
      </c>
      <c r="F206" s="500" t="s">
        <v>164</v>
      </c>
      <c r="G206" s="500" t="s">
        <v>542</v>
      </c>
      <c r="H206" s="523" t="s">
        <v>746</v>
      </c>
      <c r="I206" s="486"/>
      <c r="J206" s="486"/>
      <c r="K206" s="486"/>
      <c r="L206" s="486"/>
      <c r="M206" s="486"/>
      <c r="N206" s="486"/>
      <c r="O206" s="486"/>
      <c r="P206" s="486"/>
      <c r="Q206" s="486"/>
      <c r="R206" s="486"/>
      <c r="S206" s="486"/>
      <c r="T206" s="486"/>
      <c r="U206" s="486"/>
      <c r="V206" s="486"/>
      <c r="W206" s="486"/>
      <c r="X206" s="486"/>
      <c r="Y206" s="486"/>
      <c r="Z206" s="486"/>
    </row>
    <row r="207" ht="12.75" customHeight="1">
      <c r="A207" s="367"/>
      <c r="B207" s="356">
        <v>46257.0</v>
      </c>
      <c r="C207" s="374"/>
      <c r="D207" s="483"/>
      <c r="E207" s="499">
        <v>47400.0</v>
      </c>
      <c r="F207" s="512" t="s">
        <v>164</v>
      </c>
      <c r="G207" s="500" t="s">
        <v>544</v>
      </c>
      <c r="H207" s="360"/>
      <c r="I207" s="360"/>
      <c r="J207" s="360"/>
      <c r="K207" s="360"/>
      <c r="L207" s="339"/>
      <c r="M207" s="365"/>
      <c r="N207" s="365"/>
      <c r="O207" s="363"/>
      <c r="P207" s="363"/>
      <c r="Q207" s="339"/>
      <c r="R207" s="339"/>
      <c r="S207" s="340"/>
      <c r="T207" s="342"/>
      <c r="U207" s="342"/>
      <c r="V207" s="342"/>
      <c r="W207" s="342"/>
      <c r="X207" s="342"/>
      <c r="Y207" s="342"/>
      <c r="Z207" s="342"/>
    </row>
    <row r="208">
      <c r="A208" s="493"/>
      <c r="B208" s="549">
        <v>46270.0</v>
      </c>
      <c r="C208" s="522"/>
      <c r="D208" s="483"/>
      <c r="E208" s="499">
        <v>12000.0</v>
      </c>
      <c r="F208" s="512" t="s">
        <v>164</v>
      </c>
      <c r="G208" s="500" t="s">
        <v>579</v>
      </c>
      <c r="H208" s="396"/>
      <c r="I208" s="486"/>
      <c r="J208" s="486"/>
      <c r="K208" s="486"/>
      <c r="L208" s="486"/>
      <c r="M208" s="486"/>
      <c r="N208" s="486"/>
      <c r="O208" s="486"/>
      <c r="P208" s="486"/>
      <c r="Q208" s="486"/>
      <c r="R208" s="486"/>
      <c r="S208" s="486"/>
      <c r="T208" s="486"/>
      <c r="U208" s="486"/>
      <c r="V208" s="486"/>
      <c r="W208" s="486"/>
      <c r="X208" s="486"/>
      <c r="Y208" s="486"/>
      <c r="Z208" s="486"/>
    </row>
    <row r="209">
      <c r="A209" s="493"/>
      <c r="B209" s="549">
        <v>46286.0</v>
      </c>
      <c r="C209" s="522"/>
      <c r="D209" s="483"/>
      <c r="E209" s="499">
        <v>12000.0</v>
      </c>
      <c r="F209" s="512" t="s">
        <v>164</v>
      </c>
      <c r="G209" s="500" t="s">
        <v>579</v>
      </c>
      <c r="H209" s="396" t="s">
        <v>351</v>
      </c>
      <c r="I209" s="486"/>
      <c r="J209" s="486"/>
      <c r="K209" s="486"/>
      <c r="L209" s="486"/>
      <c r="M209" s="486"/>
      <c r="N209" s="486"/>
      <c r="O209" s="486"/>
      <c r="P209" s="486"/>
      <c r="Q209" s="486"/>
      <c r="R209" s="486"/>
      <c r="S209" s="486"/>
      <c r="T209" s="486"/>
      <c r="U209" s="486"/>
      <c r="V209" s="486"/>
      <c r="W209" s="486"/>
      <c r="X209" s="486"/>
      <c r="Y209" s="486"/>
      <c r="Z209" s="486"/>
    </row>
    <row r="210">
      <c r="A210" s="493"/>
      <c r="B210" s="550"/>
      <c r="C210" s="551"/>
      <c r="D210" s="517"/>
      <c r="E210" s="552"/>
      <c r="F210" s="512"/>
      <c r="G210" s="500"/>
      <c r="H210" s="39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6"/>
      <c r="T210" s="486"/>
      <c r="U210" s="486"/>
      <c r="V210" s="486"/>
      <c r="W210" s="486"/>
      <c r="X210" s="486"/>
      <c r="Y210" s="486"/>
      <c r="Z210" s="486"/>
    </row>
    <row r="214">
      <c r="A214" s="493">
        <v>46130.0</v>
      </c>
      <c r="B214" s="515">
        <v>46202.0</v>
      </c>
      <c r="C214" s="551"/>
      <c r="D214" s="517">
        <v>943036.0</v>
      </c>
      <c r="E214" s="518">
        <v>26500.0</v>
      </c>
      <c r="F214" s="485" t="s">
        <v>183</v>
      </c>
      <c r="G214" s="485" t="s">
        <v>421</v>
      </c>
      <c r="H214" s="486"/>
      <c r="I214" s="486"/>
      <c r="J214" s="486"/>
      <c r="K214" s="486"/>
      <c r="L214" s="486"/>
      <c r="M214" s="486"/>
      <c r="N214" s="486"/>
      <c r="O214" s="486"/>
      <c r="P214" s="486"/>
      <c r="Q214" s="486"/>
      <c r="R214" s="486"/>
      <c r="S214" s="486"/>
      <c r="T214" s="486"/>
      <c r="U214" s="486"/>
      <c r="V214" s="486"/>
      <c r="W214" s="486"/>
      <c r="X214" s="486"/>
      <c r="Y214" s="486"/>
      <c r="Z214" s="486"/>
    </row>
    <row r="215">
      <c r="A215" s="514">
        <v>46169.0</v>
      </c>
      <c r="B215" s="553">
        <v>46241.0</v>
      </c>
      <c r="C215" s="554"/>
      <c r="D215" s="555">
        <v>956460.0</v>
      </c>
      <c r="E215" s="556">
        <v>20000.0</v>
      </c>
      <c r="F215" s="512" t="s">
        <v>341</v>
      </c>
      <c r="G215" s="512" t="s">
        <v>748</v>
      </c>
      <c r="H215" s="486"/>
      <c r="I215" s="486"/>
      <c r="J215" s="486"/>
      <c r="K215" s="486"/>
      <c r="L215" s="486"/>
      <c r="M215" s="486"/>
      <c r="N215" s="486"/>
      <c r="O215" s="486"/>
      <c r="P215" s="486"/>
      <c r="Q215" s="486"/>
      <c r="R215" s="486"/>
      <c r="S215" s="486"/>
      <c r="T215" s="486"/>
      <c r="U215" s="486"/>
      <c r="V215" s="486"/>
      <c r="W215" s="486"/>
      <c r="X215" s="486"/>
      <c r="Y215" s="486"/>
      <c r="Z215" s="486"/>
    </row>
    <row r="216">
      <c r="A216" s="508">
        <v>46169.0</v>
      </c>
      <c r="B216" s="553">
        <v>46248.0</v>
      </c>
      <c r="C216" s="554"/>
      <c r="D216" s="555">
        <v>956461.0</v>
      </c>
      <c r="E216" s="556">
        <v>20000.0</v>
      </c>
      <c r="F216" s="512" t="s">
        <v>341</v>
      </c>
      <c r="G216" s="512" t="s">
        <v>750</v>
      </c>
      <c r="H216" s="486"/>
      <c r="I216" s="486"/>
      <c r="J216" s="486"/>
      <c r="K216" s="486"/>
      <c r="L216" s="486"/>
      <c r="M216" s="486"/>
      <c r="N216" s="486"/>
      <c r="O216" s="486"/>
      <c r="P216" s="486"/>
      <c r="Q216" s="486"/>
      <c r="R216" s="486"/>
      <c r="S216" s="486"/>
      <c r="T216" s="486"/>
      <c r="U216" s="486"/>
      <c r="V216" s="486"/>
      <c r="W216" s="486"/>
      <c r="X216" s="486"/>
      <c r="Y216" s="486"/>
      <c r="Z216" s="486"/>
    </row>
    <row r="217">
      <c r="A217" s="508">
        <v>46169.0</v>
      </c>
      <c r="B217" s="553">
        <v>46255.0</v>
      </c>
      <c r="C217" s="554"/>
      <c r="D217" s="555">
        <v>956462.0</v>
      </c>
      <c r="E217" s="556">
        <v>13890.0</v>
      </c>
      <c r="F217" s="512" t="s">
        <v>341</v>
      </c>
      <c r="G217" s="512" t="s">
        <v>751</v>
      </c>
      <c r="H217" s="486"/>
      <c r="I217" s="486"/>
      <c r="J217" s="486"/>
      <c r="K217" s="486"/>
      <c r="L217" s="486"/>
      <c r="M217" s="486"/>
      <c r="N217" s="486"/>
      <c r="O217" s="486"/>
      <c r="P217" s="486"/>
      <c r="Q217" s="486"/>
      <c r="R217" s="486"/>
      <c r="S217" s="486"/>
      <c r="T217" s="486"/>
      <c r="U217" s="486"/>
      <c r="V217" s="486"/>
      <c r="W217" s="486"/>
      <c r="X217" s="486"/>
      <c r="Y217" s="486"/>
      <c r="Z217" s="486"/>
    </row>
    <row r="218" ht="12.75" customHeight="1">
      <c r="A218" s="367"/>
      <c r="B218" s="468">
        <v>46265.0</v>
      </c>
      <c r="C218" s="560"/>
      <c r="D218" s="472">
        <v>956487.0</v>
      </c>
      <c r="E218" s="561">
        <v>17260.0</v>
      </c>
      <c r="F218" s="360" t="s">
        <v>341</v>
      </c>
      <c r="G218" s="360" t="s">
        <v>480</v>
      </c>
      <c r="H218" s="360"/>
      <c r="I218" s="360"/>
      <c r="J218" s="360"/>
      <c r="K218" s="360"/>
      <c r="L218" s="339"/>
      <c r="M218" s="365"/>
      <c r="N218" s="365"/>
      <c r="O218" s="363"/>
      <c r="P218" s="363"/>
      <c r="Q218" s="339"/>
      <c r="R218" s="339"/>
      <c r="S218" s="340"/>
      <c r="T218" s="342"/>
      <c r="U218" s="342"/>
      <c r="V218" s="342"/>
      <c r="W218" s="342"/>
      <c r="X218" s="342"/>
      <c r="Y218" s="342"/>
      <c r="Z218" s="342"/>
    </row>
    <row r="219">
      <c r="A219" s="482"/>
      <c r="B219" s="515">
        <v>46269.0</v>
      </c>
      <c r="C219" s="554"/>
      <c r="D219" s="517">
        <v>956476.0</v>
      </c>
      <c r="E219" s="518">
        <v>12000.0</v>
      </c>
      <c r="F219" s="485" t="s">
        <v>341</v>
      </c>
      <c r="G219" s="485" t="s">
        <v>476</v>
      </c>
      <c r="H219" s="486"/>
      <c r="I219" s="486"/>
      <c r="J219" s="486"/>
      <c r="K219" s="486"/>
      <c r="L219" s="486"/>
      <c r="M219" s="486"/>
      <c r="N219" s="486"/>
      <c r="O219" s="486"/>
      <c r="P219" s="486"/>
      <c r="Q219" s="486"/>
      <c r="R219" s="486"/>
      <c r="S219" s="486"/>
      <c r="T219" s="486"/>
      <c r="U219" s="486"/>
      <c r="V219" s="486"/>
      <c r="W219" s="486"/>
      <c r="X219" s="486"/>
      <c r="Y219" s="486"/>
      <c r="Z219" s="486"/>
    </row>
    <row r="220">
      <c r="A220" s="482"/>
      <c r="B220" s="515">
        <v>46280.0</v>
      </c>
      <c r="C220" s="554"/>
      <c r="D220" s="517">
        <v>956479.0</v>
      </c>
      <c r="E220" s="518">
        <v>16440.0</v>
      </c>
      <c r="F220" s="485" t="s">
        <v>341</v>
      </c>
      <c r="G220" s="485" t="s">
        <v>752</v>
      </c>
      <c r="H220" s="486"/>
      <c r="I220" s="486"/>
      <c r="J220" s="486"/>
      <c r="K220" s="486"/>
      <c r="L220" s="486"/>
      <c r="M220" s="486"/>
      <c r="N220" s="486"/>
      <c r="O220" s="486"/>
      <c r="P220" s="486"/>
      <c r="Q220" s="486"/>
      <c r="R220" s="486"/>
      <c r="S220" s="486"/>
      <c r="T220" s="486"/>
      <c r="U220" s="486"/>
      <c r="V220" s="486"/>
      <c r="W220" s="486"/>
      <c r="X220" s="486"/>
      <c r="Y220" s="486"/>
      <c r="Z220" s="486"/>
    </row>
    <row r="221" ht="12.75" customHeight="1">
      <c r="A221" s="367"/>
      <c r="B221" s="562">
        <v>46295.0</v>
      </c>
      <c r="C221" s="563"/>
      <c r="D221" s="394">
        <v>956490.0</v>
      </c>
      <c r="E221" s="564">
        <v>23750.0</v>
      </c>
      <c r="F221" s="565" t="s">
        <v>341</v>
      </c>
      <c r="G221" s="566" t="s">
        <v>510</v>
      </c>
      <c r="H221" s="565" t="s">
        <v>753</v>
      </c>
      <c r="I221" s="360"/>
      <c r="J221" s="360"/>
      <c r="K221" s="360"/>
      <c r="L221" s="339"/>
      <c r="M221" s="365"/>
      <c r="N221" s="365"/>
      <c r="O221" s="363"/>
      <c r="P221" s="363"/>
      <c r="Q221" s="339"/>
      <c r="R221" s="339"/>
      <c r="S221" s="340"/>
      <c r="T221" s="342"/>
      <c r="U221" s="342"/>
      <c r="V221" s="342"/>
      <c r="W221" s="342"/>
      <c r="X221" s="342"/>
      <c r="Y221" s="342"/>
      <c r="Z221" s="342"/>
    </row>
    <row r="222" ht="12.75" customHeight="1">
      <c r="A222" s="488"/>
      <c r="B222" s="489"/>
      <c r="C222" s="490"/>
      <c r="D222" s="491"/>
      <c r="E222" s="492"/>
      <c r="F222" s="360"/>
      <c r="G222" s="360"/>
      <c r="H222" s="360"/>
      <c r="I222" s="360"/>
      <c r="J222" s="360"/>
      <c r="K222" s="360"/>
      <c r="L222" s="339"/>
      <c r="M222" s="365"/>
      <c r="N222" s="365"/>
      <c r="O222" s="363"/>
      <c r="P222" s="363"/>
      <c r="Q222" s="339"/>
      <c r="R222" s="339"/>
      <c r="S222" s="340"/>
      <c r="T222" s="342"/>
      <c r="U222" s="342"/>
      <c r="V222" s="342"/>
      <c r="W222" s="342"/>
      <c r="X222" s="342"/>
      <c r="Y222" s="342"/>
      <c r="Z222" s="342"/>
    </row>
    <row r="223" ht="12.75" customHeight="1">
      <c r="A223" s="367"/>
      <c r="B223" s="356">
        <v>46285.0</v>
      </c>
      <c r="C223" s="374"/>
      <c r="D223" s="358">
        <v>942980.0</v>
      </c>
      <c r="E223" s="359">
        <v>20000.0</v>
      </c>
      <c r="F223" s="360" t="s">
        <v>145</v>
      </c>
      <c r="G223" s="360"/>
      <c r="H223" s="567" t="s">
        <v>754</v>
      </c>
      <c r="I223" s="360"/>
      <c r="J223" s="360"/>
      <c r="K223" s="360"/>
      <c r="L223" s="339"/>
      <c r="M223" s="365"/>
      <c r="N223" s="365"/>
      <c r="O223" s="363"/>
      <c r="P223" s="363"/>
      <c r="Q223" s="339"/>
      <c r="R223" s="339"/>
      <c r="S223" s="340"/>
      <c r="T223" s="342"/>
      <c r="U223" s="342"/>
      <c r="V223" s="342"/>
      <c r="W223" s="342"/>
      <c r="X223" s="342"/>
      <c r="Y223" s="342"/>
      <c r="Z223" s="342"/>
    </row>
    <row r="224" ht="12.75" customHeight="1">
      <c r="A224" s="534"/>
      <c r="B224" s="535">
        <v>46297.0</v>
      </c>
      <c r="C224" s="501"/>
      <c r="D224" s="502">
        <v>956523.0</v>
      </c>
      <c r="E224" s="503">
        <v>10500.0</v>
      </c>
      <c r="F224" s="504" t="s">
        <v>341</v>
      </c>
      <c r="G224" s="504" t="s">
        <v>445</v>
      </c>
      <c r="H224" s="504" t="s">
        <v>755</v>
      </c>
      <c r="I224" s="342"/>
      <c r="J224" s="342"/>
      <c r="K224" s="342"/>
      <c r="L224" s="342"/>
      <c r="M224" s="342"/>
      <c r="N224" s="342"/>
      <c r="O224" s="341"/>
      <c r="P224" s="341"/>
      <c r="Q224" s="342"/>
      <c r="R224" s="342"/>
      <c r="S224" s="341"/>
      <c r="T224" s="342"/>
      <c r="U224" s="342"/>
      <c r="V224" s="342"/>
      <c r="W224" s="342"/>
      <c r="X224" s="342"/>
      <c r="Y224" s="342"/>
      <c r="Z224" s="342"/>
    </row>
    <row r="225" ht="12.75" customHeight="1">
      <c r="A225" s="534"/>
      <c r="B225" s="535">
        <v>46297.0</v>
      </c>
      <c r="C225" s="501"/>
      <c r="D225" s="502">
        <v>956519.0</v>
      </c>
      <c r="E225" s="503">
        <v>25000.0</v>
      </c>
      <c r="F225" s="504" t="s">
        <v>97</v>
      </c>
      <c r="G225" s="504" t="s">
        <v>574</v>
      </c>
      <c r="H225" s="504" t="s">
        <v>756</v>
      </c>
      <c r="I225" s="342"/>
      <c r="J225" s="342"/>
      <c r="K225" s="342"/>
      <c r="L225" s="342"/>
      <c r="M225" s="342"/>
      <c r="N225" s="342"/>
      <c r="O225" s="341"/>
      <c r="P225" s="341"/>
      <c r="Q225" s="342"/>
      <c r="R225" s="342"/>
      <c r="S225" s="341"/>
      <c r="T225" s="342"/>
      <c r="U225" s="342"/>
      <c r="V225" s="342"/>
      <c r="W225" s="342"/>
      <c r="X225" s="342"/>
      <c r="Y225" s="342"/>
      <c r="Z225" s="342"/>
    </row>
    <row r="226" ht="12.75" customHeight="1">
      <c r="A226" s="534"/>
      <c r="B226" s="568">
        <v>46293.0</v>
      </c>
      <c r="C226" s="501"/>
      <c r="D226" s="502">
        <v>956518.0</v>
      </c>
      <c r="E226" s="503">
        <v>20800.0</v>
      </c>
      <c r="F226" s="504" t="s">
        <v>97</v>
      </c>
      <c r="G226" s="504" t="s">
        <v>574</v>
      </c>
      <c r="H226" s="504" t="s">
        <v>757</v>
      </c>
      <c r="I226" s="342"/>
      <c r="J226" s="342"/>
      <c r="K226" s="342"/>
      <c r="L226" s="342"/>
      <c r="M226" s="342"/>
      <c r="N226" s="342"/>
      <c r="O226" s="341"/>
      <c r="P226" s="341"/>
      <c r="Q226" s="342"/>
      <c r="R226" s="342"/>
      <c r="S226" s="341"/>
      <c r="T226" s="342"/>
      <c r="U226" s="342"/>
      <c r="V226" s="342"/>
      <c r="W226" s="342"/>
      <c r="X226" s="342"/>
      <c r="Y226" s="342"/>
      <c r="Z226" s="342"/>
    </row>
    <row r="227">
      <c r="A227" s="486"/>
      <c r="B227" s="569">
        <v>46251.0</v>
      </c>
      <c r="C227" s="554"/>
      <c r="D227" s="517">
        <v>956505.0</v>
      </c>
      <c r="E227" s="518">
        <v>1500.0</v>
      </c>
      <c r="F227" s="485" t="s">
        <v>496</v>
      </c>
      <c r="G227" s="485" t="s">
        <v>495</v>
      </c>
      <c r="H227" s="486"/>
      <c r="I227" s="486"/>
      <c r="J227" s="486"/>
      <c r="K227" s="486"/>
      <c r="L227" s="486"/>
      <c r="M227" s="486"/>
      <c r="N227" s="486"/>
      <c r="O227" s="486"/>
      <c r="P227" s="486"/>
      <c r="Q227" s="486"/>
      <c r="R227" s="486"/>
      <c r="S227" s="486"/>
      <c r="T227" s="486"/>
      <c r="U227" s="486"/>
      <c r="V227" s="486"/>
      <c r="W227" s="486"/>
      <c r="X227" s="486"/>
      <c r="Y227" s="486"/>
      <c r="Z227" s="486"/>
    </row>
    <row r="228">
      <c r="A228" s="493"/>
      <c r="B228" s="570">
        <v>46284.0</v>
      </c>
      <c r="C228" s="522"/>
      <c r="D228" s="483"/>
      <c r="E228" s="484">
        <v>24300.0</v>
      </c>
      <c r="F228" s="512" t="s">
        <v>164</v>
      </c>
      <c r="G228" s="485" t="s">
        <v>588</v>
      </c>
      <c r="H228" s="396" t="s">
        <v>758</v>
      </c>
      <c r="I228" s="486"/>
      <c r="J228" s="486"/>
      <c r="K228" s="486"/>
      <c r="L228" s="486"/>
      <c r="M228" s="486"/>
      <c r="N228" s="486"/>
      <c r="O228" s="486"/>
      <c r="P228" s="486"/>
      <c r="Q228" s="486"/>
      <c r="R228" s="486"/>
      <c r="S228" s="486"/>
      <c r="T228" s="486"/>
      <c r="U228" s="486"/>
      <c r="V228" s="486"/>
      <c r="W228" s="486"/>
      <c r="X228" s="486"/>
      <c r="Y228" s="486"/>
      <c r="Z228" s="486"/>
    </row>
    <row r="229">
      <c r="B229" s="550">
        <v>46272.0</v>
      </c>
      <c r="E229" s="552">
        <v>47400.0</v>
      </c>
      <c r="F229" s="512" t="s">
        <v>164</v>
      </c>
      <c r="G229" s="265" t="s">
        <v>581</v>
      </c>
      <c r="H229" s="396" t="s">
        <v>759</v>
      </c>
    </row>
    <row r="230">
      <c r="A230" s="493"/>
      <c r="B230" s="550">
        <v>46294.0</v>
      </c>
      <c r="C230" s="551"/>
      <c r="D230" s="517"/>
      <c r="E230" s="552">
        <v>40500.0</v>
      </c>
      <c r="F230" s="512" t="s">
        <v>164</v>
      </c>
      <c r="G230" s="500" t="s">
        <v>596</v>
      </c>
      <c r="H230" s="396"/>
      <c r="I230" s="486"/>
      <c r="J230" s="486"/>
      <c r="K230" s="486"/>
      <c r="L230" s="486"/>
      <c r="M230" s="486"/>
      <c r="N230" s="486"/>
      <c r="O230" s="486"/>
      <c r="P230" s="486"/>
      <c r="Q230" s="486"/>
      <c r="R230" s="486"/>
      <c r="S230" s="486"/>
      <c r="T230" s="486"/>
      <c r="U230" s="486"/>
      <c r="V230" s="486"/>
      <c r="W230" s="486"/>
      <c r="X230" s="486"/>
      <c r="Y230" s="486"/>
      <c r="Z230" s="486"/>
    </row>
    <row r="231" ht="12.75" customHeight="1">
      <c r="A231" s="493">
        <v>46130.0</v>
      </c>
      <c r="B231" s="346">
        <v>46217.0</v>
      </c>
      <c r="C231" s="551"/>
      <c r="D231" s="571">
        <v>943037.0</v>
      </c>
      <c r="E231" s="572">
        <v>14550.0</v>
      </c>
      <c r="F231" s="485" t="s">
        <v>183</v>
      </c>
      <c r="G231" s="485" t="s">
        <v>434</v>
      </c>
      <c r="H231" s="396" t="s">
        <v>760</v>
      </c>
      <c r="I231" s="342"/>
      <c r="J231" s="342"/>
      <c r="K231" s="342"/>
      <c r="L231" s="342"/>
      <c r="M231" s="342"/>
      <c r="N231" s="342"/>
      <c r="O231" s="341"/>
      <c r="P231" s="341"/>
      <c r="Q231" s="342"/>
      <c r="R231" s="342"/>
      <c r="S231" s="341"/>
      <c r="T231" s="342"/>
      <c r="U231" s="342"/>
      <c r="V231" s="342"/>
      <c r="W231" s="342"/>
      <c r="X231" s="342"/>
      <c r="Y231" s="342"/>
      <c r="Z231" s="342"/>
    </row>
    <row r="232" ht="12.75" customHeight="1">
      <c r="A232" s="367"/>
      <c r="B232" s="346">
        <v>46239.0</v>
      </c>
      <c r="C232" s="560"/>
      <c r="D232" s="472">
        <v>956486.0</v>
      </c>
      <c r="E232" s="561">
        <v>7500.0</v>
      </c>
      <c r="F232" s="360" t="s">
        <v>341</v>
      </c>
      <c r="G232" s="500" t="s">
        <v>455</v>
      </c>
      <c r="H232" s="396" t="s">
        <v>760</v>
      </c>
      <c r="I232" s="360"/>
      <c r="J232" s="360"/>
      <c r="K232" s="360"/>
      <c r="L232" s="339"/>
      <c r="M232" s="365"/>
      <c r="N232" s="365"/>
      <c r="O232" s="363"/>
      <c r="P232" s="363"/>
      <c r="Q232" s="339"/>
      <c r="R232" s="339"/>
      <c r="S232" s="340"/>
      <c r="T232" s="342"/>
      <c r="U232" s="342"/>
      <c r="V232" s="342"/>
      <c r="W232" s="342"/>
      <c r="X232" s="342"/>
      <c r="Y232" s="342"/>
      <c r="Z232" s="342"/>
    </row>
    <row r="233" ht="12.75" customHeight="1">
      <c r="A233" s="534"/>
      <c r="B233" s="536">
        <v>46304.0</v>
      </c>
      <c r="C233" s="501"/>
      <c r="D233" s="502">
        <v>956520.0</v>
      </c>
      <c r="E233" s="503">
        <v>17980.0</v>
      </c>
      <c r="F233" s="504" t="s">
        <v>97</v>
      </c>
      <c r="G233" s="504" t="s">
        <v>585</v>
      </c>
      <c r="H233" s="342"/>
      <c r="I233" s="342"/>
      <c r="J233" s="342"/>
      <c r="K233" s="342"/>
      <c r="L233" s="342"/>
      <c r="M233" s="342"/>
      <c r="N233" s="342"/>
      <c r="O233" s="341"/>
      <c r="P233" s="341"/>
      <c r="Q233" s="342"/>
      <c r="R233" s="342"/>
      <c r="S233" s="341"/>
      <c r="T233" s="342"/>
      <c r="U233" s="342"/>
      <c r="V233" s="342"/>
      <c r="W233" s="342"/>
      <c r="X233" s="342"/>
      <c r="Y233" s="342"/>
      <c r="Z233" s="342"/>
    </row>
    <row r="234" ht="12.75" customHeight="1">
      <c r="A234" s="534"/>
      <c r="B234" s="536">
        <v>46304.0</v>
      </c>
      <c r="C234" s="501"/>
      <c r="D234" s="502">
        <v>956524.0</v>
      </c>
      <c r="E234" s="503">
        <v>20000.0</v>
      </c>
      <c r="F234" s="504" t="s">
        <v>97</v>
      </c>
      <c r="G234" s="504" t="s">
        <v>591</v>
      </c>
      <c r="H234" s="504" t="s">
        <v>745</v>
      </c>
      <c r="I234" s="342"/>
      <c r="J234" s="342"/>
      <c r="K234" s="342"/>
      <c r="L234" s="342"/>
      <c r="M234" s="342"/>
      <c r="N234" s="342"/>
      <c r="O234" s="341"/>
      <c r="P234" s="341"/>
      <c r="Q234" s="342"/>
      <c r="R234" s="342"/>
      <c r="S234" s="341"/>
      <c r="T234" s="342"/>
      <c r="U234" s="342"/>
      <c r="V234" s="342"/>
      <c r="W234" s="342"/>
      <c r="X234" s="342"/>
      <c r="Y234" s="342"/>
      <c r="Z234" s="342"/>
    </row>
    <row r="235">
      <c r="A235" s="482"/>
      <c r="B235" s="573">
        <v>46311.0</v>
      </c>
      <c r="C235" s="554"/>
      <c r="D235" s="517">
        <v>956509.0</v>
      </c>
      <c r="E235" s="518">
        <v>23000.0</v>
      </c>
      <c r="F235" s="485" t="s">
        <v>405</v>
      </c>
      <c r="G235" s="485" t="s">
        <v>546</v>
      </c>
      <c r="H235" s="486"/>
      <c r="I235" s="486"/>
      <c r="J235" s="486"/>
      <c r="K235" s="486"/>
      <c r="L235" s="486"/>
      <c r="M235" s="486"/>
      <c r="N235" s="486"/>
      <c r="O235" s="486"/>
      <c r="P235" s="486"/>
      <c r="Q235" s="486"/>
      <c r="R235" s="486"/>
      <c r="S235" s="486"/>
      <c r="T235" s="486"/>
      <c r="U235" s="486"/>
      <c r="V235" s="486"/>
      <c r="W235" s="486"/>
      <c r="X235" s="486"/>
      <c r="Y235" s="486"/>
      <c r="Z235" s="486"/>
    </row>
    <row r="236" ht="12.75" customHeight="1">
      <c r="A236" s="367"/>
      <c r="B236" s="573">
        <v>46311.0</v>
      </c>
      <c r="C236" s="560"/>
      <c r="D236" s="472">
        <v>956492.0</v>
      </c>
      <c r="E236" s="470">
        <v>20000.0</v>
      </c>
      <c r="F236" s="360" t="s">
        <v>341</v>
      </c>
      <c r="G236" s="485" t="s">
        <v>761</v>
      </c>
      <c r="H236" s="360"/>
      <c r="I236" s="360"/>
      <c r="J236" s="360"/>
      <c r="K236" s="360"/>
      <c r="L236" s="339"/>
      <c r="M236" s="365"/>
      <c r="N236" s="365"/>
      <c r="O236" s="363"/>
      <c r="P236" s="363"/>
      <c r="Q236" s="339"/>
      <c r="R236" s="339"/>
      <c r="S236" s="340"/>
      <c r="T236" s="342"/>
      <c r="U236" s="342"/>
      <c r="V236" s="342"/>
      <c r="W236" s="342"/>
      <c r="X236" s="342"/>
      <c r="Y236" s="342"/>
      <c r="Z236" s="342"/>
    </row>
    <row r="237" ht="12.75" customHeight="1">
      <c r="A237" s="534"/>
      <c r="B237" s="574">
        <v>46311.0</v>
      </c>
      <c r="C237" s="575"/>
      <c r="D237" s="571">
        <v>956525.0</v>
      </c>
      <c r="E237" s="572">
        <v>15015.0</v>
      </c>
      <c r="F237" s="504" t="s">
        <v>97</v>
      </c>
      <c r="G237" s="504" t="s">
        <v>591</v>
      </c>
      <c r="H237" s="504" t="s">
        <v>741</v>
      </c>
      <c r="I237" s="342"/>
      <c r="J237" s="342"/>
      <c r="K237" s="342"/>
      <c r="L237" s="342"/>
      <c r="M237" s="342"/>
      <c r="N237" s="342"/>
      <c r="O237" s="341"/>
      <c r="P237" s="341"/>
      <c r="Q237" s="342"/>
      <c r="R237" s="342"/>
      <c r="S237" s="341"/>
      <c r="T237" s="342"/>
      <c r="U237" s="342"/>
      <c r="V237" s="342"/>
      <c r="W237" s="342"/>
      <c r="X237" s="342"/>
      <c r="Y237" s="342"/>
      <c r="Z237" s="342"/>
    </row>
    <row r="238" ht="12.75" customHeight="1">
      <c r="A238" s="367"/>
      <c r="B238" s="574">
        <v>46301.0</v>
      </c>
      <c r="C238" s="560"/>
      <c r="D238" s="472">
        <v>956491.0</v>
      </c>
      <c r="E238" s="561">
        <v>19400.0</v>
      </c>
      <c r="F238" s="360" t="s">
        <v>341</v>
      </c>
      <c r="G238" s="500" t="s">
        <v>485</v>
      </c>
      <c r="H238" s="360" t="s">
        <v>762</v>
      </c>
      <c r="I238" s="360"/>
      <c r="J238" s="360"/>
      <c r="K238" s="360"/>
      <c r="L238" s="339"/>
      <c r="M238" s="365"/>
      <c r="N238" s="365"/>
      <c r="O238" s="363"/>
      <c r="P238" s="363"/>
      <c r="Q238" s="339"/>
      <c r="R238" s="339"/>
      <c r="S238" s="340"/>
      <c r="T238" s="342"/>
      <c r="U238" s="342"/>
      <c r="V238" s="342"/>
      <c r="W238" s="342"/>
      <c r="X238" s="342"/>
      <c r="Y238" s="342"/>
      <c r="Z238" s="342"/>
    </row>
    <row r="239">
      <c r="A239" s="482"/>
      <c r="B239" s="576">
        <v>46315.0</v>
      </c>
      <c r="C239" s="554"/>
      <c r="D239" s="517">
        <v>956508.0</v>
      </c>
      <c r="E239" s="518">
        <v>25150.0</v>
      </c>
      <c r="F239" s="485" t="s">
        <v>341</v>
      </c>
      <c r="G239" s="485" t="s">
        <v>493</v>
      </c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  <c r="S239" s="486"/>
      <c r="T239" s="486"/>
      <c r="U239" s="486"/>
      <c r="V239" s="486"/>
      <c r="W239" s="486"/>
      <c r="X239" s="486"/>
      <c r="Y239" s="486"/>
      <c r="Z239" s="486"/>
    </row>
    <row r="240" ht="12.75" customHeight="1">
      <c r="A240" s="367"/>
      <c r="B240" s="576">
        <v>46315.0</v>
      </c>
      <c r="C240" s="560"/>
      <c r="D240" s="472">
        <v>942981.0</v>
      </c>
      <c r="E240" s="470">
        <v>20000.0</v>
      </c>
      <c r="F240" s="360" t="s">
        <v>145</v>
      </c>
      <c r="G240" s="360"/>
      <c r="H240" s="360"/>
      <c r="I240" s="360"/>
      <c r="J240" s="360"/>
      <c r="K240" s="360"/>
      <c r="L240" s="339"/>
      <c r="M240" s="365"/>
      <c r="N240" s="365"/>
      <c r="O240" s="363"/>
      <c r="P240" s="363"/>
      <c r="Q240" s="339"/>
      <c r="R240" s="339"/>
      <c r="S240" s="340"/>
      <c r="T240" s="342"/>
      <c r="U240" s="342"/>
      <c r="V240" s="342"/>
      <c r="W240" s="342"/>
      <c r="X240" s="342"/>
      <c r="Y240" s="342"/>
      <c r="Z240" s="342"/>
    </row>
    <row r="241">
      <c r="A241" s="482"/>
      <c r="B241" s="577">
        <v>46318.0</v>
      </c>
      <c r="C241" s="554"/>
      <c r="D241" s="517">
        <v>956510.0</v>
      </c>
      <c r="E241" s="518">
        <v>23000.0</v>
      </c>
      <c r="F241" s="485" t="s">
        <v>405</v>
      </c>
      <c r="G241" s="485" t="s">
        <v>546</v>
      </c>
      <c r="H241" s="486"/>
      <c r="I241" s="486"/>
      <c r="J241" s="486"/>
      <c r="K241" s="486"/>
      <c r="L241" s="486"/>
      <c r="M241" s="486"/>
      <c r="N241" s="486"/>
      <c r="O241" s="486"/>
      <c r="P241" s="486"/>
      <c r="Q241" s="486"/>
      <c r="R241" s="486"/>
      <c r="S241" s="486"/>
      <c r="T241" s="486"/>
      <c r="U241" s="486"/>
      <c r="V241" s="486"/>
      <c r="W241" s="486"/>
      <c r="X241" s="486"/>
      <c r="Y241" s="486"/>
      <c r="Z241" s="486"/>
    </row>
    <row r="242" ht="12.75" customHeight="1">
      <c r="A242" s="534"/>
      <c r="B242" s="574">
        <v>46318.0</v>
      </c>
      <c r="C242" s="575"/>
      <c r="D242" s="571">
        <v>956527.0</v>
      </c>
      <c r="E242" s="572">
        <v>11100.0</v>
      </c>
      <c r="F242" s="504" t="s">
        <v>97</v>
      </c>
      <c r="G242" s="504" t="s">
        <v>595</v>
      </c>
      <c r="H242" s="578"/>
      <c r="I242" s="342"/>
      <c r="J242" s="342"/>
      <c r="K242" s="342"/>
      <c r="L242" s="342"/>
      <c r="M242" s="342"/>
      <c r="N242" s="342"/>
      <c r="O242" s="341"/>
      <c r="P242" s="341"/>
      <c r="Q242" s="342"/>
      <c r="R242" s="342"/>
      <c r="S242" s="341"/>
      <c r="T242" s="342"/>
      <c r="U242" s="342"/>
      <c r="V242" s="342"/>
      <c r="W242" s="342"/>
      <c r="X242" s="342"/>
      <c r="Y242" s="342"/>
      <c r="Z242" s="342"/>
    </row>
    <row r="243" ht="12.75" customHeight="1">
      <c r="A243" s="367"/>
      <c r="B243" s="577">
        <v>46321.0</v>
      </c>
      <c r="C243" s="560"/>
      <c r="D243" s="472">
        <v>956493.0</v>
      </c>
      <c r="E243" s="470">
        <v>17830.0</v>
      </c>
      <c r="F243" s="360" t="s">
        <v>341</v>
      </c>
      <c r="G243" s="485" t="s">
        <v>763</v>
      </c>
      <c r="H243" s="360"/>
      <c r="I243" s="360"/>
      <c r="J243" s="360"/>
      <c r="K243" s="360"/>
      <c r="L243" s="339"/>
      <c r="M243" s="365"/>
      <c r="N243" s="365"/>
      <c r="O243" s="363"/>
      <c r="P243" s="363"/>
      <c r="Q243" s="339"/>
      <c r="R243" s="339"/>
      <c r="S243" s="340"/>
      <c r="T243" s="342"/>
      <c r="U243" s="342"/>
      <c r="V243" s="342"/>
      <c r="W243" s="342"/>
      <c r="X243" s="342"/>
      <c r="Y243" s="342"/>
      <c r="Z243" s="342"/>
    </row>
    <row r="244" ht="12.75" customHeight="1">
      <c r="A244" s="534"/>
      <c r="B244" s="579">
        <v>46322.0</v>
      </c>
      <c r="C244" s="575"/>
      <c r="D244" s="571">
        <v>956515.0</v>
      </c>
      <c r="E244" s="572">
        <v>23100.0</v>
      </c>
      <c r="F244" s="504" t="s">
        <v>341</v>
      </c>
      <c r="G244" s="504" t="s">
        <v>493</v>
      </c>
      <c r="H244" s="342"/>
      <c r="I244" s="342"/>
      <c r="J244" s="342"/>
      <c r="K244" s="342"/>
      <c r="L244" s="342"/>
      <c r="M244" s="342"/>
      <c r="N244" s="342"/>
      <c r="O244" s="341"/>
      <c r="P244" s="341"/>
      <c r="Q244" s="342"/>
      <c r="R244" s="342"/>
      <c r="S244" s="341"/>
      <c r="T244" s="342"/>
      <c r="U244" s="342"/>
      <c r="V244" s="342"/>
      <c r="W244" s="342"/>
      <c r="X244" s="342"/>
      <c r="Y244" s="342"/>
      <c r="Z244" s="342"/>
    </row>
    <row r="245" ht="12.75" customHeight="1">
      <c r="A245" s="534"/>
      <c r="B245" s="574">
        <v>46325.0</v>
      </c>
      <c r="C245" s="575"/>
      <c r="D245" s="571">
        <v>956529.0</v>
      </c>
      <c r="E245" s="572">
        <v>14400.0</v>
      </c>
      <c r="F245" s="504" t="s">
        <v>97</v>
      </c>
      <c r="G245" s="504" t="s">
        <v>604</v>
      </c>
      <c r="H245" s="578"/>
      <c r="I245" s="342"/>
      <c r="J245" s="342"/>
      <c r="K245" s="342"/>
      <c r="L245" s="342"/>
      <c r="M245" s="342"/>
      <c r="N245" s="342"/>
      <c r="O245" s="341"/>
      <c r="P245" s="341"/>
      <c r="Q245" s="342"/>
      <c r="R245" s="342"/>
      <c r="S245" s="341"/>
      <c r="T245" s="342"/>
      <c r="U245" s="342"/>
      <c r="V245" s="342"/>
      <c r="W245" s="342"/>
      <c r="X245" s="342"/>
      <c r="Y245" s="342"/>
      <c r="Z245" s="342"/>
    </row>
    <row r="246">
      <c r="A246" s="493"/>
      <c r="B246" s="550">
        <v>46312.0</v>
      </c>
      <c r="C246" s="551"/>
      <c r="D246" s="517"/>
      <c r="E246" s="552">
        <v>40500.0</v>
      </c>
      <c r="F246" s="512" t="s">
        <v>164</v>
      </c>
      <c r="G246" s="500" t="s">
        <v>611</v>
      </c>
      <c r="H246" s="396"/>
      <c r="I246" s="486"/>
      <c r="J246" s="486"/>
      <c r="K246" s="486"/>
      <c r="L246" s="486"/>
      <c r="M246" s="486"/>
      <c r="N246" s="486"/>
      <c r="O246" s="486"/>
      <c r="P246" s="486"/>
      <c r="Q246" s="486"/>
      <c r="R246" s="486"/>
      <c r="S246" s="486"/>
      <c r="T246" s="486"/>
      <c r="U246" s="486"/>
      <c r="V246" s="486"/>
      <c r="W246" s="486"/>
      <c r="X246" s="486"/>
      <c r="Y246" s="486"/>
      <c r="Z246" s="486"/>
    </row>
    <row r="247">
      <c r="A247" s="493"/>
      <c r="B247" s="550">
        <v>46321.0</v>
      </c>
      <c r="C247" s="551"/>
      <c r="D247" s="517"/>
      <c r="E247" s="552">
        <v>40500.0</v>
      </c>
      <c r="F247" s="512" t="s">
        <v>164</v>
      </c>
      <c r="G247" s="500" t="s">
        <v>618</v>
      </c>
      <c r="H247" s="396"/>
      <c r="I247" s="486"/>
      <c r="J247" s="486"/>
      <c r="K247" s="486"/>
      <c r="L247" s="486"/>
      <c r="M247" s="486"/>
      <c r="N247" s="486"/>
      <c r="O247" s="486"/>
      <c r="P247" s="486"/>
      <c r="Q247" s="486"/>
      <c r="R247" s="486"/>
      <c r="S247" s="486"/>
      <c r="T247" s="486"/>
      <c r="U247" s="486"/>
      <c r="V247" s="486"/>
      <c r="W247" s="486"/>
      <c r="X247" s="486"/>
      <c r="Y247" s="486"/>
      <c r="Z247" s="486"/>
    </row>
    <row r="248">
      <c r="A248" s="493"/>
      <c r="B248" s="515">
        <v>46320.0</v>
      </c>
      <c r="C248" s="551"/>
      <c r="D248" s="517"/>
      <c r="E248" s="518">
        <v>65000.0</v>
      </c>
      <c r="F248" s="512" t="s">
        <v>164</v>
      </c>
      <c r="G248" s="580">
        <v>404.0</v>
      </c>
      <c r="H248" s="396"/>
      <c r="I248" s="486"/>
      <c r="J248" s="486"/>
      <c r="K248" s="486"/>
      <c r="L248" s="486"/>
      <c r="M248" s="486"/>
      <c r="N248" s="486"/>
      <c r="O248" s="486"/>
      <c r="P248" s="486"/>
      <c r="Q248" s="486"/>
      <c r="R248" s="486"/>
      <c r="S248" s="486"/>
      <c r="T248" s="486"/>
      <c r="U248" s="486"/>
      <c r="V248" s="486"/>
      <c r="W248" s="486"/>
      <c r="X248" s="486"/>
      <c r="Y248" s="486"/>
      <c r="Z248" s="486"/>
    </row>
    <row r="249" ht="12.75" customHeight="1">
      <c r="A249" s="367"/>
      <c r="B249" s="346"/>
      <c r="C249" s="560"/>
      <c r="D249" s="472"/>
      <c r="E249" s="470"/>
      <c r="F249" s="360"/>
      <c r="G249" s="360"/>
      <c r="H249" s="360"/>
      <c r="I249" s="360"/>
      <c r="J249" s="360"/>
      <c r="K249" s="360"/>
      <c r="L249" s="339"/>
      <c r="M249" s="365"/>
      <c r="N249" s="365"/>
      <c r="O249" s="363"/>
      <c r="P249" s="363"/>
      <c r="Q249" s="339"/>
      <c r="R249" s="339"/>
      <c r="S249" s="340"/>
      <c r="T249" s="342"/>
      <c r="U249" s="342"/>
      <c r="V249" s="342"/>
      <c r="W249" s="342"/>
      <c r="X249" s="342"/>
      <c r="Y249" s="342"/>
      <c r="Z249" s="342"/>
    </row>
    <row r="250" ht="12.75" customHeight="1">
      <c r="A250" s="488"/>
      <c r="B250" s="489"/>
      <c r="C250" s="490"/>
      <c r="D250" s="491"/>
      <c r="E250" s="492"/>
      <c r="F250" s="360"/>
      <c r="G250" s="360"/>
      <c r="H250" s="360"/>
      <c r="I250" s="360"/>
      <c r="J250" s="360"/>
      <c r="K250" s="360"/>
      <c r="L250" s="339"/>
      <c r="M250" s="365"/>
      <c r="N250" s="365"/>
      <c r="O250" s="363"/>
      <c r="P250" s="363"/>
      <c r="Q250" s="339"/>
      <c r="R250" s="339"/>
      <c r="S250" s="340"/>
      <c r="T250" s="342"/>
      <c r="U250" s="342"/>
      <c r="V250" s="342"/>
      <c r="W250" s="342"/>
      <c r="X250" s="342"/>
      <c r="Y250" s="342"/>
      <c r="Z250" s="342"/>
    </row>
    <row r="251" ht="12.75" customHeight="1">
      <c r="A251" s="534"/>
      <c r="B251" s="579">
        <v>46328.0</v>
      </c>
      <c r="C251" s="575"/>
      <c r="D251" s="571">
        <v>956516.0</v>
      </c>
      <c r="E251" s="572">
        <v>14250.0</v>
      </c>
      <c r="F251" s="504" t="s">
        <v>341</v>
      </c>
      <c r="G251" s="504" t="s">
        <v>569</v>
      </c>
      <c r="H251" s="342"/>
      <c r="I251" s="342"/>
      <c r="J251" s="342"/>
      <c r="K251" s="342"/>
      <c r="L251" s="342"/>
      <c r="M251" s="342"/>
      <c r="N251" s="342"/>
      <c r="O251" s="341"/>
      <c r="P251" s="341"/>
      <c r="Q251" s="342"/>
      <c r="R251" s="342"/>
      <c r="S251" s="341"/>
      <c r="T251" s="342"/>
      <c r="U251" s="342"/>
      <c r="V251" s="342"/>
      <c r="W251" s="342"/>
      <c r="X251" s="342"/>
      <c r="Y251" s="342"/>
      <c r="Z251" s="342"/>
    </row>
    <row r="252" ht="12.75" customHeight="1">
      <c r="A252" s="534"/>
      <c r="B252" s="581">
        <v>46332.0</v>
      </c>
      <c r="C252" s="575"/>
      <c r="D252" s="571">
        <v>956511.0</v>
      </c>
      <c r="E252" s="572">
        <v>22976.0</v>
      </c>
      <c r="F252" s="504" t="s">
        <v>405</v>
      </c>
      <c r="G252" s="504" t="s">
        <v>546</v>
      </c>
      <c r="H252" s="342"/>
      <c r="I252" s="342"/>
      <c r="J252" s="342"/>
      <c r="K252" s="342"/>
      <c r="L252" s="342"/>
      <c r="M252" s="342"/>
      <c r="N252" s="342"/>
      <c r="O252" s="341"/>
      <c r="P252" s="341"/>
      <c r="Q252" s="342"/>
      <c r="R252" s="342"/>
      <c r="S252" s="341"/>
      <c r="T252" s="342"/>
      <c r="U252" s="342"/>
      <c r="V252" s="342"/>
      <c r="W252" s="342"/>
      <c r="X252" s="342"/>
      <c r="Y252" s="342"/>
      <c r="Z252" s="342"/>
    </row>
    <row r="253">
      <c r="A253" s="486"/>
      <c r="B253" s="582">
        <v>46332.0</v>
      </c>
      <c r="C253" s="486"/>
      <c r="D253" s="517">
        <v>956531.0</v>
      </c>
      <c r="E253" s="552">
        <v>5650.0</v>
      </c>
      <c r="F253" s="500" t="s">
        <v>97</v>
      </c>
      <c r="G253" s="500" t="s">
        <v>608</v>
      </c>
      <c r="H253" s="486"/>
      <c r="I253" s="486"/>
      <c r="J253" s="486"/>
      <c r="K253" s="486"/>
      <c r="L253" s="486"/>
      <c r="M253" s="486"/>
      <c r="N253" s="486"/>
      <c r="O253" s="486"/>
      <c r="P253" s="486"/>
      <c r="Q253" s="486"/>
      <c r="R253" s="486"/>
      <c r="S253" s="486"/>
      <c r="T253" s="486"/>
      <c r="U253" s="486"/>
      <c r="V253" s="486"/>
      <c r="W253" s="486"/>
      <c r="X253" s="486"/>
      <c r="Y253" s="486"/>
      <c r="Z253" s="486"/>
    </row>
    <row r="254">
      <c r="A254" s="486"/>
      <c r="B254" s="582">
        <v>46339.0</v>
      </c>
      <c r="C254" s="486"/>
      <c r="D254" s="517">
        <v>956532.0</v>
      </c>
      <c r="E254" s="552">
        <v>24950.0</v>
      </c>
      <c r="F254" s="500" t="s">
        <v>97</v>
      </c>
      <c r="G254" s="500" t="s">
        <v>609</v>
      </c>
      <c r="H254" s="486"/>
      <c r="I254" s="486"/>
      <c r="J254" s="486"/>
      <c r="K254" s="486"/>
      <c r="L254" s="486"/>
      <c r="M254" s="486"/>
      <c r="N254" s="486"/>
      <c r="O254" s="486"/>
      <c r="P254" s="486"/>
      <c r="Q254" s="486"/>
      <c r="R254" s="486"/>
      <c r="S254" s="486"/>
      <c r="T254" s="486"/>
      <c r="U254" s="486"/>
      <c r="V254" s="486"/>
      <c r="W254" s="486"/>
      <c r="X254" s="486"/>
      <c r="Y254" s="486"/>
      <c r="Z254" s="486"/>
    </row>
    <row r="255">
      <c r="A255" s="486"/>
      <c r="B255" s="582">
        <v>46339.0</v>
      </c>
      <c r="C255" s="486"/>
      <c r="D255" s="517">
        <v>956533.0</v>
      </c>
      <c r="E255" s="552">
        <v>7700.0</v>
      </c>
      <c r="F255" s="500" t="s">
        <v>97</v>
      </c>
      <c r="G255" s="500" t="s">
        <v>612</v>
      </c>
      <c r="H255" s="486"/>
      <c r="I255" s="486"/>
      <c r="J255" s="486"/>
      <c r="K255" s="486"/>
      <c r="L255" s="486"/>
      <c r="M255" s="486"/>
      <c r="N255" s="486"/>
      <c r="O255" s="486"/>
      <c r="P255" s="486"/>
      <c r="Q255" s="486"/>
      <c r="R255" s="486"/>
      <c r="S255" s="486"/>
      <c r="T255" s="486"/>
      <c r="U255" s="486"/>
      <c r="V255" s="486"/>
      <c r="W255" s="486"/>
      <c r="X255" s="486"/>
      <c r="Y255" s="486"/>
      <c r="Z255" s="486"/>
    </row>
    <row r="256" ht="12.75" customHeight="1">
      <c r="A256" s="534"/>
      <c r="B256" s="579">
        <v>46343.0</v>
      </c>
      <c r="C256" s="575"/>
      <c r="D256" s="571">
        <v>956526.0</v>
      </c>
      <c r="E256" s="572">
        <v>6000.0</v>
      </c>
      <c r="F256" s="504" t="s">
        <v>341</v>
      </c>
      <c r="G256" s="504" t="s">
        <v>569</v>
      </c>
      <c r="H256" s="578"/>
      <c r="I256" s="342"/>
      <c r="J256" s="342"/>
      <c r="K256" s="342"/>
      <c r="L256" s="342"/>
      <c r="M256" s="342"/>
      <c r="N256" s="342"/>
      <c r="O256" s="341"/>
      <c r="P256" s="341"/>
      <c r="Q256" s="342"/>
      <c r="R256" s="342"/>
      <c r="S256" s="341"/>
      <c r="T256" s="342"/>
      <c r="U256" s="342"/>
      <c r="V256" s="342"/>
      <c r="W256" s="342"/>
      <c r="X256" s="342"/>
      <c r="Y256" s="342"/>
      <c r="Z256" s="342"/>
    </row>
    <row r="257">
      <c r="A257" s="486"/>
      <c r="B257" s="582">
        <v>46346.0</v>
      </c>
      <c r="C257" s="486"/>
      <c r="D257" s="517">
        <v>956534.0</v>
      </c>
      <c r="E257" s="552">
        <v>27900.0</v>
      </c>
      <c r="F257" s="500" t="s">
        <v>97</v>
      </c>
      <c r="G257" s="500" t="s">
        <v>615</v>
      </c>
      <c r="H257" s="486"/>
      <c r="I257" s="486"/>
      <c r="J257" s="486"/>
      <c r="K257" s="486"/>
      <c r="L257" s="486"/>
      <c r="M257" s="486"/>
      <c r="N257" s="486"/>
      <c r="O257" s="486"/>
      <c r="P257" s="486"/>
      <c r="Q257" s="486"/>
      <c r="R257" s="486"/>
      <c r="S257" s="486"/>
      <c r="T257" s="486"/>
      <c r="U257" s="486"/>
      <c r="V257" s="486"/>
      <c r="W257" s="486"/>
      <c r="X257" s="486"/>
      <c r="Y257" s="486"/>
      <c r="Z257" s="486"/>
    </row>
    <row r="258" ht="12.75" customHeight="1">
      <c r="A258" s="367"/>
      <c r="B258" s="346">
        <v>46346.0</v>
      </c>
      <c r="C258" s="560"/>
      <c r="D258" s="472">
        <v>942982.0</v>
      </c>
      <c r="E258" s="470">
        <v>20000.0</v>
      </c>
      <c r="F258" s="360" t="s">
        <v>145</v>
      </c>
      <c r="G258" s="360"/>
      <c r="H258" s="360"/>
      <c r="I258" s="360"/>
      <c r="J258" s="360"/>
      <c r="K258" s="360"/>
      <c r="L258" s="339"/>
      <c r="M258" s="365"/>
      <c r="N258" s="365"/>
      <c r="O258" s="363"/>
      <c r="P258" s="363"/>
      <c r="Q258" s="339"/>
      <c r="R258" s="339"/>
      <c r="S258" s="340"/>
      <c r="T258" s="342"/>
      <c r="U258" s="342"/>
      <c r="V258" s="342"/>
      <c r="W258" s="342"/>
      <c r="X258" s="342"/>
      <c r="Y258" s="342"/>
      <c r="Z258" s="342"/>
    </row>
    <row r="259" ht="12.75" customHeight="1">
      <c r="A259" s="534"/>
      <c r="B259" s="579">
        <v>46350.0</v>
      </c>
      <c r="C259" s="575"/>
      <c r="D259" s="571">
        <v>956528.0</v>
      </c>
      <c r="E259" s="572">
        <v>17500.0</v>
      </c>
      <c r="F259" s="504" t="s">
        <v>341</v>
      </c>
      <c r="G259" s="504" t="s">
        <v>602</v>
      </c>
      <c r="H259" s="578"/>
      <c r="I259" s="342"/>
      <c r="J259" s="342"/>
      <c r="K259" s="342"/>
      <c r="L259" s="342"/>
      <c r="M259" s="342"/>
      <c r="N259" s="342"/>
      <c r="O259" s="341"/>
      <c r="P259" s="341"/>
      <c r="Q259" s="342"/>
      <c r="R259" s="342"/>
      <c r="S259" s="341"/>
      <c r="T259" s="342"/>
      <c r="U259" s="342"/>
      <c r="V259" s="342"/>
      <c r="W259" s="342"/>
      <c r="X259" s="342"/>
      <c r="Y259" s="342"/>
      <c r="Z259" s="342"/>
    </row>
    <row r="260">
      <c r="A260" s="486"/>
      <c r="B260" s="582">
        <v>46353.0</v>
      </c>
      <c r="C260" s="486"/>
      <c r="D260" s="517">
        <v>956538.0</v>
      </c>
      <c r="E260" s="552">
        <v>15450.0</v>
      </c>
      <c r="F260" s="500" t="s">
        <v>97</v>
      </c>
      <c r="G260" s="500" t="s">
        <v>619</v>
      </c>
      <c r="H260" s="486"/>
      <c r="I260" s="486"/>
      <c r="J260" s="486"/>
      <c r="K260" s="486"/>
      <c r="L260" s="486"/>
      <c r="M260" s="486"/>
      <c r="N260" s="486"/>
      <c r="O260" s="486"/>
      <c r="P260" s="486"/>
      <c r="Q260" s="486"/>
      <c r="R260" s="486"/>
      <c r="S260" s="486"/>
      <c r="T260" s="486"/>
      <c r="U260" s="486"/>
      <c r="V260" s="486"/>
      <c r="W260" s="486"/>
      <c r="X260" s="486"/>
      <c r="Y260" s="486"/>
      <c r="Z260" s="486"/>
    </row>
    <row r="261" ht="12.75" customHeight="1">
      <c r="A261" s="367"/>
      <c r="B261" s="346"/>
      <c r="C261" s="560"/>
      <c r="D261" s="472"/>
      <c r="E261" s="470"/>
      <c r="F261" s="360"/>
      <c r="G261" s="360"/>
      <c r="H261" s="360"/>
      <c r="I261" s="360"/>
      <c r="J261" s="360"/>
      <c r="K261" s="360"/>
      <c r="L261" s="339"/>
      <c r="M261" s="365"/>
      <c r="N261" s="365"/>
      <c r="O261" s="363"/>
      <c r="P261" s="363"/>
      <c r="Q261" s="339"/>
      <c r="R261" s="339"/>
      <c r="S261" s="340"/>
      <c r="T261" s="342"/>
      <c r="U261" s="342"/>
      <c r="V261" s="342"/>
      <c r="W261" s="342"/>
      <c r="X261" s="342"/>
      <c r="Y261" s="342"/>
      <c r="Z261" s="342"/>
    </row>
    <row r="262" ht="12.75" customHeight="1">
      <c r="A262" s="488"/>
      <c r="B262" s="489"/>
      <c r="C262" s="490"/>
      <c r="D262" s="491"/>
      <c r="E262" s="492"/>
      <c r="F262" s="360"/>
      <c r="G262" s="360"/>
      <c r="H262" s="360"/>
      <c r="I262" s="360"/>
      <c r="J262" s="360"/>
      <c r="K262" s="360"/>
      <c r="L262" s="339"/>
      <c r="M262" s="365"/>
      <c r="N262" s="365"/>
      <c r="O262" s="363"/>
      <c r="P262" s="363"/>
      <c r="Q262" s="339"/>
      <c r="R262" s="339"/>
      <c r="S262" s="340"/>
      <c r="T262" s="342"/>
      <c r="U262" s="342"/>
      <c r="V262" s="342"/>
      <c r="W262" s="342"/>
      <c r="X262" s="342"/>
      <c r="Y262" s="342"/>
      <c r="Z262" s="342"/>
    </row>
    <row r="263">
      <c r="A263" s="486"/>
      <c r="B263" s="582">
        <v>46360.0</v>
      </c>
      <c r="C263" s="486"/>
      <c r="D263" s="517">
        <v>956530.0</v>
      </c>
      <c r="E263" s="552">
        <v>10660.0</v>
      </c>
      <c r="F263" s="500" t="s">
        <v>186</v>
      </c>
      <c r="G263" s="500"/>
      <c r="H263" s="486"/>
      <c r="I263" s="486"/>
      <c r="J263" s="486"/>
      <c r="K263" s="486"/>
      <c r="L263" s="486"/>
      <c r="M263" s="486"/>
      <c r="N263" s="486"/>
      <c r="O263" s="486"/>
      <c r="P263" s="486"/>
      <c r="Q263" s="486"/>
      <c r="R263" s="486"/>
      <c r="S263" s="486"/>
      <c r="T263" s="486"/>
      <c r="U263" s="486"/>
      <c r="V263" s="486"/>
      <c r="W263" s="486"/>
      <c r="X263" s="486"/>
      <c r="Y263" s="486"/>
      <c r="Z263" s="486"/>
    </row>
    <row r="264" ht="12.75" customHeight="1">
      <c r="A264" s="367"/>
      <c r="B264" s="346">
        <v>46376.0</v>
      </c>
      <c r="C264" s="560"/>
      <c r="D264" s="472">
        <v>942983.0</v>
      </c>
      <c r="E264" s="470">
        <v>20000.0</v>
      </c>
      <c r="F264" s="360" t="s">
        <v>145</v>
      </c>
      <c r="G264" s="360"/>
      <c r="H264" s="360"/>
      <c r="I264" s="360"/>
      <c r="J264" s="360"/>
      <c r="K264" s="360"/>
      <c r="L264" s="339"/>
      <c r="M264" s="365"/>
      <c r="N264" s="365"/>
      <c r="O264" s="363"/>
      <c r="P264" s="363"/>
      <c r="Q264" s="339"/>
      <c r="R264" s="339"/>
      <c r="S264" s="340"/>
      <c r="T264" s="342"/>
      <c r="U264" s="342"/>
      <c r="V264" s="342"/>
      <c r="W264" s="342"/>
      <c r="X264" s="342"/>
      <c r="Y264" s="342"/>
      <c r="Z264" s="342"/>
    </row>
    <row r="265" ht="12.75" customHeight="1">
      <c r="A265" s="367"/>
      <c r="B265" s="346"/>
      <c r="C265" s="560"/>
      <c r="D265" s="472"/>
      <c r="E265" s="470"/>
      <c r="F265" s="360"/>
      <c r="G265" s="360"/>
      <c r="H265" s="360"/>
      <c r="I265" s="360"/>
      <c r="J265" s="360"/>
      <c r="K265" s="360"/>
      <c r="L265" s="339"/>
      <c r="M265" s="339"/>
      <c r="N265" s="339"/>
      <c r="O265" s="340"/>
      <c r="P265" s="340"/>
      <c r="Q265" s="339"/>
      <c r="R265" s="339"/>
      <c r="S265" s="340"/>
      <c r="T265" s="342"/>
      <c r="U265" s="342"/>
      <c r="V265" s="342"/>
      <c r="W265" s="342"/>
      <c r="X265" s="342"/>
      <c r="Y265" s="342"/>
      <c r="Z265" s="342"/>
    </row>
    <row r="266" ht="12.75" customHeight="1">
      <c r="A266" s="367"/>
      <c r="B266" s="346"/>
      <c r="C266" s="560"/>
      <c r="D266" s="472"/>
      <c r="E266" s="470"/>
      <c r="F266" s="360"/>
      <c r="G266" s="360"/>
      <c r="H266" s="360"/>
      <c r="I266" s="360"/>
      <c r="J266" s="360"/>
      <c r="K266" s="360"/>
      <c r="L266" s="339"/>
      <c r="M266" s="339"/>
      <c r="N266" s="339"/>
      <c r="O266" s="340"/>
      <c r="P266" s="340"/>
      <c r="Q266" s="339"/>
      <c r="R266" s="339"/>
      <c r="S266" s="340"/>
      <c r="T266" s="342"/>
      <c r="U266" s="342"/>
      <c r="V266" s="342"/>
      <c r="W266" s="342"/>
      <c r="X266" s="342"/>
      <c r="Y266" s="342"/>
      <c r="Z266" s="342"/>
    </row>
    <row r="267" ht="12.75" customHeight="1">
      <c r="A267" s="367"/>
      <c r="B267" s="346"/>
      <c r="C267" s="560"/>
      <c r="D267" s="472"/>
      <c r="E267" s="470"/>
      <c r="F267" s="360"/>
      <c r="G267" s="360"/>
      <c r="H267" s="360"/>
      <c r="I267" s="360"/>
      <c r="J267" s="360"/>
      <c r="K267" s="360"/>
      <c r="L267" s="339"/>
      <c r="M267" s="339"/>
      <c r="N267" s="339"/>
      <c r="O267" s="340"/>
      <c r="P267" s="340"/>
      <c r="Q267" s="339"/>
      <c r="R267" s="339"/>
      <c r="S267" s="340"/>
      <c r="T267" s="342"/>
      <c r="U267" s="342"/>
      <c r="V267" s="342"/>
      <c r="W267" s="342"/>
      <c r="X267" s="342"/>
      <c r="Y267" s="342"/>
      <c r="Z267" s="342"/>
    </row>
    <row r="268" ht="12.75" customHeight="1">
      <c r="A268" s="367"/>
      <c r="B268" s="346">
        <v>46407.0</v>
      </c>
      <c r="C268" s="560"/>
      <c r="D268" s="472">
        <v>942984.0</v>
      </c>
      <c r="E268" s="470">
        <v>20000.0</v>
      </c>
      <c r="F268" s="360" t="s">
        <v>145</v>
      </c>
      <c r="G268" s="360"/>
      <c r="H268" s="360"/>
      <c r="I268" s="360"/>
      <c r="J268" s="360"/>
      <c r="K268" s="360"/>
      <c r="L268" s="339"/>
      <c r="M268" s="339"/>
      <c r="N268" s="339"/>
      <c r="O268" s="340"/>
      <c r="P268" s="340"/>
      <c r="Q268" s="339"/>
      <c r="R268" s="339"/>
      <c r="S268" s="340"/>
      <c r="T268" s="342"/>
      <c r="U268" s="342"/>
      <c r="V268" s="342"/>
      <c r="W268" s="342"/>
      <c r="X268" s="342"/>
      <c r="Y268" s="342"/>
      <c r="Z268" s="342"/>
    </row>
    <row r="269" ht="12.75" customHeight="1">
      <c r="A269" s="534"/>
      <c r="B269" s="550">
        <v>46409.0</v>
      </c>
      <c r="C269" s="575"/>
      <c r="D269" s="517">
        <v>956535.0</v>
      </c>
      <c r="E269" s="552">
        <v>22750.0</v>
      </c>
      <c r="F269" s="500" t="s">
        <v>341</v>
      </c>
      <c r="G269" s="500" t="s">
        <v>616</v>
      </c>
      <c r="H269" s="578"/>
      <c r="I269" s="342"/>
      <c r="J269" s="342"/>
      <c r="K269" s="342"/>
      <c r="L269" s="342"/>
      <c r="M269" s="342"/>
      <c r="N269" s="342"/>
      <c r="O269" s="341"/>
      <c r="P269" s="341"/>
      <c r="Q269" s="342"/>
      <c r="R269" s="342"/>
      <c r="S269" s="341"/>
      <c r="T269" s="342"/>
      <c r="U269" s="342"/>
      <c r="V269" s="342"/>
      <c r="W269" s="342"/>
      <c r="X269" s="342"/>
      <c r="Y269" s="342"/>
      <c r="Z269" s="342"/>
    </row>
    <row r="270">
      <c r="A270" s="486"/>
      <c r="B270" s="550">
        <v>46416.0</v>
      </c>
      <c r="C270" s="486"/>
      <c r="D270" s="517">
        <v>956537.0</v>
      </c>
      <c r="E270" s="552">
        <v>27550.0</v>
      </c>
      <c r="F270" s="500" t="s">
        <v>341</v>
      </c>
      <c r="G270" s="500" t="s">
        <v>621</v>
      </c>
      <c r="H270" s="486"/>
      <c r="I270" s="486"/>
      <c r="J270" s="486"/>
      <c r="K270" s="486"/>
      <c r="L270" s="486"/>
      <c r="M270" s="486"/>
      <c r="N270" s="486"/>
      <c r="O270" s="486"/>
      <c r="P270" s="486"/>
      <c r="Q270" s="486"/>
      <c r="R270" s="486"/>
      <c r="S270" s="486"/>
      <c r="T270" s="486"/>
      <c r="U270" s="486"/>
      <c r="V270" s="486"/>
      <c r="W270" s="486"/>
      <c r="X270" s="486"/>
      <c r="Y270" s="486"/>
      <c r="Z270" s="486"/>
    </row>
    <row r="272" ht="12.75" customHeight="1">
      <c r="A272" s="367"/>
      <c r="B272" s="346">
        <v>46438.0</v>
      </c>
      <c r="C272" s="560"/>
      <c r="D272" s="472">
        <v>942985.0</v>
      </c>
      <c r="E272" s="470">
        <v>20000.0</v>
      </c>
      <c r="F272" s="360" t="s">
        <v>145</v>
      </c>
      <c r="G272" s="360"/>
      <c r="H272" s="360"/>
      <c r="I272" s="360"/>
      <c r="J272" s="360"/>
      <c r="K272" s="360"/>
      <c r="L272" s="339"/>
      <c r="M272" s="339"/>
      <c r="N272" s="365"/>
      <c r="O272" s="340"/>
      <c r="P272" s="340"/>
      <c r="Q272" s="339"/>
      <c r="R272" s="339"/>
      <c r="S272" s="340"/>
      <c r="T272" s="342"/>
      <c r="U272" s="342"/>
      <c r="V272" s="342"/>
      <c r="W272" s="342"/>
      <c r="X272" s="342"/>
      <c r="Y272" s="342"/>
      <c r="Z272" s="342"/>
    </row>
    <row r="273" ht="12.75" customHeight="1">
      <c r="A273" s="367"/>
      <c r="B273" s="346">
        <v>46466.0</v>
      </c>
      <c r="C273" s="560"/>
      <c r="D273" s="472">
        <v>942987.0</v>
      </c>
      <c r="E273" s="470">
        <v>20000.0</v>
      </c>
      <c r="F273" s="360" t="s">
        <v>145</v>
      </c>
      <c r="G273" s="360"/>
      <c r="H273" s="360"/>
      <c r="I273" s="360"/>
      <c r="J273" s="360"/>
      <c r="K273" s="360"/>
      <c r="L273" s="339"/>
      <c r="M273" s="339"/>
      <c r="N273" s="339"/>
      <c r="O273" s="340"/>
      <c r="P273" s="340"/>
      <c r="Q273" s="339"/>
      <c r="R273" s="339"/>
      <c r="S273" s="340"/>
      <c r="T273" s="342"/>
      <c r="U273" s="342"/>
      <c r="V273" s="342"/>
      <c r="W273" s="342"/>
      <c r="X273" s="342"/>
      <c r="Y273" s="342"/>
      <c r="Z273" s="342"/>
    </row>
    <row r="274" ht="12.75" customHeight="1">
      <c r="A274" s="367"/>
      <c r="B274" s="346">
        <v>46497.0</v>
      </c>
      <c r="C274" s="560"/>
      <c r="D274" s="472">
        <v>942988.0</v>
      </c>
      <c r="E274" s="470">
        <v>20000.0</v>
      </c>
      <c r="F274" s="360" t="s">
        <v>145</v>
      </c>
      <c r="G274" s="360"/>
      <c r="H274" s="360"/>
      <c r="I274" s="360"/>
      <c r="J274" s="360"/>
      <c r="K274" s="360"/>
      <c r="L274" s="339"/>
      <c r="M274" s="339"/>
      <c r="N274" s="339"/>
      <c r="O274" s="340"/>
      <c r="P274" s="340"/>
      <c r="Q274" s="339"/>
      <c r="R274" s="339"/>
      <c r="S274" s="340"/>
      <c r="T274" s="342"/>
      <c r="U274" s="342"/>
      <c r="V274" s="342"/>
      <c r="W274" s="342"/>
      <c r="X274" s="342"/>
      <c r="Y274" s="342"/>
      <c r="Z274" s="342"/>
    </row>
    <row r="275" ht="12.75" customHeight="1">
      <c r="A275" s="367"/>
      <c r="B275" s="346">
        <v>46527.0</v>
      </c>
      <c r="C275" s="560"/>
      <c r="D275" s="472">
        <v>942989.0</v>
      </c>
      <c r="E275" s="470">
        <v>20000.0</v>
      </c>
      <c r="F275" s="360" t="s">
        <v>145</v>
      </c>
      <c r="G275" s="360"/>
      <c r="H275" s="360"/>
      <c r="I275" s="360"/>
      <c r="J275" s="360"/>
      <c r="K275" s="360"/>
      <c r="L275" s="339"/>
      <c r="M275" s="339"/>
      <c r="N275" s="339"/>
      <c r="O275" s="340"/>
      <c r="P275" s="340"/>
      <c r="Q275" s="339"/>
      <c r="R275" s="339"/>
      <c r="S275" s="340"/>
      <c r="T275" s="342"/>
      <c r="U275" s="342"/>
      <c r="V275" s="342"/>
      <c r="W275" s="342"/>
      <c r="X275" s="342"/>
      <c r="Y275" s="342"/>
      <c r="Z275" s="342"/>
    </row>
    <row r="276" ht="12.75" customHeight="1">
      <c r="A276" s="367"/>
      <c r="B276" s="346">
        <v>46558.0</v>
      </c>
      <c r="C276" s="560"/>
      <c r="D276" s="472">
        <v>942990.0</v>
      </c>
      <c r="E276" s="470">
        <v>20000.0</v>
      </c>
      <c r="F276" s="360" t="s">
        <v>145</v>
      </c>
      <c r="G276" s="360"/>
      <c r="H276" s="360"/>
      <c r="I276" s="360"/>
      <c r="J276" s="360"/>
      <c r="K276" s="360"/>
      <c r="L276" s="339"/>
      <c r="M276" s="339"/>
      <c r="N276" s="339"/>
      <c r="O276" s="340"/>
      <c r="P276" s="340"/>
      <c r="Q276" s="339"/>
      <c r="R276" s="339"/>
      <c r="S276" s="340"/>
      <c r="T276" s="342"/>
      <c r="U276" s="342"/>
      <c r="V276" s="342"/>
      <c r="W276" s="342"/>
      <c r="X276" s="342"/>
      <c r="Y276" s="342"/>
      <c r="Z276" s="342"/>
    </row>
    <row r="277" ht="12.75" customHeight="1">
      <c r="A277" s="367"/>
      <c r="B277" s="346">
        <v>46588.0</v>
      </c>
      <c r="C277" s="560"/>
      <c r="D277" s="472">
        <v>942991.0</v>
      </c>
      <c r="E277" s="470">
        <v>20000.0</v>
      </c>
      <c r="F277" s="360" t="s">
        <v>145</v>
      </c>
      <c r="G277" s="360"/>
      <c r="H277" s="360"/>
      <c r="I277" s="360"/>
      <c r="J277" s="360"/>
      <c r="K277" s="360"/>
      <c r="L277" s="339"/>
      <c r="M277" s="339"/>
      <c r="N277" s="339"/>
      <c r="O277" s="340"/>
      <c r="P277" s="340"/>
      <c r="Q277" s="339"/>
      <c r="R277" s="339"/>
      <c r="S277" s="340"/>
      <c r="T277" s="342"/>
      <c r="U277" s="342"/>
      <c r="V277" s="342"/>
      <c r="W277" s="342"/>
      <c r="X277" s="342"/>
      <c r="Y277" s="342"/>
      <c r="Z277" s="342"/>
    </row>
    <row r="278" ht="12.75" customHeight="1">
      <c r="A278" s="367"/>
      <c r="B278" s="346">
        <v>46619.0</v>
      </c>
      <c r="C278" s="560"/>
      <c r="D278" s="472">
        <v>942992.0</v>
      </c>
      <c r="E278" s="470">
        <v>20000.0</v>
      </c>
      <c r="F278" s="360" t="s">
        <v>145</v>
      </c>
      <c r="G278" s="360"/>
      <c r="H278" s="360"/>
      <c r="I278" s="360"/>
      <c r="J278" s="360"/>
      <c r="K278" s="360"/>
      <c r="L278" s="339"/>
      <c r="M278" s="339"/>
      <c r="N278" s="339"/>
      <c r="O278" s="340"/>
      <c r="P278" s="340"/>
      <c r="Q278" s="339"/>
      <c r="R278" s="339"/>
      <c r="S278" s="340"/>
      <c r="T278" s="342"/>
      <c r="U278" s="342"/>
      <c r="V278" s="342"/>
      <c r="W278" s="342"/>
      <c r="X278" s="342"/>
      <c r="Y278" s="342"/>
      <c r="Z278" s="342"/>
    </row>
    <row r="279">
      <c r="A279" s="482"/>
      <c r="B279" s="515">
        <v>46650.0</v>
      </c>
      <c r="C279" s="554"/>
      <c r="D279" s="517">
        <v>956480.0</v>
      </c>
      <c r="E279" s="518">
        <v>20000.0</v>
      </c>
      <c r="F279" s="360" t="s">
        <v>145</v>
      </c>
      <c r="G279" s="485"/>
      <c r="H279" s="486"/>
      <c r="I279" s="486"/>
      <c r="J279" s="486"/>
      <c r="K279" s="486"/>
      <c r="L279" s="486"/>
      <c r="M279" s="486"/>
      <c r="N279" s="486"/>
      <c r="O279" s="486"/>
      <c r="P279" s="486"/>
      <c r="Q279" s="486"/>
      <c r="R279" s="486"/>
      <c r="S279" s="486"/>
      <c r="T279" s="486"/>
      <c r="U279" s="486"/>
      <c r="V279" s="486"/>
      <c r="W279" s="486"/>
      <c r="X279" s="486"/>
      <c r="Y279" s="486"/>
      <c r="Z279" s="486"/>
    </row>
    <row r="280" ht="12.75" customHeight="1">
      <c r="A280" s="493"/>
      <c r="B280" s="515">
        <v>46680.0</v>
      </c>
      <c r="C280" s="575"/>
      <c r="D280" s="517">
        <v>956481.0</v>
      </c>
      <c r="E280" s="518">
        <v>20000.0</v>
      </c>
      <c r="F280" s="360" t="s">
        <v>145</v>
      </c>
      <c r="G280" s="504"/>
      <c r="H280" s="342"/>
      <c r="I280" s="342"/>
      <c r="J280" s="342"/>
      <c r="K280" s="342"/>
      <c r="L280" s="342"/>
      <c r="M280" s="342"/>
      <c r="N280" s="342"/>
      <c r="O280" s="341"/>
      <c r="P280" s="341"/>
      <c r="Q280" s="342"/>
      <c r="R280" s="342"/>
      <c r="S280" s="341"/>
      <c r="T280" s="342"/>
      <c r="U280" s="342"/>
      <c r="V280" s="342"/>
      <c r="W280" s="342"/>
      <c r="X280" s="342"/>
      <c r="Y280" s="342"/>
      <c r="Z280" s="342"/>
    </row>
    <row r="281">
      <c r="A281" s="482"/>
      <c r="B281" s="515">
        <v>46711.0</v>
      </c>
      <c r="C281" s="554"/>
      <c r="D281" s="517">
        <v>956482.0</v>
      </c>
      <c r="E281" s="518">
        <v>20000.0</v>
      </c>
      <c r="F281" s="360" t="s">
        <v>145</v>
      </c>
      <c r="G281" s="486"/>
      <c r="H281" s="486"/>
      <c r="I281" s="486"/>
      <c r="J281" s="486"/>
      <c r="K281" s="486"/>
      <c r="L281" s="486"/>
      <c r="M281" s="486"/>
      <c r="N281" s="486"/>
      <c r="O281" s="486"/>
      <c r="P281" s="486"/>
      <c r="Q281" s="486"/>
      <c r="R281" s="486"/>
      <c r="S281" s="486"/>
      <c r="T281" s="486"/>
      <c r="U281" s="486"/>
      <c r="V281" s="486"/>
      <c r="W281" s="486"/>
      <c r="X281" s="486"/>
      <c r="Y281" s="486"/>
      <c r="Z281" s="486"/>
    </row>
    <row r="282">
      <c r="A282" s="482"/>
      <c r="B282" s="515">
        <v>46741.0</v>
      </c>
      <c r="C282" s="554"/>
      <c r="D282" s="517">
        <v>956483.0</v>
      </c>
      <c r="E282" s="518">
        <v>20000.0</v>
      </c>
      <c r="F282" s="360" t="s">
        <v>145</v>
      </c>
      <c r="G282" s="486"/>
      <c r="H282" s="486"/>
      <c r="I282" s="486"/>
      <c r="J282" s="486"/>
      <c r="K282" s="486"/>
      <c r="L282" s="486"/>
      <c r="M282" s="486"/>
      <c r="N282" s="486"/>
      <c r="O282" s="486"/>
      <c r="P282" s="486"/>
      <c r="Q282" s="486"/>
      <c r="R282" s="486"/>
      <c r="S282" s="486"/>
      <c r="T282" s="486"/>
      <c r="U282" s="486"/>
      <c r="V282" s="486"/>
      <c r="W282" s="486"/>
      <c r="X282" s="486"/>
      <c r="Y282" s="486"/>
      <c r="Z282" s="486"/>
    </row>
    <row r="283">
      <c r="A283" s="486"/>
      <c r="B283" s="515">
        <v>46772.0</v>
      </c>
      <c r="C283" s="554"/>
      <c r="D283" s="517">
        <v>956484.0</v>
      </c>
      <c r="E283" s="518">
        <v>20000.0</v>
      </c>
      <c r="F283" s="360" t="s">
        <v>145</v>
      </c>
      <c r="G283" s="486"/>
      <c r="H283" s="486"/>
      <c r="I283" s="486"/>
      <c r="J283" s="486"/>
      <c r="K283" s="486"/>
      <c r="L283" s="486"/>
      <c r="M283" s="486"/>
      <c r="N283" s="486"/>
      <c r="O283" s="486"/>
      <c r="P283" s="486"/>
      <c r="Q283" s="486"/>
      <c r="R283" s="486"/>
      <c r="S283" s="486"/>
      <c r="T283" s="486"/>
      <c r="U283" s="486"/>
      <c r="V283" s="486"/>
      <c r="W283" s="486"/>
      <c r="X283" s="486"/>
      <c r="Y283" s="486"/>
      <c r="Z283" s="486"/>
    </row>
    <row r="284">
      <c r="A284" s="486"/>
      <c r="B284" s="515">
        <v>46803.0</v>
      </c>
      <c r="C284" s="554"/>
      <c r="D284" s="517">
        <v>956469.0</v>
      </c>
      <c r="E284" s="518">
        <v>20000.0</v>
      </c>
      <c r="F284" s="360" t="s">
        <v>145</v>
      </c>
      <c r="G284" s="486"/>
      <c r="H284" s="486"/>
      <c r="I284" s="486"/>
      <c r="J284" s="486"/>
      <c r="K284" s="486"/>
      <c r="L284" s="486"/>
      <c r="M284" s="486"/>
      <c r="N284" s="486"/>
      <c r="O284" s="486"/>
      <c r="P284" s="486"/>
      <c r="Q284" s="486"/>
      <c r="R284" s="486"/>
      <c r="S284" s="486"/>
      <c r="T284" s="486"/>
      <c r="U284" s="486"/>
      <c r="V284" s="486"/>
      <c r="W284" s="486"/>
      <c r="X284" s="486"/>
      <c r="Y284" s="486"/>
      <c r="Z284" s="486"/>
    </row>
    <row r="285">
      <c r="A285" s="486"/>
      <c r="B285" s="515">
        <v>46832.0</v>
      </c>
      <c r="C285" s="554"/>
      <c r="D285" s="517">
        <v>956470.0</v>
      </c>
      <c r="E285" s="518">
        <v>20000.0</v>
      </c>
      <c r="F285" s="360" t="s">
        <v>145</v>
      </c>
      <c r="G285" s="486"/>
      <c r="H285" s="486"/>
      <c r="I285" s="486"/>
      <c r="J285" s="486"/>
      <c r="K285" s="486"/>
      <c r="L285" s="486"/>
      <c r="M285" s="486"/>
      <c r="N285" s="486"/>
      <c r="O285" s="486"/>
      <c r="P285" s="486"/>
      <c r="Q285" s="486"/>
      <c r="R285" s="486"/>
      <c r="S285" s="486"/>
      <c r="T285" s="486"/>
      <c r="U285" s="486"/>
      <c r="V285" s="486"/>
      <c r="W285" s="486"/>
      <c r="X285" s="486"/>
      <c r="Y285" s="486"/>
      <c r="Z285" s="486"/>
    </row>
    <row r="286">
      <c r="A286" s="486"/>
      <c r="B286" s="515">
        <v>46863.0</v>
      </c>
      <c r="C286" s="554"/>
      <c r="D286" s="517">
        <v>956471.0</v>
      </c>
      <c r="E286" s="518">
        <v>20000.0</v>
      </c>
      <c r="F286" s="360" t="s">
        <v>145</v>
      </c>
      <c r="G286" s="486"/>
      <c r="H286" s="486"/>
      <c r="I286" s="486"/>
      <c r="J286" s="486"/>
      <c r="K286" s="486"/>
      <c r="L286" s="486"/>
      <c r="M286" s="486"/>
      <c r="N286" s="486"/>
      <c r="O286" s="486"/>
      <c r="P286" s="486"/>
      <c r="Q286" s="486"/>
      <c r="R286" s="486"/>
      <c r="S286" s="486"/>
      <c r="T286" s="486"/>
      <c r="U286" s="486"/>
      <c r="V286" s="486"/>
      <c r="W286" s="486"/>
      <c r="X286" s="486"/>
      <c r="Y286" s="486"/>
      <c r="Z286" s="486"/>
    </row>
    <row r="287">
      <c r="A287" s="486"/>
      <c r="B287" s="515">
        <v>46893.0</v>
      </c>
      <c r="C287" s="554"/>
      <c r="D287" s="517">
        <v>956472.0</v>
      </c>
      <c r="E287" s="518">
        <v>20000.0</v>
      </c>
      <c r="F287" s="360" t="s">
        <v>145</v>
      </c>
      <c r="G287" s="486"/>
      <c r="H287" s="486"/>
      <c r="I287" s="486"/>
      <c r="J287" s="486"/>
      <c r="K287" s="486"/>
      <c r="L287" s="486"/>
      <c r="M287" s="486"/>
      <c r="N287" s="486"/>
      <c r="O287" s="486"/>
      <c r="P287" s="486"/>
      <c r="Q287" s="486"/>
      <c r="R287" s="486"/>
      <c r="S287" s="486"/>
      <c r="T287" s="486"/>
      <c r="U287" s="486"/>
      <c r="V287" s="486"/>
      <c r="W287" s="486"/>
      <c r="X287" s="486"/>
      <c r="Y287" s="486"/>
      <c r="Z287" s="486"/>
    </row>
    <row r="288">
      <c r="A288" s="486"/>
      <c r="B288" s="515">
        <v>46924.0</v>
      </c>
      <c r="C288" s="554"/>
      <c r="D288" s="517">
        <v>956473.0</v>
      </c>
      <c r="E288" s="518">
        <v>20000.0</v>
      </c>
      <c r="F288" s="360" t="s">
        <v>145</v>
      </c>
      <c r="G288" s="486"/>
      <c r="H288" s="486"/>
      <c r="I288" s="486"/>
      <c r="J288" s="486"/>
      <c r="K288" s="486"/>
      <c r="L288" s="486"/>
      <c r="M288" s="486"/>
      <c r="N288" s="486"/>
      <c r="O288" s="486"/>
      <c r="P288" s="486"/>
      <c r="Q288" s="486"/>
      <c r="R288" s="486"/>
      <c r="S288" s="486"/>
      <c r="T288" s="486"/>
      <c r="U288" s="486"/>
      <c r="V288" s="486"/>
      <c r="W288" s="486"/>
      <c r="X288" s="486"/>
      <c r="Y288" s="486"/>
      <c r="Z288" s="486"/>
    </row>
    <row r="289">
      <c r="A289" s="486"/>
      <c r="B289" s="515">
        <v>46954.0</v>
      </c>
      <c r="C289" s="554"/>
      <c r="D289" s="517">
        <v>956485.0</v>
      </c>
      <c r="E289" s="518">
        <v>20000.0</v>
      </c>
      <c r="F289" s="360" t="s">
        <v>145</v>
      </c>
      <c r="G289" s="486"/>
      <c r="H289" s="486"/>
      <c r="I289" s="486"/>
      <c r="J289" s="486"/>
      <c r="K289" s="486"/>
      <c r="L289" s="486"/>
      <c r="M289" s="486"/>
      <c r="N289" s="486"/>
      <c r="O289" s="486"/>
      <c r="P289" s="486"/>
      <c r="Q289" s="486"/>
      <c r="R289" s="486"/>
      <c r="S289" s="486"/>
      <c r="T289" s="486"/>
      <c r="U289" s="486"/>
      <c r="V289" s="486"/>
      <c r="W289" s="486"/>
      <c r="X289" s="486"/>
      <c r="Y289" s="486"/>
      <c r="Z289" s="486"/>
    </row>
    <row r="290">
      <c r="A290" s="486"/>
      <c r="B290" s="515">
        <v>46985.0</v>
      </c>
      <c r="C290" s="554"/>
      <c r="D290" s="517">
        <v>956475.0</v>
      </c>
      <c r="E290" s="518">
        <v>20000.0</v>
      </c>
      <c r="F290" s="360" t="s">
        <v>145</v>
      </c>
      <c r="G290" s="486"/>
      <c r="H290" s="486"/>
      <c r="I290" s="486"/>
      <c r="J290" s="486"/>
      <c r="K290" s="486"/>
      <c r="L290" s="486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</row>
    <row r="291">
      <c r="A291" s="486"/>
      <c r="B291" s="583"/>
      <c r="C291" s="554"/>
      <c r="D291" s="584"/>
      <c r="E291" s="584"/>
      <c r="F291" s="486"/>
      <c r="G291" s="486"/>
      <c r="H291" s="486"/>
      <c r="I291" s="486"/>
      <c r="J291" s="486"/>
      <c r="K291" s="486"/>
      <c r="L291" s="486"/>
      <c r="M291" s="486"/>
      <c r="N291" s="486"/>
      <c r="O291" s="486"/>
      <c r="P291" s="486"/>
      <c r="Q291" s="486"/>
      <c r="R291" s="486"/>
      <c r="S291" s="486"/>
      <c r="T291" s="486"/>
      <c r="U291" s="486"/>
      <c r="V291" s="486"/>
      <c r="W291" s="486"/>
      <c r="X291" s="486"/>
      <c r="Y291" s="486"/>
      <c r="Z291" s="486"/>
    </row>
    <row r="292">
      <c r="A292" s="486"/>
      <c r="B292" s="584"/>
      <c r="C292" s="486"/>
      <c r="D292" s="584"/>
      <c r="E292" s="584"/>
      <c r="F292" s="486"/>
      <c r="G292" s="486"/>
      <c r="H292" s="486"/>
      <c r="I292" s="486"/>
      <c r="J292" s="486"/>
      <c r="K292" s="486"/>
      <c r="L292" s="486"/>
      <c r="M292" s="486"/>
      <c r="N292" s="486"/>
      <c r="O292" s="486"/>
      <c r="P292" s="486"/>
      <c r="Q292" s="486"/>
      <c r="R292" s="486"/>
      <c r="S292" s="486"/>
      <c r="T292" s="486"/>
      <c r="U292" s="486"/>
      <c r="V292" s="486"/>
      <c r="W292" s="486"/>
      <c r="X292" s="486"/>
      <c r="Y292" s="486"/>
      <c r="Z292" s="486"/>
    </row>
    <row r="293">
      <c r="B293" s="201"/>
      <c r="D293" s="201"/>
      <c r="E293" s="201"/>
    </row>
    <row r="294">
      <c r="B294" s="201"/>
      <c r="D294" s="201"/>
      <c r="E294" s="201"/>
    </row>
    <row r="295">
      <c r="B295" s="201"/>
      <c r="D295" s="201"/>
      <c r="E295" s="201"/>
    </row>
    <row r="296">
      <c r="B296" s="201"/>
      <c r="D296" s="201"/>
      <c r="E296" s="201"/>
    </row>
    <row r="297">
      <c r="B297" s="201"/>
      <c r="D297" s="201"/>
      <c r="E297" s="201"/>
    </row>
    <row r="298">
      <c r="B298" s="201"/>
      <c r="D298" s="201"/>
      <c r="E298" s="201"/>
    </row>
    <row r="301" ht="12.75" customHeight="1">
      <c r="A301" s="534"/>
      <c r="B301" s="534"/>
      <c r="C301" s="575"/>
      <c r="D301" s="585"/>
      <c r="E301" s="586"/>
      <c r="F301" s="342"/>
      <c r="G301" s="342"/>
      <c r="H301" s="342"/>
      <c r="I301" s="342"/>
      <c r="J301" s="342"/>
      <c r="K301" s="342"/>
      <c r="L301" s="342"/>
      <c r="M301" s="342"/>
      <c r="N301" s="342"/>
      <c r="O301" s="341"/>
      <c r="P301" s="341"/>
      <c r="Q301" s="342"/>
      <c r="R301" s="342"/>
      <c r="S301" s="341"/>
      <c r="T301" s="342"/>
      <c r="U301" s="342"/>
      <c r="V301" s="342"/>
      <c r="W301" s="342"/>
      <c r="X301" s="342"/>
      <c r="Y301" s="342"/>
      <c r="Z301" s="342"/>
    </row>
    <row r="302" ht="12.75" customHeight="1">
      <c r="A302" s="534"/>
      <c r="B302" s="534"/>
      <c r="C302" s="575"/>
      <c r="D302" s="585"/>
      <c r="E302" s="586"/>
      <c r="F302" s="342"/>
      <c r="G302" s="342"/>
      <c r="H302" s="342"/>
      <c r="I302" s="342"/>
      <c r="J302" s="342"/>
      <c r="K302" s="342"/>
      <c r="L302" s="342"/>
      <c r="M302" s="342"/>
      <c r="N302" s="342"/>
      <c r="O302" s="341"/>
      <c r="P302" s="341"/>
      <c r="Q302" s="342"/>
      <c r="R302" s="342"/>
      <c r="S302" s="341"/>
      <c r="T302" s="342"/>
      <c r="U302" s="342"/>
      <c r="V302" s="342"/>
      <c r="W302" s="342"/>
      <c r="X302" s="342"/>
      <c r="Y302" s="342"/>
      <c r="Z302" s="342"/>
    </row>
    <row r="303" ht="12.75" customHeight="1">
      <c r="A303" s="534"/>
      <c r="B303" s="534"/>
      <c r="C303" s="575"/>
      <c r="D303" s="585"/>
      <c r="E303" s="586"/>
      <c r="F303" s="342"/>
      <c r="G303" s="342"/>
      <c r="H303" s="342"/>
      <c r="I303" s="342"/>
      <c r="J303" s="342"/>
      <c r="K303" s="342"/>
      <c r="L303" s="342"/>
      <c r="M303" s="342"/>
      <c r="N303" s="342"/>
      <c r="O303" s="341"/>
      <c r="P303" s="341"/>
      <c r="Q303" s="342"/>
      <c r="R303" s="342"/>
      <c r="S303" s="341"/>
      <c r="T303" s="342"/>
      <c r="U303" s="342"/>
      <c r="V303" s="342"/>
      <c r="W303" s="342"/>
      <c r="X303" s="342"/>
      <c r="Y303" s="342"/>
      <c r="Z303" s="342"/>
    </row>
    <row r="304" ht="12.75" customHeight="1">
      <c r="A304" s="534"/>
      <c r="B304" s="534"/>
      <c r="C304" s="575"/>
      <c r="D304" s="585"/>
      <c r="E304" s="586"/>
      <c r="F304" s="342"/>
      <c r="G304" s="342"/>
      <c r="H304" s="342"/>
      <c r="I304" s="342"/>
      <c r="J304" s="342"/>
      <c r="K304" s="342"/>
      <c r="L304" s="342"/>
      <c r="M304" s="342"/>
      <c r="N304" s="342"/>
      <c r="O304" s="341"/>
      <c r="P304" s="341"/>
      <c r="Q304" s="342"/>
      <c r="R304" s="342"/>
      <c r="S304" s="341"/>
      <c r="T304" s="342"/>
      <c r="U304" s="342"/>
      <c r="V304" s="342"/>
      <c r="W304" s="342"/>
      <c r="X304" s="342"/>
      <c r="Y304" s="342"/>
      <c r="Z304" s="342"/>
    </row>
    <row r="305" ht="12.75" customHeight="1">
      <c r="A305" s="534"/>
      <c r="B305" s="534"/>
      <c r="C305" s="575"/>
      <c r="D305" s="585"/>
      <c r="E305" s="586"/>
      <c r="F305" s="342"/>
      <c r="G305" s="342"/>
      <c r="H305" s="342"/>
      <c r="I305" s="342"/>
      <c r="J305" s="342"/>
      <c r="K305" s="342"/>
      <c r="L305" s="342"/>
      <c r="M305" s="342"/>
      <c r="N305" s="342"/>
      <c r="O305" s="341"/>
      <c r="P305" s="341"/>
      <c r="Q305" s="342"/>
      <c r="R305" s="342"/>
      <c r="S305" s="341"/>
      <c r="T305" s="342"/>
      <c r="U305" s="342"/>
      <c r="V305" s="342"/>
      <c r="W305" s="342"/>
      <c r="X305" s="342"/>
      <c r="Y305" s="342"/>
      <c r="Z305" s="342"/>
    </row>
    <row r="306" ht="12.75" customHeight="1">
      <c r="A306" s="534"/>
      <c r="B306" s="534"/>
      <c r="C306" s="575"/>
      <c r="D306" s="585"/>
      <c r="E306" s="586"/>
      <c r="F306" s="342"/>
      <c r="G306" s="342"/>
      <c r="H306" s="342"/>
      <c r="I306" s="342"/>
      <c r="J306" s="342"/>
      <c r="K306" s="342"/>
      <c r="L306" s="342"/>
      <c r="M306" s="342"/>
      <c r="N306" s="342"/>
      <c r="O306" s="341"/>
      <c r="P306" s="341"/>
      <c r="Q306" s="342"/>
      <c r="R306" s="342"/>
      <c r="S306" s="341"/>
      <c r="T306" s="342"/>
      <c r="U306" s="342"/>
      <c r="V306" s="342"/>
      <c r="W306" s="342"/>
      <c r="X306" s="342"/>
      <c r="Y306" s="342"/>
      <c r="Z306" s="342"/>
    </row>
    <row r="307" ht="12.75" customHeight="1">
      <c r="A307" s="534"/>
      <c r="B307" s="534"/>
      <c r="C307" s="575"/>
      <c r="D307" s="585"/>
      <c r="E307" s="586"/>
      <c r="F307" s="342"/>
      <c r="G307" s="342"/>
      <c r="H307" s="342"/>
      <c r="I307" s="342"/>
      <c r="J307" s="342"/>
      <c r="K307" s="342"/>
      <c r="L307" s="342"/>
      <c r="M307" s="342"/>
      <c r="N307" s="342"/>
      <c r="O307" s="341"/>
      <c r="P307" s="341"/>
      <c r="Q307" s="342"/>
      <c r="R307" s="342"/>
      <c r="S307" s="341"/>
      <c r="T307" s="342"/>
      <c r="U307" s="342"/>
      <c r="V307" s="342"/>
      <c r="W307" s="342"/>
      <c r="X307" s="342"/>
      <c r="Y307" s="342"/>
      <c r="Z307" s="342"/>
    </row>
    <row r="308" ht="12.75" customHeight="1">
      <c r="A308" s="534"/>
      <c r="B308" s="534"/>
      <c r="C308" s="575"/>
      <c r="D308" s="585"/>
      <c r="E308" s="586"/>
      <c r="F308" s="342"/>
      <c r="G308" s="342"/>
      <c r="H308" s="342"/>
      <c r="I308" s="342"/>
      <c r="J308" s="342"/>
      <c r="K308" s="342"/>
      <c r="L308" s="342"/>
      <c r="M308" s="342"/>
      <c r="N308" s="342"/>
      <c r="O308" s="341"/>
      <c r="P308" s="341"/>
      <c r="Q308" s="342"/>
      <c r="R308" s="342"/>
      <c r="S308" s="341"/>
      <c r="T308" s="342"/>
      <c r="U308" s="342"/>
      <c r="V308" s="342"/>
      <c r="W308" s="342"/>
      <c r="X308" s="342"/>
      <c r="Y308" s="342"/>
      <c r="Z308" s="342"/>
    </row>
    <row r="309" ht="12.75" customHeight="1">
      <c r="A309" s="534"/>
      <c r="B309" s="534"/>
      <c r="C309" s="575"/>
      <c r="D309" s="585"/>
      <c r="E309" s="586"/>
      <c r="F309" s="342"/>
      <c r="G309" s="342"/>
      <c r="H309" s="342"/>
      <c r="I309" s="342"/>
      <c r="J309" s="342"/>
      <c r="K309" s="342"/>
      <c r="L309" s="342"/>
      <c r="M309" s="342"/>
      <c r="N309" s="342"/>
      <c r="O309" s="341"/>
      <c r="P309" s="341"/>
      <c r="Q309" s="342"/>
      <c r="R309" s="342"/>
      <c r="S309" s="341"/>
      <c r="T309" s="342"/>
      <c r="U309" s="342"/>
      <c r="V309" s="342"/>
      <c r="W309" s="342"/>
      <c r="X309" s="342"/>
      <c r="Y309" s="342"/>
      <c r="Z309" s="342"/>
    </row>
    <row r="310" ht="12.75" customHeight="1">
      <c r="A310" s="534"/>
      <c r="B310" s="534"/>
      <c r="C310" s="575"/>
      <c r="D310" s="585"/>
      <c r="E310" s="586"/>
      <c r="F310" s="342"/>
      <c r="G310" s="342"/>
      <c r="H310" s="342"/>
      <c r="I310" s="342"/>
      <c r="J310" s="342"/>
      <c r="K310" s="342"/>
      <c r="L310" s="342"/>
      <c r="M310" s="342"/>
      <c r="N310" s="342"/>
      <c r="O310" s="341"/>
      <c r="P310" s="341"/>
      <c r="Q310" s="342"/>
      <c r="R310" s="342"/>
      <c r="S310" s="341"/>
      <c r="T310" s="342"/>
      <c r="U310" s="342"/>
      <c r="V310" s="342"/>
      <c r="W310" s="342"/>
      <c r="X310" s="342"/>
      <c r="Y310" s="342"/>
      <c r="Z310" s="342"/>
    </row>
    <row r="311" ht="12.75" customHeight="1">
      <c r="A311" s="534"/>
      <c r="B311" s="534"/>
      <c r="C311" s="575"/>
      <c r="D311" s="585"/>
      <c r="E311" s="586"/>
      <c r="F311" s="342"/>
      <c r="G311" s="342"/>
      <c r="H311" s="342"/>
      <c r="I311" s="342"/>
      <c r="J311" s="342"/>
      <c r="K311" s="342"/>
      <c r="L311" s="342"/>
      <c r="M311" s="342"/>
      <c r="N311" s="342"/>
      <c r="O311" s="341"/>
      <c r="P311" s="341"/>
      <c r="Q311" s="342"/>
      <c r="R311" s="342"/>
      <c r="S311" s="341"/>
      <c r="T311" s="342"/>
      <c r="U311" s="342"/>
      <c r="V311" s="342"/>
      <c r="W311" s="342"/>
      <c r="X311" s="342"/>
      <c r="Y311" s="342"/>
      <c r="Z311" s="342"/>
    </row>
    <row r="312" ht="12.75" customHeight="1">
      <c r="A312" s="534"/>
      <c r="B312" s="534"/>
      <c r="C312" s="575"/>
      <c r="D312" s="585"/>
      <c r="E312" s="586"/>
      <c r="F312" s="342"/>
      <c r="G312" s="342"/>
      <c r="H312" s="342"/>
      <c r="I312" s="342"/>
      <c r="J312" s="342"/>
      <c r="K312" s="342"/>
      <c r="L312" s="342"/>
      <c r="M312" s="342"/>
      <c r="N312" s="342"/>
      <c r="O312" s="341"/>
      <c r="P312" s="341"/>
      <c r="Q312" s="342"/>
      <c r="R312" s="342"/>
      <c r="S312" s="341"/>
      <c r="T312" s="342"/>
      <c r="U312" s="342"/>
      <c r="V312" s="342"/>
      <c r="W312" s="342"/>
      <c r="X312" s="342"/>
      <c r="Y312" s="342"/>
      <c r="Z312" s="342"/>
    </row>
    <row r="313" ht="12.75" customHeight="1">
      <c r="A313" s="534"/>
      <c r="B313" s="534"/>
      <c r="C313" s="575"/>
      <c r="D313" s="585"/>
      <c r="E313" s="586"/>
      <c r="F313" s="342"/>
      <c r="G313" s="342"/>
      <c r="H313" s="342"/>
      <c r="I313" s="342"/>
      <c r="J313" s="342"/>
      <c r="K313" s="342"/>
      <c r="L313" s="342"/>
      <c r="M313" s="342"/>
      <c r="N313" s="342"/>
      <c r="O313" s="341"/>
      <c r="P313" s="341"/>
      <c r="Q313" s="342"/>
      <c r="R313" s="342"/>
      <c r="S313" s="341"/>
      <c r="T313" s="342"/>
      <c r="U313" s="342"/>
      <c r="V313" s="342"/>
      <c r="W313" s="342"/>
      <c r="X313" s="342"/>
      <c r="Y313" s="342"/>
      <c r="Z313" s="342"/>
    </row>
    <row r="314" ht="12.75" customHeight="1">
      <c r="A314" s="534"/>
      <c r="B314" s="534"/>
      <c r="C314" s="575"/>
      <c r="D314" s="585"/>
      <c r="E314" s="586"/>
      <c r="F314" s="342"/>
      <c r="G314" s="342"/>
      <c r="H314" s="342"/>
      <c r="I314" s="342"/>
      <c r="J314" s="342"/>
      <c r="K314" s="342"/>
      <c r="L314" s="342"/>
      <c r="M314" s="342"/>
      <c r="N314" s="342"/>
      <c r="O314" s="341"/>
      <c r="P314" s="341"/>
      <c r="Q314" s="342"/>
      <c r="R314" s="342"/>
      <c r="S314" s="341"/>
      <c r="T314" s="342"/>
      <c r="U314" s="342"/>
      <c r="V314" s="342"/>
      <c r="W314" s="342"/>
      <c r="X314" s="342"/>
      <c r="Y314" s="342"/>
      <c r="Z314" s="342"/>
    </row>
    <row r="315" ht="12.75" customHeight="1">
      <c r="A315" s="534"/>
      <c r="B315" s="534"/>
      <c r="C315" s="575"/>
      <c r="D315" s="585"/>
      <c r="E315" s="586"/>
      <c r="F315" s="342"/>
      <c r="G315" s="342"/>
      <c r="H315" s="342"/>
      <c r="I315" s="342"/>
      <c r="J315" s="342"/>
      <c r="K315" s="342"/>
      <c r="L315" s="342"/>
      <c r="M315" s="342"/>
      <c r="N315" s="342"/>
      <c r="O315" s="341"/>
      <c r="P315" s="341"/>
      <c r="Q315" s="342"/>
      <c r="R315" s="342"/>
      <c r="S315" s="341"/>
      <c r="T315" s="342"/>
      <c r="U315" s="342"/>
      <c r="V315" s="342"/>
      <c r="W315" s="342"/>
      <c r="X315" s="342"/>
      <c r="Y315" s="342"/>
      <c r="Z315" s="342"/>
    </row>
    <row r="316" ht="12.75" customHeight="1">
      <c r="A316" s="534"/>
      <c r="B316" s="534"/>
      <c r="C316" s="575"/>
      <c r="D316" s="585"/>
      <c r="E316" s="586"/>
      <c r="F316" s="342"/>
      <c r="G316" s="342"/>
      <c r="H316" s="342"/>
      <c r="I316" s="342"/>
      <c r="J316" s="342"/>
      <c r="K316" s="342"/>
      <c r="L316" s="342"/>
      <c r="M316" s="342"/>
      <c r="N316" s="342"/>
      <c r="O316" s="341"/>
      <c r="P316" s="341"/>
      <c r="Q316" s="342"/>
      <c r="R316" s="342"/>
      <c r="S316" s="341"/>
      <c r="T316" s="342"/>
      <c r="U316" s="342"/>
      <c r="V316" s="342"/>
      <c r="W316" s="342"/>
      <c r="X316" s="342"/>
      <c r="Y316" s="342"/>
      <c r="Z316" s="342"/>
    </row>
    <row r="317" ht="12.75" customHeight="1">
      <c r="A317" s="534"/>
      <c r="B317" s="534"/>
      <c r="C317" s="575"/>
      <c r="D317" s="585"/>
      <c r="E317" s="586"/>
      <c r="F317" s="342"/>
      <c r="G317" s="342"/>
      <c r="H317" s="342"/>
      <c r="I317" s="342"/>
      <c r="J317" s="342"/>
      <c r="K317" s="342"/>
      <c r="L317" s="342"/>
      <c r="M317" s="342"/>
      <c r="N317" s="342"/>
      <c r="O317" s="341"/>
      <c r="P317" s="341"/>
      <c r="Q317" s="342"/>
      <c r="R317" s="342"/>
      <c r="S317" s="341"/>
      <c r="T317" s="342"/>
      <c r="U317" s="342"/>
      <c r="V317" s="342"/>
      <c r="W317" s="342"/>
      <c r="X317" s="342"/>
      <c r="Y317" s="342"/>
      <c r="Z317" s="342"/>
    </row>
    <row r="318" ht="12.75" customHeight="1">
      <c r="A318" s="534"/>
      <c r="B318" s="534"/>
      <c r="C318" s="575"/>
      <c r="D318" s="585"/>
      <c r="E318" s="586"/>
      <c r="F318" s="342"/>
      <c r="G318" s="342"/>
      <c r="H318" s="342"/>
      <c r="I318" s="342"/>
      <c r="J318" s="342"/>
      <c r="K318" s="342"/>
      <c r="L318" s="342"/>
      <c r="M318" s="342"/>
      <c r="N318" s="342"/>
      <c r="O318" s="341"/>
      <c r="P318" s="341"/>
      <c r="Q318" s="342"/>
      <c r="R318" s="342"/>
      <c r="S318" s="341"/>
      <c r="T318" s="342"/>
      <c r="U318" s="342"/>
      <c r="V318" s="342"/>
      <c r="W318" s="342"/>
      <c r="X318" s="342"/>
      <c r="Y318" s="342"/>
      <c r="Z318" s="342"/>
    </row>
    <row r="319" ht="12.75" customHeight="1">
      <c r="A319" s="534"/>
      <c r="B319" s="534"/>
      <c r="C319" s="575"/>
      <c r="D319" s="585"/>
      <c r="E319" s="586"/>
      <c r="F319" s="342"/>
      <c r="G319" s="342"/>
      <c r="H319" s="342"/>
      <c r="I319" s="342"/>
      <c r="J319" s="342"/>
      <c r="K319" s="342"/>
      <c r="L319" s="342"/>
      <c r="M319" s="342"/>
      <c r="N319" s="342"/>
      <c r="O319" s="341"/>
      <c r="P319" s="341"/>
      <c r="Q319" s="342"/>
      <c r="R319" s="342"/>
      <c r="S319" s="341"/>
      <c r="T319" s="342"/>
      <c r="U319" s="342"/>
      <c r="V319" s="342"/>
      <c r="W319" s="342"/>
      <c r="X319" s="342"/>
      <c r="Y319" s="342"/>
      <c r="Z319" s="342"/>
    </row>
    <row r="320" ht="12.75" customHeight="1">
      <c r="A320" s="534"/>
      <c r="B320" s="534"/>
      <c r="C320" s="575"/>
      <c r="D320" s="585"/>
      <c r="E320" s="586"/>
      <c r="F320" s="342"/>
      <c r="G320" s="342"/>
      <c r="H320" s="342"/>
      <c r="I320" s="342"/>
      <c r="J320" s="342"/>
      <c r="K320" s="342"/>
      <c r="L320" s="342"/>
      <c r="M320" s="342"/>
      <c r="N320" s="342"/>
      <c r="O320" s="341"/>
      <c r="P320" s="341"/>
      <c r="Q320" s="342"/>
      <c r="R320" s="342"/>
      <c r="S320" s="341"/>
      <c r="T320" s="342"/>
      <c r="U320" s="342"/>
      <c r="V320" s="342"/>
      <c r="W320" s="342"/>
      <c r="X320" s="342"/>
      <c r="Y320" s="342"/>
      <c r="Z320" s="342"/>
    </row>
    <row r="321" ht="12.75" customHeight="1">
      <c r="A321" s="534"/>
      <c r="B321" s="534"/>
      <c r="C321" s="575"/>
      <c r="D321" s="585"/>
      <c r="E321" s="586"/>
      <c r="F321" s="342"/>
      <c r="G321" s="342"/>
      <c r="H321" s="342"/>
      <c r="I321" s="342"/>
      <c r="J321" s="342"/>
      <c r="K321" s="342"/>
      <c r="L321" s="342"/>
      <c r="M321" s="342"/>
      <c r="N321" s="342"/>
      <c r="O321" s="341"/>
      <c r="P321" s="341"/>
      <c r="Q321" s="342"/>
      <c r="R321" s="342"/>
      <c r="S321" s="341"/>
      <c r="T321" s="342"/>
      <c r="U321" s="342"/>
      <c r="V321" s="342"/>
      <c r="W321" s="342"/>
      <c r="X321" s="342"/>
      <c r="Y321" s="342"/>
      <c r="Z321" s="342"/>
    </row>
    <row r="322" ht="12.75" customHeight="1">
      <c r="A322" s="534"/>
      <c r="B322" s="534"/>
      <c r="C322" s="575"/>
      <c r="D322" s="585"/>
      <c r="E322" s="586"/>
      <c r="F322" s="342"/>
      <c r="G322" s="342"/>
      <c r="H322" s="342"/>
      <c r="I322" s="342"/>
      <c r="J322" s="342"/>
      <c r="K322" s="342"/>
      <c r="L322" s="342"/>
      <c r="M322" s="342"/>
      <c r="N322" s="342"/>
      <c r="O322" s="341"/>
      <c r="P322" s="341"/>
      <c r="Q322" s="342"/>
      <c r="R322" s="342"/>
      <c r="S322" s="341"/>
      <c r="T322" s="342"/>
      <c r="U322" s="342"/>
      <c r="V322" s="342"/>
      <c r="W322" s="342"/>
      <c r="X322" s="342"/>
      <c r="Y322" s="342"/>
      <c r="Z322" s="342"/>
    </row>
    <row r="323" ht="12.75" customHeight="1">
      <c r="A323" s="534"/>
      <c r="B323" s="534"/>
      <c r="C323" s="575"/>
      <c r="D323" s="585"/>
      <c r="E323" s="586"/>
      <c r="F323" s="342"/>
      <c r="G323" s="342"/>
      <c r="H323" s="342"/>
      <c r="I323" s="342"/>
      <c r="J323" s="342"/>
      <c r="K323" s="342"/>
      <c r="L323" s="342"/>
      <c r="M323" s="342"/>
      <c r="N323" s="342"/>
      <c r="O323" s="341"/>
      <c r="P323" s="341"/>
      <c r="Q323" s="342"/>
      <c r="R323" s="342"/>
      <c r="S323" s="341"/>
      <c r="T323" s="342"/>
      <c r="U323" s="342"/>
      <c r="V323" s="342"/>
      <c r="W323" s="342"/>
      <c r="X323" s="342"/>
      <c r="Y323" s="342"/>
      <c r="Z323" s="342"/>
    </row>
    <row r="324" ht="12.75" customHeight="1">
      <c r="A324" s="534"/>
      <c r="B324" s="534"/>
      <c r="C324" s="575"/>
      <c r="D324" s="585"/>
      <c r="E324" s="586"/>
      <c r="F324" s="342"/>
      <c r="G324" s="342"/>
      <c r="H324" s="342"/>
      <c r="I324" s="342"/>
      <c r="J324" s="342"/>
      <c r="K324" s="342"/>
      <c r="L324" s="342"/>
      <c r="M324" s="342"/>
      <c r="N324" s="342"/>
      <c r="O324" s="341"/>
      <c r="P324" s="341"/>
      <c r="Q324" s="342"/>
      <c r="R324" s="342"/>
      <c r="S324" s="341"/>
      <c r="T324" s="342"/>
      <c r="U324" s="342"/>
      <c r="V324" s="342"/>
      <c r="W324" s="342"/>
      <c r="X324" s="342"/>
      <c r="Y324" s="342"/>
      <c r="Z324" s="342"/>
    </row>
    <row r="325" ht="12.75" customHeight="1">
      <c r="A325" s="534"/>
      <c r="B325" s="534"/>
      <c r="C325" s="575"/>
      <c r="D325" s="585"/>
      <c r="E325" s="586"/>
      <c r="F325" s="342"/>
      <c r="G325" s="342"/>
      <c r="H325" s="342"/>
      <c r="I325" s="342"/>
      <c r="J325" s="342"/>
      <c r="K325" s="342"/>
      <c r="L325" s="342"/>
      <c r="M325" s="342"/>
      <c r="N325" s="342"/>
      <c r="O325" s="341"/>
      <c r="P325" s="341"/>
      <c r="Q325" s="342"/>
      <c r="R325" s="342"/>
      <c r="S325" s="341"/>
      <c r="T325" s="342"/>
      <c r="U325" s="342"/>
      <c r="V325" s="342"/>
      <c r="W325" s="342"/>
      <c r="X325" s="342"/>
      <c r="Y325" s="342"/>
      <c r="Z325" s="342"/>
    </row>
    <row r="326" ht="12.75" customHeight="1">
      <c r="A326" s="534"/>
      <c r="B326" s="534"/>
      <c r="C326" s="575"/>
      <c r="D326" s="585"/>
      <c r="E326" s="586"/>
      <c r="F326" s="342"/>
      <c r="G326" s="342"/>
      <c r="H326" s="342"/>
      <c r="I326" s="342"/>
      <c r="J326" s="342"/>
      <c r="K326" s="342"/>
      <c r="L326" s="342"/>
      <c r="M326" s="342"/>
      <c r="N326" s="342"/>
      <c r="O326" s="341"/>
      <c r="P326" s="341"/>
      <c r="Q326" s="342"/>
      <c r="R326" s="342"/>
      <c r="S326" s="341"/>
      <c r="T326" s="342"/>
      <c r="U326" s="342"/>
      <c r="V326" s="342"/>
      <c r="W326" s="342"/>
      <c r="X326" s="342"/>
      <c r="Y326" s="342"/>
      <c r="Z326" s="342"/>
    </row>
    <row r="327" ht="12.75" customHeight="1">
      <c r="A327" s="534"/>
      <c r="B327" s="534"/>
      <c r="C327" s="575"/>
      <c r="D327" s="585"/>
      <c r="E327" s="586"/>
      <c r="F327" s="342"/>
      <c r="G327" s="342"/>
      <c r="H327" s="342"/>
      <c r="I327" s="342"/>
      <c r="J327" s="342"/>
      <c r="K327" s="342"/>
      <c r="L327" s="342"/>
      <c r="M327" s="342"/>
      <c r="N327" s="342"/>
      <c r="O327" s="341"/>
      <c r="P327" s="341"/>
      <c r="Q327" s="342"/>
      <c r="R327" s="342"/>
      <c r="S327" s="341"/>
      <c r="T327" s="342"/>
      <c r="U327" s="342"/>
      <c r="V327" s="342"/>
      <c r="W327" s="342"/>
      <c r="X327" s="342"/>
      <c r="Y327" s="342"/>
      <c r="Z327" s="342"/>
    </row>
    <row r="328" ht="12.75" customHeight="1">
      <c r="A328" s="534"/>
      <c r="B328" s="534"/>
      <c r="C328" s="575"/>
      <c r="D328" s="585"/>
      <c r="E328" s="586"/>
      <c r="F328" s="342"/>
      <c r="G328" s="342"/>
      <c r="H328" s="342"/>
      <c r="I328" s="342"/>
      <c r="J328" s="342"/>
      <c r="K328" s="342"/>
      <c r="L328" s="342"/>
      <c r="M328" s="342"/>
      <c r="N328" s="342"/>
      <c r="O328" s="341"/>
      <c r="P328" s="341"/>
      <c r="Q328" s="342"/>
      <c r="R328" s="342"/>
      <c r="S328" s="341"/>
      <c r="T328" s="342"/>
      <c r="U328" s="342"/>
      <c r="V328" s="342"/>
      <c r="W328" s="342"/>
      <c r="X328" s="342"/>
      <c r="Y328" s="342"/>
      <c r="Z328" s="342"/>
    </row>
    <row r="329" ht="12.75" customHeight="1">
      <c r="A329" s="534"/>
      <c r="B329" s="534"/>
      <c r="C329" s="575"/>
      <c r="D329" s="585"/>
      <c r="E329" s="586"/>
      <c r="F329" s="342"/>
      <c r="G329" s="342"/>
      <c r="H329" s="342"/>
      <c r="I329" s="342"/>
      <c r="J329" s="342"/>
      <c r="K329" s="342"/>
      <c r="L329" s="342"/>
      <c r="M329" s="342"/>
      <c r="N329" s="342"/>
      <c r="O329" s="341"/>
      <c r="P329" s="341"/>
      <c r="Q329" s="342"/>
      <c r="R329" s="342"/>
      <c r="S329" s="341"/>
      <c r="T329" s="342"/>
      <c r="U329" s="342"/>
      <c r="V329" s="342"/>
      <c r="W329" s="342"/>
      <c r="X329" s="342"/>
      <c r="Y329" s="342"/>
      <c r="Z329" s="342"/>
    </row>
    <row r="330" ht="12.75" customHeight="1">
      <c r="A330" s="534"/>
      <c r="B330" s="534"/>
      <c r="C330" s="575"/>
      <c r="D330" s="585"/>
      <c r="E330" s="586"/>
      <c r="F330" s="342"/>
      <c r="G330" s="342"/>
      <c r="H330" s="342"/>
      <c r="I330" s="342"/>
      <c r="J330" s="342"/>
      <c r="K330" s="342"/>
      <c r="L330" s="342"/>
      <c r="M330" s="342"/>
      <c r="N330" s="342"/>
      <c r="O330" s="341"/>
      <c r="P330" s="341"/>
      <c r="Q330" s="342"/>
      <c r="R330" s="342"/>
      <c r="S330" s="341"/>
      <c r="T330" s="342"/>
      <c r="U330" s="342"/>
      <c r="V330" s="342"/>
      <c r="W330" s="342"/>
      <c r="X330" s="342"/>
      <c r="Y330" s="342"/>
      <c r="Z330" s="342"/>
    </row>
    <row r="331" ht="12.75" customHeight="1">
      <c r="A331" s="534"/>
      <c r="B331" s="534"/>
      <c r="C331" s="575"/>
      <c r="D331" s="585"/>
      <c r="E331" s="586"/>
      <c r="F331" s="342"/>
      <c r="G331" s="342"/>
      <c r="H331" s="342"/>
      <c r="I331" s="342"/>
      <c r="J331" s="342"/>
      <c r="K331" s="342"/>
      <c r="L331" s="342"/>
      <c r="M331" s="342"/>
      <c r="N331" s="342"/>
      <c r="O331" s="341"/>
      <c r="P331" s="341"/>
      <c r="Q331" s="342"/>
      <c r="R331" s="342"/>
      <c r="S331" s="341"/>
      <c r="T331" s="342"/>
      <c r="U331" s="342"/>
      <c r="V331" s="342"/>
      <c r="W331" s="342"/>
      <c r="X331" s="342"/>
      <c r="Y331" s="342"/>
      <c r="Z331" s="342"/>
    </row>
    <row r="332" ht="12.75" customHeight="1">
      <c r="A332" s="534"/>
      <c r="B332" s="534"/>
      <c r="C332" s="575"/>
      <c r="D332" s="585"/>
      <c r="E332" s="586"/>
      <c r="F332" s="342"/>
      <c r="G332" s="342"/>
      <c r="H332" s="342"/>
      <c r="I332" s="342"/>
      <c r="J332" s="342"/>
      <c r="K332" s="342"/>
      <c r="L332" s="342"/>
      <c r="M332" s="342"/>
      <c r="N332" s="342"/>
      <c r="O332" s="341"/>
      <c r="P332" s="341"/>
      <c r="Q332" s="342"/>
      <c r="R332" s="342"/>
      <c r="S332" s="341"/>
      <c r="T332" s="342"/>
      <c r="U332" s="342"/>
      <c r="V332" s="342"/>
      <c r="W332" s="342"/>
      <c r="X332" s="342"/>
      <c r="Y332" s="342"/>
      <c r="Z332" s="342"/>
    </row>
    <row r="333" ht="12.75" customHeight="1">
      <c r="A333" s="534"/>
      <c r="B333" s="534"/>
      <c r="C333" s="575"/>
      <c r="D333" s="585"/>
      <c r="E333" s="586"/>
      <c r="F333" s="342"/>
      <c r="G333" s="342"/>
      <c r="H333" s="342"/>
      <c r="I333" s="342"/>
      <c r="J333" s="342"/>
      <c r="K333" s="342"/>
      <c r="L333" s="342"/>
      <c r="M333" s="342"/>
      <c r="N333" s="342"/>
      <c r="O333" s="341"/>
      <c r="P333" s="341"/>
      <c r="Q333" s="342"/>
      <c r="R333" s="342"/>
      <c r="S333" s="341"/>
      <c r="T333" s="342"/>
      <c r="U333" s="342"/>
      <c r="V333" s="342"/>
      <c r="W333" s="342"/>
      <c r="X333" s="342"/>
      <c r="Y333" s="342"/>
      <c r="Z333" s="342"/>
    </row>
    <row r="334" ht="12.75" customHeight="1">
      <c r="A334" s="534"/>
      <c r="B334" s="534"/>
      <c r="C334" s="575"/>
      <c r="D334" s="585"/>
      <c r="E334" s="586"/>
      <c r="F334" s="342"/>
      <c r="G334" s="342"/>
      <c r="H334" s="342"/>
      <c r="I334" s="342"/>
      <c r="J334" s="342"/>
      <c r="K334" s="342"/>
      <c r="L334" s="342"/>
      <c r="M334" s="342"/>
      <c r="N334" s="342"/>
      <c r="O334" s="341"/>
      <c r="P334" s="341"/>
      <c r="Q334" s="342"/>
      <c r="R334" s="342"/>
      <c r="S334" s="341"/>
      <c r="T334" s="342"/>
      <c r="U334" s="342"/>
      <c r="V334" s="342"/>
      <c r="W334" s="342"/>
      <c r="X334" s="342"/>
      <c r="Y334" s="342"/>
      <c r="Z334" s="342"/>
    </row>
    <row r="335" ht="12.75" customHeight="1">
      <c r="A335" s="534"/>
      <c r="B335" s="534"/>
      <c r="C335" s="575"/>
      <c r="D335" s="585"/>
      <c r="E335" s="586"/>
      <c r="F335" s="342"/>
      <c r="G335" s="342"/>
      <c r="H335" s="342"/>
      <c r="I335" s="342"/>
      <c r="J335" s="342"/>
      <c r="K335" s="342"/>
      <c r="L335" s="342"/>
      <c r="M335" s="342"/>
      <c r="N335" s="342"/>
      <c r="O335" s="341"/>
      <c r="P335" s="341"/>
      <c r="Q335" s="342"/>
      <c r="R335" s="342"/>
      <c r="S335" s="341"/>
      <c r="T335" s="342"/>
      <c r="U335" s="342"/>
      <c r="V335" s="342"/>
      <c r="W335" s="342"/>
      <c r="X335" s="342"/>
      <c r="Y335" s="342"/>
      <c r="Z335" s="342"/>
    </row>
    <row r="336" ht="12.75" customHeight="1">
      <c r="A336" s="534"/>
      <c r="B336" s="534"/>
      <c r="C336" s="575"/>
      <c r="D336" s="585"/>
      <c r="E336" s="586"/>
      <c r="F336" s="342"/>
      <c r="G336" s="342"/>
      <c r="H336" s="342"/>
      <c r="I336" s="342"/>
      <c r="J336" s="342"/>
      <c r="K336" s="342"/>
      <c r="L336" s="342"/>
      <c r="M336" s="342"/>
      <c r="N336" s="342"/>
      <c r="O336" s="341"/>
      <c r="P336" s="341"/>
      <c r="Q336" s="342"/>
      <c r="R336" s="342"/>
      <c r="S336" s="341"/>
      <c r="T336" s="342"/>
      <c r="U336" s="342"/>
      <c r="V336" s="342"/>
      <c r="W336" s="342"/>
      <c r="X336" s="342"/>
      <c r="Y336" s="342"/>
      <c r="Z336" s="342"/>
    </row>
    <row r="337" ht="12.75" customHeight="1">
      <c r="A337" s="534"/>
      <c r="B337" s="534"/>
      <c r="C337" s="575"/>
      <c r="D337" s="585"/>
      <c r="E337" s="586"/>
      <c r="F337" s="342"/>
      <c r="G337" s="342"/>
      <c r="H337" s="342"/>
      <c r="I337" s="342"/>
      <c r="J337" s="342"/>
      <c r="K337" s="342"/>
      <c r="L337" s="342"/>
      <c r="M337" s="342"/>
      <c r="N337" s="342"/>
      <c r="O337" s="341"/>
      <c r="P337" s="341"/>
      <c r="Q337" s="342"/>
      <c r="R337" s="342"/>
      <c r="S337" s="341"/>
      <c r="T337" s="342"/>
      <c r="U337" s="342"/>
      <c r="V337" s="342"/>
      <c r="W337" s="342"/>
      <c r="X337" s="342"/>
      <c r="Y337" s="342"/>
      <c r="Z337" s="342"/>
    </row>
    <row r="338" ht="12.75" customHeight="1">
      <c r="A338" s="534"/>
      <c r="B338" s="534"/>
      <c r="C338" s="575"/>
      <c r="D338" s="585"/>
      <c r="E338" s="586"/>
      <c r="F338" s="342"/>
      <c r="G338" s="342"/>
      <c r="H338" s="342"/>
      <c r="I338" s="342"/>
      <c r="J338" s="342"/>
      <c r="K338" s="342"/>
      <c r="L338" s="342"/>
      <c r="M338" s="342"/>
      <c r="N338" s="342"/>
      <c r="O338" s="341"/>
      <c r="P338" s="341"/>
      <c r="Q338" s="342"/>
      <c r="R338" s="342"/>
      <c r="S338" s="341"/>
      <c r="T338" s="342"/>
      <c r="U338" s="342"/>
      <c r="V338" s="342"/>
      <c r="W338" s="342"/>
      <c r="X338" s="342"/>
      <c r="Y338" s="342"/>
      <c r="Z338" s="342"/>
    </row>
    <row r="339" ht="12.75" customHeight="1">
      <c r="A339" s="534"/>
      <c r="B339" s="534"/>
      <c r="C339" s="575"/>
      <c r="D339" s="585"/>
      <c r="E339" s="586"/>
      <c r="F339" s="342"/>
      <c r="G339" s="342"/>
      <c r="H339" s="342"/>
      <c r="I339" s="342"/>
      <c r="J339" s="342"/>
      <c r="K339" s="342"/>
      <c r="L339" s="342"/>
      <c r="M339" s="342"/>
      <c r="N339" s="342"/>
      <c r="O339" s="341"/>
      <c r="P339" s="341"/>
      <c r="Q339" s="342"/>
      <c r="R339" s="342"/>
      <c r="S339" s="341"/>
      <c r="T339" s="342"/>
      <c r="U339" s="342"/>
      <c r="V339" s="342"/>
      <c r="W339" s="342"/>
      <c r="X339" s="342"/>
      <c r="Y339" s="342"/>
      <c r="Z339" s="342"/>
    </row>
    <row r="340" ht="12.75" customHeight="1">
      <c r="A340" s="534"/>
      <c r="B340" s="534"/>
      <c r="C340" s="575"/>
      <c r="D340" s="585"/>
      <c r="E340" s="586"/>
      <c r="F340" s="342"/>
      <c r="G340" s="342"/>
      <c r="H340" s="342"/>
      <c r="I340" s="342"/>
      <c r="J340" s="342"/>
      <c r="K340" s="342"/>
      <c r="L340" s="342"/>
      <c r="M340" s="342"/>
      <c r="N340" s="342"/>
      <c r="O340" s="341"/>
      <c r="P340" s="341"/>
      <c r="Q340" s="342"/>
      <c r="R340" s="342"/>
      <c r="S340" s="341"/>
      <c r="T340" s="342"/>
      <c r="U340" s="342"/>
      <c r="V340" s="342"/>
      <c r="W340" s="342"/>
      <c r="X340" s="342"/>
      <c r="Y340" s="342"/>
      <c r="Z340" s="342"/>
    </row>
    <row r="341" ht="12.75" customHeight="1">
      <c r="A341" s="534"/>
      <c r="B341" s="534"/>
      <c r="C341" s="575"/>
      <c r="D341" s="585"/>
      <c r="E341" s="586"/>
      <c r="F341" s="342"/>
      <c r="G341" s="342"/>
      <c r="H341" s="342"/>
      <c r="I341" s="342"/>
      <c r="J341" s="342"/>
      <c r="K341" s="342"/>
      <c r="L341" s="342"/>
      <c r="M341" s="342"/>
      <c r="N341" s="342"/>
      <c r="O341" s="341"/>
      <c r="P341" s="341"/>
      <c r="Q341" s="342"/>
      <c r="R341" s="342"/>
      <c r="S341" s="341"/>
      <c r="T341" s="342"/>
      <c r="U341" s="342"/>
      <c r="V341" s="342"/>
      <c r="W341" s="342"/>
      <c r="X341" s="342"/>
      <c r="Y341" s="342"/>
      <c r="Z341" s="342"/>
    </row>
    <row r="342" ht="12.75" customHeight="1">
      <c r="A342" s="534"/>
      <c r="B342" s="534"/>
      <c r="C342" s="575"/>
      <c r="D342" s="585"/>
      <c r="E342" s="586"/>
      <c r="F342" s="342"/>
      <c r="G342" s="342"/>
      <c r="H342" s="342"/>
      <c r="I342" s="342"/>
      <c r="J342" s="342"/>
      <c r="K342" s="342"/>
      <c r="L342" s="342"/>
      <c r="M342" s="342"/>
      <c r="N342" s="342"/>
      <c r="O342" s="341"/>
      <c r="P342" s="341"/>
      <c r="Q342" s="342"/>
      <c r="R342" s="342"/>
      <c r="S342" s="341"/>
      <c r="T342" s="342"/>
      <c r="U342" s="342"/>
      <c r="V342" s="342"/>
      <c r="W342" s="342"/>
      <c r="X342" s="342"/>
      <c r="Y342" s="342"/>
      <c r="Z342" s="342"/>
    </row>
    <row r="343" ht="12.75" customHeight="1">
      <c r="A343" s="534"/>
      <c r="B343" s="534"/>
      <c r="C343" s="575"/>
      <c r="D343" s="585"/>
      <c r="E343" s="586"/>
      <c r="F343" s="342"/>
      <c r="G343" s="342"/>
      <c r="H343" s="342"/>
      <c r="I343" s="342"/>
      <c r="J343" s="342"/>
      <c r="K343" s="342"/>
      <c r="L343" s="342"/>
      <c r="M343" s="342"/>
      <c r="N343" s="342"/>
      <c r="O343" s="341"/>
      <c r="P343" s="341"/>
      <c r="Q343" s="342"/>
      <c r="R343" s="342"/>
      <c r="S343" s="341"/>
      <c r="T343" s="342"/>
      <c r="U343" s="342"/>
      <c r="V343" s="342"/>
      <c r="W343" s="342"/>
      <c r="X343" s="342"/>
      <c r="Y343" s="342"/>
      <c r="Z343" s="342"/>
    </row>
    <row r="344" ht="12.75" customHeight="1">
      <c r="A344" s="534"/>
      <c r="B344" s="534"/>
      <c r="C344" s="575"/>
      <c r="D344" s="585"/>
      <c r="E344" s="586"/>
      <c r="F344" s="342"/>
      <c r="G344" s="342"/>
      <c r="H344" s="342"/>
      <c r="I344" s="342"/>
      <c r="J344" s="342"/>
      <c r="K344" s="342"/>
      <c r="L344" s="342"/>
      <c r="M344" s="342"/>
      <c r="N344" s="342"/>
      <c r="O344" s="341"/>
      <c r="P344" s="341"/>
      <c r="Q344" s="342"/>
      <c r="R344" s="342"/>
      <c r="S344" s="341"/>
      <c r="T344" s="342"/>
      <c r="U344" s="342"/>
      <c r="V344" s="342"/>
      <c r="W344" s="342"/>
      <c r="X344" s="342"/>
      <c r="Y344" s="342"/>
      <c r="Z344" s="342"/>
    </row>
    <row r="345" ht="12.75" customHeight="1">
      <c r="A345" s="534"/>
      <c r="B345" s="534"/>
      <c r="C345" s="575"/>
      <c r="D345" s="585"/>
      <c r="E345" s="586"/>
      <c r="F345" s="342"/>
      <c r="G345" s="342"/>
      <c r="H345" s="342"/>
      <c r="I345" s="342"/>
      <c r="J345" s="342"/>
      <c r="K345" s="342"/>
      <c r="L345" s="342"/>
      <c r="M345" s="342"/>
      <c r="N345" s="342"/>
      <c r="O345" s="341"/>
      <c r="P345" s="341"/>
      <c r="Q345" s="342"/>
      <c r="R345" s="342"/>
      <c r="S345" s="341"/>
      <c r="T345" s="342"/>
      <c r="U345" s="342"/>
      <c r="V345" s="342"/>
      <c r="W345" s="342"/>
      <c r="X345" s="342"/>
      <c r="Y345" s="342"/>
      <c r="Z345" s="342"/>
    </row>
    <row r="346" ht="12.75" customHeight="1">
      <c r="A346" s="534"/>
      <c r="B346" s="534"/>
      <c r="C346" s="575"/>
      <c r="D346" s="585"/>
      <c r="E346" s="586"/>
      <c r="F346" s="342"/>
      <c r="G346" s="342"/>
      <c r="H346" s="342"/>
      <c r="I346" s="342"/>
      <c r="J346" s="342"/>
      <c r="K346" s="342"/>
      <c r="L346" s="342"/>
      <c r="M346" s="342"/>
      <c r="N346" s="342"/>
      <c r="O346" s="341"/>
      <c r="P346" s="341"/>
      <c r="Q346" s="342"/>
      <c r="R346" s="342"/>
      <c r="S346" s="341"/>
      <c r="T346" s="342"/>
      <c r="U346" s="342"/>
      <c r="V346" s="342"/>
      <c r="W346" s="342"/>
      <c r="X346" s="342"/>
      <c r="Y346" s="342"/>
      <c r="Z346" s="342"/>
    </row>
    <row r="347" ht="12.75" customHeight="1">
      <c r="A347" s="534"/>
      <c r="B347" s="534"/>
      <c r="C347" s="575"/>
      <c r="D347" s="585"/>
      <c r="E347" s="586"/>
      <c r="F347" s="342"/>
      <c r="G347" s="342"/>
      <c r="H347" s="342"/>
      <c r="I347" s="342"/>
      <c r="J347" s="342"/>
      <c r="K347" s="342"/>
      <c r="L347" s="342"/>
      <c r="M347" s="342"/>
      <c r="N347" s="342"/>
      <c r="O347" s="341"/>
      <c r="P347" s="341"/>
      <c r="Q347" s="342"/>
      <c r="R347" s="342"/>
      <c r="S347" s="341"/>
      <c r="T347" s="342"/>
      <c r="U347" s="342"/>
      <c r="V347" s="342"/>
      <c r="W347" s="342"/>
      <c r="X347" s="342"/>
      <c r="Y347" s="342"/>
      <c r="Z347" s="342"/>
    </row>
    <row r="348" ht="12.75" customHeight="1">
      <c r="A348" s="534"/>
      <c r="B348" s="534"/>
      <c r="C348" s="575"/>
      <c r="D348" s="585"/>
      <c r="E348" s="586"/>
      <c r="F348" s="342"/>
      <c r="G348" s="342"/>
      <c r="H348" s="342"/>
      <c r="I348" s="342"/>
      <c r="J348" s="342"/>
      <c r="K348" s="342"/>
      <c r="L348" s="342"/>
      <c r="M348" s="342"/>
      <c r="N348" s="342"/>
      <c r="O348" s="341"/>
      <c r="P348" s="341"/>
      <c r="Q348" s="342"/>
      <c r="R348" s="342"/>
      <c r="S348" s="341"/>
      <c r="T348" s="342"/>
      <c r="U348" s="342"/>
      <c r="V348" s="342"/>
      <c r="W348" s="342"/>
      <c r="X348" s="342"/>
      <c r="Y348" s="342"/>
      <c r="Z348" s="342"/>
    </row>
    <row r="349" ht="12.75" customHeight="1">
      <c r="A349" s="534"/>
      <c r="B349" s="534"/>
      <c r="C349" s="575"/>
      <c r="D349" s="585"/>
      <c r="E349" s="586"/>
      <c r="F349" s="342"/>
      <c r="G349" s="342"/>
      <c r="H349" s="342"/>
      <c r="I349" s="342"/>
      <c r="J349" s="342"/>
      <c r="K349" s="342"/>
      <c r="L349" s="342"/>
      <c r="M349" s="342"/>
      <c r="N349" s="342"/>
      <c r="O349" s="341"/>
      <c r="P349" s="341"/>
      <c r="Q349" s="342"/>
      <c r="R349" s="342"/>
      <c r="S349" s="341"/>
      <c r="T349" s="342"/>
      <c r="U349" s="342"/>
      <c r="V349" s="342"/>
      <c r="W349" s="342"/>
      <c r="X349" s="342"/>
      <c r="Y349" s="342"/>
      <c r="Z349" s="342"/>
    </row>
    <row r="350" ht="12.75" customHeight="1">
      <c r="A350" s="534"/>
      <c r="B350" s="534"/>
      <c r="C350" s="575"/>
      <c r="D350" s="585"/>
      <c r="E350" s="586"/>
      <c r="F350" s="342"/>
      <c r="G350" s="342"/>
      <c r="H350" s="342"/>
      <c r="I350" s="342"/>
      <c r="J350" s="342"/>
      <c r="K350" s="342"/>
      <c r="L350" s="342"/>
      <c r="M350" s="342"/>
      <c r="N350" s="342"/>
      <c r="O350" s="341"/>
      <c r="P350" s="341"/>
      <c r="Q350" s="342"/>
      <c r="R350" s="342"/>
      <c r="S350" s="341"/>
      <c r="T350" s="342"/>
      <c r="U350" s="342"/>
      <c r="V350" s="342"/>
      <c r="W350" s="342"/>
      <c r="X350" s="342"/>
      <c r="Y350" s="342"/>
      <c r="Z350" s="342"/>
    </row>
    <row r="351" ht="12.75" customHeight="1">
      <c r="A351" s="534"/>
      <c r="B351" s="534"/>
      <c r="C351" s="575"/>
      <c r="D351" s="585"/>
      <c r="E351" s="586"/>
      <c r="F351" s="342"/>
      <c r="G351" s="342"/>
      <c r="H351" s="342"/>
      <c r="I351" s="342"/>
      <c r="J351" s="342"/>
      <c r="K351" s="342"/>
      <c r="L351" s="342"/>
      <c r="M351" s="342"/>
      <c r="N351" s="342"/>
      <c r="O351" s="341"/>
      <c r="P351" s="341"/>
      <c r="Q351" s="342"/>
      <c r="R351" s="342"/>
      <c r="S351" s="341"/>
      <c r="T351" s="342"/>
      <c r="U351" s="342"/>
      <c r="V351" s="342"/>
      <c r="W351" s="342"/>
      <c r="X351" s="342"/>
      <c r="Y351" s="342"/>
      <c r="Z351" s="342"/>
    </row>
    <row r="352" ht="12.75" customHeight="1">
      <c r="A352" s="534"/>
      <c r="B352" s="534"/>
      <c r="C352" s="575"/>
      <c r="D352" s="585"/>
      <c r="E352" s="586"/>
      <c r="F352" s="342"/>
      <c r="G352" s="342"/>
      <c r="H352" s="342"/>
      <c r="I352" s="342"/>
      <c r="J352" s="342"/>
      <c r="K352" s="342"/>
      <c r="L352" s="342"/>
      <c r="M352" s="342"/>
      <c r="N352" s="342"/>
      <c r="O352" s="341"/>
      <c r="P352" s="341"/>
      <c r="Q352" s="342"/>
      <c r="R352" s="342"/>
      <c r="S352" s="341"/>
      <c r="T352" s="342"/>
      <c r="U352" s="342"/>
      <c r="V352" s="342"/>
      <c r="W352" s="342"/>
      <c r="X352" s="342"/>
      <c r="Y352" s="342"/>
      <c r="Z352" s="342"/>
    </row>
    <row r="353" ht="12.75" customHeight="1">
      <c r="A353" s="534"/>
      <c r="B353" s="534"/>
      <c r="C353" s="575"/>
      <c r="D353" s="585"/>
      <c r="E353" s="586"/>
      <c r="F353" s="342"/>
      <c r="G353" s="342"/>
      <c r="H353" s="342"/>
      <c r="I353" s="342"/>
      <c r="J353" s="342"/>
      <c r="K353" s="342"/>
      <c r="L353" s="342"/>
      <c r="M353" s="342"/>
      <c r="N353" s="342"/>
      <c r="O353" s="341"/>
      <c r="P353" s="341"/>
      <c r="Q353" s="342"/>
      <c r="R353" s="342"/>
      <c r="S353" s="341"/>
      <c r="T353" s="342"/>
      <c r="U353" s="342"/>
      <c r="V353" s="342"/>
      <c r="W353" s="342"/>
      <c r="X353" s="342"/>
      <c r="Y353" s="342"/>
      <c r="Z353" s="342"/>
    </row>
    <row r="354" ht="12.75" customHeight="1">
      <c r="A354" s="534"/>
      <c r="B354" s="534"/>
      <c r="C354" s="575"/>
      <c r="D354" s="585"/>
      <c r="E354" s="586"/>
      <c r="F354" s="342"/>
      <c r="G354" s="342"/>
      <c r="H354" s="342"/>
      <c r="I354" s="342"/>
      <c r="J354" s="342"/>
      <c r="K354" s="342"/>
      <c r="L354" s="342"/>
      <c r="M354" s="342"/>
      <c r="N354" s="342"/>
      <c r="O354" s="341"/>
      <c r="P354" s="341"/>
      <c r="Q354" s="342"/>
      <c r="R354" s="342"/>
      <c r="S354" s="341"/>
      <c r="T354" s="342"/>
      <c r="U354" s="342"/>
      <c r="V354" s="342"/>
      <c r="W354" s="342"/>
      <c r="X354" s="342"/>
      <c r="Y354" s="342"/>
      <c r="Z354" s="342"/>
    </row>
    <row r="355" ht="12.75" customHeight="1">
      <c r="A355" s="534"/>
      <c r="B355" s="534"/>
      <c r="C355" s="575"/>
      <c r="D355" s="585"/>
      <c r="E355" s="586"/>
      <c r="F355" s="342"/>
      <c r="G355" s="342"/>
      <c r="H355" s="342"/>
      <c r="I355" s="342"/>
      <c r="J355" s="342"/>
      <c r="K355" s="342"/>
      <c r="L355" s="342"/>
      <c r="M355" s="342"/>
      <c r="N355" s="342"/>
      <c r="O355" s="341"/>
      <c r="P355" s="341"/>
      <c r="Q355" s="342"/>
      <c r="R355" s="342"/>
      <c r="S355" s="341"/>
      <c r="T355" s="342"/>
      <c r="U355" s="342"/>
      <c r="V355" s="342"/>
      <c r="W355" s="342"/>
      <c r="X355" s="342"/>
      <c r="Y355" s="342"/>
      <c r="Z355" s="342"/>
    </row>
    <row r="356" ht="12.75" customHeight="1">
      <c r="A356" s="534"/>
      <c r="B356" s="534"/>
      <c r="C356" s="575"/>
      <c r="D356" s="585"/>
      <c r="E356" s="586"/>
      <c r="F356" s="342"/>
      <c r="G356" s="342"/>
      <c r="H356" s="342"/>
      <c r="I356" s="342"/>
      <c r="J356" s="342"/>
      <c r="K356" s="342"/>
      <c r="L356" s="342"/>
      <c r="M356" s="342"/>
      <c r="N356" s="342"/>
      <c r="O356" s="341"/>
      <c r="P356" s="341"/>
      <c r="Q356" s="342"/>
      <c r="R356" s="342"/>
      <c r="S356" s="341"/>
      <c r="T356" s="342"/>
      <c r="U356" s="342"/>
      <c r="V356" s="342"/>
      <c r="W356" s="342"/>
      <c r="X356" s="342"/>
      <c r="Y356" s="342"/>
      <c r="Z356" s="342"/>
    </row>
    <row r="357" ht="12.75" customHeight="1">
      <c r="A357" s="534"/>
      <c r="B357" s="534"/>
      <c r="C357" s="575"/>
      <c r="D357" s="585"/>
      <c r="E357" s="586"/>
      <c r="F357" s="342"/>
      <c r="G357" s="342"/>
      <c r="H357" s="342"/>
      <c r="I357" s="342"/>
      <c r="J357" s="342"/>
      <c r="K357" s="342"/>
      <c r="L357" s="342"/>
      <c r="M357" s="342"/>
      <c r="N357" s="342"/>
      <c r="O357" s="341"/>
      <c r="P357" s="341"/>
      <c r="Q357" s="342"/>
      <c r="R357" s="342"/>
      <c r="S357" s="341"/>
      <c r="T357" s="342"/>
      <c r="U357" s="342"/>
      <c r="V357" s="342"/>
      <c r="W357" s="342"/>
      <c r="X357" s="342"/>
      <c r="Y357" s="342"/>
      <c r="Z357" s="342"/>
    </row>
    <row r="358" ht="12.75" customHeight="1">
      <c r="A358" s="534"/>
      <c r="B358" s="534"/>
      <c r="C358" s="575"/>
      <c r="D358" s="585"/>
      <c r="E358" s="586"/>
      <c r="F358" s="342"/>
      <c r="G358" s="342"/>
      <c r="H358" s="342"/>
      <c r="I358" s="342"/>
      <c r="J358" s="342"/>
      <c r="K358" s="342"/>
      <c r="L358" s="342"/>
      <c r="M358" s="342"/>
      <c r="N358" s="342"/>
      <c r="O358" s="341"/>
      <c r="P358" s="341"/>
      <c r="Q358" s="342"/>
      <c r="R358" s="342"/>
      <c r="S358" s="341"/>
      <c r="T358" s="342"/>
      <c r="U358" s="342"/>
      <c r="V358" s="342"/>
      <c r="W358" s="342"/>
      <c r="X358" s="342"/>
      <c r="Y358" s="342"/>
      <c r="Z358" s="342"/>
    </row>
    <row r="359" ht="12.75" customHeight="1">
      <c r="A359" s="534"/>
      <c r="B359" s="534"/>
      <c r="C359" s="575"/>
      <c r="D359" s="585"/>
      <c r="E359" s="586"/>
      <c r="F359" s="342"/>
      <c r="G359" s="342"/>
      <c r="H359" s="342"/>
      <c r="I359" s="342"/>
      <c r="J359" s="342"/>
      <c r="K359" s="342"/>
      <c r="L359" s="342"/>
      <c r="M359" s="342"/>
      <c r="N359" s="342"/>
      <c r="O359" s="341"/>
      <c r="P359" s="341"/>
      <c r="Q359" s="342"/>
      <c r="R359" s="342"/>
      <c r="S359" s="341"/>
      <c r="T359" s="342"/>
      <c r="U359" s="342"/>
      <c r="V359" s="342"/>
      <c r="W359" s="342"/>
      <c r="X359" s="342"/>
      <c r="Y359" s="342"/>
      <c r="Z359" s="342"/>
    </row>
    <row r="360" ht="12.75" customHeight="1">
      <c r="A360" s="534"/>
      <c r="B360" s="534"/>
      <c r="C360" s="575"/>
      <c r="D360" s="585"/>
      <c r="E360" s="586"/>
      <c r="F360" s="342"/>
      <c r="G360" s="342"/>
      <c r="H360" s="342"/>
      <c r="I360" s="342"/>
      <c r="J360" s="342"/>
      <c r="K360" s="342"/>
      <c r="L360" s="342"/>
      <c r="M360" s="342"/>
      <c r="N360" s="342"/>
      <c r="O360" s="341"/>
      <c r="P360" s="341"/>
      <c r="Q360" s="342"/>
      <c r="R360" s="342"/>
      <c r="S360" s="341"/>
      <c r="T360" s="342"/>
      <c r="U360" s="342"/>
      <c r="V360" s="342"/>
      <c r="W360" s="342"/>
      <c r="X360" s="342"/>
      <c r="Y360" s="342"/>
      <c r="Z360" s="342"/>
    </row>
    <row r="361" ht="12.75" customHeight="1">
      <c r="A361" s="534"/>
      <c r="B361" s="534"/>
      <c r="C361" s="575"/>
      <c r="D361" s="585"/>
      <c r="E361" s="586"/>
      <c r="F361" s="342"/>
      <c r="G361" s="342"/>
      <c r="H361" s="342"/>
      <c r="I361" s="342"/>
      <c r="J361" s="342"/>
      <c r="K361" s="342"/>
      <c r="L361" s="342"/>
      <c r="M361" s="342"/>
      <c r="N361" s="342"/>
      <c r="O361" s="341"/>
      <c r="P361" s="341"/>
      <c r="Q361" s="342"/>
      <c r="R361" s="342"/>
      <c r="S361" s="341"/>
      <c r="T361" s="342"/>
      <c r="U361" s="342"/>
      <c r="V361" s="342"/>
      <c r="W361" s="342"/>
      <c r="X361" s="342"/>
      <c r="Y361" s="342"/>
      <c r="Z361" s="342"/>
    </row>
    <row r="362" ht="12.75" customHeight="1">
      <c r="A362" s="534"/>
      <c r="B362" s="534"/>
      <c r="C362" s="575"/>
      <c r="D362" s="585"/>
      <c r="E362" s="586"/>
      <c r="F362" s="342"/>
      <c r="G362" s="342"/>
      <c r="H362" s="342"/>
      <c r="I362" s="342"/>
      <c r="J362" s="342"/>
      <c r="K362" s="342"/>
      <c r="L362" s="342"/>
      <c r="M362" s="342"/>
      <c r="N362" s="342"/>
      <c r="O362" s="341"/>
      <c r="P362" s="341"/>
      <c r="Q362" s="342"/>
      <c r="R362" s="342"/>
      <c r="S362" s="341"/>
      <c r="T362" s="342"/>
      <c r="U362" s="342"/>
      <c r="V362" s="342"/>
      <c r="W362" s="342"/>
      <c r="X362" s="342"/>
      <c r="Y362" s="342"/>
      <c r="Z362" s="342"/>
    </row>
    <row r="363" ht="12.75" customHeight="1">
      <c r="A363" s="534"/>
      <c r="B363" s="534"/>
      <c r="C363" s="575"/>
      <c r="D363" s="585"/>
      <c r="E363" s="586"/>
      <c r="F363" s="342"/>
      <c r="G363" s="342"/>
      <c r="H363" s="342"/>
      <c r="I363" s="342"/>
      <c r="J363" s="342"/>
      <c r="K363" s="342"/>
      <c r="L363" s="342"/>
      <c r="M363" s="342"/>
      <c r="N363" s="342"/>
      <c r="O363" s="341"/>
      <c r="P363" s="341"/>
      <c r="Q363" s="342"/>
      <c r="R363" s="342"/>
      <c r="S363" s="341"/>
      <c r="T363" s="342"/>
      <c r="U363" s="342"/>
      <c r="V363" s="342"/>
      <c r="W363" s="342"/>
      <c r="X363" s="342"/>
      <c r="Y363" s="342"/>
      <c r="Z363" s="342"/>
    </row>
    <row r="364" ht="12.75" customHeight="1">
      <c r="A364" s="534"/>
      <c r="B364" s="534"/>
      <c r="C364" s="575"/>
      <c r="D364" s="585"/>
      <c r="E364" s="586"/>
      <c r="F364" s="342"/>
      <c r="G364" s="342"/>
      <c r="H364" s="342"/>
      <c r="I364" s="342"/>
      <c r="J364" s="342"/>
      <c r="K364" s="342"/>
      <c r="L364" s="342"/>
      <c r="M364" s="342"/>
      <c r="N364" s="342"/>
      <c r="O364" s="341"/>
      <c r="P364" s="341"/>
      <c r="Q364" s="342"/>
      <c r="R364" s="342"/>
      <c r="S364" s="341"/>
      <c r="T364" s="342"/>
      <c r="U364" s="342"/>
      <c r="V364" s="342"/>
      <c r="W364" s="342"/>
      <c r="X364" s="342"/>
      <c r="Y364" s="342"/>
      <c r="Z364" s="342"/>
    </row>
    <row r="365" ht="12.75" customHeight="1">
      <c r="A365" s="534"/>
      <c r="B365" s="534"/>
      <c r="C365" s="575"/>
      <c r="D365" s="585"/>
      <c r="E365" s="586"/>
      <c r="F365" s="342"/>
      <c r="G365" s="342"/>
      <c r="H365" s="342"/>
      <c r="I365" s="342"/>
      <c r="J365" s="342"/>
      <c r="K365" s="342"/>
      <c r="L365" s="342"/>
      <c r="M365" s="342"/>
      <c r="N365" s="342"/>
      <c r="O365" s="341"/>
      <c r="P365" s="341"/>
      <c r="Q365" s="342"/>
      <c r="R365" s="342"/>
      <c r="S365" s="341"/>
      <c r="T365" s="342"/>
      <c r="U365" s="342"/>
      <c r="V365" s="342"/>
      <c r="W365" s="342"/>
      <c r="X365" s="342"/>
      <c r="Y365" s="342"/>
      <c r="Z365" s="342"/>
    </row>
    <row r="366" ht="12.75" customHeight="1">
      <c r="A366" s="534"/>
      <c r="B366" s="534"/>
      <c r="C366" s="575"/>
      <c r="D366" s="585"/>
      <c r="E366" s="586"/>
      <c r="F366" s="342"/>
      <c r="G366" s="342"/>
      <c r="H366" s="342"/>
      <c r="I366" s="342"/>
      <c r="J366" s="342"/>
      <c r="K366" s="342"/>
      <c r="L366" s="342"/>
      <c r="M366" s="342"/>
      <c r="N366" s="342"/>
      <c r="O366" s="341"/>
      <c r="P366" s="341"/>
      <c r="Q366" s="342"/>
      <c r="R366" s="342"/>
      <c r="S366" s="341"/>
      <c r="T366" s="342"/>
      <c r="U366" s="342"/>
      <c r="V366" s="342"/>
      <c r="W366" s="342"/>
      <c r="X366" s="342"/>
      <c r="Y366" s="342"/>
      <c r="Z366" s="342"/>
    </row>
    <row r="367" ht="12.75" customHeight="1">
      <c r="A367" s="534"/>
      <c r="B367" s="534"/>
      <c r="C367" s="575"/>
      <c r="D367" s="585"/>
      <c r="E367" s="586"/>
      <c r="F367" s="342"/>
      <c r="G367" s="342"/>
      <c r="H367" s="342"/>
      <c r="I367" s="342"/>
      <c r="J367" s="342"/>
      <c r="K367" s="342"/>
      <c r="L367" s="342"/>
      <c r="M367" s="342"/>
      <c r="N367" s="342"/>
      <c r="O367" s="341"/>
      <c r="P367" s="341"/>
      <c r="Q367" s="342"/>
      <c r="R367" s="342"/>
      <c r="S367" s="341"/>
      <c r="T367" s="342"/>
      <c r="U367" s="342"/>
      <c r="V367" s="342"/>
      <c r="W367" s="342"/>
      <c r="X367" s="342"/>
      <c r="Y367" s="342"/>
      <c r="Z367" s="342"/>
    </row>
    <row r="368" ht="12.75" customHeight="1">
      <c r="A368" s="534"/>
      <c r="B368" s="534"/>
      <c r="C368" s="575"/>
      <c r="D368" s="585"/>
      <c r="E368" s="586"/>
      <c r="F368" s="342"/>
      <c r="G368" s="342"/>
      <c r="H368" s="342"/>
      <c r="I368" s="342"/>
      <c r="J368" s="342"/>
      <c r="K368" s="342"/>
      <c r="L368" s="342"/>
      <c r="M368" s="342"/>
      <c r="N368" s="342"/>
      <c r="O368" s="341"/>
      <c r="P368" s="341"/>
      <c r="Q368" s="342"/>
      <c r="R368" s="342"/>
      <c r="S368" s="341"/>
      <c r="T368" s="342"/>
      <c r="U368" s="342"/>
      <c r="V368" s="342"/>
      <c r="W368" s="342"/>
      <c r="X368" s="342"/>
      <c r="Y368" s="342"/>
      <c r="Z368" s="342"/>
    </row>
    <row r="369" ht="12.75" customHeight="1">
      <c r="A369" s="534"/>
      <c r="B369" s="534"/>
      <c r="C369" s="575"/>
      <c r="D369" s="585"/>
      <c r="E369" s="586"/>
      <c r="F369" s="342"/>
      <c r="G369" s="342"/>
      <c r="H369" s="342"/>
      <c r="I369" s="342"/>
      <c r="J369" s="342"/>
      <c r="K369" s="342"/>
      <c r="L369" s="342"/>
      <c r="M369" s="342"/>
      <c r="N369" s="342"/>
      <c r="O369" s="341"/>
      <c r="P369" s="341"/>
      <c r="Q369" s="342"/>
      <c r="R369" s="342"/>
      <c r="S369" s="341"/>
      <c r="T369" s="342"/>
      <c r="U369" s="342"/>
      <c r="V369" s="342"/>
      <c r="W369" s="342"/>
      <c r="X369" s="342"/>
      <c r="Y369" s="342"/>
      <c r="Z369" s="342"/>
    </row>
    <row r="370" ht="12.75" customHeight="1">
      <c r="A370" s="534"/>
      <c r="B370" s="534"/>
      <c r="C370" s="575"/>
      <c r="D370" s="585"/>
      <c r="E370" s="586"/>
      <c r="F370" s="342"/>
      <c r="G370" s="342"/>
      <c r="H370" s="342"/>
      <c r="I370" s="342"/>
      <c r="J370" s="342"/>
      <c r="K370" s="342"/>
      <c r="L370" s="342"/>
      <c r="M370" s="342"/>
      <c r="N370" s="342"/>
      <c r="O370" s="341"/>
      <c r="P370" s="341"/>
      <c r="Q370" s="342"/>
      <c r="R370" s="342"/>
      <c r="S370" s="341"/>
      <c r="T370" s="342"/>
      <c r="U370" s="342"/>
      <c r="V370" s="342"/>
      <c r="W370" s="342"/>
      <c r="X370" s="342"/>
      <c r="Y370" s="342"/>
      <c r="Z370" s="342"/>
    </row>
    <row r="371" ht="12.75" customHeight="1">
      <c r="A371" s="534"/>
      <c r="B371" s="534"/>
      <c r="C371" s="575"/>
      <c r="D371" s="585"/>
      <c r="E371" s="586"/>
      <c r="F371" s="342"/>
      <c r="G371" s="342"/>
      <c r="H371" s="342"/>
      <c r="I371" s="342"/>
      <c r="J371" s="342"/>
      <c r="K371" s="342"/>
      <c r="L371" s="342"/>
      <c r="M371" s="342"/>
      <c r="N371" s="342"/>
      <c r="O371" s="341"/>
      <c r="P371" s="341"/>
      <c r="Q371" s="342"/>
      <c r="R371" s="342"/>
      <c r="S371" s="341"/>
      <c r="T371" s="342"/>
      <c r="U371" s="342"/>
      <c r="V371" s="342"/>
      <c r="W371" s="342"/>
      <c r="X371" s="342"/>
      <c r="Y371" s="342"/>
      <c r="Z371" s="342"/>
    </row>
    <row r="372" ht="12.75" customHeight="1">
      <c r="A372" s="534"/>
      <c r="B372" s="534"/>
      <c r="C372" s="575"/>
      <c r="D372" s="585"/>
      <c r="E372" s="586"/>
      <c r="F372" s="342"/>
      <c r="G372" s="342"/>
      <c r="H372" s="342"/>
      <c r="I372" s="342"/>
      <c r="J372" s="342"/>
      <c r="K372" s="342"/>
      <c r="L372" s="342"/>
      <c r="M372" s="342"/>
      <c r="N372" s="342"/>
      <c r="O372" s="341"/>
      <c r="P372" s="341"/>
      <c r="Q372" s="342"/>
      <c r="R372" s="342"/>
      <c r="S372" s="341"/>
      <c r="T372" s="342"/>
      <c r="U372" s="342"/>
      <c r="V372" s="342"/>
      <c r="W372" s="342"/>
      <c r="X372" s="342"/>
      <c r="Y372" s="342"/>
      <c r="Z372" s="342"/>
    </row>
    <row r="373" ht="12.75" customHeight="1">
      <c r="A373" s="534"/>
      <c r="B373" s="534"/>
      <c r="C373" s="575"/>
      <c r="D373" s="585"/>
      <c r="E373" s="586"/>
      <c r="F373" s="342"/>
      <c r="G373" s="342"/>
      <c r="H373" s="342"/>
      <c r="I373" s="342"/>
      <c r="J373" s="342"/>
      <c r="K373" s="342"/>
      <c r="L373" s="342"/>
      <c r="M373" s="342"/>
      <c r="N373" s="342"/>
      <c r="O373" s="341"/>
      <c r="P373" s="341"/>
      <c r="Q373" s="342"/>
      <c r="R373" s="342"/>
      <c r="S373" s="341"/>
      <c r="T373" s="342"/>
      <c r="U373" s="342"/>
      <c r="V373" s="342"/>
      <c r="W373" s="342"/>
      <c r="X373" s="342"/>
      <c r="Y373" s="342"/>
      <c r="Z373" s="342"/>
    </row>
    <row r="374" ht="12.75" customHeight="1">
      <c r="A374" s="534"/>
      <c r="B374" s="534"/>
      <c r="C374" s="575"/>
      <c r="D374" s="585"/>
      <c r="E374" s="586"/>
      <c r="F374" s="342"/>
      <c r="G374" s="342"/>
      <c r="H374" s="342"/>
      <c r="I374" s="342"/>
      <c r="J374" s="342"/>
      <c r="K374" s="342"/>
      <c r="L374" s="342"/>
      <c r="M374" s="342"/>
      <c r="N374" s="342"/>
      <c r="O374" s="341"/>
      <c r="P374" s="341"/>
      <c r="Q374" s="342"/>
      <c r="R374" s="342"/>
      <c r="S374" s="341"/>
      <c r="T374" s="342"/>
      <c r="U374" s="342"/>
      <c r="V374" s="342"/>
      <c r="W374" s="342"/>
      <c r="X374" s="342"/>
      <c r="Y374" s="342"/>
      <c r="Z374" s="342"/>
    </row>
    <row r="375" ht="12.75" customHeight="1">
      <c r="A375" s="534"/>
      <c r="B375" s="534"/>
      <c r="C375" s="575"/>
      <c r="D375" s="585"/>
      <c r="E375" s="586"/>
      <c r="F375" s="342"/>
      <c r="G375" s="342"/>
      <c r="H375" s="342"/>
      <c r="I375" s="342"/>
      <c r="J375" s="342"/>
      <c r="K375" s="342"/>
      <c r="L375" s="342"/>
      <c r="M375" s="342"/>
      <c r="N375" s="342"/>
      <c r="O375" s="341"/>
      <c r="P375" s="341"/>
      <c r="Q375" s="342"/>
      <c r="R375" s="342"/>
      <c r="S375" s="341"/>
      <c r="T375" s="342"/>
      <c r="U375" s="342"/>
      <c r="V375" s="342"/>
      <c r="W375" s="342"/>
      <c r="X375" s="342"/>
      <c r="Y375" s="342"/>
      <c r="Z375" s="342"/>
    </row>
    <row r="376" ht="12.75" customHeight="1">
      <c r="A376" s="534"/>
      <c r="B376" s="534"/>
      <c r="C376" s="575"/>
      <c r="D376" s="585"/>
      <c r="E376" s="586"/>
      <c r="F376" s="342"/>
      <c r="G376" s="342"/>
      <c r="H376" s="342"/>
      <c r="I376" s="342"/>
      <c r="J376" s="342"/>
      <c r="K376" s="342"/>
      <c r="L376" s="342"/>
      <c r="M376" s="342"/>
      <c r="N376" s="342"/>
      <c r="O376" s="341"/>
      <c r="P376" s="341"/>
      <c r="Q376" s="342"/>
      <c r="R376" s="342"/>
      <c r="S376" s="341"/>
      <c r="T376" s="342"/>
      <c r="U376" s="342"/>
      <c r="V376" s="342"/>
      <c r="W376" s="342"/>
      <c r="X376" s="342"/>
      <c r="Y376" s="342"/>
      <c r="Z376" s="342"/>
    </row>
    <row r="377" ht="12.75" customHeight="1">
      <c r="A377" s="534"/>
      <c r="B377" s="534"/>
      <c r="C377" s="575"/>
      <c r="D377" s="585"/>
      <c r="E377" s="586"/>
      <c r="F377" s="342"/>
      <c r="G377" s="342"/>
      <c r="H377" s="342"/>
      <c r="I377" s="342"/>
      <c r="J377" s="342"/>
      <c r="K377" s="342"/>
      <c r="L377" s="342"/>
      <c r="M377" s="342"/>
      <c r="N377" s="342"/>
      <c r="O377" s="341"/>
      <c r="P377" s="341"/>
      <c r="Q377" s="342"/>
      <c r="R377" s="342"/>
      <c r="S377" s="341"/>
      <c r="T377" s="342"/>
      <c r="U377" s="342"/>
      <c r="V377" s="342"/>
      <c r="W377" s="342"/>
      <c r="X377" s="342"/>
      <c r="Y377" s="342"/>
      <c r="Z377" s="342"/>
    </row>
    <row r="378" ht="12.75" customHeight="1">
      <c r="A378" s="534"/>
      <c r="B378" s="534"/>
      <c r="C378" s="575"/>
      <c r="D378" s="585"/>
      <c r="E378" s="586"/>
      <c r="F378" s="342"/>
      <c r="G378" s="342"/>
      <c r="H378" s="342"/>
      <c r="I378" s="342"/>
      <c r="J378" s="342"/>
      <c r="K378" s="342"/>
      <c r="L378" s="342"/>
      <c r="M378" s="342"/>
      <c r="N378" s="342"/>
      <c r="O378" s="341"/>
      <c r="P378" s="341"/>
      <c r="Q378" s="342"/>
      <c r="R378" s="342"/>
      <c r="S378" s="341"/>
      <c r="T378" s="342"/>
      <c r="U378" s="342"/>
      <c r="V378" s="342"/>
      <c r="W378" s="342"/>
      <c r="X378" s="342"/>
      <c r="Y378" s="342"/>
      <c r="Z378" s="342"/>
    </row>
    <row r="379" ht="12.75" customHeight="1">
      <c r="A379" s="534"/>
      <c r="B379" s="534"/>
      <c r="C379" s="575"/>
      <c r="D379" s="585"/>
      <c r="E379" s="586"/>
      <c r="F379" s="342"/>
      <c r="G379" s="342"/>
      <c r="H379" s="342"/>
      <c r="I379" s="342"/>
      <c r="J379" s="342"/>
      <c r="K379" s="342"/>
      <c r="L379" s="342"/>
      <c r="M379" s="342"/>
      <c r="N379" s="342"/>
      <c r="O379" s="341"/>
      <c r="P379" s="341"/>
      <c r="Q379" s="342"/>
      <c r="R379" s="342"/>
      <c r="S379" s="341"/>
      <c r="T379" s="342"/>
      <c r="U379" s="342"/>
      <c r="V379" s="342"/>
      <c r="W379" s="342"/>
      <c r="X379" s="342"/>
      <c r="Y379" s="342"/>
      <c r="Z379" s="342"/>
    </row>
    <row r="380" ht="12.75" customHeight="1">
      <c r="A380" s="534"/>
      <c r="B380" s="534"/>
      <c r="C380" s="575"/>
      <c r="D380" s="585"/>
      <c r="E380" s="586"/>
      <c r="F380" s="342"/>
      <c r="G380" s="342"/>
      <c r="H380" s="342"/>
      <c r="I380" s="342"/>
      <c r="J380" s="342"/>
      <c r="K380" s="342"/>
      <c r="L380" s="342"/>
      <c r="M380" s="342"/>
      <c r="N380" s="342"/>
      <c r="O380" s="341"/>
      <c r="P380" s="341"/>
      <c r="Q380" s="342"/>
      <c r="R380" s="342"/>
      <c r="S380" s="341"/>
      <c r="T380" s="342"/>
      <c r="U380" s="342"/>
      <c r="V380" s="342"/>
      <c r="W380" s="342"/>
      <c r="X380" s="342"/>
      <c r="Y380" s="342"/>
      <c r="Z380" s="342"/>
    </row>
    <row r="381" ht="12.75" customHeight="1">
      <c r="A381" s="534"/>
      <c r="B381" s="534"/>
      <c r="C381" s="575"/>
      <c r="D381" s="585"/>
      <c r="E381" s="586"/>
      <c r="F381" s="342"/>
      <c r="G381" s="342"/>
      <c r="H381" s="342"/>
      <c r="I381" s="342"/>
      <c r="J381" s="342"/>
      <c r="K381" s="342"/>
      <c r="L381" s="342"/>
      <c r="M381" s="342"/>
      <c r="N381" s="342"/>
      <c r="O381" s="341"/>
      <c r="P381" s="341"/>
      <c r="Q381" s="342"/>
      <c r="R381" s="342"/>
      <c r="S381" s="341"/>
      <c r="T381" s="342"/>
      <c r="U381" s="342"/>
      <c r="V381" s="342"/>
      <c r="W381" s="342"/>
      <c r="X381" s="342"/>
      <c r="Y381" s="342"/>
      <c r="Z381" s="342"/>
    </row>
    <row r="382" ht="12.75" customHeight="1">
      <c r="A382" s="534"/>
      <c r="B382" s="534"/>
      <c r="C382" s="575"/>
      <c r="D382" s="585"/>
      <c r="E382" s="586"/>
      <c r="F382" s="342"/>
      <c r="G382" s="342"/>
      <c r="H382" s="342"/>
      <c r="I382" s="342"/>
      <c r="J382" s="342"/>
      <c r="K382" s="342"/>
      <c r="L382" s="342"/>
      <c r="M382" s="342"/>
      <c r="N382" s="342"/>
      <c r="O382" s="341"/>
      <c r="P382" s="341"/>
      <c r="Q382" s="342"/>
      <c r="R382" s="342"/>
      <c r="S382" s="341"/>
      <c r="T382" s="342"/>
      <c r="U382" s="342"/>
      <c r="V382" s="342"/>
      <c r="W382" s="342"/>
      <c r="X382" s="342"/>
      <c r="Y382" s="342"/>
      <c r="Z382" s="342"/>
    </row>
    <row r="383" ht="12.75" customHeight="1">
      <c r="A383" s="534"/>
      <c r="B383" s="534"/>
      <c r="C383" s="575"/>
      <c r="D383" s="585"/>
      <c r="E383" s="586"/>
      <c r="F383" s="342"/>
      <c r="G383" s="342"/>
      <c r="H383" s="342"/>
      <c r="I383" s="342"/>
      <c r="J383" s="342"/>
      <c r="K383" s="342"/>
      <c r="L383" s="342"/>
      <c r="M383" s="342"/>
      <c r="N383" s="342"/>
      <c r="O383" s="341"/>
      <c r="P383" s="341"/>
      <c r="Q383" s="342"/>
      <c r="R383" s="342"/>
      <c r="S383" s="341"/>
      <c r="T383" s="342"/>
      <c r="U383" s="342"/>
      <c r="V383" s="342"/>
      <c r="W383" s="342"/>
      <c r="X383" s="342"/>
      <c r="Y383" s="342"/>
      <c r="Z383" s="342"/>
    </row>
    <row r="384" ht="12.75" customHeight="1">
      <c r="A384" s="534"/>
      <c r="B384" s="534"/>
      <c r="C384" s="575"/>
      <c r="D384" s="585"/>
      <c r="E384" s="586"/>
      <c r="F384" s="342"/>
      <c r="G384" s="342"/>
      <c r="H384" s="342"/>
      <c r="I384" s="342"/>
      <c r="J384" s="342"/>
      <c r="K384" s="342"/>
      <c r="L384" s="342"/>
      <c r="M384" s="342"/>
      <c r="N384" s="342"/>
      <c r="O384" s="341"/>
      <c r="P384" s="341"/>
      <c r="Q384" s="342"/>
      <c r="R384" s="342"/>
      <c r="S384" s="341"/>
      <c r="T384" s="342"/>
      <c r="U384" s="342"/>
      <c r="V384" s="342"/>
      <c r="W384" s="342"/>
      <c r="X384" s="342"/>
      <c r="Y384" s="342"/>
      <c r="Z384" s="342"/>
    </row>
    <row r="385" ht="12.75" customHeight="1">
      <c r="A385" s="534"/>
      <c r="B385" s="534"/>
      <c r="C385" s="575"/>
      <c r="D385" s="585"/>
      <c r="E385" s="586"/>
      <c r="F385" s="342"/>
      <c r="G385" s="342"/>
      <c r="H385" s="342"/>
      <c r="I385" s="342"/>
      <c r="J385" s="342"/>
      <c r="K385" s="342"/>
      <c r="L385" s="342"/>
      <c r="M385" s="342"/>
      <c r="N385" s="342"/>
      <c r="O385" s="341"/>
      <c r="P385" s="341"/>
      <c r="Q385" s="342"/>
      <c r="R385" s="342"/>
      <c r="S385" s="341"/>
      <c r="T385" s="342"/>
      <c r="U385" s="342"/>
      <c r="V385" s="342"/>
      <c r="W385" s="342"/>
      <c r="X385" s="342"/>
      <c r="Y385" s="342"/>
      <c r="Z385" s="342"/>
    </row>
    <row r="386" ht="12.75" customHeight="1">
      <c r="A386" s="534"/>
      <c r="B386" s="534"/>
      <c r="C386" s="575"/>
      <c r="D386" s="585"/>
      <c r="E386" s="586"/>
      <c r="F386" s="342"/>
      <c r="G386" s="342"/>
      <c r="H386" s="342"/>
      <c r="I386" s="342"/>
      <c r="J386" s="342"/>
      <c r="K386" s="342"/>
      <c r="L386" s="342"/>
      <c r="M386" s="342"/>
      <c r="N386" s="342"/>
      <c r="O386" s="341"/>
      <c r="P386" s="341"/>
      <c r="Q386" s="342"/>
      <c r="R386" s="342"/>
      <c r="S386" s="341"/>
      <c r="T386" s="342"/>
      <c r="U386" s="342"/>
      <c r="V386" s="342"/>
      <c r="W386" s="342"/>
      <c r="X386" s="342"/>
      <c r="Y386" s="342"/>
      <c r="Z386" s="342"/>
    </row>
    <row r="387" ht="12.75" customHeight="1">
      <c r="A387" s="534"/>
      <c r="B387" s="534"/>
      <c r="C387" s="575"/>
      <c r="D387" s="585"/>
      <c r="E387" s="586"/>
      <c r="F387" s="342"/>
      <c r="G387" s="342"/>
      <c r="H387" s="342"/>
      <c r="I387" s="342"/>
      <c r="J387" s="342"/>
      <c r="K387" s="342"/>
      <c r="L387" s="342"/>
      <c r="M387" s="342"/>
      <c r="N387" s="342"/>
      <c r="O387" s="341"/>
      <c r="P387" s="341"/>
      <c r="Q387" s="342"/>
      <c r="R387" s="342"/>
      <c r="S387" s="341"/>
      <c r="T387" s="342"/>
      <c r="U387" s="342"/>
      <c r="V387" s="342"/>
      <c r="W387" s="342"/>
      <c r="X387" s="342"/>
      <c r="Y387" s="342"/>
      <c r="Z387" s="342"/>
    </row>
    <row r="388" ht="12.75" customHeight="1">
      <c r="A388" s="534"/>
      <c r="B388" s="534"/>
      <c r="C388" s="575"/>
      <c r="D388" s="585"/>
      <c r="E388" s="586"/>
      <c r="F388" s="342"/>
      <c r="G388" s="342"/>
      <c r="H388" s="342"/>
      <c r="I388" s="342"/>
      <c r="J388" s="342"/>
      <c r="K388" s="342"/>
      <c r="L388" s="342"/>
      <c r="M388" s="342"/>
      <c r="N388" s="342"/>
      <c r="O388" s="341"/>
      <c r="P388" s="341"/>
      <c r="Q388" s="342"/>
      <c r="R388" s="342"/>
      <c r="S388" s="341"/>
      <c r="T388" s="342"/>
      <c r="U388" s="342"/>
      <c r="V388" s="342"/>
      <c r="W388" s="342"/>
      <c r="X388" s="342"/>
      <c r="Y388" s="342"/>
      <c r="Z388" s="342"/>
    </row>
    <row r="389" ht="12.75" customHeight="1">
      <c r="A389" s="534"/>
      <c r="B389" s="534"/>
      <c r="C389" s="575"/>
      <c r="D389" s="585"/>
      <c r="E389" s="586"/>
      <c r="F389" s="342"/>
      <c r="G389" s="342"/>
      <c r="H389" s="342"/>
      <c r="I389" s="342"/>
      <c r="J389" s="342"/>
      <c r="K389" s="342"/>
      <c r="L389" s="342"/>
      <c r="M389" s="342"/>
      <c r="N389" s="342"/>
      <c r="O389" s="341"/>
      <c r="P389" s="341"/>
      <c r="Q389" s="342"/>
      <c r="R389" s="342"/>
      <c r="S389" s="341"/>
      <c r="T389" s="342"/>
      <c r="U389" s="342"/>
      <c r="V389" s="342"/>
      <c r="W389" s="342"/>
      <c r="X389" s="342"/>
      <c r="Y389" s="342"/>
      <c r="Z389" s="342"/>
    </row>
    <row r="390" ht="12.75" customHeight="1">
      <c r="A390" s="534"/>
      <c r="B390" s="534"/>
      <c r="C390" s="575"/>
      <c r="D390" s="585"/>
      <c r="E390" s="586"/>
      <c r="F390" s="342"/>
      <c r="G390" s="342"/>
      <c r="H390" s="342"/>
      <c r="I390" s="342"/>
      <c r="J390" s="342"/>
      <c r="K390" s="342"/>
      <c r="L390" s="342"/>
      <c r="M390" s="342"/>
      <c r="N390" s="342"/>
      <c r="O390" s="341"/>
      <c r="P390" s="341"/>
      <c r="Q390" s="342"/>
      <c r="R390" s="342"/>
      <c r="S390" s="341"/>
      <c r="T390" s="342"/>
      <c r="U390" s="342"/>
      <c r="V390" s="342"/>
      <c r="W390" s="342"/>
      <c r="X390" s="342"/>
      <c r="Y390" s="342"/>
      <c r="Z390" s="342"/>
    </row>
    <row r="391" ht="12.75" customHeight="1">
      <c r="A391" s="534"/>
      <c r="B391" s="534"/>
      <c r="C391" s="575"/>
      <c r="D391" s="585"/>
      <c r="E391" s="586"/>
      <c r="F391" s="342"/>
      <c r="G391" s="342"/>
      <c r="H391" s="342"/>
      <c r="I391" s="342"/>
      <c r="J391" s="342"/>
      <c r="K391" s="342"/>
      <c r="L391" s="342"/>
      <c r="M391" s="342"/>
      <c r="N391" s="342"/>
      <c r="O391" s="341"/>
      <c r="P391" s="341"/>
      <c r="Q391" s="342"/>
      <c r="R391" s="342"/>
      <c r="S391" s="341"/>
      <c r="T391" s="342"/>
      <c r="U391" s="342"/>
      <c r="V391" s="342"/>
      <c r="W391" s="342"/>
      <c r="X391" s="342"/>
      <c r="Y391" s="342"/>
      <c r="Z391" s="342"/>
    </row>
    <row r="392" ht="12.75" customHeight="1">
      <c r="A392" s="534"/>
      <c r="B392" s="534"/>
      <c r="C392" s="575"/>
      <c r="D392" s="585"/>
      <c r="E392" s="586"/>
      <c r="F392" s="342"/>
      <c r="G392" s="342"/>
      <c r="H392" s="342"/>
      <c r="I392" s="342"/>
      <c r="J392" s="342"/>
      <c r="K392" s="342"/>
      <c r="L392" s="342"/>
      <c r="M392" s="342"/>
      <c r="N392" s="342"/>
      <c r="O392" s="341"/>
      <c r="P392" s="341"/>
      <c r="Q392" s="342"/>
      <c r="R392" s="342"/>
      <c r="S392" s="341"/>
      <c r="T392" s="342"/>
      <c r="U392" s="342"/>
      <c r="V392" s="342"/>
      <c r="W392" s="342"/>
      <c r="X392" s="342"/>
      <c r="Y392" s="342"/>
      <c r="Z392" s="342"/>
    </row>
    <row r="393" ht="12.75" customHeight="1">
      <c r="A393" s="534"/>
      <c r="B393" s="534"/>
      <c r="C393" s="575"/>
      <c r="D393" s="585"/>
      <c r="E393" s="586"/>
      <c r="F393" s="342"/>
      <c r="G393" s="342"/>
      <c r="H393" s="342"/>
      <c r="I393" s="342"/>
      <c r="J393" s="342"/>
      <c r="K393" s="342"/>
      <c r="L393" s="342"/>
      <c r="M393" s="342"/>
      <c r="N393" s="342"/>
      <c r="O393" s="341"/>
      <c r="P393" s="341"/>
      <c r="Q393" s="342"/>
      <c r="R393" s="342"/>
      <c r="S393" s="341"/>
      <c r="T393" s="342"/>
      <c r="U393" s="342"/>
      <c r="V393" s="342"/>
      <c r="W393" s="342"/>
      <c r="X393" s="342"/>
      <c r="Y393" s="342"/>
      <c r="Z393" s="342"/>
    </row>
    <row r="394" ht="12.75" customHeight="1">
      <c r="A394" s="534"/>
      <c r="B394" s="534"/>
      <c r="C394" s="575"/>
      <c r="D394" s="585"/>
      <c r="E394" s="586"/>
      <c r="F394" s="342"/>
      <c r="G394" s="342"/>
      <c r="H394" s="342"/>
      <c r="I394" s="342"/>
      <c r="J394" s="342"/>
      <c r="K394" s="342"/>
      <c r="L394" s="342"/>
      <c r="M394" s="342"/>
      <c r="N394" s="342"/>
      <c r="O394" s="341"/>
      <c r="P394" s="341"/>
      <c r="Q394" s="342"/>
      <c r="R394" s="342"/>
      <c r="S394" s="341"/>
      <c r="T394" s="342"/>
      <c r="U394" s="342"/>
      <c r="V394" s="342"/>
      <c r="W394" s="342"/>
      <c r="X394" s="342"/>
      <c r="Y394" s="342"/>
      <c r="Z394" s="342"/>
    </row>
    <row r="395" ht="12.75" customHeight="1">
      <c r="A395" s="534"/>
      <c r="B395" s="534"/>
      <c r="C395" s="575"/>
      <c r="D395" s="585"/>
      <c r="E395" s="586"/>
      <c r="F395" s="342"/>
      <c r="G395" s="342"/>
      <c r="H395" s="342"/>
      <c r="I395" s="342"/>
      <c r="J395" s="342"/>
      <c r="K395" s="342"/>
      <c r="L395" s="342"/>
      <c r="M395" s="342"/>
      <c r="N395" s="342"/>
      <c r="O395" s="341"/>
      <c r="P395" s="341"/>
      <c r="Q395" s="342"/>
      <c r="R395" s="342"/>
      <c r="S395" s="341"/>
      <c r="T395" s="342"/>
      <c r="U395" s="342"/>
      <c r="V395" s="342"/>
      <c r="W395" s="342"/>
      <c r="X395" s="342"/>
      <c r="Y395" s="342"/>
      <c r="Z395" s="342"/>
    </row>
    <row r="396" ht="12.75" customHeight="1">
      <c r="A396" s="534"/>
      <c r="B396" s="534"/>
      <c r="C396" s="575"/>
      <c r="D396" s="585"/>
      <c r="E396" s="586"/>
      <c r="F396" s="342"/>
      <c r="G396" s="342"/>
      <c r="H396" s="342"/>
      <c r="I396" s="342"/>
      <c r="J396" s="342"/>
      <c r="K396" s="342"/>
      <c r="L396" s="342"/>
      <c r="M396" s="342"/>
      <c r="N396" s="342"/>
      <c r="O396" s="341"/>
      <c r="P396" s="341"/>
      <c r="Q396" s="342"/>
      <c r="R396" s="342"/>
      <c r="S396" s="341"/>
      <c r="T396" s="342"/>
      <c r="U396" s="342"/>
      <c r="V396" s="342"/>
      <c r="W396" s="342"/>
      <c r="X396" s="342"/>
      <c r="Y396" s="342"/>
      <c r="Z396" s="342"/>
    </row>
    <row r="397" ht="12.75" customHeight="1">
      <c r="A397" s="534"/>
      <c r="B397" s="534"/>
      <c r="C397" s="575"/>
      <c r="D397" s="585"/>
      <c r="E397" s="586"/>
      <c r="F397" s="342"/>
      <c r="G397" s="342"/>
      <c r="H397" s="342"/>
      <c r="I397" s="342"/>
      <c r="J397" s="342"/>
      <c r="K397" s="342"/>
      <c r="L397" s="342"/>
      <c r="M397" s="342"/>
      <c r="N397" s="342"/>
      <c r="O397" s="341"/>
      <c r="P397" s="341"/>
      <c r="Q397" s="342"/>
      <c r="R397" s="342"/>
      <c r="S397" s="341"/>
      <c r="T397" s="342"/>
      <c r="U397" s="342"/>
      <c r="V397" s="342"/>
      <c r="W397" s="342"/>
      <c r="X397" s="342"/>
      <c r="Y397" s="342"/>
      <c r="Z397" s="342"/>
    </row>
    <row r="398" ht="12.75" customHeight="1">
      <c r="A398" s="534"/>
      <c r="B398" s="534"/>
      <c r="C398" s="575"/>
      <c r="D398" s="585"/>
      <c r="E398" s="586"/>
      <c r="F398" s="342"/>
      <c r="G398" s="342"/>
      <c r="H398" s="342"/>
      <c r="I398" s="342"/>
      <c r="J398" s="342"/>
      <c r="K398" s="342"/>
      <c r="L398" s="342"/>
      <c r="M398" s="342"/>
      <c r="N398" s="342"/>
      <c r="O398" s="341"/>
      <c r="P398" s="341"/>
      <c r="Q398" s="342"/>
      <c r="R398" s="342"/>
      <c r="S398" s="341"/>
      <c r="T398" s="342"/>
      <c r="U398" s="342"/>
      <c r="V398" s="342"/>
      <c r="W398" s="342"/>
      <c r="X398" s="342"/>
      <c r="Y398" s="342"/>
      <c r="Z398" s="342"/>
    </row>
    <row r="399" ht="12.75" customHeight="1">
      <c r="A399" s="534"/>
      <c r="B399" s="534"/>
      <c r="C399" s="575"/>
      <c r="D399" s="585"/>
      <c r="E399" s="586"/>
      <c r="F399" s="342"/>
      <c r="G399" s="342"/>
      <c r="H399" s="342"/>
      <c r="I399" s="342"/>
      <c r="J399" s="342"/>
      <c r="K399" s="342"/>
      <c r="L399" s="342"/>
      <c r="M399" s="342"/>
      <c r="N399" s="342"/>
      <c r="O399" s="341"/>
      <c r="P399" s="341"/>
      <c r="Q399" s="342"/>
      <c r="R399" s="342"/>
      <c r="S399" s="341"/>
      <c r="T399" s="342"/>
      <c r="U399" s="342"/>
      <c r="V399" s="342"/>
      <c r="W399" s="342"/>
      <c r="X399" s="342"/>
      <c r="Y399" s="342"/>
      <c r="Z399" s="342"/>
    </row>
    <row r="400" ht="12.75" customHeight="1">
      <c r="A400" s="534"/>
      <c r="B400" s="534"/>
      <c r="C400" s="575"/>
      <c r="D400" s="585"/>
      <c r="E400" s="586"/>
      <c r="F400" s="342"/>
      <c r="G400" s="342"/>
      <c r="H400" s="342"/>
      <c r="I400" s="342"/>
      <c r="J400" s="342"/>
      <c r="K400" s="342"/>
      <c r="L400" s="342"/>
      <c r="M400" s="342"/>
      <c r="N400" s="342"/>
      <c r="O400" s="341"/>
      <c r="P400" s="341"/>
      <c r="Q400" s="342"/>
      <c r="R400" s="342"/>
      <c r="S400" s="341"/>
      <c r="T400" s="342"/>
      <c r="U400" s="342"/>
      <c r="V400" s="342"/>
      <c r="W400" s="342"/>
      <c r="X400" s="342"/>
      <c r="Y400" s="342"/>
      <c r="Z400" s="342"/>
    </row>
    <row r="401" ht="12.75" customHeight="1">
      <c r="A401" s="534"/>
      <c r="B401" s="534"/>
      <c r="C401" s="575"/>
      <c r="D401" s="585"/>
      <c r="E401" s="586"/>
      <c r="F401" s="342"/>
      <c r="G401" s="342"/>
      <c r="H401" s="342"/>
      <c r="I401" s="342"/>
      <c r="J401" s="342"/>
      <c r="K401" s="342"/>
      <c r="L401" s="342"/>
      <c r="M401" s="342"/>
      <c r="N401" s="342"/>
      <c r="O401" s="341"/>
      <c r="P401" s="341"/>
      <c r="Q401" s="342"/>
      <c r="R401" s="342"/>
      <c r="S401" s="341"/>
      <c r="T401" s="342"/>
      <c r="U401" s="342"/>
      <c r="V401" s="342"/>
      <c r="W401" s="342"/>
      <c r="X401" s="342"/>
      <c r="Y401" s="342"/>
      <c r="Z401" s="342"/>
    </row>
    <row r="402" ht="12.75" customHeight="1">
      <c r="A402" s="534"/>
      <c r="B402" s="534"/>
      <c r="C402" s="575"/>
      <c r="D402" s="585"/>
      <c r="E402" s="586"/>
      <c r="F402" s="342"/>
      <c r="G402" s="342"/>
      <c r="H402" s="342"/>
      <c r="I402" s="342"/>
      <c r="J402" s="342"/>
      <c r="K402" s="342"/>
      <c r="L402" s="342"/>
      <c r="M402" s="342"/>
      <c r="N402" s="342"/>
      <c r="O402" s="341"/>
      <c r="P402" s="341"/>
      <c r="Q402" s="342"/>
      <c r="R402" s="342"/>
      <c r="S402" s="341"/>
      <c r="T402" s="342"/>
      <c r="U402" s="342"/>
      <c r="V402" s="342"/>
      <c r="W402" s="342"/>
      <c r="X402" s="342"/>
      <c r="Y402" s="342"/>
      <c r="Z402" s="342"/>
    </row>
    <row r="403" ht="12.75" customHeight="1">
      <c r="A403" s="534"/>
      <c r="B403" s="534"/>
      <c r="C403" s="575"/>
      <c r="D403" s="585"/>
      <c r="E403" s="586"/>
      <c r="F403" s="342"/>
      <c r="G403" s="342"/>
      <c r="H403" s="342"/>
      <c r="I403" s="342"/>
      <c r="J403" s="342"/>
      <c r="K403" s="342"/>
      <c r="L403" s="342"/>
      <c r="M403" s="342"/>
      <c r="N403" s="342"/>
      <c r="O403" s="341"/>
      <c r="P403" s="341"/>
      <c r="Q403" s="342"/>
      <c r="R403" s="342"/>
      <c r="S403" s="341"/>
      <c r="T403" s="342"/>
      <c r="U403" s="342"/>
      <c r="V403" s="342"/>
      <c r="W403" s="342"/>
      <c r="X403" s="342"/>
      <c r="Y403" s="342"/>
      <c r="Z403" s="342"/>
    </row>
    <row r="404" ht="12.75" customHeight="1">
      <c r="A404" s="534"/>
      <c r="B404" s="534"/>
      <c r="C404" s="575"/>
      <c r="D404" s="585"/>
      <c r="E404" s="586"/>
      <c r="F404" s="342"/>
      <c r="G404" s="342"/>
      <c r="H404" s="342"/>
      <c r="I404" s="342"/>
      <c r="J404" s="342"/>
      <c r="K404" s="342"/>
      <c r="L404" s="342"/>
      <c r="M404" s="342"/>
      <c r="N404" s="342"/>
      <c r="O404" s="341"/>
      <c r="P404" s="341"/>
      <c r="Q404" s="342"/>
      <c r="R404" s="342"/>
      <c r="S404" s="341"/>
      <c r="T404" s="342"/>
      <c r="U404" s="342"/>
      <c r="V404" s="342"/>
      <c r="W404" s="342"/>
      <c r="X404" s="342"/>
      <c r="Y404" s="342"/>
      <c r="Z404" s="342"/>
    </row>
    <row r="405" ht="12.75" customHeight="1">
      <c r="A405" s="534"/>
      <c r="B405" s="534"/>
      <c r="C405" s="575"/>
      <c r="D405" s="585"/>
      <c r="E405" s="586"/>
      <c r="F405" s="342"/>
      <c r="G405" s="342"/>
      <c r="H405" s="342"/>
      <c r="I405" s="342"/>
      <c r="J405" s="342"/>
      <c r="K405" s="342"/>
      <c r="L405" s="342"/>
      <c r="M405" s="342"/>
      <c r="N405" s="342"/>
      <c r="O405" s="341"/>
      <c r="P405" s="341"/>
      <c r="Q405" s="342"/>
      <c r="R405" s="342"/>
      <c r="S405" s="341"/>
      <c r="T405" s="342"/>
      <c r="U405" s="342"/>
      <c r="V405" s="342"/>
      <c r="W405" s="342"/>
      <c r="X405" s="342"/>
      <c r="Y405" s="342"/>
      <c r="Z405" s="342"/>
    </row>
    <row r="406" ht="12.75" customHeight="1">
      <c r="A406" s="534"/>
      <c r="B406" s="534"/>
      <c r="C406" s="575"/>
      <c r="D406" s="585"/>
      <c r="E406" s="586"/>
      <c r="F406" s="342"/>
      <c r="G406" s="342"/>
      <c r="H406" s="342"/>
      <c r="I406" s="342"/>
      <c r="J406" s="342"/>
      <c r="K406" s="342"/>
      <c r="L406" s="342"/>
      <c r="M406" s="342"/>
      <c r="N406" s="342"/>
      <c r="O406" s="341"/>
      <c r="P406" s="341"/>
      <c r="Q406" s="342"/>
      <c r="R406" s="342"/>
      <c r="S406" s="341"/>
      <c r="T406" s="342"/>
      <c r="U406" s="342"/>
      <c r="V406" s="342"/>
      <c r="W406" s="342"/>
      <c r="X406" s="342"/>
      <c r="Y406" s="342"/>
      <c r="Z406" s="342"/>
    </row>
    <row r="407" ht="12.75" customHeight="1">
      <c r="A407" s="534"/>
      <c r="B407" s="534"/>
      <c r="C407" s="575"/>
      <c r="D407" s="585"/>
      <c r="E407" s="586"/>
      <c r="F407" s="342"/>
      <c r="G407" s="342"/>
      <c r="H407" s="342"/>
      <c r="I407" s="342"/>
      <c r="J407" s="342"/>
      <c r="K407" s="342"/>
      <c r="L407" s="342"/>
      <c r="M407" s="342"/>
      <c r="N407" s="342"/>
      <c r="O407" s="341"/>
      <c r="P407" s="341"/>
      <c r="Q407" s="342"/>
      <c r="R407" s="342"/>
      <c r="S407" s="341"/>
      <c r="T407" s="342"/>
      <c r="U407" s="342"/>
      <c r="V407" s="342"/>
      <c r="W407" s="342"/>
      <c r="X407" s="342"/>
      <c r="Y407" s="342"/>
      <c r="Z407" s="342"/>
    </row>
    <row r="408" ht="12.75" customHeight="1">
      <c r="A408" s="534"/>
      <c r="B408" s="534"/>
      <c r="C408" s="575"/>
      <c r="D408" s="585"/>
      <c r="E408" s="586"/>
      <c r="F408" s="342"/>
      <c r="G408" s="342"/>
      <c r="H408" s="342"/>
      <c r="I408" s="342"/>
      <c r="J408" s="342"/>
      <c r="K408" s="342"/>
      <c r="L408" s="342"/>
      <c r="M408" s="342"/>
      <c r="N408" s="342"/>
      <c r="O408" s="341"/>
      <c r="P408" s="341"/>
      <c r="Q408" s="342"/>
      <c r="R408" s="342"/>
      <c r="S408" s="341"/>
      <c r="T408" s="342"/>
      <c r="U408" s="342"/>
      <c r="V408" s="342"/>
      <c r="W408" s="342"/>
      <c r="X408" s="342"/>
      <c r="Y408" s="342"/>
      <c r="Z408" s="342"/>
    </row>
    <row r="409" ht="12.75" customHeight="1">
      <c r="A409" s="534"/>
      <c r="B409" s="534"/>
      <c r="C409" s="575"/>
      <c r="D409" s="585"/>
      <c r="E409" s="586"/>
      <c r="F409" s="342"/>
      <c r="G409" s="342"/>
      <c r="H409" s="342"/>
      <c r="I409" s="342"/>
      <c r="J409" s="342"/>
      <c r="K409" s="342"/>
      <c r="L409" s="342"/>
      <c r="M409" s="342"/>
      <c r="N409" s="342"/>
      <c r="O409" s="341"/>
      <c r="P409" s="341"/>
      <c r="Q409" s="342"/>
      <c r="R409" s="342"/>
      <c r="S409" s="341"/>
      <c r="T409" s="342"/>
      <c r="U409" s="342"/>
      <c r="V409" s="342"/>
      <c r="W409" s="342"/>
      <c r="X409" s="342"/>
      <c r="Y409" s="342"/>
      <c r="Z409" s="342"/>
    </row>
    <row r="410" ht="12.75" customHeight="1">
      <c r="A410" s="534"/>
      <c r="B410" s="534"/>
      <c r="C410" s="575"/>
      <c r="D410" s="585"/>
      <c r="E410" s="586"/>
      <c r="F410" s="342"/>
      <c r="G410" s="342"/>
      <c r="H410" s="342"/>
      <c r="I410" s="342"/>
      <c r="J410" s="342"/>
      <c r="K410" s="342"/>
      <c r="L410" s="342"/>
      <c r="M410" s="342"/>
      <c r="N410" s="342"/>
      <c r="O410" s="341"/>
      <c r="P410" s="341"/>
      <c r="Q410" s="342"/>
      <c r="R410" s="342"/>
      <c r="S410" s="341"/>
      <c r="T410" s="342"/>
      <c r="U410" s="342"/>
      <c r="V410" s="342"/>
      <c r="W410" s="342"/>
      <c r="X410" s="342"/>
      <c r="Y410" s="342"/>
      <c r="Z410" s="342"/>
    </row>
    <row r="411" ht="12.75" customHeight="1">
      <c r="A411" s="534"/>
      <c r="B411" s="534"/>
      <c r="C411" s="575"/>
      <c r="D411" s="585"/>
      <c r="E411" s="586"/>
      <c r="F411" s="342"/>
      <c r="G411" s="342"/>
      <c r="H411" s="342"/>
      <c r="I411" s="342"/>
      <c r="J411" s="342"/>
      <c r="K411" s="342"/>
      <c r="L411" s="342"/>
      <c r="M411" s="342"/>
      <c r="N411" s="342"/>
      <c r="O411" s="341"/>
      <c r="P411" s="341"/>
      <c r="Q411" s="342"/>
      <c r="R411" s="342"/>
      <c r="S411" s="341"/>
      <c r="T411" s="342"/>
      <c r="U411" s="342"/>
      <c r="V411" s="342"/>
      <c r="W411" s="342"/>
      <c r="X411" s="342"/>
      <c r="Y411" s="342"/>
      <c r="Z411" s="342"/>
    </row>
    <row r="412" ht="12.75" customHeight="1">
      <c r="A412" s="534"/>
      <c r="B412" s="534"/>
      <c r="C412" s="575"/>
      <c r="D412" s="585"/>
      <c r="E412" s="586"/>
      <c r="F412" s="342"/>
      <c r="G412" s="342"/>
      <c r="H412" s="342"/>
      <c r="I412" s="342"/>
      <c r="J412" s="342"/>
      <c r="K412" s="342"/>
      <c r="L412" s="342"/>
      <c r="M412" s="342"/>
      <c r="N412" s="342"/>
      <c r="O412" s="341"/>
      <c r="P412" s="341"/>
      <c r="Q412" s="342"/>
      <c r="R412" s="342"/>
      <c r="S412" s="341"/>
      <c r="T412" s="342"/>
      <c r="U412" s="342"/>
      <c r="V412" s="342"/>
      <c r="W412" s="342"/>
      <c r="X412" s="342"/>
      <c r="Y412" s="342"/>
      <c r="Z412" s="342"/>
    </row>
    <row r="413" ht="12.75" customHeight="1">
      <c r="A413" s="534"/>
      <c r="B413" s="534"/>
      <c r="C413" s="575"/>
      <c r="D413" s="585"/>
      <c r="E413" s="586"/>
      <c r="F413" s="342"/>
      <c r="G413" s="342"/>
      <c r="H413" s="342"/>
      <c r="I413" s="342"/>
      <c r="J413" s="342"/>
      <c r="K413" s="342"/>
      <c r="L413" s="342"/>
      <c r="M413" s="342"/>
      <c r="N413" s="342"/>
      <c r="O413" s="341"/>
      <c r="P413" s="341"/>
      <c r="Q413" s="342"/>
      <c r="R413" s="342"/>
      <c r="S413" s="341"/>
      <c r="T413" s="342"/>
      <c r="U413" s="342"/>
      <c r="V413" s="342"/>
      <c r="W413" s="342"/>
      <c r="X413" s="342"/>
      <c r="Y413" s="342"/>
      <c r="Z413" s="342"/>
    </row>
    <row r="414" ht="12.75" customHeight="1">
      <c r="A414" s="534"/>
      <c r="B414" s="534"/>
      <c r="C414" s="575"/>
      <c r="D414" s="585"/>
      <c r="E414" s="586"/>
      <c r="F414" s="342"/>
      <c r="G414" s="342"/>
      <c r="H414" s="342"/>
      <c r="I414" s="342"/>
      <c r="J414" s="342"/>
      <c r="K414" s="342"/>
      <c r="L414" s="342"/>
      <c r="M414" s="342"/>
      <c r="N414" s="342"/>
      <c r="O414" s="341"/>
      <c r="P414" s="341"/>
      <c r="Q414" s="342"/>
      <c r="R414" s="342"/>
      <c r="S414" s="341"/>
      <c r="T414" s="342"/>
      <c r="U414" s="342"/>
      <c r="V414" s="342"/>
      <c r="W414" s="342"/>
      <c r="X414" s="342"/>
      <c r="Y414" s="342"/>
      <c r="Z414" s="342"/>
    </row>
    <row r="415" ht="12.75" customHeight="1">
      <c r="A415" s="534"/>
      <c r="B415" s="534"/>
      <c r="C415" s="575"/>
      <c r="D415" s="585"/>
      <c r="E415" s="586"/>
      <c r="F415" s="342"/>
      <c r="G415" s="342"/>
      <c r="H415" s="342"/>
      <c r="I415" s="342"/>
      <c r="J415" s="342"/>
      <c r="K415" s="342"/>
      <c r="L415" s="342"/>
      <c r="M415" s="342"/>
      <c r="N415" s="342"/>
      <c r="O415" s="341"/>
      <c r="P415" s="341"/>
      <c r="Q415" s="342"/>
      <c r="R415" s="342"/>
      <c r="S415" s="341"/>
      <c r="T415" s="342"/>
      <c r="U415" s="342"/>
      <c r="V415" s="342"/>
      <c r="W415" s="342"/>
      <c r="X415" s="342"/>
      <c r="Y415" s="342"/>
      <c r="Z415" s="342"/>
    </row>
    <row r="416" ht="12.75" customHeight="1">
      <c r="A416" s="534"/>
      <c r="B416" s="534"/>
      <c r="C416" s="575"/>
      <c r="D416" s="585"/>
      <c r="E416" s="586"/>
      <c r="F416" s="342"/>
      <c r="G416" s="342"/>
      <c r="H416" s="342"/>
      <c r="I416" s="342"/>
      <c r="J416" s="342"/>
      <c r="K416" s="342"/>
      <c r="L416" s="342"/>
      <c r="M416" s="342"/>
      <c r="N416" s="342"/>
      <c r="O416" s="341"/>
      <c r="P416" s="341"/>
      <c r="Q416" s="342"/>
      <c r="R416" s="342"/>
      <c r="S416" s="341"/>
      <c r="T416" s="342"/>
      <c r="U416" s="342"/>
      <c r="V416" s="342"/>
      <c r="W416" s="342"/>
      <c r="X416" s="342"/>
      <c r="Y416" s="342"/>
      <c r="Z416" s="342"/>
    </row>
    <row r="417" ht="12.75" customHeight="1">
      <c r="A417" s="534"/>
      <c r="B417" s="534"/>
      <c r="C417" s="575"/>
      <c r="D417" s="585"/>
      <c r="E417" s="586"/>
      <c r="F417" s="342"/>
      <c r="G417" s="342"/>
      <c r="H417" s="342"/>
      <c r="I417" s="342"/>
      <c r="J417" s="342"/>
      <c r="K417" s="342"/>
      <c r="L417" s="342"/>
      <c r="M417" s="342"/>
      <c r="N417" s="342"/>
      <c r="O417" s="341"/>
      <c r="P417" s="341"/>
      <c r="Q417" s="342"/>
      <c r="R417" s="342"/>
      <c r="S417" s="341"/>
      <c r="T417" s="342"/>
      <c r="U417" s="342"/>
      <c r="V417" s="342"/>
      <c r="W417" s="342"/>
      <c r="X417" s="342"/>
      <c r="Y417" s="342"/>
      <c r="Z417" s="342"/>
    </row>
    <row r="418" ht="12.75" customHeight="1">
      <c r="A418" s="534"/>
      <c r="B418" s="534"/>
      <c r="C418" s="575"/>
      <c r="D418" s="585"/>
      <c r="E418" s="586"/>
      <c r="F418" s="342"/>
      <c r="G418" s="342"/>
      <c r="H418" s="342"/>
      <c r="I418" s="342"/>
      <c r="J418" s="342"/>
      <c r="K418" s="342"/>
      <c r="L418" s="342"/>
      <c r="M418" s="342"/>
      <c r="N418" s="342"/>
      <c r="O418" s="341"/>
      <c r="P418" s="341"/>
      <c r="Q418" s="342"/>
      <c r="R418" s="342"/>
      <c r="S418" s="341"/>
      <c r="T418" s="342"/>
      <c r="U418" s="342"/>
      <c r="V418" s="342"/>
      <c r="W418" s="342"/>
      <c r="X418" s="342"/>
      <c r="Y418" s="342"/>
      <c r="Z418" s="342"/>
    </row>
    <row r="419" ht="12.75" customHeight="1">
      <c r="A419" s="534"/>
      <c r="B419" s="534"/>
      <c r="C419" s="575"/>
      <c r="D419" s="585"/>
      <c r="E419" s="586"/>
      <c r="F419" s="342"/>
      <c r="G419" s="342"/>
      <c r="H419" s="342"/>
      <c r="I419" s="342"/>
      <c r="J419" s="342"/>
      <c r="K419" s="342"/>
      <c r="L419" s="342"/>
      <c r="M419" s="342"/>
      <c r="N419" s="342"/>
      <c r="O419" s="341"/>
      <c r="P419" s="341"/>
      <c r="Q419" s="342"/>
      <c r="R419" s="342"/>
      <c r="S419" s="341"/>
      <c r="T419" s="342"/>
      <c r="U419" s="342"/>
      <c r="V419" s="342"/>
      <c r="W419" s="342"/>
      <c r="X419" s="342"/>
      <c r="Y419" s="342"/>
      <c r="Z419" s="342"/>
    </row>
    <row r="420" ht="12.75" customHeight="1">
      <c r="A420" s="534"/>
      <c r="B420" s="534"/>
      <c r="C420" s="575"/>
      <c r="D420" s="585"/>
      <c r="E420" s="586"/>
      <c r="F420" s="342"/>
      <c r="G420" s="342"/>
      <c r="H420" s="342"/>
      <c r="I420" s="342"/>
      <c r="J420" s="342"/>
      <c r="K420" s="342"/>
      <c r="L420" s="342"/>
      <c r="M420" s="342"/>
      <c r="N420" s="342"/>
      <c r="O420" s="341"/>
      <c r="P420" s="341"/>
      <c r="Q420" s="342"/>
      <c r="R420" s="342"/>
      <c r="S420" s="341"/>
      <c r="T420" s="342"/>
      <c r="U420" s="342"/>
      <c r="V420" s="342"/>
      <c r="W420" s="342"/>
      <c r="X420" s="342"/>
      <c r="Y420" s="342"/>
      <c r="Z420" s="342"/>
    </row>
    <row r="421" ht="12.75" customHeight="1">
      <c r="A421" s="534"/>
      <c r="B421" s="534"/>
      <c r="C421" s="575"/>
      <c r="D421" s="585"/>
      <c r="E421" s="586"/>
      <c r="F421" s="342"/>
      <c r="G421" s="342"/>
      <c r="H421" s="342"/>
      <c r="I421" s="342"/>
      <c r="J421" s="342"/>
      <c r="K421" s="342"/>
      <c r="L421" s="342"/>
      <c r="M421" s="342"/>
      <c r="N421" s="342"/>
      <c r="O421" s="341"/>
      <c r="P421" s="341"/>
      <c r="Q421" s="342"/>
      <c r="R421" s="342"/>
      <c r="S421" s="341"/>
      <c r="T421" s="342"/>
      <c r="U421" s="342"/>
      <c r="V421" s="342"/>
      <c r="W421" s="342"/>
      <c r="X421" s="342"/>
      <c r="Y421" s="342"/>
      <c r="Z421" s="342"/>
    </row>
    <row r="422" ht="12.75" customHeight="1">
      <c r="A422" s="534"/>
      <c r="B422" s="534"/>
      <c r="C422" s="575"/>
      <c r="D422" s="585"/>
      <c r="E422" s="586"/>
      <c r="F422" s="342"/>
      <c r="G422" s="342"/>
      <c r="H422" s="342"/>
      <c r="I422" s="342"/>
      <c r="J422" s="342"/>
      <c r="K422" s="342"/>
      <c r="L422" s="342"/>
      <c r="M422" s="342"/>
      <c r="N422" s="342"/>
      <c r="O422" s="341"/>
      <c r="P422" s="341"/>
      <c r="Q422" s="342"/>
      <c r="R422" s="342"/>
      <c r="S422" s="341"/>
      <c r="T422" s="342"/>
      <c r="U422" s="342"/>
      <c r="V422" s="342"/>
      <c r="W422" s="342"/>
      <c r="X422" s="342"/>
      <c r="Y422" s="342"/>
      <c r="Z422" s="342"/>
    </row>
    <row r="423" ht="12.75" customHeight="1">
      <c r="A423" s="534"/>
      <c r="B423" s="534"/>
      <c r="C423" s="575"/>
      <c r="D423" s="585"/>
      <c r="E423" s="586"/>
      <c r="F423" s="342"/>
      <c r="G423" s="342"/>
      <c r="H423" s="342"/>
      <c r="I423" s="342"/>
      <c r="J423" s="342"/>
      <c r="K423" s="342"/>
      <c r="L423" s="342"/>
      <c r="M423" s="342"/>
      <c r="N423" s="342"/>
      <c r="O423" s="341"/>
      <c r="P423" s="341"/>
      <c r="Q423" s="342"/>
      <c r="R423" s="342"/>
      <c r="S423" s="341"/>
      <c r="T423" s="342"/>
      <c r="U423" s="342"/>
      <c r="V423" s="342"/>
      <c r="W423" s="342"/>
      <c r="X423" s="342"/>
      <c r="Y423" s="342"/>
      <c r="Z423" s="342"/>
    </row>
    <row r="424" ht="12.75" customHeight="1">
      <c r="A424" s="534"/>
      <c r="B424" s="534"/>
      <c r="C424" s="575"/>
      <c r="D424" s="585"/>
      <c r="E424" s="586"/>
      <c r="F424" s="342"/>
      <c r="G424" s="342"/>
      <c r="H424" s="342"/>
      <c r="I424" s="342"/>
      <c r="J424" s="342"/>
      <c r="K424" s="342"/>
      <c r="L424" s="342"/>
      <c r="M424" s="342"/>
      <c r="N424" s="342"/>
      <c r="O424" s="341"/>
      <c r="P424" s="341"/>
      <c r="Q424" s="342"/>
      <c r="R424" s="342"/>
      <c r="S424" s="341"/>
      <c r="T424" s="342"/>
      <c r="U424" s="342"/>
      <c r="V424" s="342"/>
      <c r="W424" s="342"/>
      <c r="X424" s="342"/>
      <c r="Y424" s="342"/>
      <c r="Z424" s="342"/>
    </row>
    <row r="425" ht="12.75" customHeight="1">
      <c r="A425" s="534"/>
      <c r="B425" s="534"/>
      <c r="C425" s="575"/>
      <c r="D425" s="585"/>
      <c r="E425" s="586"/>
      <c r="F425" s="342"/>
      <c r="G425" s="342"/>
      <c r="H425" s="342"/>
      <c r="I425" s="342"/>
      <c r="J425" s="342"/>
      <c r="K425" s="342"/>
      <c r="L425" s="342"/>
      <c r="M425" s="342"/>
      <c r="N425" s="342"/>
      <c r="O425" s="341"/>
      <c r="P425" s="341"/>
      <c r="Q425" s="342"/>
      <c r="R425" s="342"/>
      <c r="S425" s="341"/>
      <c r="T425" s="342"/>
      <c r="U425" s="342"/>
      <c r="V425" s="342"/>
      <c r="W425" s="342"/>
      <c r="X425" s="342"/>
      <c r="Y425" s="342"/>
      <c r="Z425" s="342"/>
    </row>
    <row r="426" ht="12.75" customHeight="1">
      <c r="A426" s="534"/>
      <c r="B426" s="534"/>
      <c r="C426" s="575"/>
      <c r="D426" s="585"/>
      <c r="E426" s="586"/>
      <c r="F426" s="342"/>
      <c r="G426" s="342"/>
      <c r="H426" s="342"/>
      <c r="I426" s="342"/>
      <c r="J426" s="342"/>
      <c r="K426" s="342"/>
      <c r="L426" s="342"/>
      <c r="M426" s="342"/>
      <c r="N426" s="342"/>
      <c r="O426" s="341"/>
      <c r="P426" s="341"/>
      <c r="Q426" s="342"/>
      <c r="R426" s="342"/>
      <c r="S426" s="341"/>
      <c r="T426" s="342"/>
      <c r="U426" s="342"/>
      <c r="V426" s="342"/>
      <c r="W426" s="342"/>
      <c r="X426" s="342"/>
      <c r="Y426" s="342"/>
      <c r="Z426" s="342"/>
    </row>
    <row r="427" ht="12.75" customHeight="1">
      <c r="A427" s="534"/>
      <c r="B427" s="534"/>
      <c r="C427" s="575"/>
      <c r="D427" s="585"/>
      <c r="E427" s="586"/>
      <c r="F427" s="342"/>
      <c r="G427" s="342"/>
      <c r="H427" s="342"/>
      <c r="I427" s="342"/>
      <c r="J427" s="342"/>
      <c r="K427" s="342"/>
      <c r="L427" s="342"/>
      <c r="M427" s="342"/>
      <c r="N427" s="342"/>
      <c r="O427" s="341"/>
      <c r="P427" s="341"/>
      <c r="Q427" s="342"/>
      <c r="R427" s="342"/>
      <c r="S427" s="341"/>
      <c r="T427" s="342"/>
      <c r="U427" s="342"/>
      <c r="V427" s="342"/>
      <c r="W427" s="342"/>
      <c r="X427" s="342"/>
      <c r="Y427" s="342"/>
      <c r="Z427" s="342"/>
    </row>
    <row r="428" ht="12.75" customHeight="1">
      <c r="A428" s="534"/>
      <c r="B428" s="534"/>
      <c r="C428" s="575"/>
      <c r="D428" s="585"/>
      <c r="E428" s="586"/>
      <c r="F428" s="342"/>
      <c r="G428" s="342"/>
      <c r="H428" s="342"/>
      <c r="I428" s="342"/>
      <c r="J428" s="342"/>
      <c r="K428" s="342"/>
      <c r="L428" s="342"/>
      <c r="M428" s="342"/>
      <c r="N428" s="342"/>
      <c r="O428" s="341"/>
      <c r="P428" s="341"/>
      <c r="Q428" s="342"/>
      <c r="R428" s="342"/>
      <c r="S428" s="341"/>
      <c r="T428" s="342"/>
      <c r="U428" s="342"/>
      <c r="V428" s="342"/>
      <c r="W428" s="342"/>
      <c r="X428" s="342"/>
      <c r="Y428" s="342"/>
      <c r="Z428" s="342"/>
    </row>
    <row r="429" ht="12.75" customHeight="1">
      <c r="A429" s="534"/>
      <c r="B429" s="534"/>
      <c r="C429" s="575"/>
      <c r="D429" s="585"/>
      <c r="E429" s="586"/>
      <c r="F429" s="342"/>
      <c r="G429" s="342"/>
      <c r="H429" s="342"/>
      <c r="I429" s="342"/>
      <c r="J429" s="342"/>
      <c r="K429" s="342"/>
      <c r="L429" s="342"/>
      <c r="M429" s="342"/>
      <c r="N429" s="342"/>
      <c r="O429" s="341"/>
      <c r="P429" s="341"/>
      <c r="Q429" s="342"/>
      <c r="R429" s="342"/>
      <c r="S429" s="341"/>
      <c r="T429" s="342"/>
      <c r="U429" s="342"/>
      <c r="V429" s="342"/>
      <c r="W429" s="342"/>
      <c r="X429" s="342"/>
      <c r="Y429" s="342"/>
      <c r="Z429" s="342"/>
    </row>
    <row r="430" ht="12.75" customHeight="1">
      <c r="A430" s="534"/>
      <c r="B430" s="534"/>
      <c r="C430" s="575"/>
      <c r="D430" s="585"/>
      <c r="E430" s="586"/>
      <c r="F430" s="342"/>
      <c r="G430" s="342"/>
      <c r="H430" s="342"/>
      <c r="I430" s="342"/>
      <c r="J430" s="342"/>
      <c r="K430" s="342"/>
      <c r="L430" s="342"/>
      <c r="M430" s="342"/>
      <c r="N430" s="342"/>
      <c r="O430" s="341"/>
      <c r="P430" s="341"/>
      <c r="Q430" s="342"/>
      <c r="R430" s="342"/>
      <c r="S430" s="341"/>
      <c r="T430" s="342"/>
      <c r="U430" s="342"/>
      <c r="V430" s="342"/>
      <c r="W430" s="342"/>
      <c r="X430" s="342"/>
      <c r="Y430" s="342"/>
      <c r="Z430" s="342"/>
    </row>
    <row r="431" ht="12.75" customHeight="1">
      <c r="A431" s="534"/>
      <c r="B431" s="534"/>
      <c r="C431" s="575"/>
      <c r="D431" s="585"/>
      <c r="E431" s="586"/>
      <c r="F431" s="342"/>
      <c r="G431" s="342"/>
      <c r="H431" s="342"/>
      <c r="I431" s="342"/>
      <c r="J431" s="342"/>
      <c r="K431" s="342"/>
      <c r="L431" s="342"/>
      <c r="M431" s="342"/>
      <c r="N431" s="342"/>
      <c r="O431" s="341"/>
      <c r="P431" s="341"/>
      <c r="Q431" s="342"/>
      <c r="R431" s="342"/>
      <c r="S431" s="341"/>
      <c r="T431" s="342"/>
      <c r="U431" s="342"/>
      <c r="V431" s="342"/>
      <c r="W431" s="342"/>
      <c r="X431" s="342"/>
      <c r="Y431" s="342"/>
      <c r="Z431" s="342"/>
    </row>
    <row r="432" ht="12.75" customHeight="1">
      <c r="A432" s="534"/>
      <c r="B432" s="534"/>
      <c r="C432" s="575"/>
      <c r="D432" s="585"/>
      <c r="E432" s="586"/>
      <c r="F432" s="342"/>
      <c r="G432" s="342"/>
      <c r="H432" s="342"/>
      <c r="I432" s="342"/>
      <c r="J432" s="342"/>
      <c r="K432" s="342"/>
      <c r="L432" s="342"/>
      <c r="M432" s="342"/>
      <c r="N432" s="342"/>
      <c r="O432" s="341"/>
      <c r="P432" s="341"/>
      <c r="Q432" s="342"/>
      <c r="R432" s="342"/>
      <c r="S432" s="341"/>
      <c r="T432" s="342"/>
      <c r="U432" s="342"/>
      <c r="V432" s="342"/>
      <c r="W432" s="342"/>
      <c r="X432" s="342"/>
      <c r="Y432" s="342"/>
      <c r="Z432" s="342"/>
    </row>
    <row r="433" ht="12.75" customHeight="1">
      <c r="A433" s="534"/>
      <c r="B433" s="534"/>
      <c r="C433" s="575"/>
      <c r="D433" s="585"/>
      <c r="E433" s="586"/>
      <c r="F433" s="342"/>
      <c r="G433" s="342"/>
      <c r="H433" s="342"/>
      <c r="I433" s="342"/>
      <c r="J433" s="342"/>
      <c r="K433" s="342"/>
      <c r="L433" s="342"/>
      <c r="M433" s="342"/>
      <c r="N433" s="342"/>
      <c r="O433" s="341"/>
      <c r="P433" s="341"/>
      <c r="Q433" s="342"/>
      <c r="R433" s="342"/>
      <c r="S433" s="341"/>
      <c r="T433" s="342"/>
      <c r="U433" s="342"/>
      <c r="V433" s="342"/>
      <c r="W433" s="342"/>
      <c r="X433" s="342"/>
      <c r="Y433" s="342"/>
      <c r="Z433" s="342"/>
    </row>
    <row r="434" ht="12.75" customHeight="1">
      <c r="A434" s="534"/>
      <c r="B434" s="534"/>
      <c r="C434" s="575"/>
      <c r="D434" s="585"/>
      <c r="E434" s="586"/>
      <c r="F434" s="342"/>
      <c r="G434" s="342"/>
      <c r="H434" s="342"/>
      <c r="I434" s="342"/>
      <c r="J434" s="342"/>
      <c r="K434" s="342"/>
      <c r="L434" s="342"/>
      <c r="M434" s="342"/>
      <c r="N434" s="342"/>
      <c r="O434" s="341"/>
      <c r="P434" s="341"/>
      <c r="Q434" s="342"/>
      <c r="R434" s="342"/>
      <c r="S434" s="341"/>
      <c r="T434" s="342"/>
      <c r="U434" s="342"/>
      <c r="V434" s="342"/>
      <c r="W434" s="342"/>
      <c r="X434" s="342"/>
      <c r="Y434" s="342"/>
      <c r="Z434" s="342"/>
    </row>
    <row r="435" ht="12.75" customHeight="1">
      <c r="A435" s="534"/>
      <c r="B435" s="534"/>
      <c r="C435" s="575"/>
      <c r="D435" s="585"/>
      <c r="E435" s="586"/>
      <c r="F435" s="342"/>
      <c r="G435" s="342"/>
      <c r="H435" s="342"/>
      <c r="I435" s="342"/>
      <c r="J435" s="342"/>
      <c r="K435" s="342"/>
      <c r="L435" s="342"/>
      <c r="M435" s="342"/>
      <c r="N435" s="342"/>
      <c r="O435" s="341"/>
      <c r="P435" s="341"/>
      <c r="Q435" s="342"/>
      <c r="R435" s="342"/>
      <c r="S435" s="341"/>
      <c r="T435" s="342"/>
      <c r="U435" s="342"/>
      <c r="V435" s="342"/>
      <c r="W435" s="342"/>
      <c r="X435" s="342"/>
      <c r="Y435" s="342"/>
      <c r="Z435" s="342"/>
    </row>
    <row r="436" ht="12.75" customHeight="1">
      <c r="A436" s="534"/>
      <c r="B436" s="534"/>
      <c r="C436" s="575"/>
      <c r="D436" s="585"/>
      <c r="E436" s="586"/>
      <c r="F436" s="342"/>
      <c r="G436" s="342"/>
      <c r="H436" s="342"/>
      <c r="I436" s="342"/>
      <c r="J436" s="342"/>
      <c r="K436" s="342"/>
      <c r="L436" s="342"/>
      <c r="M436" s="342"/>
      <c r="N436" s="342"/>
      <c r="O436" s="341"/>
      <c r="P436" s="341"/>
      <c r="Q436" s="342"/>
      <c r="R436" s="342"/>
      <c r="S436" s="341"/>
      <c r="T436" s="342"/>
      <c r="U436" s="342"/>
      <c r="V436" s="342"/>
      <c r="W436" s="342"/>
      <c r="X436" s="342"/>
      <c r="Y436" s="342"/>
      <c r="Z436" s="342"/>
    </row>
    <row r="437" ht="12.75" customHeight="1">
      <c r="A437" s="534"/>
      <c r="B437" s="534"/>
      <c r="C437" s="575"/>
      <c r="D437" s="585"/>
      <c r="E437" s="586"/>
      <c r="F437" s="342"/>
      <c r="G437" s="342"/>
      <c r="H437" s="342"/>
      <c r="I437" s="342"/>
      <c r="J437" s="342"/>
      <c r="K437" s="342"/>
      <c r="L437" s="342"/>
      <c r="M437" s="342"/>
      <c r="N437" s="342"/>
      <c r="O437" s="341"/>
      <c r="P437" s="341"/>
      <c r="Q437" s="342"/>
      <c r="R437" s="342"/>
      <c r="S437" s="341"/>
      <c r="T437" s="342"/>
      <c r="U437" s="342"/>
      <c r="V437" s="342"/>
      <c r="W437" s="342"/>
      <c r="X437" s="342"/>
      <c r="Y437" s="342"/>
      <c r="Z437" s="342"/>
    </row>
    <row r="438" ht="12.75" customHeight="1">
      <c r="A438" s="534"/>
      <c r="B438" s="534"/>
      <c r="C438" s="575"/>
      <c r="D438" s="585"/>
      <c r="E438" s="586"/>
      <c r="F438" s="342"/>
      <c r="G438" s="342"/>
      <c r="H438" s="342"/>
      <c r="I438" s="342"/>
      <c r="J438" s="342"/>
      <c r="K438" s="342"/>
      <c r="L438" s="342"/>
      <c r="M438" s="342"/>
      <c r="N438" s="342"/>
      <c r="O438" s="341"/>
      <c r="P438" s="341"/>
      <c r="Q438" s="342"/>
      <c r="R438" s="342"/>
      <c r="S438" s="341"/>
      <c r="T438" s="342"/>
      <c r="U438" s="342"/>
      <c r="V438" s="342"/>
      <c r="W438" s="342"/>
      <c r="X438" s="342"/>
      <c r="Y438" s="342"/>
      <c r="Z438" s="342"/>
    </row>
    <row r="439" ht="12.75" customHeight="1">
      <c r="A439" s="534"/>
      <c r="B439" s="534"/>
      <c r="C439" s="575"/>
      <c r="D439" s="585"/>
      <c r="E439" s="586"/>
      <c r="F439" s="342"/>
      <c r="G439" s="342"/>
      <c r="H439" s="342"/>
      <c r="I439" s="342"/>
      <c r="J439" s="342"/>
      <c r="K439" s="342"/>
      <c r="L439" s="342"/>
      <c r="M439" s="342"/>
      <c r="N439" s="342"/>
      <c r="O439" s="341"/>
      <c r="P439" s="341"/>
      <c r="Q439" s="342"/>
      <c r="R439" s="342"/>
      <c r="S439" s="341"/>
      <c r="T439" s="342"/>
      <c r="U439" s="342"/>
      <c r="V439" s="342"/>
      <c r="W439" s="342"/>
      <c r="X439" s="342"/>
      <c r="Y439" s="342"/>
      <c r="Z439" s="342"/>
    </row>
    <row r="440" ht="12.75" customHeight="1">
      <c r="A440" s="534"/>
      <c r="B440" s="534"/>
      <c r="C440" s="575"/>
      <c r="D440" s="585"/>
      <c r="E440" s="586"/>
      <c r="F440" s="342"/>
      <c r="G440" s="342"/>
      <c r="H440" s="342"/>
      <c r="I440" s="342"/>
      <c r="J440" s="342"/>
      <c r="K440" s="342"/>
      <c r="L440" s="342"/>
      <c r="M440" s="342"/>
      <c r="N440" s="342"/>
      <c r="O440" s="341"/>
      <c r="P440" s="341"/>
      <c r="Q440" s="342"/>
      <c r="R440" s="342"/>
      <c r="S440" s="341"/>
      <c r="T440" s="342"/>
      <c r="U440" s="342"/>
      <c r="V440" s="342"/>
      <c r="W440" s="342"/>
      <c r="X440" s="342"/>
      <c r="Y440" s="342"/>
      <c r="Z440" s="342"/>
    </row>
    <row r="441" ht="12.75" customHeight="1">
      <c r="A441" s="534"/>
      <c r="B441" s="534"/>
      <c r="C441" s="575"/>
      <c r="D441" s="585"/>
      <c r="E441" s="586"/>
      <c r="F441" s="342"/>
      <c r="G441" s="342"/>
      <c r="H441" s="342"/>
      <c r="I441" s="342"/>
      <c r="J441" s="342"/>
      <c r="K441" s="342"/>
      <c r="L441" s="342"/>
      <c r="M441" s="342"/>
      <c r="N441" s="342"/>
      <c r="O441" s="341"/>
      <c r="P441" s="341"/>
      <c r="Q441" s="342"/>
      <c r="R441" s="342"/>
      <c r="S441" s="341"/>
      <c r="T441" s="342"/>
      <c r="U441" s="342"/>
      <c r="V441" s="342"/>
      <c r="W441" s="342"/>
      <c r="X441" s="342"/>
      <c r="Y441" s="342"/>
      <c r="Z441" s="342"/>
    </row>
    <row r="442" ht="12.75" customHeight="1">
      <c r="A442" s="534"/>
      <c r="B442" s="534"/>
      <c r="C442" s="575"/>
      <c r="D442" s="585"/>
      <c r="E442" s="586"/>
      <c r="F442" s="342"/>
      <c r="G442" s="342"/>
      <c r="H442" s="342"/>
      <c r="I442" s="342"/>
      <c r="J442" s="342"/>
      <c r="K442" s="342"/>
      <c r="L442" s="342"/>
      <c r="M442" s="342"/>
      <c r="N442" s="342"/>
      <c r="O442" s="341"/>
      <c r="P442" s="341"/>
      <c r="Q442" s="342"/>
      <c r="R442" s="342"/>
      <c r="S442" s="341"/>
      <c r="T442" s="342"/>
      <c r="U442" s="342"/>
      <c r="V442" s="342"/>
      <c r="W442" s="342"/>
      <c r="X442" s="342"/>
      <c r="Y442" s="342"/>
      <c r="Z442" s="342"/>
    </row>
    <row r="443" ht="12.75" customHeight="1">
      <c r="A443" s="534"/>
      <c r="B443" s="534"/>
      <c r="C443" s="575"/>
      <c r="D443" s="585"/>
      <c r="E443" s="586"/>
      <c r="F443" s="342"/>
      <c r="G443" s="342"/>
      <c r="H443" s="342"/>
      <c r="I443" s="342"/>
      <c r="J443" s="342"/>
      <c r="K443" s="342"/>
      <c r="L443" s="342"/>
      <c r="M443" s="342"/>
      <c r="N443" s="342"/>
      <c r="O443" s="341"/>
      <c r="P443" s="341"/>
      <c r="Q443" s="342"/>
      <c r="R443" s="342"/>
      <c r="S443" s="341"/>
      <c r="T443" s="342"/>
      <c r="U443" s="342"/>
      <c r="V443" s="342"/>
      <c r="W443" s="342"/>
      <c r="X443" s="342"/>
      <c r="Y443" s="342"/>
      <c r="Z443" s="342"/>
    </row>
    <row r="444" ht="12.75" customHeight="1">
      <c r="A444" s="534"/>
      <c r="B444" s="534"/>
      <c r="C444" s="575"/>
      <c r="D444" s="585"/>
      <c r="E444" s="586"/>
      <c r="F444" s="342"/>
      <c r="G444" s="342"/>
      <c r="H444" s="342"/>
      <c r="I444" s="342"/>
      <c r="J444" s="342"/>
      <c r="K444" s="342"/>
      <c r="L444" s="342"/>
      <c r="M444" s="342"/>
      <c r="N444" s="342"/>
      <c r="O444" s="341"/>
      <c r="P444" s="341"/>
      <c r="Q444" s="342"/>
      <c r="R444" s="342"/>
      <c r="S444" s="341"/>
      <c r="T444" s="342"/>
      <c r="U444" s="342"/>
      <c r="V444" s="342"/>
      <c r="W444" s="342"/>
      <c r="X444" s="342"/>
      <c r="Y444" s="342"/>
      <c r="Z444" s="342"/>
    </row>
    <row r="445" ht="12.75" customHeight="1">
      <c r="A445" s="534"/>
      <c r="B445" s="534"/>
      <c r="C445" s="575"/>
      <c r="D445" s="585"/>
      <c r="E445" s="586"/>
      <c r="F445" s="342"/>
      <c r="G445" s="342"/>
      <c r="H445" s="342"/>
      <c r="I445" s="342"/>
      <c r="J445" s="342"/>
      <c r="K445" s="342"/>
      <c r="L445" s="342"/>
      <c r="M445" s="342"/>
      <c r="N445" s="342"/>
      <c r="O445" s="341"/>
      <c r="P445" s="341"/>
      <c r="Q445" s="342"/>
      <c r="R445" s="342"/>
      <c r="S445" s="341"/>
      <c r="T445" s="342"/>
      <c r="U445" s="342"/>
      <c r="V445" s="342"/>
      <c r="W445" s="342"/>
      <c r="X445" s="342"/>
      <c r="Y445" s="342"/>
      <c r="Z445" s="342"/>
    </row>
    <row r="446" ht="12.75" customHeight="1">
      <c r="A446" s="534"/>
      <c r="B446" s="534"/>
      <c r="C446" s="575"/>
      <c r="D446" s="585"/>
      <c r="E446" s="586"/>
      <c r="F446" s="342"/>
      <c r="G446" s="342"/>
      <c r="H446" s="342"/>
      <c r="I446" s="342"/>
      <c r="J446" s="342"/>
      <c r="K446" s="342"/>
      <c r="L446" s="342"/>
      <c r="M446" s="342"/>
      <c r="N446" s="342"/>
      <c r="O446" s="341"/>
      <c r="P446" s="341"/>
      <c r="Q446" s="342"/>
      <c r="R446" s="342"/>
      <c r="S446" s="341"/>
      <c r="T446" s="342"/>
      <c r="U446" s="342"/>
      <c r="V446" s="342"/>
      <c r="W446" s="342"/>
      <c r="X446" s="342"/>
      <c r="Y446" s="342"/>
      <c r="Z446" s="342"/>
    </row>
    <row r="447" ht="12.75" customHeight="1">
      <c r="A447" s="534"/>
      <c r="B447" s="534"/>
      <c r="C447" s="575"/>
      <c r="D447" s="585"/>
      <c r="E447" s="586"/>
      <c r="F447" s="342"/>
      <c r="G447" s="342"/>
      <c r="H447" s="342"/>
      <c r="I447" s="342"/>
      <c r="J447" s="342"/>
      <c r="K447" s="342"/>
      <c r="L447" s="342"/>
      <c r="M447" s="342"/>
      <c r="N447" s="342"/>
      <c r="O447" s="341"/>
      <c r="P447" s="341"/>
      <c r="Q447" s="342"/>
      <c r="R447" s="342"/>
      <c r="S447" s="341"/>
      <c r="T447" s="342"/>
      <c r="U447" s="342"/>
      <c r="V447" s="342"/>
      <c r="W447" s="342"/>
      <c r="X447" s="342"/>
      <c r="Y447" s="342"/>
      <c r="Z447" s="342"/>
    </row>
    <row r="448" ht="12.75" customHeight="1">
      <c r="A448" s="534"/>
      <c r="B448" s="534"/>
      <c r="C448" s="575"/>
      <c r="D448" s="585"/>
      <c r="E448" s="586"/>
      <c r="F448" s="342"/>
      <c r="G448" s="342"/>
      <c r="H448" s="342"/>
      <c r="I448" s="342"/>
      <c r="J448" s="342"/>
      <c r="K448" s="342"/>
      <c r="L448" s="342"/>
      <c r="M448" s="342"/>
      <c r="N448" s="342"/>
      <c r="O448" s="341"/>
      <c r="P448" s="341"/>
      <c r="Q448" s="342"/>
      <c r="R448" s="342"/>
      <c r="S448" s="341"/>
      <c r="T448" s="342"/>
      <c r="U448" s="342"/>
      <c r="V448" s="342"/>
      <c r="W448" s="342"/>
      <c r="X448" s="342"/>
      <c r="Y448" s="342"/>
      <c r="Z448" s="342"/>
    </row>
    <row r="449" ht="12.75" customHeight="1">
      <c r="A449" s="534"/>
      <c r="B449" s="534"/>
      <c r="C449" s="575"/>
      <c r="D449" s="585"/>
      <c r="E449" s="586"/>
      <c r="F449" s="342"/>
      <c r="G449" s="342"/>
      <c r="H449" s="342"/>
      <c r="I449" s="342"/>
      <c r="J449" s="342"/>
      <c r="K449" s="342"/>
      <c r="L449" s="342"/>
      <c r="M449" s="342"/>
      <c r="N449" s="342"/>
      <c r="O449" s="341"/>
      <c r="P449" s="341"/>
      <c r="Q449" s="342"/>
      <c r="R449" s="342"/>
      <c r="S449" s="341"/>
      <c r="T449" s="342"/>
      <c r="U449" s="342"/>
      <c r="V449" s="342"/>
      <c r="W449" s="342"/>
      <c r="X449" s="342"/>
      <c r="Y449" s="342"/>
      <c r="Z449" s="342"/>
    </row>
    <row r="450" ht="12.75" customHeight="1">
      <c r="A450" s="534"/>
      <c r="B450" s="534"/>
      <c r="C450" s="575"/>
      <c r="D450" s="585"/>
      <c r="E450" s="586"/>
      <c r="F450" s="342"/>
      <c r="G450" s="342"/>
      <c r="H450" s="342"/>
      <c r="I450" s="342"/>
      <c r="J450" s="342"/>
      <c r="K450" s="342"/>
      <c r="L450" s="342"/>
      <c r="M450" s="342"/>
      <c r="N450" s="342"/>
      <c r="O450" s="341"/>
      <c r="P450" s="341"/>
      <c r="Q450" s="342"/>
      <c r="R450" s="342"/>
      <c r="S450" s="341"/>
      <c r="T450" s="342"/>
      <c r="U450" s="342"/>
      <c r="V450" s="342"/>
      <c r="W450" s="342"/>
      <c r="X450" s="342"/>
      <c r="Y450" s="342"/>
      <c r="Z450" s="342"/>
    </row>
    <row r="451" ht="12.75" customHeight="1">
      <c r="A451" s="534"/>
      <c r="B451" s="534"/>
      <c r="C451" s="575"/>
      <c r="D451" s="585"/>
      <c r="E451" s="586"/>
      <c r="F451" s="342"/>
      <c r="G451" s="342"/>
      <c r="H451" s="342"/>
      <c r="I451" s="342"/>
      <c r="J451" s="342"/>
      <c r="K451" s="342"/>
      <c r="L451" s="342"/>
      <c r="M451" s="342"/>
      <c r="N451" s="342"/>
      <c r="O451" s="341"/>
      <c r="P451" s="341"/>
      <c r="Q451" s="342"/>
      <c r="R451" s="342"/>
      <c r="S451" s="341"/>
      <c r="T451" s="342"/>
      <c r="U451" s="342"/>
      <c r="V451" s="342"/>
      <c r="W451" s="342"/>
      <c r="X451" s="342"/>
      <c r="Y451" s="342"/>
      <c r="Z451" s="342"/>
    </row>
    <row r="452" ht="12.75" customHeight="1">
      <c r="A452" s="534"/>
      <c r="B452" s="534"/>
      <c r="C452" s="575"/>
      <c r="D452" s="585"/>
      <c r="E452" s="586"/>
      <c r="F452" s="342"/>
      <c r="G452" s="342"/>
      <c r="H452" s="342"/>
      <c r="I452" s="342"/>
      <c r="J452" s="342"/>
      <c r="K452" s="342"/>
      <c r="L452" s="342"/>
      <c r="M452" s="342"/>
      <c r="N452" s="342"/>
      <c r="O452" s="341"/>
      <c r="P452" s="341"/>
      <c r="Q452" s="342"/>
      <c r="R452" s="342"/>
      <c r="S452" s="341"/>
      <c r="T452" s="342"/>
      <c r="U452" s="342"/>
      <c r="V452" s="342"/>
      <c r="W452" s="342"/>
      <c r="X452" s="342"/>
      <c r="Y452" s="342"/>
      <c r="Z452" s="342"/>
    </row>
    <row r="453" ht="12.75" customHeight="1">
      <c r="A453" s="534"/>
      <c r="B453" s="534"/>
      <c r="C453" s="575"/>
      <c r="D453" s="585"/>
      <c r="E453" s="586"/>
      <c r="F453" s="342"/>
      <c r="G453" s="342"/>
      <c r="H453" s="342"/>
      <c r="I453" s="342"/>
      <c r="J453" s="342"/>
      <c r="K453" s="342"/>
      <c r="L453" s="342"/>
      <c r="M453" s="342"/>
      <c r="N453" s="342"/>
      <c r="O453" s="341"/>
      <c r="P453" s="341"/>
      <c r="Q453" s="342"/>
      <c r="R453" s="342"/>
      <c r="S453" s="341"/>
      <c r="T453" s="342"/>
      <c r="U453" s="342"/>
      <c r="V453" s="342"/>
      <c r="W453" s="342"/>
      <c r="X453" s="342"/>
      <c r="Y453" s="342"/>
      <c r="Z453" s="342"/>
    </row>
    <row r="454" ht="12.75" customHeight="1">
      <c r="A454" s="534"/>
      <c r="B454" s="534"/>
      <c r="C454" s="575"/>
      <c r="D454" s="585"/>
      <c r="E454" s="586"/>
      <c r="F454" s="342"/>
      <c r="G454" s="342"/>
      <c r="H454" s="342"/>
      <c r="I454" s="342"/>
      <c r="J454" s="342"/>
      <c r="K454" s="342"/>
      <c r="L454" s="342"/>
      <c r="M454" s="342"/>
      <c r="N454" s="342"/>
      <c r="O454" s="341"/>
      <c r="P454" s="341"/>
      <c r="Q454" s="342"/>
      <c r="R454" s="342"/>
      <c r="S454" s="341"/>
      <c r="T454" s="342"/>
      <c r="U454" s="342"/>
      <c r="V454" s="342"/>
      <c r="W454" s="342"/>
      <c r="X454" s="342"/>
      <c r="Y454" s="342"/>
      <c r="Z454" s="342"/>
    </row>
    <row r="455" ht="12.75" customHeight="1">
      <c r="A455" s="534"/>
      <c r="B455" s="534"/>
      <c r="C455" s="575"/>
      <c r="D455" s="585"/>
      <c r="E455" s="586"/>
      <c r="F455" s="342"/>
      <c r="G455" s="342"/>
      <c r="H455" s="342"/>
      <c r="I455" s="342"/>
      <c r="J455" s="342"/>
      <c r="K455" s="342"/>
      <c r="L455" s="342"/>
      <c r="M455" s="342"/>
      <c r="N455" s="342"/>
      <c r="O455" s="341"/>
      <c r="P455" s="341"/>
      <c r="Q455" s="342"/>
      <c r="R455" s="342"/>
      <c r="S455" s="341"/>
      <c r="T455" s="342"/>
      <c r="U455" s="342"/>
      <c r="V455" s="342"/>
      <c r="W455" s="342"/>
      <c r="X455" s="342"/>
      <c r="Y455" s="342"/>
      <c r="Z455" s="342"/>
    </row>
    <row r="456" ht="12.75" customHeight="1">
      <c r="A456" s="534"/>
      <c r="B456" s="534"/>
      <c r="C456" s="575"/>
      <c r="D456" s="585"/>
      <c r="E456" s="586"/>
      <c r="F456" s="342"/>
      <c r="G456" s="342"/>
      <c r="H456" s="342"/>
      <c r="I456" s="342"/>
      <c r="J456" s="342"/>
      <c r="K456" s="342"/>
      <c r="L456" s="342"/>
      <c r="M456" s="342"/>
      <c r="N456" s="342"/>
      <c r="O456" s="341"/>
      <c r="P456" s="341"/>
      <c r="Q456" s="342"/>
      <c r="R456" s="342"/>
      <c r="S456" s="341"/>
      <c r="T456" s="342"/>
      <c r="U456" s="342"/>
      <c r="V456" s="342"/>
      <c r="W456" s="342"/>
      <c r="X456" s="342"/>
      <c r="Y456" s="342"/>
      <c r="Z456" s="342"/>
    </row>
    <row r="457" ht="12.75" customHeight="1">
      <c r="A457" s="534"/>
      <c r="B457" s="534"/>
      <c r="C457" s="575"/>
      <c r="D457" s="585"/>
      <c r="E457" s="586"/>
      <c r="F457" s="342"/>
      <c r="G457" s="342"/>
      <c r="H457" s="342"/>
      <c r="I457" s="342"/>
      <c r="J457" s="342"/>
      <c r="K457" s="342"/>
      <c r="L457" s="342"/>
      <c r="M457" s="342"/>
      <c r="N457" s="342"/>
      <c r="O457" s="341"/>
      <c r="P457" s="341"/>
      <c r="Q457" s="342"/>
      <c r="R457" s="342"/>
      <c r="S457" s="341"/>
      <c r="T457" s="342"/>
      <c r="U457" s="342"/>
      <c r="V457" s="342"/>
      <c r="W457" s="342"/>
      <c r="X457" s="342"/>
      <c r="Y457" s="342"/>
      <c r="Z457" s="342"/>
    </row>
    <row r="458" ht="12.75" customHeight="1">
      <c r="A458" s="534"/>
      <c r="B458" s="534"/>
      <c r="C458" s="575"/>
      <c r="D458" s="585"/>
      <c r="E458" s="586"/>
      <c r="F458" s="342"/>
      <c r="G458" s="342"/>
      <c r="H458" s="342"/>
      <c r="I458" s="342"/>
      <c r="J458" s="342"/>
      <c r="K458" s="342"/>
      <c r="L458" s="342"/>
      <c r="M458" s="342"/>
      <c r="N458" s="342"/>
      <c r="O458" s="341"/>
      <c r="P458" s="341"/>
      <c r="Q458" s="342"/>
      <c r="R458" s="342"/>
      <c r="S458" s="341"/>
      <c r="T458" s="342"/>
      <c r="U458" s="342"/>
      <c r="V458" s="342"/>
      <c r="W458" s="342"/>
      <c r="X458" s="342"/>
      <c r="Y458" s="342"/>
      <c r="Z458" s="342"/>
    </row>
    <row r="459" ht="12.75" customHeight="1">
      <c r="A459" s="534"/>
      <c r="B459" s="534"/>
      <c r="C459" s="575"/>
      <c r="D459" s="585"/>
      <c r="E459" s="586"/>
      <c r="F459" s="342"/>
      <c r="G459" s="342"/>
      <c r="H459" s="342"/>
      <c r="I459" s="342"/>
      <c r="J459" s="342"/>
      <c r="K459" s="342"/>
      <c r="L459" s="342"/>
      <c r="M459" s="342"/>
      <c r="N459" s="342"/>
      <c r="O459" s="341"/>
      <c r="P459" s="341"/>
      <c r="Q459" s="342"/>
      <c r="R459" s="342"/>
      <c r="S459" s="341"/>
      <c r="T459" s="342"/>
      <c r="U459" s="342"/>
      <c r="V459" s="342"/>
      <c r="W459" s="342"/>
      <c r="X459" s="342"/>
      <c r="Y459" s="342"/>
      <c r="Z459" s="342"/>
    </row>
    <row r="460" ht="12.75" customHeight="1">
      <c r="A460" s="534"/>
      <c r="B460" s="534"/>
      <c r="C460" s="575"/>
      <c r="D460" s="585"/>
      <c r="E460" s="586"/>
      <c r="F460" s="342"/>
      <c r="G460" s="342"/>
      <c r="H460" s="342"/>
      <c r="I460" s="342"/>
      <c r="J460" s="342"/>
      <c r="K460" s="342"/>
      <c r="L460" s="342"/>
      <c r="M460" s="342"/>
      <c r="N460" s="342"/>
      <c r="O460" s="341"/>
      <c r="P460" s="341"/>
      <c r="Q460" s="342"/>
      <c r="R460" s="342"/>
      <c r="S460" s="341"/>
      <c r="T460" s="342"/>
      <c r="U460" s="342"/>
      <c r="V460" s="342"/>
      <c r="W460" s="342"/>
      <c r="X460" s="342"/>
      <c r="Y460" s="342"/>
      <c r="Z460" s="342"/>
    </row>
    <row r="461" ht="12.75" customHeight="1">
      <c r="A461" s="534"/>
      <c r="B461" s="534"/>
      <c r="C461" s="575"/>
      <c r="D461" s="585"/>
      <c r="E461" s="586"/>
      <c r="F461" s="342"/>
      <c r="G461" s="342"/>
      <c r="H461" s="342"/>
      <c r="I461" s="342"/>
      <c r="J461" s="342"/>
      <c r="K461" s="342"/>
      <c r="L461" s="342"/>
      <c r="M461" s="342"/>
      <c r="N461" s="342"/>
      <c r="O461" s="341"/>
      <c r="P461" s="341"/>
      <c r="Q461" s="342"/>
      <c r="R461" s="342"/>
      <c r="S461" s="341"/>
      <c r="T461" s="342"/>
      <c r="U461" s="342"/>
      <c r="V461" s="342"/>
      <c r="W461" s="342"/>
      <c r="X461" s="342"/>
      <c r="Y461" s="342"/>
      <c r="Z461" s="342"/>
    </row>
    <row r="462" ht="12.75" customHeight="1">
      <c r="A462" s="534"/>
      <c r="B462" s="534"/>
      <c r="C462" s="575"/>
      <c r="D462" s="585"/>
      <c r="E462" s="586"/>
      <c r="F462" s="342"/>
      <c r="G462" s="342"/>
      <c r="H462" s="342"/>
      <c r="I462" s="342"/>
      <c r="J462" s="342"/>
      <c r="K462" s="342"/>
      <c r="L462" s="342"/>
      <c r="M462" s="342"/>
      <c r="N462" s="342"/>
      <c r="O462" s="341"/>
      <c r="P462" s="341"/>
      <c r="Q462" s="342"/>
      <c r="R462" s="342"/>
      <c r="S462" s="341"/>
      <c r="T462" s="342"/>
      <c r="U462" s="342"/>
      <c r="V462" s="342"/>
      <c r="W462" s="342"/>
      <c r="X462" s="342"/>
      <c r="Y462" s="342"/>
      <c r="Z462" s="342"/>
    </row>
    <row r="463" ht="12.75" customHeight="1">
      <c r="A463" s="534"/>
      <c r="B463" s="534"/>
      <c r="C463" s="575"/>
      <c r="D463" s="585"/>
      <c r="E463" s="586"/>
      <c r="F463" s="342"/>
      <c r="G463" s="342"/>
      <c r="H463" s="342"/>
      <c r="I463" s="342"/>
      <c r="J463" s="342"/>
      <c r="K463" s="342"/>
      <c r="L463" s="342"/>
      <c r="M463" s="342"/>
      <c r="N463" s="342"/>
      <c r="O463" s="341"/>
      <c r="P463" s="341"/>
      <c r="Q463" s="342"/>
      <c r="R463" s="342"/>
      <c r="S463" s="341"/>
      <c r="T463" s="342"/>
      <c r="U463" s="342"/>
      <c r="V463" s="342"/>
      <c r="W463" s="342"/>
      <c r="X463" s="342"/>
      <c r="Y463" s="342"/>
      <c r="Z463" s="342"/>
    </row>
    <row r="464" ht="12.75" customHeight="1">
      <c r="A464" s="534"/>
      <c r="B464" s="534"/>
      <c r="C464" s="575"/>
      <c r="D464" s="585"/>
      <c r="E464" s="586"/>
      <c r="F464" s="342"/>
      <c r="G464" s="342"/>
      <c r="H464" s="342"/>
      <c r="I464" s="342"/>
      <c r="J464" s="342"/>
      <c r="K464" s="342"/>
      <c r="L464" s="342"/>
      <c r="M464" s="342"/>
      <c r="N464" s="342"/>
      <c r="O464" s="341"/>
      <c r="P464" s="341"/>
      <c r="Q464" s="342"/>
      <c r="R464" s="342"/>
      <c r="S464" s="341"/>
      <c r="T464" s="342"/>
      <c r="U464" s="342"/>
      <c r="V464" s="342"/>
      <c r="W464" s="342"/>
      <c r="X464" s="342"/>
      <c r="Y464" s="342"/>
      <c r="Z464" s="342"/>
    </row>
    <row r="465" ht="12.75" customHeight="1">
      <c r="A465" s="534"/>
      <c r="B465" s="534"/>
      <c r="C465" s="575"/>
      <c r="D465" s="585"/>
      <c r="E465" s="586"/>
      <c r="F465" s="342"/>
      <c r="G465" s="342"/>
      <c r="H465" s="342"/>
      <c r="I465" s="342"/>
      <c r="J465" s="342"/>
      <c r="K465" s="342"/>
      <c r="L465" s="342"/>
      <c r="M465" s="342"/>
      <c r="N465" s="342"/>
      <c r="O465" s="341"/>
      <c r="P465" s="341"/>
      <c r="Q465" s="342"/>
      <c r="R465" s="342"/>
      <c r="S465" s="341"/>
      <c r="T465" s="342"/>
      <c r="U465" s="342"/>
      <c r="V465" s="342"/>
      <c r="W465" s="342"/>
      <c r="X465" s="342"/>
      <c r="Y465" s="342"/>
      <c r="Z465" s="342"/>
    </row>
    <row r="466" ht="12.75" customHeight="1">
      <c r="A466" s="534"/>
      <c r="B466" s="534"/>
      <c r="C466" s="575"/>
      <c r="D466" s="585"/>
      <c r="E466" s="586"/>
      <c r="F466" s="342"/>
      <c r="G466" s="342"/>
      <c r="H466" s="342"/>
      <c r="I466" s="342"/>
      <c r="J466" s="342"/>
      <c r="K466" s="342"/>
      <c r="L466" s="342"/>
      <c r="M466" s="342"/>
      <c r="N466" s="342"/>
      <c r="O466" s="341"/>
      <c r="P466" s="341"/>
      <c r="Q466" s="342"/>
      <c r="R466" s="342"/>
      <c r="S466" s="341"/>
      <c r="T466" s="342"/>
      <c r="U466" s="342"/>
      <c r="V466" s="342"/>
      <c r="W466" s="342"/>
      <c r="X466" s="342"/>
      <c r="Y466" s="342"/>
      <c r="Z466" s="342"/>
    </row>
    <row r="467" ht="12.75" customHeight="1">
      <c r="A467" s="534"/>
      <c r="B467" s="534"/>
      <c r="C467" s="575"/>
      <c r="D467" s="585"/>
      <c r="E467" s="586"/>
      <c r="F467" s="342"/>
      <c r="G467" s="342"/>
      <c r="H467" s="342"/>
      <c r="I467" s="342"/>
      <c r="J467" s="342"/>
      <c r="K467" s="342"/>
      <c r="L467" s="342"/>
      <c r="M467" s="342"/>
      <c r="N467" s="342"/>
      <c r="O467" s="341"/>
      <c r="P467" s="341"/>
      <c r="Q467" s="342"/>
      <c r="R467" s="342"/>
      <c r="S467" s="341"/>
      <c r="T467" s="342"/>
      <c r="U467" s="342"/>
      <c r="V467" s="342"/>
      <c r="W467" s="342"/>
      <c r="X467" s="342"/>
      <c r="Y467" s="342"/>
      <c r="Z467" s="342"/>
    </row>
    <row r="468" ht="12.75" customHeight="1">
      <c r="A468" s="534"/>
      <c r="B468" s="534"/>
      <c r="C468" s="575"/>
      <c r="D468" s="585"/>
      <c r="E468" s="586"/>
      <c r="F468" s="342"/>
      <c r="G468" s="342"/>
      <c r="H468" s="342"/>
      <c r="I468" s="342"/>
      <c r="J468" s="342"/>
      <c r="K468" s="342"/>
      <c r="L468" s="342"/>
      <c r="M468" s="342"/>
      <c r="N468" s="342"/>
      <c r="O468" s="341"/>
      <c r="P468" s="341"/>
      <c r="Q468" s="342"/>
      <c r="R468" s="342"/>
      <c r="S468" s="341"/>
      <c r="T468" s="342"/>
      <c r="U468" s="342"/>
      <c r="V468" s="342"/>
      <c r="W468" s="342"/>
      <c r="X468" s="342"/>
      <c r="Y468" s="342"/>
      <c r="Z468" s="342"/>
    </row>
    <row r="469" ht="12.75" customHeight="1">
      <c r="A469" s="534"/>
      <c r="B469" s="534"/>
      <c r="C469" s="575"/>
      <c r="D469" s="585"/>
      <c r="E469" s="586"/>
      <c r="F469" s="342"/>
      <c r="G469" s="342"/>
      <c r="H469" s="342"/>
      <c r="I469" s="342"/>
      <c r="J469" s="342"/>
      <c r="K469" s="342"/>
      <c r="L469" s="342"/>
      <c r="M469" s="342"/>
      <c r="N469" s="342"/>
      <c r="O469" s="341"/>
      <c r="P469" s="341"/>
      <c r="Q469" s="342"/>
      <c r="R469" s="342"/>
      <c r="S469" s="341"/>
      <c r="T469" s="342"/>
      <c r="U469" s="342"/>
      <c r="V469" s="342"/>
      <c r="W469" s="342"/>
      <c r="X469" s="342"/>
      <c r="Y469" s="342"/>
      <c r="Z469" s="342"/>
    </row>
    <row r="470" ht="12.75" customHeight="1">
      <c r="A470" s="534"/>
      <c r="B470" s="534"/>
      <c r="C470" s="575"/>
      <c r="D470" s="585"/>
      <c r="E470" s="586"/>
      <c r="F470" s="342"/>
      <c r="G470" s="342"/>
      <c r="H470" s="342"/>
      <c r="I470" s="342"/>
      <c r="J470" s="342"/>
      <c r="K470" s="342"/>
      <c r="L470" s="342"/>
      <c r="M470" s="342"/>
      <c r="N470" s="342"/>
      <c r="O470" s="341"/>
      <c r="P470" s="341"/>
      <c r="Q470" s="342"/>
      <c r="R470" s="342"/>
      <c r="S470" s="341"/>
      <c r="T470" s="342"/>
      <c r="U470" s="342"/>
      <c r="V470" s="342"/>
      <c r="W470" s="342"/>
      <c r="X470" s="342"/>
      <c r="Y470" s="342"/>
      <c r="Z470" s="342"/>
    </row>
    <row r="471" ht="12.75" customHeight="1">
      <c r="A471" s="534"/>
      <c r="B471" s="534"/>
      <c r="C471" s="575"/>
      <c r="D471" s="585"/>
      <c r="E471" s="586"/>
      <c r="F471" s="342"/>
      <c r="G471" s="342"/>
      <c r="H471" s="342"/>
      <c r="I471" s="342"/>
      <c r="J471" s="342"/>
      <c r="K471" s="342"/>
      <c r="L471" s="342"/>
      <c r="M471" s="342"/>
      <c r="N471" s="342"/>
      <c r="O471" s="341"/>
      <c r="P471" s="341"/>
      <c r="Q471" s="342"/>
      <c r="R471" s="342"/>
      <c r="S471" s="341"/>
      <c r="T471" s="342"/>
      <c r="U471" s="342"/>
      <c r="V471" s="342"/>
      <c r="W471" s="342"/>
      <c r="X471" s="342"/>
      <c r="Y471" s="342"/>
      <c r="Z471" s="342"/>
    </row>
    <row r="472" ht="12.75" customHeight="1">
      <c r="A472" s="534"/>
      <c r="B472" s="534"/>
      <c r="C472" s="575"/>
      <c r="D472" s="585"/>
      <c r="E472" s="586"/>
      <c r="F472" s="342"/>
      <c r="G472" s="342"/>
      <c r="H472" s="342"/>
      <c r="I472" s="342"/>
      <c r="J472" s="342"/>
      <c r="K472" s="342"/>
      <c r="L472" s="342"/>
      <c r="M472" s="342"/>
      <c r="N472" s="342"/>
      <c r="O472" s="341"/>
      <c r="P472" s="341"/>
      <c r="Q472" s="342"/>
      <c r="R472" s="342"/>
      <c r="S472" s="341"/>
      <c r="T472" s="342"/>
      <c r="U472" s="342"/>
      <c r="V472" s="342"/>
      <c r="W472" s="342"/>
      <c r="X472" s="342"/>
      <c r="Y472" s="342"/>
      <c r="Z472" s="342"/>
    </row>
    <row r="473" ht="12.75" customHeight="1">
      <c r="A473" s="534"/>
      <c r="B473" s="534"/>
      <c r="C473" s="575"/>
      <c r="D473" s="585"/>
      <c r="E473" s="586"/>
      <c r="F473" s="342"/>
      <c r="G473" s="342"/>
      <c r="H473" s="342"/>
      <c r="I473" s="342"/>
      <c r="J473" s="342"/>
      <c r="K473" s="342"/>
      <c r="L473" s="342"/>
      <c r="M473" s="342"/>
      <c r="N473" s="342"/>
      <c r="O473" s="341"/>
      <c r="P473" s="341"/>
      <c r="Q473" s="342"/>
      <c r="R473" s="342"/>
      <c r="S473" s="341"/>
      <c r="T473" s="342"/>
      <c r="U473" s="342"/>
      <c r="V473" s="342"/>
      <c r="W473" s="342"/>
      <c r="X473" s="342"/>
      <c r="Y473" s="342"/>
      <c r="Z473" s="342"/>
    </row>
    <row r="474" ht="12.75" customHeight="1">
      <c r="A474" s="534"/>
      <c r="B474" s="534"/>
      <c r="C474" s="575"/>
      <c r="D474" s="585"/>
      <c r="E474" s="586"/>
      <c r="F474" s="342"/>
      <c r="G474" s="342"/>
      <c r="H474" s="342"/>
      <c r="I474" s="342"/>
      <c r="J474" s="342"/>
      <c r="K474" s="342"/>
      <c r="L474" s="342"/>
      <c r="M474" s="342"/>
      <c r="N474" s="342"/>
      <c r="O474" s="341"/>
      <c r="P474" s="341"/>
      <c r="Q474" s="342"/>
      <c r="R474" s="342"/>
      <c r="S474" s="341"/>
      <c r="T474" s="342"/>
      <c r="U474" s="342"/>
      <c r="V474" s="342"/>
      <c r="W474" s="342"/>
      <c r="X474" s="342"/>
      <c r="Y474" s="342"/>
      <c r="Z474" s="342"/>
    </row>
    <row r="475" ht="12.75" customHeight="1">
      <c r="A475" s="534"/>
      <c r="B475" s="534"/>
      <c r="C475" s="575"/>
      <c r="D475" s="585"/>
      <c r="E475" s="586"/>
      <c r="F475" s="342"/>
      <c r="G475" s="342"/>
      <c r="H475" s="342"/>
      <c r="I475" s="342"/>
      <c r="J475" s="342"/>
      <c r="K475" s="342"/>
      <c r="L475" s="342"/>
      <c r="M475" s="342"/>
      <c r="N475" s="342"/>
      <c r="O475" s="341"/>
      <c r="P475" s="341"/>
      <c r="Q475" s="342"/>
      <c r="R475" s="342"/>
      <c r="S475" s="341"/>
      <c r="T475" s="342"/>
      <c r="U475" s="342"/>
      <c r="V475" s="342"/>
      <c r="W475" s="342"/>
      <c r="X475" s="342"/>
      <c r="Y475" s="342"/>
      <c r="Z475" s="342"/>
    </row>
    <row r="476" ht="12.75" customHeight="1">
      <c r="A476" s="534"/>
      <c r="B476" s="534"/>
      <c r="C476" s="575"/>
      <c r="D476" s="585"/>
      <c r="E476" s="586"/>
      <c r="F476" s="342"/>
      <c r="G476" s="342"/>
      <c r="H476" s="342"/>
      <c r="I476" s="342"/>
      <c r="J476" s="342"/>
      <c r="K476" s="342"/>
      <c r="L476" s="342"/>
      <c r="M476" s="342"/>
      <c r="N476" s="342"/>
      <c r="O476" s="341"/>
      <c r="P476" s="341"/>
      <c r="Q476" s="342"/>
      <c r="R476" s="342"/>
      <c r="S476" s="341"/>
      <c r="T476" s="342"/>
      <c r="U476" s="342"/>
      <c r="V476" s="342"/>
      <c r="W476" s="342"/>
      <c r="X476" s="342"/>
      <c r="Y476" s="342"/>
      <c r="Z476" s="342"/>
    </row>
    <row r="477" ht="12.75" customHeight="1">
      <c r="A477" s="534"/>
      <c r="B477" s="534"/>
      <c r="C477" s="575"/>
      <c r="D477" s="585"/>
      <c r="E477" s="586"/>
      <c r="F477" s="342"/>
      <c r="G477" s="342"/>
      <c r="H477" s="342"/>
      <c r="I477" s="342"/>
      <c r="J477" s="342"/>
      <c r="K477" s="342"/>
      <c r="L477" s="342"/>
      <c r="M477" s="342"/>
      <c r="N477" s="342"/>
      <c r="O477" s="341"/>
      <c r="P477" s="341"/>
      <c r="Q477" s="342"/>
      <c r="R477" s="342"/>
      <c r="S477" s="341"/>
      <c r="T477" s="342"/>
      <c r="U477" s="342"/>
      <c r="V477" s="342"/>
      <c r="W477" s="342"/>
      <c r="X477" s="342"/>
      <c r="Y477" s="342"/>
      <c r="Z477" s="342"/>
    </row>
    <row r="478" ht="12.75" customHeight="1">
      <c r="A478" s="534"/>
      <c r="B478" s="534"/>
      <c r="C478" s="575"/>
      <c r="D478" s="585"/>
      <c r="E478" s="586"/>
      <c r="F478" s="342"/>
      <c r="G478" s="342"/>
      <c r="H478" s="342"/>
      <c r="I478" s="342"/>
      <c r="J478" s="342"/>
      <c r="K478" s="342"/>
      <c r="L478" s="342"/>
      <c r="M478" s="342"/>
      <c r="N478" s="342"/>
      <c r="O478" s="341"/>
      <c r="P478" s="341"/>
      <c r="Q478" s="342"/>
      <c r="R478" s="342"/>
      <c r="S478" s="341"/>
      <c r="T478" s="342"/>
      <c r="U478" s="342"/>
      <c r="V478" s="342"/>
      <c r="W478" s="342"/>
      <c r="X478" s="342"/>
      <c r="Y478" s="342"/>
      <c r="Z478" s="342"/>
    </row>
    <row r="479" ht="12.75" customHeight="1">
      <c r="A479" s="534"/>
      <c r="B479" s="534"/>
      <c r="C479" s="575"/>
      <c r="D479" s="585"/>
      <c r="E479" s="586"/>
      <c r="F479" s="342"/>
      <c r="G479" s="342"/>
      <c r="H479" s="342"/>
      <c r="I479" s="342"/>
      <c r="J479" s="342"/>
      <c r="K479" s="342"/>
      <c r="L479" s="342"/>
      <c r="M479" s="342"/>
      <c r="N479" s="342"/>
      <c r="O479" s="341"/>
      <c r="P479" s="341"/>
      <c r="Q479" s="342"/>
      <c r="R479" s="342"/>
      <c r="S479" s="341"/>
      <c r="T479" s="342"/>
      <c r="U479" s="342"/>
      <c r="V479" s="342"/>
      <c r="W479" s="342"/>
      <c r="X479" s="342"/>
      <c r="Y479" s="342"/>
      <c r="Z479" s="342"/>
    </row>
    <row r="480" ht="12.75" customHeight="1">
      <c r="A480" s="534"/>
      <c r="B480" s="534"/>
      <c r="C480" s="575"/>
      <c r="D480" s="585"/>
      <c r="E480" s="586"/>
      <c r="F480" s="342"/>
      <c r="G480" s="342"/>
      <c r="H480" s="342"/>
      <c r="I480" s="342"/>
      <c r="J480" s="342"/>
      <c r="K480" s="342"/>
      <c r="L480" s="342"/>
      <c r="M480" s="342"/>
      <c r="N480" s="342"/>
      <c r="O480" s="341"/>
      <c r="P480" s="341"/>
      <c r="Q480" s="342"/>
      <c r="R480" s="342"/>
      <c r="S480" s="341"/>
      <c r="T480" s="342"/>
      <c r="U480" s="342"/>
      <c r="V480" s="342"/>
      <c r="W480" s="342"/>
      <c r="X480" s="342"/>
      <c r="Y480" s="342"/>
      <c r="Z480" s="342"/>
    </row>
    <row r="481" ht="12.75" customHeight="1">
      <c r="A481" s="534"/>
      <c r="B481" s="534"/>
      <c r="C481" s="575"/>
      <c r="D481" s="585"/>
      <c r="E481" s="586"/>
      <c r="F481" s="342"/>
      <c r="G481" s="342"/>
      <c r="H481" s="342"/>
      <c r="I481" s="342"/>
      <c r="J481" s="342"/>
      <c r="K481" s="342"/>
      <c r="L481" s="342"/>
      <c r="M481" s="342"/>
      <c r="N481" s="342"/>
      <c r="O481" s="341"/>
      <c r="P481" s="341"/>
      <c r="Q481" s="342"/>
      <c r="R481" s="342"/>
      <c r="S481" s="341"/>
      <c r="T481" s="342"/>
      <c r="U481" s="342"/>
      <c r="V481" s="342"/>
      <c r="W481" s="342"/>
      <c r="X481" s="342"/>
      <c r="Y481" s="342"/>
      <c r="Z481" s="342"/>
    </row>
    <row r="482" ht="12.75" customHeight="1">
      <c r="A482" s="534"/>
      <c r="B482" s="534"/>
      <c r="C482" s="575"/>
      <c r="D482" s="585"/>
      <c r="E482" s="586"/>
      <c r="F482" s="342"/>
      <c r="G482" s="342"/>
      <c r="H482" s="342"/>
      <c r="I482" s="342"/>
      <c r="J482" s="342"/>
      <c r="K482" s="342"/>
      <c r="L482" s="342"/>
      <c r="M482" s="342"/>
      <c r="N482" s="342"/>
      <c r="O482" s="341"/>
      <c r="P482" s="341"/>
      <c r="Q482" s="342"/>
      <c r="R482" s="342"/>
      <c r="S482" s="341"/>
      <c r="T482" s="342"/>
      <c r="U482" s="342"/>
      <c r="V482" s="342"/>
      <c r="W482" s="342"/>
      <c r="X482" s="342"/>
      <c r="Y482" s="342"/>
      <c r="Z482" s="342"/>
    </row>
    <row r="483" ht="12.75" customHeight="1">
      <c r="A483" s="534"/>
      <c r="B483" s="534"/>
      <c r="C483" s="575"/>
      <c r="D483" s="585"/>
      <c r="E483" s="586"/>
      <c r="F483" s="342"/>
      <c r="G483" s="342"/>
      <c r="H483" s="342"/>
      <c r="I483" s="342"/>
      <c r="J483" s="342"/>
      <c r="K483" s="342"/>
      <c r="L483" s="342"/>
      <c r="M483" s="342"/>
      <c r="N483" s="342"/>
      <c r="O483" s="341"/>
      <c r="P483" s="341"/>
      <c r="Q483" s="342"/>
      <c r="R483" s="342"/>
      <c r="S483" s="341"/>
      <c r="T483" s="342"/>
      <c r="U483" s="342"/>
      <c r="V483" s="342"/>
      <c r="W483" s="342"/>
      <c r="X483" s="342"/>
      <c r="Y483" s="342"/>
      <c r="Z483" s="342"/>
    </row>
    <row r="484" ht="12.75" customHeight="1">
      <c r="A484" s="534"/>
      <c r="B484" s="534"/>
      <c r="C484" s="575"/>
      <c r="D484" s="585"/>
      <c r="E484" s="586"/>
      <c r="F484" s="342"/>
      <c r="G484" s="342"/>
      <c r="H484" s="342"/>
      <c r="I484" s="342"/>
      <c r="J484" s="342"/>
      <c r="K484" s="342"/>
      <c r="L484" s="342"/>
      <c r="M484" s="342"/>
      <c r="N484" s="342"/>
      <c r="O484" s="341"/>
      <c r="P484" s="341"/>
      <c r="Q484" s="342"/>
      <c r="R484" s="342"/>
      <c r="S484" s="341"/>
      <c r="T484" s="342"/>
      <c r="U484" s="342"/>
      <c r="V484" s="342"/>
      <c r="W484" s="342"/>
      <c r="X484" s="342"/>
      <c r="Y484" s="342"/>
      <c r="Z484" s="342"/>
    </row>
    <row r="485" ht="12.75" customHeight="1">
      <c r="A485" s="534"/>
      <c r="B485" s="534"/>
      <c r="C485" s="575"/>
      <c r="D485" s="585"/>
      <c r="E485" s="586"/>
      <c r="F485" s="342"/>
      <c r="G485" s="342"/>
      <c r="H485" s="342"/>
      <c r="I485" s="342"/>
      <c r="J485" s="342"/>
      <c r="K485" s="342"/>
      <c r="L485" s="342"/>
      <c r="M485" s="342"/>
      <c r="N485" s="342"/>
      <c r="O485" s="341"/>
      <c r="P485" s="341"/>
      <c r="Q485" s="342"/>
      <c r="R485" s="342"/>
      <c r="S485" s="341"/>
      <c r="T485" s="342"/>
      <c r="U485" s="342"/>
      <c r="V485" s="342"/>
      <c r="W485" s="342"/>
      <c r="X485" s="342"/>
      <c r="Y485" s="342"/>
      <c r="Z485" s="342"/>
    </row>
    <row r="486" ht="12.75" customHeight="1">
      <c r="A486" s="534"/>
      <c r="B486" s="534"/>
      <c r="C486" s="575"/>
      <c r="D486" s="585"/>
      <c r="E486" s="586"/>
      <c r="F486" s="342"/>
      <c r="G486" s="342"/>
      <c r="H486" s="342"/>
      <c r="I486" s="342"/>
      <c r="J486" s="342"/>
      <c r="K486" s="342"/>
      <c r="L486" s="342"/>
      <c r="M486" s="342"/>
      <c r="N486" s="342"/>
      <c r="O486" s="341"/>
      <c r="P486" s="341"/>
      <c r="Q486" s="342"/>
      <c r="R486" s="342"/>
      <c r="S486" s="341"/>
      <c r="T486" s="342"/>
      <c r="U486" s="342"/>
      <c r="V486" s="342"/>
      <c r="W486" s="342"/>
      <c r="X486" s="342"/>
      <c r="Y486" s="342"/>
      <c r="Z486" s="342"/>
    </row>
    <row r="487" ht="12.75" customHeight="1">
      <c r="A487" s="534"/>
      <c r="B487" s="534"/>
      <c r="C487" s="575"/>
      <c r="D487" s="585"/>
      <c r="E487" s="586"/>
      <c r="F487" s="342"/>
      <c r="G487" s="342"/>
      <c r="H487" s="342"/>
      <c r="I487" s="342"/>
      <c r="J487" s="342"/>
      <c r="K487" s="342"/>
      <c r="L487" s="342"/>
      <c r="M487" s="342"/>
      <c r="N487" s="342"/>
      <c r="O487" s="341"/>
      <c r="P487" s="341"/>
      <c r="Q487" s="342"/>
      <c r="R487" s="342"/>
      <c r="S487" s="341"/>
      <c r="T487" s="342"/>
      <c r="U487" s="342"/>
      <c r="V487" s="342"/>
      <c r="W487" s="342"/>
      <c r="X487" s="342"/>
      <c r="Y487" s="342"/>
      <c r="Z487" s="342"/>
    </row>
    <row r="488" ht="12.75" customHeight="1">
      <c r="A488" s="534"/>
      <c r="B488" s="534"/>
      <c r="C488" s="575"/>
      <c r="D488" s="585"/>
      <c r="E488" s="586"/>
      <c r="F488" s="342"/>
      <c r="G488" s="342"/>
      <c r="H488" s="342"/>
      <c r="I488" s="342"/>
      <c r="J488" s="342"/>
      <c r="K488" s="342"/>
      <c r="L488" s="342"/>
      <c r="M488" s="342"/>
      <c r="N488" s="342"/>
      <c r="O488" s="341"/>
      <c r="P488" s="341"/>
      <c r="Q488" s="342"/>
      <c r="R488" s="342"/>
      <c r="S488" s="341"/>
      <c r="T488" s="342"/>
      <c r="U488" s="342"/>
      <c r="V488" s="342"/>
      <c r="W488" s="342"/>
      <c r="X488" s="342"/>
      <c r="Y488" s="342"/>
      <c r="Z488" s="342"/>
    </row>
    <row r="489" ht="12.75" customHeight="1">
      <c r="A489" s="534"/>
      <c r="B489" s="534"/>
      <c r="C489" s="575"/>
      <c r="D489" s="585"/>
      <c r="E489" s="586"/>
      <c r="F489" s="342"/>
      <c r="G489" s="342"/>
      <c r="H489" s="342"/>
      <c r="I489" s="342"/>
      <c r="J489" s="342"/>
      <c r="K489" s="342"/>
      <c r="L489" s="342"/>
      <c r="M489" s="342"/>
      <c r="N489" s="342"/>
      <c r="O489" s="341"/>
      <c r="P489" s="341"/>
      <c r="Q489" s="342"/>
      <c r="R489" s="342"/>
      <c r="S489" s="341"/>
      <c r="T489" s="342"/>
      <c r="U489" s="342"/>
      <c r="V489" s="342"/>
      <c r="W489" s="342"/>
      <c r="X489" s="342"/>
      <c r="Y489" s="342"/>
      <c r="Z489" s="342"/>
    </row>
    <row r="490" ht="12.75" customHeight="1">
      <c r="A490" s="534"/>
      <c r="B490" s="534"/>
      <c r="C490" s="575"/>
      <c r="D490" s="585"/>
      <c r="E490" s="586"/>
      <c r="F490" s="342"/>
      <c r="G490" s="342"/>
      <c r="H490" s="342"/>
      <c r="I490" s="342"/>
      <c r="J490" s="342"/>
      <c r="K490" s="342"/>
      <c r="L490" s="342"/>
      <c r="M490" s="342"/>
      <c r="N490" s="342"/>
      <c r="O490" s="341"/>
      <c r="P490" s="341"/>
      <c r="Q490" s="342"/>
      <c r="R490" s="342"/>
      <c r="S490" s="341"/>
      <c r="T490" s="342"/>
      <c r="U490" s="342"/>
      <c r="V490" s="342"/>
      <c r="W490" s="342"/>
      <c r="X490" s="342"/>
      <c r="Y490" s="342"/>
      <c r="Z490" s="342"/>
    </row>
    <row r="491" ht="12.75" customHeight="1">
      <c r="A491" s="534"/>
      <c r="B491" s="534"/>
      <c r="C491" s="575"/>
      <c r="D491" s="585"/>
      <c r="E491" s="586"/>
      <c r="F491" s="342"/>
      <c r="G491" s="342"/>
      <c r="H491" s="342"/>
      <c r="I491" s="342"/>
      <c r="J491" s="342"/>
      <c r="K491" s="342"/>
      <c r="L491" s="342"/>
      <c r="M491" s="342"/>
      <c r="N491" s="342"/>
      <c r="O491" s="341"/>
      <c r="P491" s="341"/>
      <c r="Q491" s="342"/>
      <c r="R491" s="342"/>
      <c r="S491" s="341"/>
      <c r="T491" s="342"/>
      <c r="U491" s="342"/>
      <c r="V491" s="342"/>
      <c r="W491" s="342"/>
      <c r="X491" s="342"/>
      <c r="Y491" s="342"/>
      <c r="Z491" s="342"/>
    </row>
    <row r="492" ht="12.75" customHeight="1">
      <c r="A492" s="534"/>
      <c r="B492" s="534"/>
      <c r="C492" s="575"/>
      <c r="D492" s="585"/>
      <c r="E492" s="586"/>
      <c r="F492" s="342"/>
      <c r="G492" s="342"/>
      <c r="H492" s="342"/>
      <c r="I492" s="342"/>
      <c r="J492" s="342"/>
      <c r="K492" s="342"/>
      <c r="L492" s="342"/>
      <c r="M492" s="342"/>
      <c r="N492" s="342"/>
      <c r="O492" s="341"/>
      <c r="P492" s="341"/>
      <c r="Q492" s="342"/>
      <c r="R492" s="342"/>
      <c r="S492" s="341"/>
      <c r="T492" s="342"/>
      <c r="U492" s="342"/>
      <c r="V492" s="342"/>
      <c r="W492" s="342"/>
      <c r="X492" s="342"/>
      <c r="Y492" s="342"/>
      <c r="Z492" s="342"/>
    </row>
    <row r="493" ht="12.75" customHeight="1">
      <c r="A493" s="534"/>
      <c r="B493" s="534"/>
      <c r="C493" s="575"/>
      <c r="D493" s="585"/>
      <c r="E493" s="586"/>
      <c r="F493" s="342"/>
      <c r="G493" s="342"/>
      <c r="H493" s="342"/>
      <c r="I493" s="342"/>
      <c r="J493" s="342"/>
      <c r="K493" s="342"/>
      <c r="L493" s="342"/>
      <c r="M493" s="342"/>
      <c r="N493" s="342"/>
      <c r="O493" s="341"/>
      <c r="P493" s="341"/>
      <c r="Q493" s="342"/>
      <c r="R493" s="342"/>
      <c r="S493" s="341"/>
      <c r="T493" s="342"/>
      <c r="U493" s="342"/>
      <c r="V493" s="342"/>
      <c r="W493" s="342"/>
      <c r="X493" s="342"/>
      <c r="Y493" s="342"/>
      <c r="Z493" s="342"/>
    </row>
    <row r="494" ht="12.75" customHeight="1">
      <c r="A494" s="534"/>
      <c r="B494" s="534"/>
      <c r="C494" s="575"/>
      <c r="D494" s="585"/>
      <c r="E494" s="586"/>
      <c r="F494" s="342"/>
      <c r="G494" s="342"/>
      <c r="H494" s="342"/>
      <c r="I494" s="342"/>
      <c r="J494" s="342"/>
      <c r="K494" s="342"/>
      <c r="L494" s="342"/>
      <c r="M494" s="342"/>
      <c r="N494" s="342"/>
      <c r="O494" s="341"/>
      <c r="P494" s="341"/>
      <c r="Q494" s="342"/>
      <c r="R494" s="342"/>
      <c r="S494" s="341"/>
      <c r="T494" s="342"/>
      <c r="U494" s="342"/>
      <c r="V494" s="342"/>
      <c r="W494" s="342"/>
      <c r="X494" s="342"/>
      <c r="Y494" s="342"/>
      <c r="Z494" s="342"/>
    </row>
    <row r="495" ht="12.75" customHeight="1">
      <c r="A495" s="534"/>
      <c r="B495" s="534"/>
      <c r="C495" s="575"/>
      <c r="D495" s="585"/>
      <c r="E495" s="586"/>
      <c r="F495" s="342"/>
      <c r="G495" s="342"/>
      <c r="H495" s="342"/>
      <c r="I495" s="342"/>
      <c r="J495" s="342"/>
      <c r="K495" s="342"/>
      <c r="L495" s="342"/>
      <c r="M495" s="342"/>
      <c r="N495" s="342"/>
      <c r="O495" s="341"/>
      <c r="P495" s="341"/>
      <c r="Q495" s="342"/>
      <c r="R495" s="342"/>
      <c r="S495" s="341"/>
      <c r="T495" s="342"/>
      <c r="U495" s="342"/>
      <c r="V495" s="342"/>
      <c r="W495" s="342"/>
      <c r="X495" s="342"/>
      <c r="Y495" s="342"/>
      <c r="Z495" s="342"/>
    </row>
    <row r="496" ht="12.75" customHeight="1">
      <c r="A496" s="534"/>
      <c r="B496" s="534"/>
      <c r="C496" s="575"/>
      <c r="D496" s="585"/>
      <c r="E496" s="586"/>
      <c r="F496" s="342"/>
      <c r="G496" s="342"/>
      <c r="H496" s="342"/>
      <c r="I496" s="342"/>
      <c r="J496" s="342"/>
      <c r="K496" s="342"/>
      <c r="L496" s="342"/>
      <c r="M496" s="342"/>
      <c r="N496" s="342"/>
      <c r="O496" s="341"/>
      <c r="P496" s="341"/>
      <c r="Q496" s="342"/>
      <c r="R496" s="342"/>
      <c r="S496" s="341"/>
      <c r="T496" s="342"/>
      <c r="U496" s="342"/>
      <c r="V496" s="342"/>
      <c r="W496" s="342"/>
      <c r="X496" s="342"/>
      <c r="Y496" s="342"/>
      <c r="Z496" s="342"/>
    </row>
    <row r="497" ht="12.75" customHeight="1">
      <c r="A497" s="534"/>
      <c r="B497" s="534"/>
      <c r="C497" s="575"/>
      <c r="D497" s="585"/>
      <c r="E497" s="586"/>
      <c r="F497" s="342"/>
      <c r="G497" s="342"/>
      <c r="H497" s="342"/>
      <c r="I497" s="342"/>
      <c r="J497" s="342"/>
      <c r="K497" s="342"/>
      <c r="L497" s="342"/>
      <c r="M497" s="342"/>
      <c r="N497" s="342"/>
      <c r="O497" s="341"/>
      <c r="P497" s="341"/>
      <c r="Q497" s="342"/>
      <c r="R497" s="342"/>
      <c r="S497" s="341"/>
      <c r="T497" s="342"/>
      <c r="U497" s="342"/>
      <c r="V497" s="342"/>
      <c r="W497" s="342"/>
      <c r="X497" s="342"/>
      <c r="Y497" s="342"/>
      <c r="Z497" s="342"/>
    </row>
    <row r="498" ht="12.75" customHeight="1">
      <c r="A498" s="534"/>
      <c r="B498" s="534"/>
      <c r="C498" s="575"/>
      <c r="D498" s="585"/>
      <c r="E498" s="586"/>
      <c r="F498" s="342"/>
      <c r="G498" s="342"/>
      <c r="H498" s="342"/>
      <c r="I498" s="342"/>
      <c r="J498" s="342"/>
      <c r="K498" s="342"/>
      <c r="L498" s="342"/>
      <c r="M498" s="342"/>
      <c r="N498" s="342"/>
      <c r="O498" s="341"/>
      <c r="P498" s="341"/>
      <c r="Q498" s="342"/>
      <c r="R498" s="342"/>
      <c r="S498" s="341"/>
      <c r="T498" s="342"/>
      <c r="U498" s="342"/>
      <c r="V498" s="342"/>
      <c r="W498" s="342"/>
      <c r="X498" s="342"/>
      <c r="Y498" s="342"/>
      <c r="Z498" s="342"/>
    </row>
    <row r="499" ht="12.75" customHeight="1">
      <c r="A499" s="534"/>
      <c r="B499" s="534"/>
      <c r="C499" s="575"/>
      <c r="D499" s="585"/>
      <c r="E499" s="586"/>
      <c r="F499" s="342"/>
      <c r="G499" s="342"/>
      <c r="H499" s="342"/>
      <c r="I499" s="342"/>
      <c r="J499" s="342"/>
      <c r="K499" s="342"/>
      <c r="L499" s="342"/>
      <c r="M499" s="342"/>
      <c r="N499" s="342"/>
      <c r="O499" s="341"/>
      <c r="P499" s="341"/>
      <c r="Q499" s="342"/>
      <c r="R499" s="342"/>
      <c r="S499" s="341"/>
      <c r="T499" s="342"/>
      <c r="U499" s="342"/>
      <c r="V499" s="342"/>
      <c r="W499" s="342"/>
      <c r="X499" s="342"/>
      <c r="Y499" s="342"/>
      <c r="Z499" s="342"/>
    </row>
    <row r="500" ht="12.75" customHeight="1">
      <c r="A500" s="534"/>
      <c r="B500" s="534"/>
      <c r="C500" s="575"/>
      <c r="D500" s="585"/>
      <c r="E500" s="586"/>
      <c r="F500" s="342"/>
      <c r="G500" s="342"/>
      <c r="H500" s="342"/>
      <c r="I500" s="342"/>
      <c r="J500" s="342"/>
      <c r="K500" s="342"/>
      <c r="L500" s="342"/>
      <c r="M500" s="342"/>
      <c r="N500" s="342"/>
      <c r="O500" s="341"/>
      <c r="P500" s="341"/>
      <c r="Q500" s="342"/>
      <c r="R500" s="342"/>
      <c r="S500" s="341"/>
      <c r="T500" s="342"/>
      <c r="U500" s="342"/>
      <c r="V500" s="342"/>
      <c r="W500" s="342"/>
      <c r="X500" s="342"/>
      <c r="Y500" s="342"/>
      <c r="Z500" s="342"/>
    </row>
    <row r="501" ht="12.75" customHeight="1">
      <c r="A501" s="534"/>
      <c r="B501" s="534"/>
      <c r="C501" s="575"/>
      <c r="D501" s="585"/>
      <c r="E501" s="586"/>
      <c r="F501" s="342"/>
      <c r="G501" s="342"/>
      <c r="H501" s="342"/>
      <c r="I501" s="342"/>
      <c r="J501" s="342"/>
      <c r="K501" s="342"/>
      <c r="L501" s="342"/>
      <c r="M501" s="342"/>
      <c r="N501" s="342"/>
      <c r="O501" s="341"/>
      <c r="P501" s="341"/>
      <c r="Q501" s="342"/>
      <c r="R501" s="342"/>
      <c r="S501" s="341"/>
      <c r="T501" s="342"/>
      <c r="U501" s="342"/>
      <c r="V501" s="342"/>
      <c r="W501" s="342"/>
      <c r="X501" s="342"/>
      <c r="Y501" s="342"/>
      <c r="Z501" s="342"/>
    </row>
    <row r="502" ht="12.75" customHeight="1">
      <c r="A502" s="534"/>
      <c r="B502" s="534"/>
      <c r="C502" s="575"/>
      <c r="D502" s="585"/>
      <c r="E502" s="586"/>
      <c r="F502" s="342"/>
      <c r="G502" s="342"/>
      <c r="H502" s="342"/>
      <c r="I502" s="342"/>
      <c r="J502" s="342"/>
      <c r="K502" s="342"/>
      <c r="L502" s="342"/>
      <c r="M502" s="342"/>
      <c r="N502" s="342"/>
      <c r="O502" s="341"/>
      <c r="P502" s="341"/>
      <c r="Q502" s="342"/>
      <c r="R502" s="342"/>
      <c r="S502" s="341"/>
      <c r="T502" s="342"/>
      <c r="U502" s="342"/>
      <c r="V502" s="342"/>
      <c r="W502" s="342"/>
      <c r="X502" s="342"/>
      <c r="Y502" s="342"/>
      <c r="Z502" s="342"/>
    </row>
    <row r="503" ht="12.75" customHeight="1">
      <c r="A503" s="534"/>
      <c r="B503" s="534"/>
      <c r="C503" s="575"/>
      <c r="D503" s="585"/>
      <c r="E503" s="586"/>
      <c r="F503" s="342"/>
      <c r="G503" s="342"/>
      <c r="H503" s="342"/>
      <c r="I503" s="342"/>
      <c r="J503" s="342"/>
      <c r="K503" s="342"/>
      <c r="L503" s="342"/>
      <c r="M503" s="342"/>
      <c r="N503" s="342"/>
      <c r="O503" s="341"/>
      <c r="P503" s="341"/>
      <c r="Q503" s="342"/>
      <c r="R503" s="342"/>
      <c r="S503" s="341"/>
      <c r="T503" s="342"/>
      <c r="U503" s="342"/>
      <c r="V503" s="342"/>
      <c r="W503" s="342"/>
      <c r="X503" s="342"/>
      <c r="Y503" s="342"/>
      <c r="Z503" s="342"/>
    </row>
    <row r="504" ht="12.75" customHeight="1">
      <c r="A504" s="534"/>
      <c r="B504" s="534"/>
      <c r="C504" s="575"/>
      <c r="D504" s="585"/>
      <c r="E504" s="586"/>
      <c r="F504" s="342"/>
      <c r="G504" s="342"/>
      <c r="H504" s="342"/>
      <c r="I504" s="342"/>
      <c r="J504" s="342"/>
      <c r="K504" s="342"/>
      <c r="L504" s="342"/>
      <c r="M504" s="342"/>
      <c r="N504" s="342"/>
      <c r="O504" s="341"/>
      <c r="P504" s="341"/>
      <c r="Q504" s="342"/>
      <c r="R504" s="342"/>
      <c r="S504" s="341"/>
      <c r="T504" s="342"/>
      <c r="U504" s="342"/>
      <c r="V504" s="342"/>
      <c r="W504" s="342"/>
      <c r="X504" s="342"/>
      <c r="Y504" s="342"/>
      <c r="Z504" s="342"/>
    </row>
    <row r="505" ht="12.75" customHeight="1">
      <c r="A505" s="534"/>
      <c r="B505" s="534"/>
      <c r="C505" s="575"/>
      <c r="D505" s="585"/>
      <c r="E505" s="586"/>
      <c r="F505" s="342"/>
      <c r="G505" s="342"/>
      <c r="H505" s="342"/>
      <c r="I505" s="342"/>
      <c r="J505" s="342"/>
      <c r="K505" s="342"/>
      <c r="L505" s="342"/>
      <c r="M505" s="342"/>
      <c r="N505" s="342"/>
      <c r="O505" s="341"/>
      <c r="P505" s="341"/>
      <c r="Q505" s="342"/>
      <c r="R505" s="342"/>
      <c r="S505" s="341"/>
      <c r="T505" s="342"/>
      <c r="U505" s="342"/>
      <c r="V505" s="342"/>
      <c r="W505" s="342"/>
      <c r="X505" s="342"/>
      <c r="Y505" s="342"/>
      <c r="Z505" s="342"/>
    </row>
    <row r="506" ht="12.75" customHeight="1">
      <c r="A506" s="534"/>
      <c r="B506" s="534"/>
      <c r="C506" s="575"/>
      <c r="D506" s="585"/>
      <c r="E506" s="586"/>
      <c r="F506" s="342"/>
      <c r="G506" s="342"/>
      <c r="H506" s="342"/>
      <c r="I506" s="342"/>
      <c r="J506" s="342"/>
      <c r="K506" s="342"/>
      <c r="L506" s="342"/>
      <c r="M506" s="342"/>
      <c r="N506" s="342"/>
      <c r="O506" s="341"/>
      <c r="P506" s="341"/>
      <c r="Q506" s="342"/>
      <c r="R506" s="342"/>
      <c r="S506" s="341"/>
      <c r="T506" s="342"/>
      <c r="U506" s="342"/>
      <c r="V506" s="342"/>
      <c r="W506" s="342"/>
      <c r="X506" s="342"/>
      <c r="Y506" s="342"/>
      <c r="Z506" s="342"/>
    </row>
    <row r="507" ht="12.75" customHeight="1">
      <c r="A507" s="534"/>
      <c r="B507" s="534"/>
      <c r="C507" s="575"/>
      <c r="D507" s="585"/>
      <c r="E507" s="586"/>
      <c r="F507" s="342"/>
      <c r="G507" s="342"/>
      <c r="H507" s="342"/>
      <c r="I507" s="342"/>
      <c r="J507" s="342"/>
      <c r="K507" s="342"/>
      <c r="L507" s="342"/>
      <c r="M507" s="342"/>
      <c r="N507" s="342"/>
      <c r="O507" s="341"/>
      <c r="P507" s="341"/>
      <c r="Q507" s="342"/>
      <c r="R507" s="342"/>
      <c r="S507" s="341"/>
      <c r="T507" s="342"/>
      <c r="U507" s="342"/>
      <c r="V507" s="342"/>
      <c r="W507" s="342"/>
      <c r="X507" s="342"/>
      <c r="Y507" s="342"/>
      <c r="Z507" s="342"/>
    </row>
    <row r="508" ht="12.75" customHeight="1">
      <c r="A508" s="534"/>
      <c r="B508" s="534"/>
      <c r="C508" s="575"/>
      <c r="D508" s="585"/>
      <c r="E508" s="586"/>
      <c r="F508" s="342"/>
      <c r="G508" s="342"/>
      <c r="H508" s="342"/>
      <c r="I508" s="342"/>
      <c r="J508" s="342"/>
      <c r="K508" s="342"/>
      <c r="L508" s="342"/>
      <c r="M508" s="342"/>
      <c r="N508" s="342"/>
      <c r="O508" s="341"/>
      <c r="P508" s="341"/>
      <c r="Q508" s="342"/>
      <c r="R508" s="342"/>
      <c r="S508" s="341"/>
      <c r="T508" s="342"/>
      <c r="U508" s="342"/>
      <c r="V508" s="342"/>
      <c r="W508" s="342"/>
      <c r="X508" s="342"/>
      <c r="Y508" s="342"/>
      <c r="Z508" s="342"/>
    </row>
    <row r="509" ht="12.75" customHeight="1">
      <c r="A509" s="534"/>
      <c r="B509" s="534"/>
      <c r="C509" s="575"/>
      <c r="D509" s="585"/>
      <c r="E509" s="586"/>
      <c r="F509" s="342"/>
      <c r="G509" s="342"/>
      <c r="H509" s="342"/>
      <c r="I509" s="342"/>
      <c r="J509" s="342"/>
      <c r="K509" s="342"/>
      <c r="L509" s="342"/>
      <c r="M509" s="342"/>
      <c r="N509" s="342"/>
      <c r="O509" s="341"/>
      <c r="P509" s="341"/>
      <c r="Q509" s="342"/>
      <c r="R509" s="342"/>
      <c r="S509" s="341"/>
      <c r="T509" s="342"/>
      <c r="U509" s="342"/>
      <c r="V509" s="342"/>
      <c r="W509" s="342"/>
      <c r="X509" s="342"/>
      <c r="Y509" s="342"/>
      <c r="Z509" s="342"/>
    </row>
    <row r="510" ht="12.75" customHeight="1">
      <c r="A510" s="534"/>
      <c r="B510" s="534"/>
      <c r="C510" s="575"/>
      <c r="D510" s="585"/>
      <c r="E510" s="586"/>
      <c r="F510" s="342"/>
      <c r="G510" s="342"/>
      <c r="H510" s="342"/>
      <c r="I510" s="342"/>
      <c r="J510" s="342"/>
      <c r="K510" s="342"/>
      <c r="L510" s="342"/>
      <c r="M510" s="342"/>
      <c r="N510" s="342"/>
      <c r="O510" s="341"/>
      <c r="P510" s="341"/>
      <c r="Q510" s="342"/>
      <c r="R510" s="342"/>
      <c r="S510" s="341"/>
      <c r="T510" s="342"/>
      <c r="U510" s="342"/>
      <c r="V510" s="342"/>
      <c r="W510" s="342"/>
      <c r="X510" s="342"/>
      <c r="Y510" s="342"/>
      <c r="Z510" s="342"/>
    </row>
    <row r="511" ht="12.75" customHeight="1">
      <c r="A511" s="534"/>
      <c r="B511" s="534"/>
      <c r="C511" s="575"/>
      <c r="D511" s="585"/>
      <c r="E511" s="586"/>
      <c r="F511" s="342"/>
      <c r="G511" s="342"/>
      <c r="H511" s="342"/>
      <c r="I511" s="342"/>
      <c r="J511" s="342"/>
      <c r="K511" s="342"/>
      <c r="L511" s="342"/>
      <c r="M511" s="342"/>
      <c r="N511" s="342"/>
      <c r="O511" s="341"/>
      <c r="P511" s="341"/>
      <c r="Q511" s="342"/>
      <c r="R511" s="342"/>
      <c r="S511" s="341"/>
      <c r="T511" s="342"/>
      <c r="U511" s="342"/>
      <c r="V511" s="342"/>
      <c r="W511" s="342"/>
      <c r="X511" s="342"/>
      <c r="Y511" s="342"/>
      <c r="Z511" s="342"/>
    </row>
    <row r="512" ht="12.75" customHeight="1">
      <c r="A512" s="534"/>
      <c r="B512" s="534"/>
      <c r="C512" s="575"/>
      <c r="D512" s="585"/>
      <c r="E512" s="586"/>
      <c r="F512" s="342"/>
      <c r="G512" s="342"/>
      <c r="H512" s="342"/>
      <c r="I512" s="342"/>
      <c r="J512" s="342"/>
      <c r="K512" s="342"/>
      <c r="L512" s="342"/>
      <c r="M512" s="342"/>
      <c r="N512" s="342"/>
      <c r="O512" s="341"/>
      <c r="P512" s="341"/>
      <c r="Q512" s="342"/>
      <c r="R512" s="342"/>
      <c r="S512" s="341"/>
      <c r="T512" s="342"/>
      <c r="U512" s="342"/>
      <c r="V512" s="342"/>
      <c r="W512" s="342"/>
      <c r="X512" s="342"/>
      <c r="Y512" s="342"/>
      <c r="Z512" s="342"/>
    </row>
    <row r="513" ht="12.75" customHeight="1">
      <c r="A513" s="534"/>
      <c r="B513" s="534"/>
      <c r="C513" s="575"/>
      <c r="D513" s="585"/>
      <c r="E513" s="586"/>
      <c r="F513" s="342"/>
      <c r="G513" s="342"/>
      <c r="H513" s="342"/>
      <c r="I513" s="342"/>
      <c r="J513" s="342"/>
      <c r="K513" s="342"/>
      <c r="L513" s="342"/>
      <c r="M513" s="342"/>
      <c r="N513" s="342"/>
      <c r="O513" s="341"/>
      <c r="P513" s="341"/>
      <c r="Q513" s="342"/>
      <c r="R513" s="342"/>
      <c r="S513" s="341"/>
      <c r="T513" s="342"/>
      <c r="U513" s="342"/>
      <c r="V513" s="342"/>
      <c r="W513" s="342"/>
      <c r="X513" s="342"/>
      <c r="Y513" s="342"/>
      <c r="Z513" s="342"/>
    </row>
    <row r="514" ht="12.75" customHeight="1">
      <c r="A514" s="534"/>
      <c r="B514" s="534"/>
      <c r="C514" s="575"/>
      <c r="D514" s="585"/>
      <c r="E514" s="586"/>
      <c r="F514" s="342"/>
      <c r="G514" s="342"/>
      <c r="H514" s="342"/>
      <c r="I514" s="342"/>
      <c r="J514" s="342"/>
      <c r="K514" s="342"/>
      <c r="L514" s="342"/>
      <c r="M514" s="342"/>
      <c r="N514" s="342"/>
      <c r="O514" s="341"/>
      <c r="P514" s="341"/>
      <c r="Q514" s="342"/>
      <c r="R514" s="342"/>
      <c r="S514" s="341"/>
      <c r="T514" s="342"/>
      <c r="U514" s="342"/>
      <c r="V514" s="342"/>
      <c r="W514" s="342"/>
      <c r="X514" s="342"/>
      <c r="Y514" s="342"/>
      <c r="Z514" s="342"/>
    </row>
    <row r="515" ht="12.75" customHeight="1">
      <c r="A515" s="534"/>
      <c r="B515" s="534"/>
      <c r="C515" s="575"/>
      <c r="D515" s="585"/>
      <c r="E515" s="586"/>
      <c r="F515" s="342"/>
      <c r="G515" s="342"/>
      <c r="H515" s="342"/>
      <c r="I515" s="342"/>
      <c r="J515" s="342"/>
      <c r="K515" s="342"/>
      <c r="L515" s="342"/>
      <c r="M515" s="342"/>
      <c r="N515" s="342"/>
      <c r="O515" s="341"/>
      <c r="P515" s="341"/>
      <c r="Q515" s="342"/>
      <c r="R515" s="342"/>
      <c r="S515" s="341"/>
      <c r="T515" s="342"/>
      <c r="U515" s="342"/>
      <c r="V515" s="342"/>
      <c r="W515" s="342"/>
      <c r="X515" s="342"/>
      <c r="Y515" s="342"/>
      <c r="Z515" s="342"/>
    </row>
    <row r="516" ht="12.75" customHeight="1">
      <c r="A516" s="534"/>
      <c r="B516" s="534"/>
      <c r="C516" s="575"/>
      <c r="D516" s="585"/>
      <c r="E516" s="586"/>
      <c r="F516" s="342"/>
      <c r="G516" s="342"/>
      <c r="H516" s="342"/>
      <c r="I516" s="342"/>
      <c r="J516" s="342"/>
      <c r="K516" s="342"/>
      <c r="L516" s="342"/>
      <c r="M516" s="342"/>
      <c r="N516" s="342"/>
      <c r="O516" s="341"/>
      <c r="P516" s="341"/>
      <c r="Q516" s="342"/>
      <c r="R516" s="342"/>
      <c r="S516" s="341"/>
      <c r="T516" s="342"/>
      <c r="U516" s="342"/>
      <c r="V516" s="342"/>
      <c r="W516" s="342"/>
      <c r="X516" s="342"/>
      <c r="Y516" s="342"/>
      <c r="Z516" s="342"/>
    </row>
    <row r="517" ht="12.75" customHeight="1">
      <c r="A517" s="534"/>
      <c r="B517" s="534"/>
      <c r="C517" s="575"/>
      <c r="D517" s="585"/>
      <c r="E517" s="586"/>
      <c r="F517" s="342"/>
      <c r="G517" s="342"/>
      <c r="H517" s="342"/>
      <c r="I517" s="342"/>
      <c r="J517" s="342"/>
      <c r="K517" s="342"/>
      <c r="L517" s="342"/>
      <c r="M517" s="342"/>
      <c r="N517" s="342"/>
      <c r="O517" s="341"/>
      <c r="P517" s="341"/>
      <c r="Q517" s="342"/>
      <c r="R517" s="342"/>
      <c r="S517" s="341"/>
      <c r="T517" s="342"/>
      <c r="U517" s="342"/>
      <c r="V517" s="342"/>
      <c r="W517" s="342"/>
      <c r="X517" s="342"/>
      <c r="Y517" s="342"/>
      <c r="Z517" s="342"/>
    </row>
    <row r="518" ht="12.75" customHeight="1">
      <c r="A518" s="534"/>
      <c r="B518" s="534"/>
      <c r="C518" s="575"/>
      <c r="D518" s="585"/>
      <c r="E518" s="586"/>
      <c r="F518" s="342"/>
      <c r="G518" s="342"/>
      <c r="H518" s="342"/>
      <c r="I518" s="342"/>
      <c r="J518" s="342"/>
      <c r="K518" s="342"/>
      <c r="L518" s="342"/>
      <c r="M518" s="342"/>
      <c r="N518" s="342"/>
      <c r="O518" s="341"/>
      <c r="P518" s="341"/>
      <c r="Q518" s="342"/>
      <c r="R518" s="342"/>
      <c r="S518" s="341"/>
      <c r="T518" s="342"/>
      <c r="U518" s="342"/>
      <c r="V518" s="342"/>
      <c r="W518" s="342"/>
      <c r="X518" s="342"/>
      <c r="Y518" s="342"/>
      <c r="Z518" s="342"/>
    </row>
    <row r="519" ht="12.75" customHeight="1">
      <c r="A519" s="534"/>
      <c r="B519" s="534"/>
      <c r="C519" s="575"/>
      <c r="D519" s="585"/>
      <c r="E519" s="586"/>
      <c r="F519" s="342"/>
      <c r="G519" s="342"/>
      <c r="H519" s="342"/>
      <c r="I519" s="342"/>
      <c r="J519" s="342"/>
      <c r="K519" s="342"/>
      <c r="L519" s="342"/>
      <c r="M519" s="342"/>
      <c r="N519" s="342"/>
      <c r="O519" s="341"/>
      <c r="P519" s="341"/>
      <c r="Q519" s="342"/>
      <c r="R519" s="342"/>
      <c r="S519" s="341"/>
      <c r="T519" s="342"/>
      <c r="U519" s="342"/>
      <c r="V519" s="342"/>
      <c r="W519" s="342"/>
      <c r="X519" s="342"/>
      <c r="Y519" s="342"/>
      <c r="Z519" s="342"/>
    </row>
    <row r="520" ht="12.75" customHeight="1">
      <c r="A520" s="534"/>
      <c r="B520" s="534"/>
      <c r="C520" s="575"/>
      <c r="D520" s="585"/>
      <c r="E520" s="586"/>
      <c r="F520" s="342"/>
      <c r="G520" s="342"/>
      <c r="H520" s="342"/>
      <c r="I520" s="342"/>
      <c r="J520" s="342"/>
      <c r="K520" s="342"/>
      <c r="L520" s="342"/>
      <c r="M520" s="342"/>
      <c r="N520" s="342"/>
      <c r="O520" s="341"/>
      <c r="P520" s="341"/>
      <c r="Q520" s="342"/>
      <c r="R520" s="342"/>
      <c r="S520" s="341"/>
      <c r="T520" s="342"/>
      <c r="U520" s="342"/>
      <c r="V520" s="342"/>
      <c r="W520" s="342"/>
      <c r="X520" s="342"/>
      <c r="Y520" s="342"/>
      <c r="Z520" s="342"/>
    </row>
    <row r="521" ht="12.75" customHeight="1">
      <c r="A521" s="534"/>
      <c r="B521" s="534"/>
      <c r="C521" s="575"/>
      <c r="D521" s="585"/>
      <c r="E521" s="586"/>
      <c r="F521" s="342"/>
      <c r="G521" s="342"/>
      <c r="H521" s="342"/>
      <c r="I521" s="342"/>
      <c r="J521" s="342"/>
      <c r="K521" s="342"/>
      <c r="L521" s="342"/>
      <c r="M521" s="342"/>
      <c r="N521" s="342"/>
      <c r="O521" s="341"/>
      <c r="P521" s="341"/>
      <c r="Q521" s="342"/>
      <c r="R521" s="342"/>
      <c r="S521" s="341"/>
      <c r="T521" s="342"/>
      <c r="U521" s="342"/>
      <c r="V521" s="342"/>
      <c r="W521" s="342"/>
      <c r="X521" s="342"/>
      <c r="Y521" s="342"/>
      <c r="Z521" s="342"/>
    </row>
    <row r="522" ht="12.75" customHeight="1">
      <c r="A522" s="534"/>
      <c r="B522" s="534"/>
      <c r="C522" s="575"/>
      <c r="D522" s="585"/>
      <c r="E522" s="586"/>
      <c r="F522" s="342"/>
      <c r="G522" s="342"/>
      <c r="H522" s="342"/>
      <c r="I522" s="342"/>
      <c r="J522" s="342"/>
      <c r="K522" s="342"/>
      <c r="L522" s="342"/>
      <c r="M522" s="342"/>
      <c r="N522" s="342"/>
      <c r="O522" s="341"/>
      <c r="P522" s="341"/>
      <c r="Q522" s="342"/>
      <c r="R522" s="342"/>
      <c r="S522" s="341"/>
      <c r="T522" s="342"/>
      <c r="U522" s="342"/>
      <c r="V522" s="342"/>
      <c r="W522" s="342"/>
      <c r="X522" s="342"/>
      <c r="Y522" s="342"/>
      <c r="Z522" s="342"/>
    </row>
    <row r="523" ht="12.75" customHeight="1">
      <c r="A523" s="534"/>
      <c r="B523" s="534"/>
      <c r="C523" s="575"/>
      <c r="D523" s="585"/>
      <c r="E523" s="586"/>
      <c r="F523" s="342"/>
      <c r="G523" s="342"/>
      <c r="H523" s="342"/>
      <c r="I523" s="342"/>
      <c r="J523" s="342"/>
      <c r="K523" s="342"/>
      <c r="L523" s="342"/>
      <c r="M523" s="342"/>
      <c r="N523" s="342"/>
      <c r="O523" s="341"/>
      <c r="P523" s="341"/>
      <c r="Q523" s="342"/>
      <c r="R523" s="342"/>
      <c r="S523" s="341"/>
      <c r="T523" s="342"/>
      <c r="U523" s="342"/>
      <c r="V523" s="342"/>
      <c r="W523" s="342"/>
      <c r="X523" s="342"/>
      <c r="Y523" s="342"/>
      <c r="Z523" s="342"/>
    </row>
    <row r="524" ht="12.75" customHeight="1">
      <c r="A524" s="534"/>
      <c r="B524" s="534"/>
      <c r="C524" s="575"/>
      <c r="D524" s="585"/>
      <c r="E524" s="586"/>
      <c r="F524" s="342"/>
      <c r="G524" s="342"/>
      <c r="H524" s="342"/>
      <c r="I524" s="342"/>
      <c r="J524" s="342"/>
      <c r="K524" s="342"/>
      <c r="L524" s="342"/>
      <c r="M524" s="342"/>
      <c r="N524" s="342"/>
      <c r="O524" s="341"/>
      <c r="P524" s="341"/>
      <c r="Q524" s="342"/>
      <c r="R524" s="342"/>
      <c r="S524" s="341"/>
      <c r="T524" s="342"/>
      <c r="U524" s="342"/>
      <c r="V524" s="342"/>
      <c r="W524" s="342"/>
      <c r="X524" s="342"/>
      <c r="Y524" s="342"/>
      <c r="Z524" s="342"/>
    </row>
    <row r="525" ht="12.75" customHeight="1">
      <c r="A525" s="534"/>
      <c r="B525" s="534"/>
      <c r="C525" s="575"/>
      <c r="D525" s="585"/>
      <c r="E525" s="586"/>
      <c r="F525" s="342"/>
      <c r="G525" s="342"/>
      <c r="H525" s="342"/>
      <c r="I525" s="342"/>
      <c r="J525" s="342"/>
      <c r="K525" s="342"/>
      <c r="L525" s="342"/>
      <c r="M525" s="342"/>
      <c r="N525" s="342"/>
      <c r="O525" s="341"/>
      <c r="P525" s="341"/>
      <c r="Q525" s="342"/>
      <c r="R525" s="342"/>
      <c r="S525" s="341"/>
      <c r="T525" s="342"/>
      <c r="U525" s="342"/>
      <c r="V525" s="342"/>
      <c r="W525" s="342"/>
      <c r="X525" s="342"/>
      <c r="Y525" s="342"/>
      <c r="Z525" s="342"/>
    </row>
    <row r="526" ht="12.75" customHeight="1">
      <c r="A526" s="534"/>
      <c r="B526" s="534"/>
      <c r="C526" s="575"/>
      <c r="D526" s="585"/>
      <c r="E526" s="586"/>
      <c r="F526" s="342"/>
      <c r="G526" s="342"/>
      <c r="H526" s="342"/>
      <c r="I526" s="342"/>
      <c r="J526" s="342"/>
      <c r="K526" s="342"/>
      <c r="L526" s="342"/>
      <c r="M526" s="342"/>
      <c r="N526" s="342"/>
      <c r="O526" s="341"/>
      <c r="P526" s="341"/>
      <c r="Q526" s="342"/>
      <c r="R526" s="342"/>
      <c r="S526" s="341"/>
      <c r="T526" s="342"/>
      <c r="U526" s="342"/>
      <c r="V526" s="342"/>
      <c r="W526" s="342"/>
      <c r="X526" s="342"/>
      <c r="Y526" s="342"/>
      <c r="Z526" s="342"/>
    </row>
    <row r="527" ht="12.75" customHeight="1">
      <c r="A527" s="534"/>
      <c r="B527" s="534"/>
      <c r="C527" s="575"/>
      <c r="D527" s="585"/>
      <c r="E527" s="586"/>
      <c r="F527" s="342"/>
      <c r="G527" s="342"/>
      <c r="H527" s="342"/>
      <c r="I527" s="342"/>
      <c r="J527" s="342"/>
      <c r="K527" s="342"/>
      <c r="L527" s="342"/>
      <c r="M527" s="342"/>
      <c r="N527" s="342"/>
      <c r="O527" s="341"/>
      <c r="P527" s="341"/>
      <c r="Q527" s="342"/>
      <c r="R527" s="342"/>
      <c r="S527" s="341"/>
      <c r="T527" s="342"/>
      <c r="U527" s="342"/>
      <c r="V527" s="342"/>
      <c r="W527" s="342"/>
      <c r="X527" s="342"/>
      <c r="Y527" s="342"/>
      <c r="Z527" s="342"/>
    </row>
    <row r="528" ht="12.75" customHeight="1">
      <c r="A528" s="534"/>
      <c r="B528" s="534"/>
      <c r="C528" s="575"/>
      <c r="D528" s="585"/>
      <c r="E528" s="586"/>
      <c r="F528" s="342"/>
      <c r="G528" s="342"/>
      <c r="H528" s="342"/>
      <c r="I528" s="342"/>
      <c r="J528" s="342"/>
      <c r="K528" s="342"/>
      <c r="L528" s="342"/>
      <c r="M528" s="342"/>
      <c r="N528" s="342"/>
      <c r="O528" s="341"/>
      <c r="P528" s="341"/>
      <c r="Q528" s="342"/>
      <c r="R528" s="342"/>
      <c r="S528" s="341"/>
      <c r="T528" s="342"/>
      <c r="U528" s="342"/>
      <c r="V528" s="342"/>
      <c r="W528" s="342"/>
      <c r="X528" s="342"/>
      <c r="Y528" s="342"/>
      <c r="Z528" s="342"/>
    </row>
    <row r="529" ht="12.75" customHeight="1">
      <c r="A529" s="534"/>
      <c r="B529" s="534"/>
      <c r="C529" s="575"/>
      <c r="D529" s="585"/>
      <c r="E529" s="586"/>
      <c r="F529" s="342"/>
      <c r="G529" s="342"/>
      <c r="H529" s="342"/>
      <c r="I529" s="342"/>
      <c r="J529" s="342"/>
      <c r="K529" s="342"/>
      <c r="L529" s="342"/>
      <c r="M529" s="342"/>
      <c r="N529" s="342"/>
      <c r="O529" s="341"/>
      <c r="P529" s="341"/>
      <c r="Q529" s="342"/>
      <c r="R529" s="342"/>
      <c r="S529" s="341"/>
      <c r="T529" s="342"/>
      <c r="U529" s="342"/>
      <c r="V529" s="342"/>
      <c r="W529" s="342"/>
      <c r="X529" s="342"/>
      <c r="Y529" s="342"/>
      <c r="Z529" s="342"/>
    </row>
    <row r="530" ht="12.75" customHeight="1">
      <c r="A530" s="534"/>
      <c r="B530" s="534"/>
      <c r="C530" s="575"/>
      <c r="D530" s="585"/>
      <c r="E530" s="586"/>
      <c r="F530" s="342"/>
      <c r="G530" s="342"/>
      <c r="H530" s="342"/>
      <c r="I530" s="342"/>
      <c r="J530" s="342"/>
      <c r="K530" s="342"/>
      <c r="L530" s="342"/>
      <c r="M530" s="342"/>
      <c r="N530" s="342"/>
      <c r="O530" s="341"/>
      <c r="P530" s="341"/>
      <c r="Q530" s="342"/>
      <c r="R530" s="342"/>
      <c r="S530" s="341"/>
      <c r="T530" s="342"/>
      <c r="U530" s="342"/>
      <c r="V530" s="342"/>
      <c r="W530" s="342"/>
      <c r="X530" s="342"/>
      <c r="Y530" s="342"/>
      <c r="Z530" s="342"/>
    </row>
    <row r="531" ht="12.75" customHeight="1">
      <c r="A531" s="534"/>
      <c r="B531" s="534"/>
      <c r="C531" s="575"/>
      <c r="D531" s="585"/>
      <c r="E531" s="586"/>
      <c r="F531" s="342"/>
      <c r="G531" s="342"/>
      <c r="H531" s="342"/>
      <c r="I531" s="342"/>
      <c r="J531" s="342"/>
      <c r="K531" s="342"/>
      <c r="L531" s="342"/>
      <c r="M531" s="342"/>
      <c r="N531" s="342"/>
      <c r="O531" s="341"/>
      <c r="P531" s="341"/>
      <c r="Q531" s="342"/>
      <c r="R531" s="342"/>
      <c r="S531" s="341"/>
      <c r="T531" s="342"/>
      <c r="U531" s="342"/>
      <c r="V531" s="342"/>
      <c r="W531" s="342"/>
      <c r="X531" s="342"/>
      <c r="Y531" s="342"/>
      <c r="Z531" s="342"/>
    </row>
    <row r="532" ht="12.75" customHeight="1">
      <c r="A532" s="534"/>
      <c r="B532" s="534"/>
      <c r="C532" s="575"/>
      <c r="D532" s="585"/>
      <c r="E532" s="586"/>
      <c r="F532" s="342"/>
      <c r="G532" s="342"/>
      <c r="H532" s="342"/>
      <c r="I532" s="342"/>
      <c r="J532" s="342"/>
      <c r="K532" s="342"/>
      <c r="L532" s="342"/>
      <c r="M532" s="342"/>
      <c r="N532" s="342"/>
      <c r="O532" s="341"/>
      <c r="P532" s="341"/>
      <c r="Q532" s="342"/>
      <c r="R532" s="342"/>
      <c r="S532" s="341"/>
      <c r="T532" s="342"/>
      <c r="U532" s="342"/>
      <c r="V532" s="342"/>
      <c r="W532" s="342"/>
      <c r="X532" s="342"/>
      <c r="Y532" s="342"/>
      <c r="Z532" s="342"/>
    </row>
    <row r="533" ht="12.75" customHeight="1">
      <c r="A533" s="534"/>
      <c r="B533" s="534"/>
      <c r="C533" s="575"/>
      <c r="D533" s="585"/>
      <c r="E533" s="586"/>
      <c r="F533" s="342"/>
      <c r="G533" s="342"/>
      <c r="H533" s="342"/>
      <c r="I533" s="342"/>
      <c r="J533" s="342"/>
      <c r="K533" s="342"/>
      <c r="L533" s="342"/>
      <c r="M533" s="342"/>
      <c r="N533" s="342"/>
      <c r="O533" s="341"/>
      <c r="P533" s="341"/>
      <c r="Q533" s="342"/>
      <c r="R533" s="342"/>
      <c r="S533" s="341"/>
      <c r="T533" s="342"/>
      <c r="U533" s="342"/>
      <c r="V533" s="342"/>
      <c r="W533" s="342"/>
      <c r="X533" s="342"/>
      <c r="Y533" s="342"/>
      <c r="Z533" s="342"/>
    </row>
    <row r="534" ht="12.75" customHeight="1">
      <c r="A534" s="534"/>
      <c r="B534" s="534"/>
      <c r="C534" s="575"/>
      <c r="D534" s="585"/>
      <c r="E534" s="586"/>
      <c r="F534" s="342"/>
      <c r="G534" s="342"/>
      <c r="H534" s="342"/>
      <c r="I534" s="342"/>
      <c r="J534" s="342"/>
      <c r="K534" s="342"/>
      <c r="L534" s="342"/>
      <c r="M534" s="342"/>
      <c r="N534" s="342"/>
      <c r="O534" s="341"/>
      <c r="P534" s="341"/>
      <c r="Q534" s="342"/>
      <c r="R534" s="342"/>
      <c r="S534" s="341"/>
      <c r="T534" s="342"/>
      <c r="U534" s="342"/>
      <c r="V534" s="342"/>
      <c r="W534" s="342"/>
      <c r="X534" s="342"/>
      <c r="Y534" s="342"/>
      <c r="Z534" s="342"/>
    </row>
    <row r="535" ht="12.75" customHeight="1">
      <c r="A535" s="534"/>
      <c r="B535" s="534"/>
      <c r="C535" s="575"/>
      <c r="D535" s="585"/>
      <c r="E535" s="586"/>
      <c r="F535" s="342"/>
      <c r="G535" s="342"/>
      <c r="H535" s="342"/>
      <c r="I535" s="342"/>
      <c r="J535" s="342"/>
      <c r="K535" s="342"/>
      <c r="L535" s="342"/>
      <c r="M535" s="342"/>
      <c r="N535" s="342"/>
      <c r="O535" s="341"/>
      <c r="P535" s="341"/>
      <c r="Q535" s="342"/>
      <c r="R535" s="342"/>
      <c r="S535" s="341"/>
      <c r="T535" s="342"/>
      <c r="U535" s="342"/>
      <c r="V535" s="342"/>
      <c r="W535" s="342"/>
      <c r="X535" s="342"/>
      <c r="Y535" s="342"/>
      <c r="Z535" s="342"/>
    </row>
    <row r="536" ht="12.75" customHeight="1">
      <c r="A536" s="534"/>
      <c r="B536" s="534"/>
      <c r="C536" s="575"/>
      <c r="D536" s="585"/>
      <c r="E536" s="586"/>
      <c r="F536" s="342"/>
      <c r="G536" s="342"/>
      <c r="H536" s="342"/>
      <c r="I536" s="342"/>
      <c r="J536" s="342"/>
      <c r="K536" s="342"/>
      <c r="L536" s="342"/>
      <c r="M536" s="342"/>
      <c r="N536" s="342"/>
      <c r="O536" s="341"/>
      <c r="P536" s="341"/>
      <c r="Q536" s="342"/>
      <c r="R536" s="342"/>
      <c r="S536" s="341"/>
      <c r="T536" s="342"/>
      <c r="U536" s="342"/>
      <c r="V536" s="342"/>
      <c r="W536" s="342"/>
      <c r="X536" s="342"/>
      <c r="Y536" s="342"/>
      <c r="Z536" s="342"/>
    </row>
    <row r="537" ht="12.75" customHeight="1">
      <c r="A537" s="534"/>
      <c r="B537" s="534"/>
      <c r="C537" s="575"/>
      <c r="D537" s="585"/>
      <c r="E537" s="586"/>
      <c r="F537" s="342"/>
      <c r="G537" s="342"/>
      <c r="H537" s="342"/>
      <c r="I537" s="342"/>
      <c r="J537" s="342"/>
      <c r="K537" s="342"/>
      <c r="L537" s="342"/>
      <c r="M537" s="342"/>
      <c r="N537" s="342"/>
      <c r="O537" s="341"/>
      <c r="P537" s="341"/>
      <c r="Q537" s="342"/>
      <c r="R537" s="342"/>
      <c r="S537" s="341"/>
      <c r="T537" s="342"/>
      <c r="U537" s="342"/>
      <c r="V537" s="342"/>
      <c r="W537" s="342"/>
      <c r="X537" s="342"/>
      <c r="Y537" s="342"/>
      <c r="Z537" s="342"/>
    </row>
    <row r="538" ht="12.75" customHeight="1">
      <c r="A538" s="534"/>
      <c r="B538" s="534"/>
      <c r="C538" s="575"/>
      <c r="D538" s="585"/>
      <c r="E538" s="586"/>
      <c r="F538" s="342"/>
      <c r="G538" s="342"/>
      <c r="H538" s="342"/>
      <c r="I538" s="342"/>
      <c r="J538" s="342"/>
      <c r="K538" s="342"/>
      <c r="L538" s="342"/>
      <c r="M538" s="342"/>
      <c r="N538" s="342"/>
      <c r="O538" s="341"/>
      <c r="P538" s="341"/>
      <c r="Q538" s="342"/>
      <c r="R538" s="342"/>
      <c r="S538" s="341"/>
      <c r="T538" s="342"/>
      <c r="U538" s="342"/>
      <c r="V538" s="342"/>
      <c r="W538" s="342"/>
      <c r="X538" s="342"/>
      <c r="Y538" s="342"/>
      <c r="Z538" s="342"/>
    </row>
    <row r="539" ht="12.75" customHeight="1">
      <c r="A539" s="534"/>
      <c r="B539" s="534"/>
      <c r="C539" s="575"/>
      <c r="D539" s="585"/>
      <c r="E539" s="586"/>
      <c r="F539" s="342"/>
      <c r="G539" s="342"/>
      <c r="H539" s="342"/>
      <c r="I539" s="342"/>
      <c r="J539" s="342"/>
      <c r="K539" s="342"/>
      <c r="L539" s="342"/>
      <c r="M539" s="342"/>
      <c r="N539" s="342"/>
      <c r="O539" s="341"/>
      <c r="P539" s="341"/>
      <c r="Q539" s="342"/>
      <c r="R539" s="342"/>
      <c r="S539" s="341"/>
      <c r="T539" s="342"/>
      <c r="U539" s="342"/>
      <c r="V539" s="342"/>
      <c r="W539" s="342"/>
      <c r="X539" s="342"/>
      <c r="Y539" s="342"/>
      <c r="Z539" s="342"/>
    </row>
    <row r="540" ht="12.75" customHeight="1">
      <c r="A540" s="534"/>
      <c r="B540" s="534"/>
      <c r="C540" s="575"/>
      <c r="D540" s="585"/>
      <c r="E540" s="586"/>
      <c r="F540" s="342"/>
      <c r="G540" s="342"/>
      <c r="H540" s="342"/>
      <c r="I540" s="342"/>
      <c r="J540" s="342"/>
      <c r="K540" s="342"/>
      <c r="L540" s="342"/>
      <c r="M540" s="342"/>
      <c r="N540" s="342"/>
      <c r="O540" s="341"/>
      <c r="P540" s="341"/>
      <c r="Q540" s="342"/>
      <c r="R540" s="342"/>
      <c r="S540" s="341"/>
      <c r="T540" s="342"/>
      <c r="U540" s="342"/>
      <c r="V540" s="342"/>
      <c r="W540" s="342"/>
      <c r="X540" s="342"/>
      <c r="Y540" s="342"/>
      <c r="Z540" s="342"/>
    </row>
    <row r="541" ht="12.75" customHeight="1">
      <c r="A541" s="534"/>
      <c r="B541" s="534"/>
      <c r="C541" s="575"/>
      <c r="D541" s="585"/>
      <c r="E541" s="586"/>
      <c r="F541" s="342"/>
      <c r="G541" s="342"/>
      <c r="H541" s="342"/>
      <c r="I541" s="342"/>
      <c r="J541" s="342"/>
      <c r="K541" s="342"/>
      <c r="L541" s="342"/>
      <c r="M541" s="342"/>
      <c r="N541" s="342"/>
      <c r="O541" s="341"/>
      <c r="P541" s="341"/>
      <c r="Q541" s="342"/>
      <c r="R541" s="342"/>
      <c r="S541" s="341"/>
      <c r="T541" s="342"/>
      <c r="U541" s="342"/>
      <c r="V541" s="342"/>
      <c r="W541" s="342"/>
      <c r="X541" s="342"/>
      <c r="Y541" s="342"/>
      <c r="Z541" s="342"/>
    </row>
    <row r="542" ht="12.75" customHeight="1">
      <c r="A542" s="534"/>
      <c r="B542" s="534"/>
      <c r="C542" s="575"/>
      <c r="D542" s="585"/>
      <c r="E542" s="586"/>
      <c r="F542" s="342"/>
      <c r="G542" s="342"/>
      <c r="H542" s="342"/>
      <c r="I542" s="342"/>
      <c r="J542" s="342"/>
      <c r="K542" s="342"/>
      <c r="L542" s="342"/>
      <c r="M542" s="342"/>
      <c r="N542" s="342"/>
      <c r="O542" s="341"/>
      <c r="P542" s="341"/>
      <c r="Q542" s="342"/>
      <c r="R542" s="342"/>
      <c r="S542" s="341"/>
      <c r="T542" s="342"/>
      <c r="U542" s="342"/>
      <c r="V542" s="342"/>
      <c r="W542" s="342"/>
      <c r="X542" s="342"/>
      <c r="Y542" s="342"/>
      <c r="Z542" s="342"/>
    </row>
    <row r="543" ht="12.75" customHeight="1">
      <c r="A543" s="534"/>
      <c r="B543" s="534"/>
      <c r="C543" s="575"/>
      <c r="D543" s="585"/>
      <c r="E543" s="586"/>
      <c r="F543" s="342"/>
      <c r="G543" s="342"/>
      <c r="H543" s="342"/>
      <c r="I543" s="342"/>
      <c r="J543" s="342"/>
      <c r="K543" s="342"/>
      <c r="L543" s="342"/>
      <c r="M543" s="342"/>
      <c r="N543" s="342"/>
      <c r="O543" s="341"/>
      <c r="P543" s="341"/>
      <c r="Q543" s="342"/>
      <c r="R543" s="342"/>
      <c r="S543" s="341"/>
      <c r="T543" s="342"/>
      <c r="U543" s="342"/>
      <c r="V543" s="342"/>
      <c r="W543" s="342"/>
      <c r="X543" s="342"/>
      <c r="Y543" s="342"/>
      <c r="Z543" s="342"/>
    </row>
    <row r="544" ht="12.75" customHeight="1">
      <c r="A544" s="534"/>
      <c r="B544" s="534"/>
      <c r="C544" s="575"/>
      <c r="D544" s="585"/>
      <c r="E544" s="586"/>
      <c r="F544" s="342"/>
      <c r="G544" s="342"/>
      <c r="H544" s="342"/>
      <c r="I544" s="342"/>
      <c r="J544" s="342"/>
      <c r="K544" s="342"/>
      <c r="L544" s="342"/>
      <c r="M544" s="342"/>
      <c r="N544" s="342"/>
      <c r="O544" s="341"/>
      <c r="P544" s="341"/>
      <c r="Q544" s="342"/>
      <c r="R544" s="342"/>
      <c r="S544" s="341"/>
      <c r="T544" s="342"/>
      <c r="U544" s="342"/>
      <c r="V544" s="342"/>
      <c r="W544" s="342"/>
      <c r="X544" s="342"/>
      <c r="Y544" s="342"/>
      <c r="Z544" s="342"/>
    </row>
    <row r="545" ht="12.75" customHeight="1">
      <c r="A545" s="534"/>
      <c r="B545" s="534"/>
      <c r="C545" s="575"/>
      <c r="D545" s="585"/>
      <c r="E545" s="586"/>
      <c r="F545" s="342"/>
      <c r="G545" s="342"/>
      <c r="H545" s="342"/>
      <c r="I545" s="342"/>
      <c r="J545" s="342"/>
      <c r="K545" s="342"/>
      <c r="L545" s="342"/>
      <c r="M545" s="342"/>
      <c r="N545" s="342"/>
      <c r="O545" s="341"/>
      <c r="P545" s="341"/>
      <c r="Q545" s="342"/>
      <c r="R545" s="342"/>
      <c r="S545" s="341"/>
      <c r="T545" s="342"/>
      <c r="U545" s="342"/>
      <c r="V545" s="342"/>
      <c r="W545" s="342"/>
      <c r="X545" s="342"/>
      <c r="Y545" s="342"/>
      <c r="Z545" s="342"/>
    </row>
    <row r="546" ht="12.75" customHeight="1">
      <c r="A546" s="534"/>
      <c r="B546" s="534"/>
      <c r="C546" s="575"/>
      <c r="D546" s="585"/>
      <c r="E546" s="586"/>
      <c r="F546" s="342"/>
      <c r="G546" s="342"/>
      <c r="H546" s="342"/>
      <c r="I546" s="342"/>
      <c r="J546" s="342"/>
      <c r="K546" s="342"/>
      <c r="L546" s="342"/>
      <c r="M546" s="342"/>
      <c r="N546" s="342"/>
      <c r="O546" s="341"/>
      <c r="P546" s="341"/>
      <c r="Q546" s="342"/>
      <c r="R546" s="342"/>
      <c r="S546" s="341"/>
      <c r="T546" s="342"/>
      <c r="U546" s="342"/>
      <c r="V546" s="342"/>
      <c r="W546" s="342"/>
      <c r="X546" s="342"/>
      <c r="Y546" s="342"/>
      <c r="Z546" s="342"/>
    </row>
    <row r="547" ht="12.75" customHeight="1">
      <c r="A547" s="534"/>
      <c r="B547" s="534"/>
      <c r="C547" s="575"/>
      <c r="D547" s="585"/>
      <c r="E547" s="586"/>
      <c r="F547" s="342"/>
      <c r="G547" s="342"/>
      <c r="H547" s="342"/>
      <c r="I547" s="342"/>
      <c r="J547" s="342"/>
      <c r="K547" s="342"/>
      <c r="L547" s="342"/>
      <c r="M547" s="342"/>
      <c r="N547" s="342"/>
      <c r="O547" s="341"/>
      <c r="P547" s="341"/>
      <c r="Q547" s="342"/>
      <c r="R547" s="342"/>
      <c r="S547" s="341"/>
      <c r="T547" s="342"/>
      <c r="U547" s="342"/>
      <c r="V547" s="342"/>
      <c r="W547" s="342"/>
      <c r="X547" s="342"/>
      <c r="Y547" s="342"/>
      <c r="Z547" s="342"/>
    </row>
    <row r="548" ht="12.75" customHeight="1">
      <c r="A548" s="534"/>
      <c r="B548" s="534"/>
      <c r="C548" s="575"/>
      <c r="D548" s="585"/>
      <c r="E548" s="586"/>
      <c r="F548" s="342"/>
      <c r="G548" s="342"/>
      <c r="H548" s="342"/>
      <c r="I548" s="342"/>
      <c r="J548" s="342"/>
      <c r="K548" s="342"/>
      <c r="L548" s="342"/>
      <c r="M548" s="342"/>
      <c r="N548" s="342"/>
      <c r="O548" s="341"/>
      <c r="P548" s="341"/>
      <c r="Q548" s="342"/>
      <c r="R548" s="342"/>
      <c r="S548" s="341"/>
      <c r="T548" s="342"/>
      <c r="U548" s="342"/>
      <c r="V548" s="342"/>
      <c r="W548" s="342"/>
      <c r="X548" s="342"/>
      <c r="Y548" s="342"/>
      <c r="Z548" s="342"/>
    </row>
    <row r="549" ht="12.75" customHeight="1">
      <c r="A549" s="534"/>
      <c r="B549" s="534"/>
      <c r="C549" s="575"/>
      <c r="D549" s="585"/>
      <c r="E549" s="586"/>
      <c r="F549" s="342"/>
      <c r="G549" s="342"/>
      <c r="H549" s="342"/>
      <c r="I549" s="342"/>
      <c r="J549" s="342"/>
      <c r="K549" s="342"/>
      <c r="L549" s="342"/>
      <c r="M549" s="342"/>
      <c r="N549" s="342"/>
      <c r="O549" s="341"/>
      <c r="P549" s="341"/>
      <c r="Q549" s="342"/>
      <c r="R549" s="342"/>
      <c r="S549" s="341"/>
      <c r="T549" s="342"/>
      <c r="U549" s="342"/>
      <c r="V549" s="342"/>
      <c r="W549" s="342"/>
      <c r="X549" s="342"/>
      <c r="Y549" s="342"/>
      <c r="Z549" s="342"/>
    </row>
    <row r="550" ht="12.75" customHeight="1">
      <c r="A550" s="534"/>
      <c r="B550" s="534"/>
      <c r="C550" s="575"/>
      <c r="D550" s="585"/>
      <c r="E550" s="586"/>
      <c r="F550" s="342"/>
      <c r="G550" s="342"/>
      <c r="H550" s="342"/>
      <c r="I550" s="342"/>
      <c r="J550" s="342"/>
      <c r="K550" s="342"/>
      <c r="L550" s="342"/>
      <c r="M550" s="342"/>
      <c r="N550" s="342"/>
      <c r="O550" s="341"/>
      <c r="P550" s="341"/>
      <c r="Q550" s="342"/>
      <c r="R550" s="342"/>
      <c r="S550" s="341"/>
      <c r="T550" s="342"/>
      <c r="U550" s="342"/>
      <c r="V550" s="342"/>
      <c r="W550" s="342"/>
      <c r="X550" s="342"/>
      <c r="Y550" s="342"/>
      <c r="Z550" s="342"/>
    </row>
    <row r="551" ht="12.75" customHeight="1">
      <c r="A551" s="534"/>
      <c r="B551" s="534"/>
      <c r="C551" s="575"/>
      <c r="D551" s="585"/>
      <c r="E551" s="586"/>
      <c r="F551" s="342"/>
      <c r="G551" s="342"/>
      <c r="H551" s="342"/>
      <c r="I551" s="342"/>
      <c r="J551" s="342"/>
      <c r="K551" s="342"/>
      <c r="L551" s="342"/>
      <c r="M551" s="342"/>
      <c r="N551" s="342"/>
      <c r="O551" s="341"/>
      <c r="P551" s="341"/>
      <c r="Q551" s="342"/>
      <c r="R551" s="342"/>
      <c r="S551" s="341"/>
      <c r="T551" s="342"/>
      <c r="U551" s="342"/>
      <c r="V551" s="342"/>
      <c r="W551" s="342"/>
      <c r="X551" s="342"/>
      <c r="Y551" s="342"/>
      <c r="Z551" s="342"/>
    </row>
    <row r="552" ht="12.75" customHeight="1">
      <c r="A552" s="534"/>
      <c r="B552" s="534"/>
      <c r="C552" s="575"/>
      <c r="D552" s="585"/>
      <c r="E552" s="586"/>
      <c r="F552" s="342"/>
      <c r="G552" s="342"/>
      <c r="H552" s="342"/>
      <c r="I552" s="342"/>
      <c r="J552" s="342"/>
      <c r="K552" s="342"/>
      <c r="L552" s="342"/>
      <c r="M552" s="342"/>
      <c r="N552" s="342"/>
      <c r="O552" s="341"/>
      <c r="P552" s="341"/>
      <c r="Q552" s="342"/>
      <c r="R552" s="342"/>
      <c r="S552" s="341"/>
      <c r="T552" s="342"/>
      <c r="U552" s="342"/>
      <c r="V552" s="342"/>
      <c r="W552" s="342"/>
      <c r="X552" s="342"/>
      <c r="Y552" s="342"/>
      <c r="Z552" s="342"/>
    </row>
    <row r="553" ht="12.75" customHeight="1">
      <c r="A553" s="534"/>
      <c r="B553" s="534"/>
      <c r="C553" s="575"/>
      <c r="D553" s="585"/>
      <c r="E553" s="586"/>
      <c r="F553" s="342"/>
      <c r="G553" s="342"/>
      <c r="H553" s="342"/>
      <c r="I553" s="342"/>
      <c r="J553" s="342"/>
      <c r="K553" s="342"/>
      <c r="L553" s="342"/>
      <c r="M553" s="342"/>
      <c r="N553" s="342"/>
      <c r="O553" s="341"/>
      <c r="P553" s="341"/>
      <c r="Q553" s="342"/>
      <c r="R553" s="342"/>
      <c r="S553" s="341"/>
      <c r="T553" s="342"/>
      <c r="U553" s="342"/>
      <c r="V553" s="342"/>
      <c r="W553" s="342"/>
      <c r="X553" s="342"/>
      <c r="Y553" s="342"/>
      <c r="Z553" s="342"/>
    </row>
    <row r="554" ht="12.75" customHeight="1">
      <c r="A554" s="534"/>
      <c r="B554" s="534"/>
      <c r="C554" s="575"/>
      <c r="D554" s="585"/>
      <c r="E554" s="586"/>
      <c r="F554" s="342"/>
      <c r="G554" s="342"/>
      <c r="H554" s="342"/>
      <c r="I554" s="342"/>
      <c r="J554" s="342"/>
      <c r="K554" s="342"/>
      <c r="L554" s="342"/>
      <c r="M554" s="342"/>
      <c r="N554" s="342"/>
      <c r="O554" s="341"/>
      <c r="P554" s="341"/>
      <c r="Q554" s="342"/>
      <c r="R554" s="342"/>
      <c r="S554" s="341"/>
      <c r="T554" s="342"/>
      <c r="U554" s="342"/>
      <c r="V554" s="342"/>
      <c r="W554" s="342"/>
      <c r="X554" s="342"/>
      <c r="Y554" s="342"/>
      <c r="Z554" s="342"/>
    </row>
    <row r="555" ht="12.75" customHeight="1">
      <c r="A555" s="534"/>
      <c r="B555" s="534"/>
      <c r="C555" s="575"/>
      <c r="D555" s="585"/>
      <c r="E555" s="586"/>
      <c r="F555" s="342"/>
      <c r="G555" s="342"/>
      <c r="H555" s="342"/>
      <c r="I555" s="342"/>
      <c r="J555" s="342"/>
      <c r="K555" s="342"/>
      <c r="L555" s="342"/>
      <c r="M555" s="342"/>
      <c r="N555" s="342"/>
      <c r="O555" s="341"/>
      <c r="P555" s="341"/>
      <c r="Q555" s="342"/>
      <c r="R555" s="342"/>
      <c r="S555" s="341"/>
      <c r="T555" s="342"/>
      <c r="U555" s="342"/>
      <c r="V555" s="342"/>
      <c r="W555" s="342"/>
      <c r="X555" s="342"/>
      <c r="Y555" s="342"/>
      <c r="Z555" s="342"/>
    </row>
    <row r="556" ht="12.75" customHeight="1">
      <c r="A556" s="534"/>
      <c r="B556" s="534"/>
      <c r="C556" s="575"/>
      <c r="D556" s="585"/>
      <c r="E556" s="586"/>
      <c r="F556" s="342"/>
      <c r="G556" s="342"/>
      <c r="H556" s="342"/>
      <c r="I556" s="342"/>
      <c r="J556" s="342"/>
      <c r="K556" s="342"/>
      <c r="L556" s="342"/>
      <c r="M556" s="342"/>
      <c r="N556" s="342"/>
      <c r="O556" s="341"/>
      <c r="P556" s="341"/>
      <c r="Q556" s="342"/>
      <c r="R556" s="342"/>
      <c r="S556" s="341"/>
      <c r="T556" s="342"/>
      <c r="U556" s="342"/>
      <c r="V556" s="342"/>
      <c r="W556" s="342"/>
      <c r="X556" s="342"/>
      <c r="Y556" s="342"/>
      <c r="Z556" s="342"/>
    </row>
    <row r="557" ht="12.75" customHeight="1">
      <c r="A557" s="534"/>
      <c r="B557" s="534"/>
      <c r="C557" s="575"/>
      <c r="D557" s="585"/>
      <c r="E557" s="586"/>
      <c r="F557" s="342"/>
      <c r="G557" s="342"/>
      <c r="H557" s="342"/>
      <c r="I557" s="342"/>
      <c r="J557" s="342"/>
      <c r="K557" s="342"/>
      <c r="L557" s="342"/>
      <c r="M557" s="342"/>
      <c r="N557" s="342"/>
      <c r="O557" s="341"/>
      <c r="P557" s="341"/>
      <c r="Q557" s="342"/>
      <c r="R557" s="342"/>
      <c r="S557" s="341"/>
      <c r="T557" s="342"/>
      <c r="U557" s="342"/>
      <c r="V557" s="342"/>
      <c r="W557" s="342"/>
      <c r="X557" s="342"/>
      <c r="Y557" s="342"/>
      <c r="Z557" s="342"/>
    </row>
    <row r="558" ht="12.75" customHeight="1">
      <c r="A558" s="534"/>
      <c r="B558" s="534"/>
      <c r="C558" s="575"/>
      <c r="D558" s="585"/>
      <c r="E558" s="586"/>
      <c r="F558" s="342"/>
      <c r="G558" s="342"/>
      <c r="H558" s="342"/>
      <c r="I558" s="342"/>
      <c r="J558" s="342"/>
      <c r="K558" s="342"/>
      <c r="L558" s="342"/>
      <c r="M558" s="342"/>
      <c r="N558" s="342"/>
      <c r="O558" s="341"/>
      <c r="P558" s="341"/>
      <c r="Q558" s="342"/>
      <c r="R558" s="342"/>
      <c r="S558" s="341"/>
      <c r="T558" s="342"/>
      <c r="U558" s="342"/>
      <c r="V558" s="342"/>
      <c r="W558" s="342"/>
      <c r="X558" s="342"/>
      <c r="Y558" s="342"/>
      <c r="Z558" s="342"/>
    </row>
    <row r="559" ht="12.75" customHeight="1">
      <c r="A559" s="534"/>
      <c r="B559" s="534"/>
      <c r="C559" s="575"/>
      <c r="D559" s="585"/>
      <c r="E559" s="586"/>
      <c r="F559" s="342"/>
      <c r="G559" s="342"/>
      <c r="H559" s="342"/>
      <c r="I559" s="342"/>
      <c r="J559" s="342"/>
      <c r="K559" s="342"/>
      <c r="L559" s="342"/>
      <c r="M559" s="342"/>
      <c r="N559" s="342"/>
      <c r="O559" s="341"/>
      <c r="P559" s="341"/>
      <c r="Q559" s="342"/>
      <c r="R559" s="342"/>
      <c r="S559" s="341"/>
      <c r="T559" s="342"/>
      <c r="U559" s="342"/>
      <c r="V559" s="342"/>
      <c r="W559" s="342"/>
      <c r="X559" s="342"/>
      <c r="Y559" s="342"/>
      <c r="Z559" s="342"/>
    </row>
    <row r="560" ht="12.75" customHeight="1">
      <c r="A560" s="534"/>
      <c r="B560" s="534"/>
      <c r="C560" s="575"/>
      <c r="D560" s="585"/>
      <c r="E560" s="586"/>
      <c r="F560" s="342"/>
      <c r="G560" s="342"/>
      <c r="H560" s="342"/>
      <c r="I560" s="342"/>
      <c r="J560" s="342"/>
      <c r="K560" s="342"/>
      <c r="L560" s="342"/>
      <c r="M560" s="342"/>
      <c r="N560" s="342"/>
      <c r="O560" s="341"/>
      <c r="P560" s="341"/>
      <c r="Q560" s="342"/>
      <c r="R560" s="342"/>
      <c r="S560" s="341"/>
      <c r="T560" s="342"/>
      <c r="U560" s="342"/>
      <c r="V560" s="342"/>
      <c r="W560" s="342"/>
      <c r="X560" s="342"/>
      <c r="Y560" s="342"/>
      <c r="Z560" s="342"/>
    </row>
    <row r="561" ht="12.75" customHeight="1">
      <c r="A561" s="534"/>
      <c r="B561" s="534"/>
      <c r="C561" s="575"/>
      <c r="D561" s="585"/>
      <c r="E561" s="586"/>
      <c r="F561" s="342"/>
      <c r="G561" s="342"/>
      <c r="H561" s="342"/>
      <c r="I561" s="342"/>
      <c r="J561" s="342"/>
      <c r="K561" s="342"/>
      <c r="L561" s="342"/>
      <c r="M561" s="342"/>
      <c r="N561" s="342"/>
      <c r="O561" s="341"/>
      <c r="P561" s="341"/>
      <c r="Q561" s="342"/>
      <c r="R561" s="342"/>
      <c r="S561" s="341"/>
      <c r="T561" s="342"/>
      <c r="U561" s="342"/>
      <c r="V561" s="342"/>
      <c r="W561" s="342"/>
      <c r="X561" s="342"/>
      <c r="Y561" s="342"/>
      <c r="Z561" s="342"/>
    </row>
    <row r="562" ht="12.75" customHeight="1">
      <c r="A562" s="534"/>
      <c r="B562" s="534"/>
      <c r="C562" s="575"/>
      <c r="D562" s="585"/>
      <c r="E562" s="586"/>
      <c r="F562" s="342"/>
      <c r="G562" s="342"/>
      <c r="H562" s="342"/>
      <c r="I562" s="342"/>
      <c r="J562" s="342"/>
      <c r="K562" s="342"/>
      <c r="L562" s="342"/>
      <c r="M562" s="342"/>
      <c r="N562" s="342"/>
      <c r="O562" s="341"/>
      <c r="P562" s="341"/>
      <c r="Q562" s="342"/>
      <c r="R562" s="342"/>
      <c r="S562" s="341"/>
      <c r="T562" s="342"/>
      <c r="U562" s="342"/>
      <c r="V562" s="342"/>
      <c r="W562" s="342"/>
      <c r="X562" s="342"/>
      <c r="Y562" s="342"/>
      <c r="Z562" s="342"/>
    </row>
    <row r="563" ht="12.75" customHeight="1">
      <c r="A563" s="534"/>
      <c r="B563" s="534"/>
      <c r="C563" s="575"/>
      <c r="D563" s="585"/>
      <c r="E563" s="586"/>
      <c r="F563" s="342"/>
      <c r="G563" s="342"/>
      <c r="H563" s="342"/>
      <c r="I563" s="342"/>
      <c r="J563" s="342"/>
      <c r="K563" s="342"/>
      <c r="L563" s="342"/>
      <c r="M563" s="342"/>
      <c r="N563" s="342"/>
      <c r="O563" s="341"/>
      <c r="P563" s="341"/>
      <c r="Q563" s="342"/>
      <c r="R563" s="342"/>
      <c r="S563" s="341"/>
      <c r="T563" s="342"/>
      <c r="U563" s="342"/>
      <c r="V563" s="342"/>
      <c r="W563" s="342"/>
      <c r="X563" s="342"/>
      <c r="Y563" s="342"/>
      <c r="Z563" s="342"/>
    </row>
    <row r="564" ht="12.75" customHeight="1">
      <c r="A564" s="534"/>
      <c r="B564" s="534"/>
      <c r="C564" s="575"/>
      <c r="D564" s="585"/>
      <c r="E564" s="586"/>
      <c r="F564" s="342"/>
      <c r="G564" s="342"/>
      <c r="H564" s="342"/>
      <c r="I564" s="342"/>
      <c r="J564" s="342"/>
      <c r="K564" s="342"/>
      <c r="L564" s="342"/>
      <c r="M564" s="342"/>
      <c r="N564" s="342"/>
      <c r="O564" s="341"/>
      <c r="P564" s="341"/>
      <c r="Q564" s="342"/>
      <c r="R564" s="342"/>
      <c r="S564" s="341"/>
      <c r="T564" s="342"/>
      <c r="U564" s="342"/>
      <c r="V564" s="342"/>
      <c r="W564" s="342"/>
      <c r="X564" s="342"/>
      <c r="Y564" s="342"/>
      <c r="Z564" s="342"/>
    </row>
    <row r="565" ht="12.75" customHeight="1">
      <c r="A565" s="534"/>
      <c r="B565" s="534"/>
      <c r="C565" s="575"/>
      <c r="D565" s="585"/>
      <c r="E565" s="586"/>
      <c r="F565" s="342"/>
      <c r="G565" s="342"/>
      <c r="H565" s="342"/>
      <c r="I565" s="342"/>
      <c r="J565" s="342"/>
      <c r="K565" s="342"/>
      <c r="L565" s="342"/>
      <c r="M565" s="342"/>
      <c r="N565" s="342"/>
      <c r="O565" s="341"/>
      <c r="P565" s="341"/>
      <c r="Q565" s="342"/>
      <c r="R565" s="342"/>
      <c r="S565" s="341"/>
      <c r="T565" s="342"/>
      <c r="U565" s="342"/>
      <c r="V565" s="342"/>
      <c r="W565" s="342"/>
      <c r="X565" s="342"/>
      <c r="Y565" s="342"/>
      <c r="Z565" s="342"/>
    </row>
    <row r="566" ht="12.75" customHeight="1">
      <c r="A566" s="534"/>
      <c r="B566" s="534"/>
      <c r="C566" s="575"/>
      <c r="D566" s="585"/>
      <c r="E566" s="586"/>
      <c r="F566" s="342"/>
      <c r="G566" s="342"/>
      <c r="H566" s="342"/>
      <c r="I566" s="342"/>
      <c r="J566" s="342"/>
      <c r="K566" s="342"/>
      <c r="L566" s="342"/>
      <c r="M566" s="342"/>
      <c r="N566" s="342"/>
      <c r="O566" s="341"/>
      <c r="P566" s="341"/>
      <c r="Q566" s="342"/>
      <c r="R566" s="342"/>
      <c r="S566" s="341"/>
      <c r="T566" s="342"/>
      <c r="U566" s="342"/>
      <c r="V566" s="342"/>
      <c r="W566" s="342"/>
      <c r="X566" s="342"/>
      <c r="Y566" s="342"/>
      <c r="Z566" s="342"/>
    </row>
    <row r="567" ht="12.75" customHeight="1">
      <c r="A567" s="534"/>
      <c r="B567" s="534"/>
      <c r="C567" s="575"/>
      <c r="D567" s="585"/>
      <c r="E567" s="586"/>
      <c r="F567" s="342"/>
      <c r="G567" s="342"/>
      <c r="H567" s="342"/>
      <c r="I567" s="342"/>
      <c r="J567" s="342"/>
      <c r="K567" s="342"/>
      <c r="L567" s="342"/>
      <c r="M567" s="342"/>
      <c r="N567" s="342"/>
      <c r="O567" s="341"/>
      <c r="P567" s="341"/>
      <c r="Q567" s="342"/>
      <c r="R567" s="342"/>
      <c r="S567" s="341"/>
      <c r="T567" s="342"/>
      <c r="U567" s="342"/>
      <c r="V567" s="342"/>
      <c r="W567" s="342"/>
      <c r="X567" s="342"/>
      <c r="Y567" s="342"/>
      <c r="Z567" s="342"/>
    </row>
    <row r="568" ht="12.75" customHeight="1">
      <c r="A568" s="534"/>
      <c r="B568" s="534"/>
      <c r="C568" s="575"/>
      <c r="D568" s="585"/>
      <c r="E568" s="586"/>
      <c r="F568" s="342"/>
      <c r="G568" s="342"/>
      <c r="H568" s="342"/>
      <c r="I568" s="342"/>
      <c r="J568" s="342"/>
      <c r="K568" s="342"/>
      <c r="L568" s="342"/>
      <c r="M568" s="342"/>
      <c r="N568" s="342"/>
      <c r="O568" s="341"/>
      <c r="P568" s="341"/>
      <c r="Q568" s="342"/>
      <c r="R568" s="342"/>
      <c r="S568" s="341"/>
      <c r="T568" s="342"/>
      <c r="U568" s="342"/>
      <c r="V568" s="342"/>
      <c r="W568" s="342"/>
      <c r="X568" s="342"/>
      <c r="Y568" s="342"/>
      <c r="Z568" s="342"/>
    </row>
    <row r="569" ht="12.75" customHeight="1">
      <c r="A569" s="534"/>
      <c r="B569" s="534"/>
      <c r="C569" s="575"/>
      <c r="D569" s="585"/>
      <c r="E569" s="586"/>
      <c r="F569" s="342"/>
      <c r="G569" s="342"/>
      <c r="H569" s="342"/>
      <c r="I569" s="342"/>
      <c r="J569" s="342"/>
      <c r="K569" s="342"/>
      <c r="L569" s="342"/>
      <c r="M569" s="342"/>
      <c r="N569" s="342"/>
      <c r="O569" s="341"/>
      <c r="P569" s="341"/>
      <c r="Q569" s="342"/>
      <c r="R569" s="342"/>
      <c r="S569" s="341"/>
      <c r="T569" s="342"/>
      <c r="U569" s="342"/>
      <c r="V569" s="342"/>
      <c r="W569" s="342"/>
      <c r="X569" s="342"/>
      <c r="Y569" s="342"/>
      <c r="Z569" s="342"/>
    </row>
    <row r="570" ht="12.75" customHeight="1">
      <c r="A570" s="534"/>
      <c r="B570" s="534"/>
      <c r="C570" s="575"/>
      <c r="D570" s="585"/>
      <c r="E570" s="586"/>
      <c r="F570" s="342"/>
      <c r="G570" s="342"/>
      <c r="H570" s="342"/>
      <c r="I570" s="342"/>
      <c r="J570" s="342"/>
      <c r="K570" s="342"/>
      <c r="L570" s="342"/>
      <c r="M570" s="342"/>
      <c r="N570" s="342"/>
      <c r="O570" s="341"/>
      <c r="P570" s="341"/>
      <c r="Q570" s="342"/>
      <c r="R570" s="342"/>
      <c r="S570" s="341"/>
      <c r="T570" s="342"/>
      <c r="U570" s="342"/>
      <c r="V570" s="342"/>
      <c r="W570" s="342"/>
      <c r="X570" s="342"/>
      <c r="Y570" s="342"/>
      <c r="Z570" s="342"/>
    </row>
    <row r="571" ht="12.75" customHeight="1">
      <c r="A571" s="534"/>
      <c r="B571" s="534"/>
      <c r="C571" s="575"/>
      <c r="D571" s="585"/>
      <c r="E571" s="586"/>
      <c r="F571" s="342"/>
      <c r="G571" s="342"/>
      <c r="H571" s="342"/>
      <c r="I571" s="342"/>
      <c r="J571" s="342"/>
      <c r="K571" s="342"/>
      <c r="L571" s="342"/>
      <c r="M571" s="342"/>
      <c r="N571" s="342"/>
      <c r="O571" s="341"/>
      <c r="P571" s="341"/>
      <c r="Q571" s="342"/>
      <c r="R571" s="342"/>
      <c r="S571" s="341"/>
      <c r="T571" s="342"/>
      <c r="U571" s="342"/>
      <c r="V571" s="342"/>
      <c r="W571" s="342"/>
      <c r="X571" s="342"/>
      <c r="Y571" s="342"/>
      <c r="Z571" s="342"/>
    </row>
    <row r="572" ht="12.75" customHeight="1">
      <c r="A572" s="534"/>
      <c r="B572" s="534"/>
      <c r="C572" s="575"/>
      <c r="D572" s="585"/>
      <c r="E572" s="586"/>
      <c r="F572" s="342"/>
      <c r="G572" s="342"/>
      <c r="H572" s="342"/>
      <c r="I572" s="342"/>
      <c r="J572" s="342"/>
      <c r="K572" s="342"/>
      <c r="L572" s="342"/>
      <c r="M572" s="342"/>
      <c r="N572" s="342"/>
      <c r="O572" s="341"/>
      <c r="P572" s="341"/>
      <c r="Q572" s="342"/>
      <c r="R572" s="342"/>
      <c r="S572" s="341"/>
      <c r="T572" s="342"/>
      <c r="U572" s="342"/>
      <c r="V572" s="342"/>
      <c r="W572" s="342"/>
      <c r="X572" s="342"/>
      <c r="Y572" s="342"/>
      <c r="Z572" s="342"/>
    </row>
    <row r="573" ht="12.75" customHeight="1">
      <c r="A573" s="534"/>
      <c r="B573" s="534"/>
      <c r="C573" s="575"/>
      <c r="D573" s="585"/>
      <c r="E573" s="586"/>
      <c r="F573" s="342"/>
      <c r="G573" s="342"/>
      <c r="H573" s="342"/>
      <c r="I573" s="342"/>
      <c r="J573" s="342"/>
      <c r="K573" s="342"/>
      <c r="L573" s="342"/>
      <c r="M573" s="342"/>
      <c r="N573" s="342"/>
      <c r="O573" s="341"/>
      <c r="P573" s="341"/>
      <c r="Q573" s="342"/>
      <c r="R573" s="342"/>
      <c r="S573" s="341"/>
      <c r="T573" s="342"/>
      <c r="U573" s="342"/>
      <c r="V573" s="342"/>
      <c r="W573" s="342"/>
      <c r="X573" s="342"/>
      <c r="Y573" s="342"/>
      <c r="Z573" s="342"/>
    </row>
    <row r="574" ht="12.75" customHeight="1">
      <c r="A574" s="534"/>
      <c r="B574" s="534"/>
      <c r="C574" s="575"/>
      <c r="D574" s="585"/>
      <c r="E574" s="586"/>
      <c r="F574" s="342"/>
      <c r="G574" s="342"/>
      <c r="H574" s="342"/>
      <c r="I574" s="342"/>
      <c r="J574" s="342"/>
      <c r="K574" s="342"/>
      <c r="L574" s="342"/>
      <c r="M574" s="342"/>
      <c r="N574" s="342"/>
      <c r="O574" s="341"/>
      <c r="P574" s="341"/>
      <c r="Q574" s="342"/>
      <c r="R574" s="342"/>
      <c r="S574" s="341"/>
      <c r="T574" s="342"/>
      <c r="U574" s="342"/>
      <c r="V574" s="342"/>
      <c r="W574" s="342"/>
      <c r="X574" s="342"/>
      <c r="Y574" s="342"/>
      <c r="Z574" s="342"/>
    </row>
    <row r="575" ht="12.75" customHeight="1">
      <c r="A575" s="534"/>
      <c r="B575" s="534"/>
      <c r="C575" s="575"/>
      <c r="D575" s="585"/>
      <c r="E575" s="586"/>
      <c r="F575" s="342"/>
      <c r="G575" s="342"/>
      <c r="H575" s="342"/>
      <c r="I575" s="342"/>
      <c r="J575" s="342"/>
      <c r="K575" s="342"/>
      <c r="L575" s="342"/>
      <c r="M575" s="342"/>
      <c r="N575" s="342"/>
      <c r="O575" s="341"/>
      <c r="P575" s="341"/>
      <c r="Q575" s="342"/>
      <c r="R575" s="342"/>
      <c r="S575" s="341"/>
      <c r="T575" s="342"/>
      <c r="U575" s="342"/>
      <c r="V575" s="342"/>
      <c r="W575" s="342"/>
      <c r="X575" s="342"/>
      <c r="Y575" s="342"/>
      <c r="Z575" s="342"/>
    </row>
    <row r="576" ht="12.75" customHeight="1">
      <c r="A576" s="534"/>
      <c r="B576" s="534"/>
      <c r="C576" s="575"/>
      <c r="D576" s="585"/>
      <c r="E576" s="586"/>
      <c r="F576" s="342"/>
      <c r="G576" s="342"/>
      <c r="H576" s="342"/>
      <c r="I576" s="342"/>
      <c r="J576" s="342"/>
      <c r="K576" s="342"/>
      <c r="L576" s="342"/>
      <c r="M576" s="342"/>
      <c r="N576" s="342"/>
      <c r="O576" s="341"/>
      <c r="P576" s="341"/>
      <c r="Q576" s="342"/>
      <c r="R576" s="342"/>
      <c r="S576" s="341"/>
      <c r="T576" s="342"/>
      <c r="U576" s="342"/>
      <c r="V576" s="342"/>
      <c r="W576" s="342"/>
      <c r="X576" s="342"/>
      <c r="Y576" s="342"/>
      <c r="Z576" s="342"/>
    </row>
    <row r="577" ht="12.75" customHeight="1">
      <c r="A577" s="534"/>
      <c r="B577" s="534"/>
      <c r="C577" s="575"/>
      <c r="D577" s="585"/>
      <c r="E577" s="586"/>
      <c r="F577" s="342"/>
      <c r="G577" s="342"/>
      <c r="H577" s="342"/>
      <c r="I577" s="342"/>
      <c r="J577" s="342"/>
      <c r="K577" s="342"/>
      <c r="L577" s="342"/>
      <c r="M577" s="342"/>
      <c r="N577" s="342"/>
      <c r="O577" s="341"/>
      <c r="P577" s="341"/>
      <c r="Q577" s="342"/>
      <c r="R577" s="342"/>
      <c r="S577" s="341"/>
      <c r="T577" s="342"/>
      <c r="U577" s="342"/>
      <c r="V577" s="342"/>
      <c r="W577" s="342"/>
      <c r="X577" s="342"/>
      <c r="Y577" s="342"/>
      <c r="Z577" s="342"/>
    </row>
    <row r="578" ht="12.75" customHeight="1">
      <c r="A578" s="534"/>
      <c r="B578" s="534"/>
      <c r="C578" s="575"/>
      <c r="D578" s="585"/>
      <c r="E578" s="586"/>
      <c r="F578" s="342"/>
      <c r="G578" s="342"/>
      <c r="H578" s="342"/>
      <c r="I578" s="342"/>
      <c r="J578" s="342"/>
      <c r="K578" s="342"/>
      <c r="L578" s="342"/>
      <c r="M578" s="342"/>
      <c r="N578" s="342"/>
      <c r="O578" s="341"/>
      <c r="P578" s="341"/>
      <c r="Q578" s="342"/>
      <c r="R578" s="342"/>
      <c r="S578" s="341"/>
      <c r="T578" s="342"/>
      <c r="U578" s="342"/>
      <c r="V578" s="342"/>
      <c r="W578" s="342"/>
      <c r="X578" s="342"/>
      <c r="Y578" s="342"/>
      <c r="Z578" s="342"/>
    </row>
    <row r="579" ht="12.75" customHeight="1">
      <c r="A579" s="534"/>
      <c r="B579" s="534"/>
      <c r="C579" s="575"/>
      <c r="D579" s="585"/>
      <c r="E579" s="586"/>
      <c r="F579" s="342"/>
      <c r="G579" s="342"/>
      <c r="H579" s="342"/>
      <c r="I579" s="342"/>
      <c r="J579" s="342"/>
      <c r="K579" s="342"/>
      <c r="L579" s="342"/>
      <c r="M579" s="342"/>
      <c r="N579" s="342"/>
      <c r="O579" s="341"/>
      <c r="P579" s="341"/>
      <c r="Q579" s="342"/>
      <c r="R579" s="342"/>
      <c r="S579" s="341"/>
      <c r="T579" s="342"/>
      <c r="U579" s="342"/>
      <c r="V579" s="342"/>
      <c r="W579" s="342"/>
      <c r="X579" s="342"/>
      <c r="Y579" s="342"/>
      <c r="Z579" s="342"/>
    </row>
    <row r="580" ht="12.75" customHeight="1">
      <c r="A580" s="534"/>
      <c r="B580" s="534"/>
      <c r="C580" s="575"/>
      <c r="D580" s="585"/>
      <c r="E580" s="586"/>
      <c r="F580" s="342"/>
      <c r="G580" s="342"/>
      <c r="H580" s="342"/>
      <c r="I580" s="342"/>
      <c r="J580" s="342"/>
      <c r="K580" s="342"/>
      <c r="L580" s="342"/>
      <c r="M580" s="342"/>
      <c r="N580" s="342"/>
      <c r="O580" s="341"/>
      <c r="P580" s="341"/>
      <c r="Q580" s="342"/>
      <c r="R580" s="342"/>
      <c r="S580" s="341"/>
      <c r="T580" s="342"/>
      <c r="U580" s="342"/>
      <c r="V580" s="342"/>
      <c r="W580" s="342"/>
      <c r="X580" s="342"/>
      <c r="Y580" s="342"/>
      <c r="Z580" s="342"/>
    </row>
    <row r="581" ht="12.75" customHeight="1">
      <c r="A581" s="534"/>
      <c r="B581" s="534"/>
      <c r="C581" s="575"/>
      <c r="D581" s="585"/>
      <c r="E581" s="586"/>
      <c r="F581" s="342"/>
      <c r="G581" s="342"/>
      <c r="H581" s="342"/>
      <c r="I581" s="342"/>
      <c r="J581" s="342"/>
      <c r="K581" s="342"/>
      <c r="L581" s="342"/>
      <c r="M581" s="342"/>
      <c r="N581" s="342"/>
      <c r="O581" s="341"/>
      <c r="P581" s="341"/>
      <c r="Q581" s="342"/>
      <c r="R581" s="342"/>
      <c r="S581" s="341"/>
      <c r="T581" s="342"/>
      <c r="U581" s="342"/>
      <c r="V581" s="342"/>
      <c r="W581" s="342"/>
      <c r="X581" s="342"/>
      <c r="Y581" s="342"/>
      <c r="Z581" s="342"/>
    </row>
    <row r="582" ht="12.75" customHeight="1">
      <c r="A582" s="534"/>
      <c r="B582" s="534"/>
      <c r="C582" s="575"/>
      <c r="D582" s="585"/>
      <c r="E582" s="586"/>
      <c r="F582" s="342"/>
      <c r="G582" s="342"/>
      <c r="H582" s="342"/>
      <c r="I582" s="342"/>
      <c r="J582" s="342"/>
      <c r="K582" s="342"/>
      <c r="L582" s="342"/>
      <c r="M582" s="342"/>
      <c r="N582" s="342"/>
      <c r="O582" s="341"/>
      <c r="P582" s="341"/>
      <c r="Q582" s="342"/>
      <c r="R582" s="342"/>
      <c r="S582" s="341"/>
      <c r="T582" s="342"/>
      <c r="U582" s="342"/>
      <c r="V582" s="342"/>
      <c r="W582" s="342"/>
      <c r="X582" s="342"/>
      <c r="Y582" s="342"/>
      <c r="Z582" s="342"/>
    </row>
    <row r="583" ht="12.75" customHeight="1">
      <c r="A583" s="534"/>
      <c r="B583" s="534"/>
      <c r="C583" s="575"/>
      <c r="D583" s="585"/>
      <c r="E583" s="586"/>
      <c r="F583" s="342"/>
      <c r="G583" s="342"/>
      <c r="H583" s="342"/>
      <c r="I583" s="342"/>
      <c r="J583" s="342"/>
      <c r="K583" s="342"/>
      <c r="L583" s="342"/>
      <c r="M583" s="342"/>
      <c r="N583" s="342"/>
      <c r="O583" s="341"/>
      <c r="P583" s="341"/>
      <c r="Q583" s="342"/>
      <c r="R583" s="342"/>
      <c r="S583" s="341"/>
      <c r="T583" s="342"/>
      <c r="U583" s="342"/>
      <c r="V583" s="342"/>
      <c r="W583" s="342"/>
      <c r="X583" s="342"/>
      <c r="Y583" s="342"/>
      <c r="Z583" s="342"/>
    </row>
    <row r="584" ht="12.75" customHeight="1">
      <c r="A584" s="534"/>
      <c r="B584" s="534"/>
      <c r="C584" s="575"/>
      <c r="D584" s="585"/>
      <c r="E584" s="586"/>
      <c r="F584" s="342"/>
      <c r="G584" s="342"/>
      <c r="H584" s="342"/>
      <c r="I584" s="342"/>
      <c r="J584" s="342"/>
      <c r="K584" s="342"/>
      <c r="L584" s="342"/>
      <c r="M584" s="342"/>
      <c r="N584" s="342"/>
      <c r="O584" s="341"/>
      <c r="P584" s="341"/>
      <c r="Q584" s="342"/>
      <c r="R584" s="342"/>
      <c r="S584" s="341"/>
      <c r="T584" s="342"/>
      <c r="U584" s="342"/>
      <c r="V584" s="342"/>
      <c r="W584" s="342"/>
      <c r="X584" s="342"/>
      <c r="Y584" s="342"/>
      <c r="Z584" s="342"/>
    </row>
    <row r="585" ht="12.75" customHeight="1">
      <c r="A585" s="534"/>
      <c r="B585" s="534"/>
      <c r="C585" s="575"/>
      <c r="D585" s="585"/>
      <c r="E585" s="586"/>
      <c r="F585" s="342"/>
      <c r="G585" s="342"/>
      <c r="H585" s="342"/>
      <c r="I585" s="342"/>
      <c r="J585" s="342"/>
      <c r="K585" s="342"/>
      <c r="L585" s="342"/>
      <c r="M585" s="342"/>
      <c r="N585" s="342"/>
      <c r="O585" s="341"/>
      <c r="P585" s="341"/>
      <c r="Q585" s="342"/>
      <c r="R585" s="342"/>
      <c r="S585" s="341"/>
      <c r="T585" s="342"/>
      <c r="U585" s="342"/>
      <c r="V585" s="342"/>
      <c r="W585" s="342"/>
      <c r="X585" s="342"/>
      <c r="Y585" s="342"/>
      <c r="Z585" s="342"/>
    </row>
    <row r="586" ht="12.75" customHeight="1">
      <c r="A586" s="534"/>
      <c r="B586" s="534"/>
      <c r="C586" s="575"/>
      <c r="D586" s="585"/>
      <c r="E586" s="586"/>
      <c r="F586" s="342"/>
      <c r="G586" s="342"/>
      <c r="H586" s="342"/>
      <c r="I586" s="342"/>
      <c r="J586" s="342"/>
      <c r="K586" s="342"/>
      <c r="L586" s="342"/>
      <c r="M586" s="342"/>
      <c r="N586" s="342"/>
      <c r="O586" s="341"/>
      <c r="P586" s="341"/>
      <c r="Q586" s="342"/>
      <c r="R586" s="342"/>
      <c r="S586" s="341"/>
      <c r="T586" s="342"/>
      <c r="U586" s="342"/>
      <c r="V586" s="342"/>
      <c r="W586" s="342"/>
      <c r="X586" s="342"/>
      <c r="Y586" s="342"/>
      <c r="Z586" s="342"/>
    </row>
    <row r="587" ht="12.75" customHeight="1">
      <c r="A587" s="534"/>
      <c r="B587" s="534"/>
      <c r="C587" s="575"/>
      <c r="D587" s="585"/>
      <c r="E587" s="586"/>
      <c r="F587" s="342"/>
      <c r="G587" s="342"/>
      <c r="H587" s="342"/>
      <c r="I587" s="342"/>
      <c r="J587" s="342"/>
      <c r="K587" s="342"/>
      <c r="L587" s="342"/>
      <c r="M587" s="342"/>
      <c r="N587" s="342"/>
      <c r="O587" s="341"/>
      <c r="P587" s="341"/>
      <c r="Q587" s="342"/>
      <c r="R587" s="342"/>
      <c r="S587" s="341"/>
      <c r="T587" s="342"/>
      <c r="U587" s="342"/>
      <c r="V587" s="342"/>
      <c r="W587" s="342"/>
      <c r="X587" s="342"/>
      <c r="Y587" s="342"/>
      <c r="Z587" s="342"/>
    </row>
    <row r="588" ht="12.75" customHeight="1">
      <c r="A588" s="534"/>
      <c r="B588" s="534"/>
      <c r="C588" s="575"/>
      <c r="D588" s="585"/>
      <c r="E588" s="586"/>
      <c r="F588" s="342"/>
      <c r="G588" s="342"/>
      <c r="H588" s="342"/>
      <c r="I588" s="342"/>
      <c r="J588" s="342"/>
      <c r="K588" s="342"/>
      <c r="L588" s="342"/>
      <c r="M588" s="342"/>
      <c r="N588" s="342"/>
      <c r="O588" s="341"/>
      <c r="P588" s="341"/>
      <c r="Q588" s="342"/>
      <c r="R588" s="342"/>
      <c r="S588" s="341"/>
      <c r="T588" s="342"/>
      <c r="U588" s="342"/>
      <c r="V588" s="342"/>
      <c r="W588" s="342"/>
      <c r="X588" s="342"/>
      <c r="Y588" s="342"/>
      <c r="Z588" s="342"/>
    </row>
    <row r="589" ht="12.75" customHeight="1">
      <c r="A589" s="534"/>
      <c r="B589" s="534"/>
      <c r="C589" s="575"/>
      <c r="D589" s="585"/>
      <c r="E589" s="586"/>
      <c r="F589" s="342"/>
      <c r="G589" s="342"/>
      <c r="H589" s="342"/>
      <c r="I589" s="342"/>
      <c r="J589" s="342"/>
      <c r="K589" s="342"/>
      <c r="L589" s="342"/>
      <c r="M589" s="342"/>
      <c r="N589" s="342"/>
      <c r="O589" s="341"/>
      <c r="P589" s="341"/>
      <c r="Q589" s="342"/>
      <c r="R589" s="342"/>
      <c r="S589" s="341"/>
      <c r="T589" s="342"/>
      <c r="U589" s="342"/>
      <c r="V589" s="342"/>
      <c r="W589" s="342"/>
      <c r="X589" s="342"/>
      <c r="Y589" s="342"/>
      <c r="Z589" s="342"/>
    </row>
    <row r="590" ht="12.75" customHeight="1">
      <c r="A590" s="534"/>
      <c r="B590" s="534"/>
      <c r="C590" s="575"/>
      <c r="D590" s="585"/>
      <c r="E590" s="586"/>
      <c r="F590" s="342"/>
      <c r="G590" s="342"/>
      <c r="H590" s="342"/>
      <c r="I590" s="342"/>
      <c r="J590" s="342"/>
      <c r="K590" s="342"/>
      <c r="L590" s="342"/>
      <c r="M590" s="342"/>
      <c r="N590" s="342"/>
      <c r="O590" s="341"/>
      <c r="P590" s="341"/>
      <c r="Q590" s="342"/>
      <c r="R590" s="342"/>
      <c r="S590" s="341"/>
      <c r="T590" s="342"/>
      <c r="U590" s="342"/>
      <c r="V590" s="342"/>
      <c r="W590" s="342"/>
      <c r="X590" s="342"/>
      <c r="Y590" s="342"/>
      <c r="Z590" s="342"/>
    </row>
    <row r="591" ht="12.75" customHeight="1">
      <c r="A591" s="534"/>
      <c r="B591" s="534"/>
      <c r="C591" s="575"/>
      <c r="D591" s="585"/>
      <c r="E591" s="586"/>
      <c r="F591" s="342"/>
      <c r="G591" s="342"/>
      <c r="H591" s="342"/>
      <c r="I591" s="342"/>
      <c r="J591" s="342"/>
      <c r="K591" s="342"/>
      <c r="L591" s="342"/>
      <c r="M591" s="342"/>
      <c r="N591" s="342"/>
      <c r="O591" s="341"/>
      <c r="P591" s="341"/>
      <c r="Q591" s="342"/>
      <c r="R591" s="342"/>
      <c r="S591" s="341"/>
      <c r="T591" s="342"/>
      <c r="U591" s="342"/>
      <c r="V591" s="342"/>
      <c r="W591" s="342"/>
      <c r="X591" s="342"/>
      <c r="Y591" s="342"/>
      <c r="Z591" s="342"/>
    </row>
    <row r="592" ht="12.75" customHeight="1">
      <c r="A592" s="534"/>
      <c r="B592" s="534"/>
      <c r="C592" s="575"/>
      <c r="D592" s="585"/>
      <c r="E592" s="586"/>
      <c r="F592" s="342"/>
      <c r="G592" s="342"/>
      <c r="H592" s="342"/>
      <c r="I592" s="342"/>
      <c r="J592" s="342"/>
      <c r="K592" s="342"/>
      <c r="L592" s="342"/>
      <c r="M592" s="342"/>
      <c r="N592" s="342"/>
      <c r="O592" s="341"/>
      <c r="P592" s="341"/>
      <c r="Q592" s="342"/>
      <c r="R592" s="342"/>
      <c r="S592" s="341"/>
      <c r="T592" s="342"/>
      <c r="U592" s="342"/>
      <c r="V592" s="342"/>
      <c r="W592" s="342"/>
      <c r="X592" s="342"/>
      <c r="Y592" s="342"/>
      <c r="Z592" s="342"/>
    </row>
    <row r="593" ht="12.75" customHeight="1">
      <c r="A593" s="534"/>
      <c r="B593" s="534"/>
      <c r="C593" s="575"/>
      <c r="D593" s="585"/>
      <c r="E593" s="586"/>
      <c r="F593" s="342"/>
      <c r="G593" s="342"/>
      <c r="H593" s="342"/>
      <c r="I593" s="342"/>
      <c r="J593" s="342"/>
      <c r="K593" s="342"/>
      <c r="L593" s="342"/>
      <c r="M593" s="342"/>
      <c r="N593" s="342"/>
      <c r="O593" s="341"/>
      <c r="P593" s="341"/>
      <c r="Q593" s="342"/>
      <c r="R593" s="342"/>
      <c r="S593" s="341"/>
      <c r="T593" s="342"/>
      <c r="U593" s="342"/>
      <c r="V593" s="342"/>
      <c r="W593" s="342"/>
      <c r="X593" s="342"/>
      <c r="Y593" s="342"/>
      <c r="Z593" s="342"/>
    </row>
    <row r="594" ht="12.75" customHeight="1">
      <c r="A594" s="534"/>
      <c r="B594" s="534"/>
      <c r="C594" s="575"/>
      <c r="D594" s="585"/>
      <c r="E594" s="586"/>
      <c r="F594" s="342"/>
      <c r="G594" s="342"/>
      <c r="H594" s="342"/>
      <c r="I594" s="342"/>
      <c r="J594" s="342"/>
      <c r="K594" s="342"/>
      <c r="L594" s="342"/>
      <c r="M594" s="342"/>
      <c r="N594" s="342"/>
      <c r="O594" s="341"/>
      <c r="P594" s="341"/>
      <c r="Q594" s="342"/>
      <c r="R594" s="342"/>
      <c r="S594" s="341"/>
      <c r="T594" s="342"/>
      <c r="U594" s="342"/>
      <c r="V594" s="342"/>
      <c r="W594" s="342"/>
      <c r="X594" s="342"/>
      <c r="Y594" s="342"/>
      <c r="Z594" s="342"/>
    </row>
    <row r="595" ht="12.75" customHeight="1">
      <c r="A595" s="534"/>
      <c r="B595" s="534"/>
      <c r="C595" s="575"/>
      <c r="D595" s="585"/>
      <c r="E595" s="586"/>
      <c r="F595" s="342"/>
      <c r="G595" s="342"/>
      <c r="H595" s="342"/>
      <c r="I595" s="342"/>
      <c r="J595" s="342"/>
      <c r="K595" s="342"/>
      <c r="L595" s="342"/>
      <c r="M595" s="342"/>
      <c r="N595" s="342"/>
      <c r="O595" s="341"/>
      <c r="P595" s="341"/>
      <c r="Q595" s="342"/>
      <c r="R595" s="342"/>
      <c r="S595" s="341"/>
      <c r="T595" s="342"/>
      <c r="U595" s="342"/>
      <c r="V595" s="342"/>
      <c r="W595" s="342"/>
      <c r="X595" s="342"/>
      <c r="Y595" s="342"/>
      <c r="Z595" s="342"/>
    </row>
    <row r="596" ht="12.75" customHeight="1">
      <c r="A596" s="534"/>
      <c r="B596" s="534"/>
      <c r="C596" s="575"/>
      <c r="D596" s="585"/>
      <c r="E596" s="586"/>
      <c r="F596" s="342"/>
      <c r="G596" s="342"/>
      <c r="H596" s="342"/>
      <c r="I596" s="342"/>
      <c r="J596" s="342"/>
      <c r="K596" s="342"/>
      <c r="L596" s="342"/>
      <c r="M596" s="342"/>
      <c r="N596" s="342"/>
      <c r="O596" s="341"/>
      <c r="P596" s="341"/>
      <c r="Q596" s="342"/>
      <c r="R596" s="342"/>
      <c r="S596" s="341"/>
      <c r="T596" s="342"/>
      <c r="U596" s="342"/>
      <c r="V596" s="342"/>
      <c r="W596" s="342"/>
      <c r="X596" s="342"/>
      <c r="Y596" s="342"/>
      <c r="Z596" s="342"/>
    </row>
    <row r="597" ht="12.75" customHeight="1">
      <c r="A597" s="534"/>
      <c r="B597" s="534"/>
      <c r="C597" s="575"/>
      <c r="D597" s="585"/>
      <c r="E597" s="586"/>
      <c r="F597" s="342"/>
      <c r="G597" s="342"/>
      <c r="H597" s="342"/>
      <c r="I597" s="342"/>
      <c r="J597" s="342"/>
      <c r="K597" s="342"/>
      <c r="L597" s="342"/>
      <c r="M597" s="342"/>
      <c r="N597" s="342"/>
      <c r="O597" s="341"/>
      <c r="P597" s="341"/>
      <c r="Q597" s="342"/>
      <c r="R597" s="342"/>
      <c r="S597" s="341"/>
      <c r="T597" s="342"/>
      <c r="U597" s="342"/>
      <c r="V597" s="342"/>
      <c r="W597" s="342"/>
      <c r="X597" s="342"/>
      <c r="Y597" s="342"/>
      <c r="Z597" s="342"/>
    </row>
    <row r="598" ht="12.75" customHeight="1">
      <c r="A598" s="534"/>
      <c r="B598" s="534"/>
      <c r="C598" s="575"/>
      <c r="D598" s="585"/>
      <c r="E598" s="586"/>
      <c r="F598" s="342"/>
      <c r="G598" s="342"/>
      <c r="H598" s="342"/>
      <c r="I598" s="342"/>
      <c r="J598" s="342"/>
      <c r="K598" s="342"/>
      <c r="L598" s="342"/>
      <c r="M598" s="342"/>
      <c r="N598" s="342"/>
      <c r="O598" s="341"/>
      <c r="P598" s="341"/>
      <c r="Q598" s="342"/>
      <c r="R598" s="342"/>
      <c r="S598" s="341"/>
      <c r="T598" s="342"/>
      <c r="U598" s="342"/>
      <c r="V598" s="342"/>
      <c r="W598" s="342"/>
      <c r="X598" s="342"/>
      <c r="Y598" s="342"/>
      <c r="Z598" s="342"/>
    </row>
    <row r="599" ht="12.75" customHeight="1">
      <c r="A599" s="534"/>
      <c r="B599" s="534"/>
      <c r="C599" s="575"/>
      <c r="D599" s="585"/>
      <c r="E599" s="586"/>
      <c r="F599" s="342"/>
      <c r="G599" s="342"/>
      <c r="H599" s="342"/>
      <c r="I599" s="342"/>
      <c r="J599" s="342"/>
      <c r="K599" s="342"/>
      <c r="L599" s="342"/>
      <c r="M599" s="342"/>
      <c r="N599" s="342"/>
      <c r="O599" s="341"/>
      <c r="P599" s="341"/>
      <c r="Q599" s="342"/>
      <c r="R599" s="342"/>
      <c r="S599" s="341"/>
      <c r="T599" s="342"/>
      <c r="U599" s="342"/>
      <c r="V599" s="342"/>
      <c r="W599" s="342"/>
      <c r="X599" s="342"/>
      <c r="Y599" s="342"/>
      <c r="Z599" s="342"/>
    </row>
    <row r="600" ht="12.75" customHeight="1">
      <c r="A600" s="534"/>
      <c r="B600" s="534"/>
      <c r="C600" s="575"/>
      <c r="D600" s="585"/>
      <c r="E600" s="586"/>
      <c r="F600" s="342"/>
      <c r="G600" s="342"/>
      <c r="H600" s="342"/>
      <c r="I600" s="342"/>
      <c r="J600" s="342"/>
      <c r="K600" s="342"/>
      <c r="L600" s="342"/>
      <c r="M600" s="342"/>
      <c r="N600" s="342"/>
      <c r="O600" s="341"/>
      <c r="P600" s="341"/>
      <c r="Q600" s="342"/>
      <c r="R600" s="342"/>
      <c r="S600" s="341"/>
      <c r="T600" s="342"/>
      <c r="U600" s="342"/>
      <c r="V600" s="342"/>
      <c r="W600" s="342"/>
      <c r="X600" s="342"/>
      <c r="Y600" s="342"/>
      <c r="Z600" s="342"/>
    </row>
    <row r="601" ht="12.75" customHeight="1">
      <c r="A601" s="534"/>
      <c r="B601" s="534"/>
      <c r="C601" s="575"/>
      <c r="D601" s="585"/>
      <c r="E601" s="586"/>
      <c r="F601" s="342"/>
      <c r="G601" s="342"/>
      <c r="H601" s="342"/>
      <c r="I601" s="342"/>
      <c r="J601" s="342"/>
      <c r="K601" s="342"/>
      <c r="L601" s="342"/>
      <c r="M601" s="342"/>
      <c r="N601" s="342"/>
      <c r="O601" s="341"/>
      <c r="P601" s="341"/>
      <c r="Q601" s="342"/>
      <c r="R601" s="342"/>
      <c r="S601" s="341"/>
      <c r="T601" s="342"/>
      <c r="U601" s="342"/>
      <c r="V601" s="342"/>
      <c r="W601" s="342"/>
      <c r="X601" s="342"/>
      <c r="Y601" s="342"/>
      <c r="Z601" s="342"/>
    </row>
    <row r="602" ht="12.75" customHeight="1">
      <c r="A602" s="534"/>
      <c r="B602" s="534"/>
      <c r="C602" s="575"/>
      <c r="D602" s="585"/>
      <c r="E602" s="586"/>
      <c r="F602" s="342"/>
      <c r="G602" s="342"/>
      <c r="H602" s="342"/>
      <c r="I602" s="342"/>
      <c r="J602" s="342"/>
      <c r="K602" s="342"/>
      <c r="L602" s="342"/>
      <c r="M602" s="342"/>
      <c r="N602" s="342"/>
      <c r="O602" s="341"/>
      <c r="P602" s="341"/>
      <c r="Q602" s="342"/>
      <c r="R602" s="342"/>
      <c r="S602" s="341"/>
      <c r="T602" s="342"/>
      <c r="U602" s="342"/>
      <c r="V602" s="342"/>
      <c r="W602" s="342"/>
      <c r="X602" s="342"/>
      <c r="Y602" s="342"/>
      <c r="Z602" s="342"/>
    </row>
    <row r="603" ht="12.75" customHeight="1">
      <c r="A603" s="534"/>
      <c r="B603" s="534"/>
      <c r="C603" s="575"/>
      <c r="D603" s="585"/>
      <c r="E603" s="586"/>
      <c r="F603" s="342"/>
      <c r="G603" s="342"/>
      <c r="H603" s="342"/>
      <c r="I603" s="342"/>
      <c r="J603" s="342"/>
      <c r="K603" s="342"/>
      <c r="L603" s="342"/>
      <c r="M603" s="342"/>
      <c r="N603" s="342"/>
      <c r="O603" s="341"/>
      <c r="P603" s="341"/>
      <c r="Q603" s="342"/>
      <c r="R603" s="342"/>
      <c r="S603" s="341"/>
      <c r="T603" s="342"/>
      <c r="U603" s="342"/>
      <c r="V603" s="342"/>
      <c r="W603" s="342"/>
      <c r="X603" s="342"/>
      <c r="Y603" s="342"/>
      <c r="Z603" s="342"/>
    </row>
    <row r="604" ht="12.75" customHeight="1">
      <c r="A604" s="534"/>
      <c r="B604" s="534"/>
      <c r="C604" s="575"/>
      <c r="D604" s="585"/>
      <c r="E604" s="586"/>
      <c r="F604" s="342"/>
      <c r="G604" s="342"/>
      <c r="H604" s="342"/>
      <c r="I604" s="342"/>
      <c r="J604" s="342"/>
      <c r="K604" s="342"/>
      <c r="L604" s="342"/>
      <c r="M604" s="342"/>
      <c r="N604" s="342"/>
      <c r="O604" s="341"/>
      <c r="P604" s="341"/>
      <c r="Q604" s="342"/>
      <c r="R604" s="342"/>
      <c r="S604" s="341"/>
      <c r="T604" s="342"/>
      <c r="U604" s="342"/>
      <c r="V604" s="342"/>
      <c r="W604" s="342"/>
      <c r="X604" s="342"/>
      <c r="Y604" s="342"/>
      <c r="Z604" s="342"/>
    </row>
    <row r="605" ht="12.75" customHeight="1">
      <c r="A605" s="534"/>
      <c r="B605" s="534"/>
      <c r="C605" s="575"/>
      <c r="D605" s="585"/>
      <c r="E605" s="586"/>
      <c r="F605" s="342"/>
      <c r="G605" s="342"/>
      <c r="H605" s="342"/>
      <c r="I605" s="342"/>
      <c r="J605" s="342"/>
      <c r="K605" s="342"/>
      <c r="L605" s="342"/>
      <c r="M605" s="342"/>
      <c r="N605" s="342"/>
      <c r="O605" s="341"/>
      <c r="P605" s="341"/>
      <c r="Q605" s="342"/>
      <c r="R605" s="342"/>
      <c r="S605" s="341"/>
      <c r="T605" s="342"/>
      <c r="U605" s="342"/>
      <c r="V605" s="342"/>
      <c r="W605" s="342"/>
      <c r="X605" s="342"/>
      <c r="Y605" s="342"/>
      <c r="Z605" s="342"/>
    </row>
    <row r="606" ht="12.75" customHeight="1">
      <c r="A606" s="534"/>
      <c r="B606" s="534"/>
      <c r="C606" s="575"/>
      <c r="D606" s="585"/>
      <c r="E606" s="586"/>
      <c r="F606" s="342"/>
      <c r="G606" s="342"/>
      <c r="H606" s="342"/>
      <c r="I606" s="342"/>
      <c r="J606" s="342"/>
      <c r="K606" s="342"/>
      <c r="L606" s="342"/>
      <c r="M606" s="342"/>
      <c r="N606" s="342"/>
      <c r="O606" s="341"/>
      <c r="P606" s="341"/>
      <c r="Q606" s="342"/>
      <c r="R606" s="342"/>
      <c r="S606" s="341"/>
      <c r="T606" s="342"/>
      <c r="U606" s="342"/>
      <c r="V606" s="342"/>
      <c r="W606" s="342"/>
      <c r="X606" s="342"/>
      <c r="Y606" s="342"/>
      <c r="Z606" s="342"/>
    </row>
    <row r="607" ht="12.75" customHeight="1">
      <c r="A607" s="534"/>
      <c r="B607" s="534"/>
      <c r="C607" s="575"/>
      <c r="D607" s="585"/>
      <c r="E607" s="586"/>
      <c r="F607" s="342"/>
      <c r="G607" s="342"/>
      <c r="H607" s="342"/>
      <c r="I607" s="342"/>
      <c r="J607" s="342"/>
      <c r="K607" s="342"/>
      <c r="L607" s="342"/>
      <c r="M607" s="342"/>
      <c r="N607" s="342"/>
      <c r="O607" s="341"/>
      <c r="P607" s="341"/>
      <c r="Q607" s="342"/>
      <c r="R607" s="342"/>
      <c r="S607" s="341"/>
      <c r="T607" s="342"/>
      <c r="U607" s="342"/>
      <c r="V607" s="342"/>
      <c r="W607" s="342"/>
      <c r="X607" s="342"/>
      <c r="Y607" s="342"/>
      <c r="Z607" s="342"/>
    </row>
    <row r="608" ht="12.75" customHeight="1">
      <c r="A608" s="534"/>
      <c r="B608" s="534"/>
      <c r="C608" s="575"/>
      <c r="D608" s="585"/>
      <c r="E608" s="586"/>
      <c r="F608" s="342"/>
      <c r="G608" s="342"/>
      <c r="H608" s="342"/>
      <c r="I608" s="342"/>
      <c r="J608" s="342"/>
      <c r="K608" s="342"/>
      <c r="L608" s="342"/>
      <c r="M608" s="342"/>
      <c r="N608" s="342"/>
      <c r="O608" s="341"/>
      <c r="P608" s="341"/>
      <c r="Q608" s="342"/>
      <c r="R608" s="342"/>
      <c r="S608" s="341"/>
      <c r="T608" s="342"/>
      <c r="U608" s="342"/>
      <c r="V608" s="342"/>
      <c r="W608" s="342"/>
      <c r="X608" s="342"/>
      <c r="Y608" s="342"/>
      <c r="Z608" s="342"/>
    </row>
    <row r="609" ht="12.75" customHeight="1">
      <c r="A609" s="534"/>
      <c r="B609" s="534"/>
      <c r="C609" s="575"/>
      <c r="D609" s="585"/>
      <c r="E609" s="586"/>
      <c r="F609" s="342"/>
      <c r="G609" s="342"/>
      <c r="H609" s="342"/>
      <c r="I609" s="342"/>
      <c r="J609" s="342"/>
      <c r="K609" s="342"/>
      <c r="L609" s="342"/>
      <c r="M609" s="342"/>
      <c r="N609" s="342"/>
      <c r="O609" s="341"/>
      <c r="P609" s="341"/>
      <c r="Q609" s="342"/>
      <c r="R609" s="342"/>
      <c r="S609" s="341"/>
      <c r="T609" s="342"/>
      <c r="U609" s="342"/>
      <c r="V609" s="342"/>
      <c r="W609" s="342"/>
      <c r="X609" s="342"/>
      <c r="Y609" s="342"/>
      <c r="Z609" s="342"/>
    </row>
    <row r="610" ht="12.75" customHeight="1">
      <c r="A610" s="534"/>
      <c r="B610" s="534"/>
      <c r="C610" s="575"/>
      <c r="D610" s="585"/>
      <c r="E610" s="586"/>
      <c r="F610" s="342"/>
      <c r="G610" s="342"/>
      <c r="H610" s="342"/>
      <c r="I610" s="342"/>
      <c r="J610" s="342"/>
      <c r="K610" s="342"/>
      <c r="L610" s="342"/>
      <c r="M610" s="342"/>
      <c r="N610" s="342"/>
      <c r="O610" s="341"/>
      <c r="P610" s="341"/>
      <c r="Q610" s="342"/>
      <c r="R610" s="342"/>
      <c r="S610" s="341"/>
      <c r="T610" s="342"/>
      <c r="U610" s="342"/>
      <c r="V610" s="342"/>
      <c r="W610" s="342"/>
      <c r="X610" s="342"/>
      <c r="Y610" s="342"/>
      <c r="Z610" s="342"/>
    </row>
    <row r="611" ht="12.75" customHeight="1">
      <c r="A611" s="534"/>
      <c r="B611" s="534"/>
      <c r="C611" s="575"/>
      <c r="D611" s="585"/>
      <c r="E611" s="586"/>
      <c r="F611" s="342"/>
      <c r="G611" s="342"/>
      <c r="H611" s="342"/>
      <c r="I611" s="342"/>
      <c r="J611" s="342"/>
      <c r="K611" s="342"/>
      <c r="L611" s="342"/>
      <c r="M611" s="342"/>
      <c r="N611" s="342"/>
      <c r="O611" s="341"/>
      <c r="P611" s="341"/>
      <c r="Q611" s="342"/>
      <c r="R611" s="342"/>
      <c r="S611" s="341"/>
      <c r="T611" s="342"/>
      <c r="U611" s="342"/>
      <c r="V611" s="342"/>
      <c r="W611" s="342"/>
      <c r="X611" s="342"/>
      <c r="Y611" s="342"/>
      <c r="Z611" s="342"/>
    </row>
    <row r="612" ht="12.75" customHeight="1">
      <c r="A612" s="534"/>
      <c r="B612" s="534"/>
      <c r="C612" s="575"/>
      <c r="D612" s="585"/>
      <c r="E612" s="586"/>
      <c r="F612" s="342"/>
      <c r="G612" s="342"/>
      <c r="H612" s="342"/>
      <c r="I612" s="342"/>
      <c r="J612" s="342"/>
      <c r="K612" s="342"/>
      <c r="L612" s="342"/>
      <c r="M612" s="342"/>
      <c r="N612" s="342"/>
      <c r="O612" s="341"/>
      <c r="P612" s="341"/>
      <c r="Q612" s="342"/>
      <c r="R612" s="342"/>
      <c r="S612" s="341"/>
      <c r="T612" s="342"/>
      <c r="U612" s="342"/>
      <c r="V612" s="342"/>
      <c r="W612" s="342"/>
      <c r="X612" s="342"/>
      <c r="Y612" s="342"/>
      <c r="Z612" s="342"/>
    </row>
    <row r="613" ht="12.75" customHeight="1">
      <c r="A613" s="534"/>
      <c r="B613" s="534"/>
      <c r="C613" s="575"/>
      <c r="D613" s="585"/>
      <c r="E613" s="586"/>
      <c r="F613" s="342"/>
      <c r="G613" s="342"/>
      <c r="H613" s="342"/>
      <c r="I613" s="342"/>
      <c r="J613" s="342"/>
      <c r="K613" s="342"/>
      <c r="L613" s="342"/>
      <c r="M613" s="342"/>
      <c r="N613" s="342"/>
      <c r="O613" s="341"/>
      <c r="P613" s="341"/>
      <c r="Q613" s="342"/>
      <c r="R613" s="342"/>
      <c r="S613" s="341"/>
      <c r="T613" s="342"/>
      <c r="U613" s="342"/>
      <c r="V613" s="342"/>
      <c r="W613" s="342"/>
      <c r="X613" s="342"/>
      <c r="Y613" s="342"/>
      <c r="Z613" s="342"/>
    </row>
    <row r="614" ht="12.75" customHeight="1">
      <c r="A614" s="534"/>
      <c r="B614" s="534"/>
      <c r="C614" s="575"/>
      <c r="D614" s="585"/>
      <c r="E614" s="586"/>
      <c r="F614" s="342"/>
      <c r="G614" s="342"/>
      <c r="H614" s="342"/>
      <c r="I614" s="342"/>
      <c r="J614" s="342"/>
      <c r="K614" s="342"/>
      <c r="L614" s="342"/>
      <c r="M614" s="342"/>
      <c r="N614" s="342"/>
      <c r="O614" s="341"/>
      <c r="P614" s="341"/>
      <c r="Q614" s="342"/>
      <c r="R614" s="342"/>
      <c r="S614" s="341"/>
      <c r="T614" s="342"/>
      <c r="U614" s="342"/>
      <c r="V614" s="342"/>
      <c r="W614" s="342"/>
      <c r="X614" s="342"/>
      <c r="Y614" s="342"/>
      <c r="Z614" s="342"/>
    </row>
    <row r="615" ht="12.75" customHeight="1">
      <c r="A615" s="534"/>
      <c r="B615" s="534"/>
      <c r="C615" s="575"/>
      <c r="D615" s="585"/>
      <c r="E615" s="586"/>
      <c r="F615" s="342"/>
      <c r="G615" s="342"/>
      <c r="H615" s="342"/>
      <c r="I615" s="342"/>
      <c r="J615" s="342"/>
      <c r="K615" s="342"/>
      <c r="L615" s="342"/>
      <c r="M615" s="342"/>
      <c r="N615" s="342"/>
      <c r="O615" s="341"/>
      <c r="P615" s="341"/>
      <c r="Q615" s="342"/>
      <c r="R615" s="342"/>
      <c r="S615" s="341"/>
      <c r="T615" s="342"/>
      <c r="U615" s="342"/>
      <c r="V615" s="342"/>
      <c r="W615" s="342"/>
      <c r="X615" s="342"/>
      <c r="Y615" s="342"/>
      <c r="Z615" s="342"/>
    </row>
    <row r="616" ht="12.75" customHeight="1">
      <c r="A616" s="534"/>
      <c r="B616" s="534"/>
      <c r="C616" s="575"/>
      <c r="D616" s="585"/>
      <c r="E616" s="586"/>
      <c r="F616" s="342"/>
      <c r="G616" s="342"/>
      <c r="H616" s="342"/>
      <c r="I616" s="342"/>
      <c r="J616" s="342"/>
      <c r="K616" s="342"/>
      <c r="L616" s="342"/>
      <c r="M616" s="342"/>
      <c r="N616" s="342"/>
      <c r="O616" s="341"/>
      <c r="P616" s="341"/>
      <c r="Q616" s="342"/>
      <c r="R616" s="342"/>
      <c r="S616" s="341"/>
      <c r="T616" s="342"/>
      <c r="U616" s="342"/>
      <c r="V616" s="342"/>
      <c r="W616" s="342"/>
      <c r="X616" s="342"/>
      <c r="Y616" s="342"/>
      <c r="Z616" s="342"/>
    </row>
    <row r="617" ht="12.75" customHeight="1">
      <c r="A617" s="534"/>
      <c r="B617" s="534"/>
      <c r="C617" s="575"/>
      <c r="D617" s="585"/>
      <c r="E617" s="586"/>
      <c r="F617" s="342"/>
      <c r="G617" s="342"/>
      <c r="H617" s="342"/>
      <c r="I617" s="342"/>
      <c r="J617" s="342"/>
      <c r="K617" s="342"/>
      <c r="L617" s="342"/>
      <c r="M617" s="342"/>
      <c r="N617" s="342"/>
      <c r="O617" s="341"/>
      <c r="P617" s="341"/>
      <c r="Q617" s="342"/>
      <c r="R617" s="342"/>
      <c r="S617" s="341"/>
      <c r="T617" s="342"/>
      <c r="U617" s="342"/>
      <c r="V617" s="342"/>
      <c r="W617" s="342"/>
      <c r="X617" s="342"/>
      <c r="Y617" s="342"/>
      <c r="Z617" s="342"/>
    </row>
    <row r="618" ht="12.75" customHeight="1">
      <c r="A618" s="534"/>
      <c r="B618" s="534"/>
      <c r="C618" s="575"/>
      <c r="D618" s="585"/>
      <c r="E618" s="586"/>
      <c r="F618" s="342"/>
      <c r="G618" s="342"/>
      <c r="H618" s="342"/>
      <c r="I618" s="342"/>
      <c r="J618" s="342"/>
      <c r="K618" s="342"/>
      <c r="L618" s="342"/>
      <c r="M618" s="342"/>
      <c r="N618" s="342"/>
      <c r="O618" s="341"/>
      <c r="P618" s="341"/>
      <c r="Q618" s="342"/>
      <c r="R618" s="342"/>
      <c r="S618" s="341"/>
      <c r="T618" s="342"/>
      <c r="U618" s="342"/>
      <c r="V618" s="342"/>
      <c r="W618" s="342"/>
      <c r="X618" s="342"/>
      <c r="Y618" s="342"/>
      <c r="Z618" s="342"/>
    </row>
    <row r="619" ht="12.75" customHeight="1">
      <c r="A619" s="534"/>
      <c r="B619" s="534"/>
      <c r="C619" s="575"/>
      <c r="D619" s="585"/>
      <c r="E619" s="586"/>
      <c r="F619" s="342"/>
      <c r="G619" s="342"/>
      <c r="H619" s="342"/>
      <c r="I619" s="342"/>
      <c r="J619" s="342"/>
      <c r="K619" s="342"/>
      <c r="L619" s="342"/>
      <c r="M619" s="342"/>
      <c r="N619" s="342"/>
      <c r="O619" s="341"/>
      <c r="P619" s="341"/>
      <c r="Q619" s="342"/>
      <c r="R619" s="342"/>
      <c r="S619" s="341"/>
      <c r="T619" s="342"/>
      <c r="U619" s="342"/>
      <c r="V619" s="342"/>
      <c r="W619" s="342"/>
      <c r="X619" s="342"/>
      <c r="Y619" s="342"/>
      <c r="Z619" s="342"/>
    </row>
    <row r="620" ht="12.75" customHeight="1">
      <c r="A620" s="534"/>
      <c r="B620" s="534"/>
      <c r="C620" s="575"/>
      <c r="D620" s="585"/>
      <c r="E620" s="586"/>
      <c r="F620" s="342"/>
      <c r="G620" s="342"/>
      <c r="H620" s="342"/>
      <c r="I620" s="342"/>
      <c r="J620" s="342"/>
      <c r="K620" s="342"/>
      <c r="L620" s="342"/>
      <c r="M620" s="342"/>
      <c r="N620" s="342"/>
      <c r="O620" s="341"/>
      <c r="P620" s="341"/>
      <c r="Q620" s="342"/>
      <c r="R620" s="342"/>
      <c r="S620" s="341"/>
      <c r="T620" s="342"/>
      <c r="U620" s="342"/>
      <c r="V620" s="342"/>
      <c r="W620" s="342"/>
      <c r="X620" s="342"/>
      <c r="Y620" s="342"/>
      <c r="Z620" s="342"/>
    </row>
    <row r="621" ht="12.75" customHeight="1">
      <c r="A621" s="534"/>
      <c r="B621" s="534"/>
      <c r="C621" s="575"/>
      <c r="D621" s="585"/>
      <c r="E621" s="586"/>
      <c r="F621" s="342"/>
      <c r="G621" s="342"/>
      <c r="H621" s="342"/>
      <c r="I621" s="342"/>
      <c r="J621" s="342"/>
      <c r="K621" s="342"/>
      <c r="L621" s="342"/>
      <c r="M621" s="342"/>
      <c r="N621" s="342"/>
      <c r="O621" s="341"/>
      <c r="P621" s="341"/>
      <c r="Q621" s="342"/>
      <c r="R621" s="342"/>
      <c r="S621" s="341"/>
      <c r="T621" s="342"/>
      <c r="U621" s="342"/>
      <c r="V621" s="342"/>
      <c r="W621" s="342"/>
      <c r="X621" s="342"/>
      <c r="Y621" s="342"/>
      <c r="Z621" s="342"/>
    </row>
    <row r="622" ht="12.75" customHeight="1">
      <c r="A622" s="534"/>
      <c r="B622" s="534"/>
      <c r="C622" s="575"/>
      <c r="D622" s="585"/>
      <c r="E622" s="586"/>
      <c r="F622" s="342"/>
      <c r="G622" s="342"/>
      <c r="H622" s="342"/>
      <c r="I622" s="342"/>
      <c r="J622" s="342"/>
      <c r="K622" s="342"/>
      <c r="L622" s="342"/>
      <c r="M622" s="342"/>
      <c r="N622" s="342"/>
      <c r="O622" s="341"/>
      <c r="P622" s="341"/>
      <c r="Q622" s="342"/>
      <c r="R622" s="342"/>
      <c r="S622" s="341"/>
      <c r="T622" s="342"/>
      <c r="U622" s="342"/>
      <c r="V622" s="342"/>
      <c r="W622" s="342"/>
      <c r="X622" s="342"/>
      <c r="Y622" s="342"/>
      <c r="Z622" s="342"/>
    </row>
    <row r="623" ht="12.75" customHeight="1">
      <c r="A623" s="534"/>
      <c r="B623" s="534"/>
      <c r="C623" s="575"/>
      <c r="D623" s="585"/>
      <c r="E623" s="586"/>
      <c r="F623" s="342"/>
      <c r="G623" s="342"/>
      <c r="H623" s="342"/>
      <c r="I623" s="342"/>
      <c r="J623" s="342"/>
      <c r="K623" s="342"/>
      <c r="L623" s="342"/>
      <c r="M623" s="342"/>
      <c r="N623" s="342"/>
      <c r="O623" s="341"/>
      <c r="P623" s="341"/>
      <c r="Q623" s="342"/>
      <c r="R623" s="342"/>
      <c r="S623" s="341"/>
      <c r="T623" s="342"/>
      <c r="U623" s="342"/>
      <c r="V623" s="342"/>
      <c r="W623" s="342"/>
      <c r="X623" s="342"/>
      <c r="Y623" s="342"/>
      <c r="Z623" s="342"/>
    </row>
    <row r="624" ht="12.75" customHeight="1">
      <c r="A624" s="534"/>
      <c r="B624" s="534"/>
      <c r="C624" s="575"/>
      <c r="D624" s="585"/>
      <c r="E624" s="586"/>
      <c r="F624" s="342"/>
      <c r="G624" s="342"/>
      <c r="H624" s="342"/>
      <c r="I624" s="342"/>
      <c r="J624" s="342"/>
      <c r="K624" s="342"/>
      <c r="L624" s="342"/>
      <c r="M624" s="342"/>
      <c r="N624" s="342"/>
      <c r="O624" s="341"/>
      <c r="P624" s="341"/>
      <c r="Q624" s="342"/>
      <c r="R624" s="342"/>
      <c r="S624" s="341"/>
      <c r="T624" s="342"/>
      <c r="U624" s="342"/>
      <c r="V624" s="342"/>
      <c r="W624" s="342"/>
      <c r="X624" s="342"/>
      <c r="Y624" s="342"/>
      <c r="Z624" s="342"/>
    </row>
    <row r="625" ht="12.75" customHeight="1">
      <c r="A625" s="534"/>
      <c r="B625" s="534"/>
      <c r="C625" s="575"/>
      <c r="D625" s="585"/>
      <c r="E625" s="586"/>
      <c r="F625" s="342"/>
      <c r="G625" s="342"/>
      <c r="H625" s="342"/>
      <c r="I625" s="342"/>
      <c r="J625" s="342"/>
      <c r="K625" s="342"/>
      <c r="L625" s="342"/>
      <c r="M625" s="342"/>
      <c r="N625" s="342"/>
      <c r="O625" s="341"/>
      <c r="P625" s="341"/>
      <c r="Q625" s="342"/>
      <c r="R625" s="342"/>
      <c r="S625" s="341"/>
      <c r="T625" s="342"/>
      <c r="U625" s="342"/>
      <c r="V625" s="342"/>
      <c r="W625" s="342"/>
      <c r="X625" s="342"/>
      <c r="Y625" s="342"/>
      <c r="Z625" s="342"/>
    </row>
    <row r="626" ht="12.75" customHeight="1">
      <c r="A626" s="534"/>
      <c r="B626" s="534"/>
      <c r="C626" s="575"/>
      <c r="D626" s="585"/>
      <c r="E626" s="586"/>
      <c r="F626" s="342"/>
      <c r="G626" s="342"/>
      <c r="H626" s="342"/>
      <c r="I626" s="342"/>
      <c r="J626" s="342"/>
      <c r="K626" s="342"/>
      <c r="L626" s="342"/>
      <c r="M626" s="342"/>
      <c r="N626" s="342"/>
      <c r="O626" s="341"/>
      <c r="P626" s="341"/>
      <c r="Q626" s="342"/>
      <c r="R626" s="342"/>
      <c r="S626" s="341"/>
      <c r="T626" s="342"/>
      <c r="U626" s="342"/>
      <c r="V626" s="342"/>
      <c r="W626" s="342"/>
      <c r="X626" s="342"/>
      <c r="Y626" s="342"/>
      <c r="Z626" s="342"/>
    </row>
    <row r="627" ht="12.75" customHeight="1">
      <c r="A627" s="534"/>
      <c r="B627" s="534"/>
      <c r="C627" s="575"/>
      <c r="D627" s="585"/>
      <c r="E627" s="586"/>
      <c r="F627" s="342"/>
      <c r="G627" s="342"/>
      <c r="H627" s="342"/>
      <c r="I627" s="342"/>
      <c r="J627" s="342"/>
      <c r="K627" s="342"/>
      <c r="L627" s="342"/>
      <c r="M627" s="342"/>
      <c r="N627" s="342"/>
      <c r="O627" s="341"/>
      <c r="P627" s="341"/>
      <c r="Q627" s="342"/>
      <c r="R627" s="342"/>
      <c r="S627" s="341"/>
      <c r="T627" s="342"/>
      <c r="U627" s="342"/>
      <c r="V627" s="342"/>
      <c r="W627" s="342"/>
      <c r="X627" s="342"/>
      <c r="Y627" s="342"/>
      <c r="Z627" s="342"/>
    </row>
    <row r="628" ht="12.75" customHeight="1">
      <c r="A628" s="534"/>
      <c r="B628" s="534"/>
      <c r="C628" s="575"/>
      <c r="D628" s="585"/>
      <c r="E628" s="586"/>
      <c r="F628" s="342"/>
      <c r="G628" s="342"/>
      <c r="H628" s="342"/>
      <c r="I628" s="342"/>
      <c r="J628" s="342"/>
      <c r="K628" s="342"/>
      <c r="L628" s="342"/>
      <c r="M628" s="342"/>
      <c r="N628" s="342"/>
      <c r="O628" s="341"/>
      <c r="P628" s="341"/>
      <c r="Q628" s="342"/>
      <c r="R628" s="342"/>
      <c r="S628" s="341"/>
      <c r="T628" s="342"/>
      <c r="U628" s="342"/>
      <c r="V628" s="342"/>
      <c r="W628" s="342"/>
      <c r="X628" s="342"/>
      <c r="Y628" s="342"/>
      <c r="Z628" s="342"/>
    </row>
    <row r="629" ht="12.75" customHeight="1">
      <c r="A629" s="534"/>
      <c r="B629" s="534"/>
      <c r="C629" s="575"/>
      <c r="D629" s="585"/>
      <c r="E629" s="586"/>
      <c r="F629" s="342"/>
      <c r="G629" s="342"/>
      <c r="H629" s="342"/>
      <c r="I629" s="342"/>
      <c r="J629" s="342"/>
      <c r="K629" s="342"/>
      <c r="L629" s="342"/>
      <c r="M629" s="342"/>
      <c r="N629" s="342"/>
      <c r="O629" s="341"/>
      <c r="P629" s="341"/>
      <c r="Q629" s="342"/>
      <c r="R629" s="342"/>
      <c r="S629" s="341"/>
      <c r="T629" s="342"/>
      <c r="U629" s="342"/>
      <c r="V629" s="342"/>
      <c r="W629" s="342"/>
      <c r="X629" s="342"/>
      <c r="Y629" s="342"/>
      <c r="Z629" s="342"/>
    </row>
    <row r="630" ht="12.75" customHeight="1">
      <c r="A630" s="534"/>
      <c r="B630" s="534"/>
      <c r="C630" s="575"/>
      <c r="D630" s="585"/>
      <c r="E630" s="586"/>
      <c r="F630" s="342"/>
      <c r="G630" s="342"/>
      <c r="H630" s="342"/>
      <c r="I630" s="342"/>
      <c r="J630" s="342"/>
      <c r="K630" s="342"/>
      <c r="L630" s="342"/>
      <c r="M630" s="342"/>
      <c r="N630" s="342"/>
      <c r="O630" s="341"/>
      <c r="P630" s="341"/>
      <c r="Q630" s="342"/>
      <c r="R630" s="342"/>
      <c r="S630" s="341"/>
      <c r="T630" s="342"/>
      <c r="U630" s="342"/>
      <c r="V630" s="342"/>
      <c r="W630" s="342"/>
      <c r="X630" s="342"/>
      <c r="Y630" s="342"/>
      <c r="Z630" s="342"/>
    </row>
    <row r="631" ht="12.75" customHeight="1">
      <c r="A631" s="534"/>
      <c r="B631" s="534"/>
      <c r="C631" s="575"/>
      <c r="D631" s="585"/>
      <c r="E631" s="586"/>
      <c r="F631" s="342"/>
      <c r="G631" s="342"/>
      <c r="H631" s="342"/>
      <c r="I631" s="342"/>
      <c r="J631" s="342"/>
      <c r="K631" s="342"/>
      <c r="L631" s="342"/>
      <c r="M631" s="342"/>
      <c r="N631" s="342"/>
      <c r="O631" s="341"/>
      <c r="P631" s="341"/>
      <c r="Q631" s="342"/>
      <c r="R631" s="342"/>
      <c r="S631" s="341"/>
      <c r="T631" s="342"/>
      <c r="U631" s="342"/>
      <c r="V631" s="342"/>
      <c r="W631" s="342"/>
      <c r="X631" s="342"/>
      <c r="Y631" s="342"/>
      <c r="Z631" s="342"/>
    </row>
    <row r="632" ht="12.75" customHeight="1">
      <c r="A632" s="534"/>
      <c r="B632" s="534"/>
      <c r="C632" s="575"/>
      <c r="D632" s="585"/>
      <c r="E632" s="586"/>
      <c r="F632" s="342"/>
      <c r="G632" s="342"/>
      <c r="H632" s="342"/>
      <c r="I632" s="342"/>
      <c r="J632" s="342"/>
      <c r="K632" s="342"/>
      <c r="L632" s="342"/>
      <c r="M632" s="342"/>
      <c r="N632" s="342"/>
      <c r="O632" s="341"/>
      <c r="P632" s="341"/>
      <c r="Q632" s="342"/>
      <c r="R632" s="342"/>
      <c r="S632" s="341"/>
      <c r="T632" s="342"/>
      <c r="U632" s="342"/>
      <c r="V632" s="342"/>
      <c r="W632" s="342"/>
      <c r="X632" s="342"/>
      <c r="Y632" s="342"/>
      <c r="Z632" s="342"/>
    </row>
    <row r="633" ht="12.75" customHeight="1">
      <c r="A633" s="534"/>
      <c r="B633" s="534"/>
      <c r="C633" s="575"/>
      <c r="D633" s="585"/>
      <c r="E633" s="586"/>
      <c r="F633" s="342"/>
      <c r="G633" s="342"/>
      <c r="H633" s="342"/>
      <c r="I633" s="342"/>
      <c r="J633" s="342"/>
      <c r="K633" s="342"/>
      <c r="L633" s="342"/>
      <c r="M633" s="342"/>
      <c r="N633" s="342"/>
      <c r="O633" s="341"/>
      <c r="P633" s="341"/>
      <c r="Q633" s="342"/>
      <c r="R633" s="342"/>
      <c r="S633" s="341"/>
      <c r="T633" s="342"/>
      <c r="U633" s="342"/>
      <c r="V633" s="342"/>
      <c r="W633" s="342"/>
      <c r="X633" s="342"/>
      <c r="Y633" s="342"/>
      <c r="Z633" s="342"/>
    </row>
    <row r="634" ht="12.75" customHeight="1">
      <c r="A634" s="534"/>
      <c r="B634" s="534"/>
      <c r="C634" s="575"/>
      <c r="D634" s="585"/>
      <c r="E634" s="586"/>
      <c r="F634" s="342"/>
      <c r="G634" s="342"/>
      <c r="H634" s="342"/>
      <c r="I634" s="342"/>
      <c r="J634" s="342"/>
      <c r="K634" s="342"/>
      <c r="L634" s="342"/>
      <c r="M634" s="342"/>
      <c r="N634" s="342"/>
      <c r="O634" s="341"/>
      <c r="P634" s="341"/>
      <c r="Q634" s="342"/>
      <c r="R634" s="342"/>
      <c r="S634" s="341"/>
      <c r="T634" s="342"/>
      <c r="U634" s="342"/>
      <c r="V634" s="342"/>
      <c r="W634" s="342"/>
      <c r="X634" s="342"/>
      <c r="Y634" s="342"/>
      <c r="Z634" s="342"/>
    </row>
    <row r="635" ht="12.75" customHeight="1">
      <c r="A635" s="534"/>
      <c r="B635" s="534"/>
      <c r="C635" s="575"/>
      <c r="D635" s="585"/>
      <c r="E635" s="586"/>
      <c r="F635" s="342"/>
      <c r="G635" s="342"/>
      <c r="H635" s="342"/>
      <c r="I635" s="342"/>
      <c r="J635" s="342"/>
      <c r="K635" s="342"/>
      <c r="L635" s="342"/>
      <c r="M635" s="342"/>
      <c r="N635" s="342"/>
      <c r="O635" s="341"/>
      <c r="P635" s="341"/>
      <c r="Q635" s="342"/>
      <c r="R635" s="342"/>
      <c r="S635" s="341"/>
      <c r="T635" s="342"/>
      <c r="U635" s="342"/>
      <c r="V635" s="342"/>
      <c r="W635" s="342"/>
      <c r="X635" s="342"/>
      <c r="Y635" s="342"/>
      <c r="Z635" s="342"/>
    </row>
    <row r="636" ht="12.75" customHeight="1">
      <c r="A636" s="534"/>
      <c r="B636" s="534"/>
      <c r="C636" s="575"/>
      <c r="D636" s="585"/>
      <c r="E636" s="586"/>
      <c r="F636" s="342"/>
      <c r="G636" s="342"/>
      <c r="H636" s="342"/>
      <c r="I636" s="342"/>
      <c r="J636" s="342"/>
      <c r="K636" s="342"/>
      <c r="L636" s="342"/>
      <c r="M636" s="342"/>
      <c r="N636" s="342"/>
      <c r="O636" s="341"/>
      <c r="P636" s="341"/>
      <c r="Q636" s="342"/>
      <c r="R636" s="342"/>
      <c r="S636" s="341"/>
      <c r="T636" s="342"/>
      <c r="U636" s="342"/>
      <c r="V636" s="342"/>
      <c r="W636" s="342"/>
      <c r="X636" s="342"/>
      <c r="Y636" s="342"/>
      <c r="Z636" s="342"/>
    </row>
    <row r="637" ht="12.75" customHeight="1">
      <c r="A637" s="534"/>
      <c r="B637" s="534"/>
      <c r="C637" s="575"/>
      <c r="D637" s="585"/>
      <c r="E637" s="586"/>
      <c r="F637" s="342"/>
      <c r="G637" s="342"/>
      <c r="H637" s="342"/>
      <c r="I637" s="342"/>
      <c r="J637" s="342"/>
      <c r="K637" s="342"/>
      <c r="L637" s="342"/>
      <c r="M637" s="342"/>
      <c r="N637" s="342"/>
      <c r="O637" s="341"/>
      <c r="P637" s="341"/>
      <c r="Q637" s="342"/>
      <c r="R637" s="342"/>
      <c r="S637" s="341"/>
      <c r="T637" s="342"/>
      <c r="U637" s="342"/>
      <c r="V637" s="342"/>
      <c r="W637" s="342"/>
      <c r="X637" s="342"/>
      <c r="Y637" s="342"/>
      <c r="Z637" s="342"/>
    </row>
    <row r="638" ht="12.75" customHeight="1">
      <c r="A638" s="534"/>
      <c r="B638" s="534"/>
      <c r="C638" s="575"/>
      <c r="D638" s="585"/>
      <c r="E638" s="586"/>
      <c r="F638" s="342"/>
      <c r="G638" s="342"/>
      <c r="H638" s="342"/>
      <c r="I638" s="342"/>
      <c r="J638" s="342"/>
      <c r="K638" s="342"/>
      <c r="L638" s="342"/>
      <c r="M638" s="342"/>
      <c r="N638" s="342"/>
      <c r="O638" s="341"/>
      <c r="P638" s="341"/>
      <c r="Q638" s="342"/>
      <c r="R638" s="342"/>
      <c r="S638" s="341"/>
      <c r="T638" s="342"/>
      <c r="U638" s="342"/>
      <c r="V638" s="342"/>
      <c r="W638" s="342"/>
      <c r="X638" s="342"/>
      <c r="Y638" s="342"/>
      <c r="Z638" s="342"/>
    </row>
    <row r="639" ht="12.75" customHeight="1">
      <c r="A639" s="534"/>
      <c r="B639" s="534"/>
      <c r="C639" s="575"/>
      <c r="D639" s="585"/>
      <c r="E639" s="586"/>
      <c r="F639" s="342"/>
      <c r="G639" s="342"/>
      <c r="H639" s="342"/>
      <c r="I639" s="342"/>
      <c r="J639" s="342"/>
      <c r="K639" s="342"/>
      <c r="L639" s="342"/>
      <c r="M639" s="342"/>
      <c r="N639" s="342"/>
      <c r="O639" s="341"/>
      <c r="P639" s="341"/>
      <c r="Q639" s="342"/>
      <c r="R639" s="342"/>
      <c r="S639" s="341"/>
      <c r="T639" s="342"/>
      <c r="U639" s="342"/>
      <c r="V639" s="342"/>
      <c r="W639" s="342"/>
      <c r="X639" s="342"/>
      <c r="Y639" s="342"/>
      <c r="Z639" s="342"/>
    </row>
    <row r="640" ht="12.75" customHeight="1">
      <c r="A640" s="534"/>
      <c r="B640" s="534"/>
      <c r="C640" s="575"/>
      <c r="D640" s="585"/>
      <c r="E640" s="586"/>
      <c r="F640" s="342"/>
      <c r="G640" s="342"/>
      <c r="H640" s="342"/>
      <c r="I640" s="342"/>
      <c r="J640" s="342"/>
      <c r="K640" s="342"/>
      <c r="L640" s="342"/>
      <c r="M640" s="342"/>
      <c r="N640" s="342"/>
      <c r="O640" s="341"/>
      <c r="P640" s="341"/>
      <c r="Q640" s="342"/>
      <c r="R640" s="342"/>
      <c r="S640" s="341"/>
      <c r="T640" s="342"/>
      <c r="U640" s="342"/>
      <c r="V640" s="342"/>
      <c r="W640" s="342"/>
      <c r="X640" s="342"/>
      <c r="Y640" s="342"/>
      <c r="Z640" s="342"/>
    </row>
    <row r="641" ht="12.75" customHeight="1">
      <c r="A641" s="534"/>
      <c r="B641" s="534"/>
      <c r="C641" s="575"/>
      <c r="D641" s="585"/>
      <c r="E641" s="586"/>
      <c r="F641" s="342"/>
      <c r="G641" s="342"/>
      <c r="H641" s="342"/>
      <c r="I641" s="342"/>
      <c r="J641" s="342"/>
      <c r="K641" s="342"/>
      <c r="L641" s="342"/>
      <c r="M641" s="342"/>
      <c r="N641" s="342"/>
      <c r="O641" s="341"/>
      <c r="P641" s="341"/>
      <c r="Q641" s="342"/>
      <c r="R641" s="342"/>
      <c r="S641" s="341"/>
      <c r="T641" s="342"/>
      <c r="U641" s="342"/>
      <c r="V641" s="342"/>
      <c r="W641" s="342"/>
      <c r="X641" s="342"/>
      <c r="Y641" s="342"/>
      <c r="Z641" s="342"/>
    </row>
    <row r="642" ht="12.75" customHeight="1">
      <c r="A642" s="534"/>
      <c r="B642" s="534"/>
      <c r="C642" s="575"/>
      <c r="D642" s="585"/>
      <c r="E642" s="586"/>
      <c r="F642" s="342"/>
      <c r="G642" s="342"/>
      <c r="H642" s="342"/>
      <c r="I642" s="342"/>
      <c r="J642" s="342"/>
      <c r="K642" s="342"/>
      <c r="L642" s="342"/>
      <c r="M642" s="342"/>
      <c r="N642" s="342"/>
      <c r="O642" s="341"/>
      <c r="P642" s="341"/>
      <c r="Q642" s="342"/>
      <c r="R642" s="342"/>
      <c r="S642" s="341"/>
      <c r="T642" s="342"/>
      <c r="U642" s="342"/>
      <c r="V642" s="342"/>
      <c r="W642" s="342"/>
      <c r="X642" s="342"/>
      <c r="Y642" s="342"/>
      <c r="Z642" s="342"/>
    </row>
    <row r="643" ht="12.75" customHeight="1">
      <c r="A643" s="534"/>
      <c r="B643" s="534"/>
      <c r="C643" s="575"/>
      <c r="D643" s="585"/>
      <c r="E643" s="586"/>
      <c r="F643" s="342"/>
      <c r="G643" s="342"/>
      <c r="H643" s="342"/>
      <c r="I643" s="342"/>
      <c r="J643" s="342"/>
      <c r="K643" s="342"/>
      <c r="L643" s="342"/>
      <c r="M643" s="342"/>
      <c r="N643" s="342"/>
      <c r="O643" s="341"/>
      <c r="P643" s="341"/>
      <c r="Q643" s="342"/>
      <c r="R643" s="342"/>
      <c r="S643" s="341"/>
      <c r="T643" s="342"/>
      <c r="U643" s="342"/>
      <c r="V643" s="342"/>
      <c r="W643" s="342"/>
      <c r="X643" s="342"/>
      <c r="Y643" s="342"/>
      <c r="Z643" s="342"/>
    </row>
    <row r="644" ht="12.75" customHeight="1">
      <c r="A644" s="534"/>
      <c r="B644" s="534"/>
      <c r="C644" s="575"/>
      <c r="D644" s="585"/>
      <c r="E644" s="586"/>
      <c r="F644" s="342"/>
      <c r="G644" s="342"/>
      <c r="H644" s="342"/>
      <c r="I644" s="342"/>
      <c r="J644" s="342"/>
      <c r="K644" s="342"/>
      <c r="L644" s="342"/>
      <c r="M644" s="342"/>
      <c r="N644" s="342"/>
      <c r="O644" s="341"/>
      <c r="P644" s="341"/>
      <c r="Q644" s="342"/>
      <c r="R644" s="342"/>
      <c r="S644" s="341"/>
      <c r="T644" s="342"/>
      <c r="U644" s="342"/>
      <c r="V644" s="342"/>
      <c r="W644" s="342"/>
      <c r="X644" s="342"/>
      <c r="Y644" s="342"/>
      <c r="Z644" s="342"/>
    </row>
    <row r="645" ht="12.75" customHeight="1">
      <c r="A645" s="534"/>
      <c r="B645" s="534"/>
      <c r="C645" s="575"/>
      <c r="D645" s="585"/>
      <c r="E645" s="586"/>
      <c r="F645" s="342"/>
      <c r="G645" s="342"/>
      <c r="H645" s="342"/>
      <c r="I645" s="342"/>
      <c r="J645" s="342"/>
      <c r="K645" s="342"/>
      <c r="L645" s="342"/>
      <c r="M645" s="342"/>
      <c r="N645" s="342"/>
      <c r="O645" s="341"/>
      <c r="P645" s="341"/>
      <c r="Q645" s="342"/>
      <c r="R645" s="342"/>
      <c r="S645" s="341"/>
      <c r="T645" s="342"/>
      <c r="U645" s="342"/>
      <c r="V645" s="342"/>
      <c r="W645" s="342"/>
      <c r="X645" s="342"/>
      <c r="Y645" s="342"/>
      <c r="Z645" s="342"/>
    </row>
    <row r="646" ht="12.75" customHeight="1">
      <c r="A646" s="534"/>
      <c r="B646" s="534"/>
      <c r="C646" s="575"/>
      <c r="D646" s="585"/>
      <c r="E646" s="586"/>
      <c r="F646" s="342"/>
      <c r="G646" s="342"/>
      <c r="H646" s="342"/>
      <c r="I646" s="342"/>
      <c r="J646" s="342"/>
      <c r="K646" s="342"/>
      <c r="L646" s="342"/>
      <c r="M646" s="342"/>
      <c r="N646" s="342"/>
      <c r="O646" s="341"/>
      <c r="P646" s="341"/>
      <c r="Q646" s="342"/>
      <c r="R646" s="342"/>
      <c r="S646" s="341"/>
      <c r="T646" s="342"/>
      <c r="U646" s="342"/>
      <c r="V646" s="342"/>
      <c r="W646" s="342"/>
      <c r="X646" s="342"/>
      <c r="Y646" s="342"/>
      <c r="Z646" s="342"/>
    </row>
    <row r="647" ht="12.75" customHeight="1">
      <c r="A647" s="534"/>
      <c r="B647" s="534"/>
      <c r="C647" s="575"/>
      <c r="D647" s="585"/>
      <c r="E647" s="586"/>
      <c r="F647" s="342"/>
      <c r="G647" s="342"/>
      <c r="H647" s="342"/>
      <c r="I647" s="342"/>
      <c r="J647" s="342"/>
      <c r="K647" s="342"/>
      <c r="L647" s="342"/>
      <c r="M647" s="342"/>
      <c r="N647" s="342"/>
      <c r="O647" s="341"/>
      <c r="P647" s="341"/>
      <c r="Q647" s="342"/>
      <c r="R647" s="342"/>
      <c r="S647" s="341"/>
      <c r="T647" s="342"/>
      <c r="U647" s="342"/>
      <c r="V647" s="342"/>
      <c r="W647" s="342"/>
      <c r="X647" s="342"/>
      <c r="Y647" s="342"/>
      <c r="Z647" s="342"/>
    </row>
    <row r="648" ht="12.75" customHeight="1">
      <c r="A648" s="534"/>
      <c r="B648" s="534"/>
      <c r="C648" s="575"/>
      <c r="D648" s="585"/>
      <c r="E648" s="586"/>
      <c r="F648" s="342"/>
      <c r="G648" s="342"/>
      <c r="H648" s="342"/>
      <c r="I648" s="342"/>
      <c r="J648" s="342"/>
      <c r="K648" s="342"/>
      <c r="L648" s="342"/>
      <c r="M648" s="342"/>
      <c r="N648" s="342"/>
      <c r="O648" s="341"/>
      <c r="P648" s="341"/>
      <c r="Q648" s="342"/>
      <c r="R648" s="342"/>
      <c r="S648" s="341"/>
      <c r="T648" s="342"/>
      <c r="U648" s="342"/>
      <c r="V648" s="342"/>
      <c r="W648" s="342"/>
      <c r="X648" s="342"/>
      <c r="Y648" s="342"/>
      <c r="Z648" s="342"/>
    </row>
    <row r="649" ht="12.75" customHeight="1">
      <c r="A649" s="534"/>
      <c r="B649" s="534"/>
      <c r="C649" s="575"/>
      <c r="D649" s="585"/>
      <c r="E649" s="586"/>
      <c r="F649" s="342"/>
      <c r="G649" s="342"/>
      <c r="H649" s="342"/>
      <c r="I649" s="342"/>
      <c r="J649" s="342"/>
      <c r="K649" s="342"/>
      <c r="L649" s="342"/>
      <c r="M649" s="342"/>
      <c r="N649" s="342"/>
      <c r="O649" s="341"/>
      <c r="P649" s="341"/>
      <c r="Q649" s="342"/>
      <c r="R649" s="342"/>
      <c r="S649" s="341"/>
      <c r="T649" s="342"/>
      <c r="U649" s="342"/>
      <c r="V649" s="342"/>
      <c r="W649" s="342"/>
      <c r="X649" s="342"/>
      <c r="Y649" s="342"/>
      <c r="Z649" s="342"/>
    </row>
    <row r="650" ht="12.75" customHeight="1">
      <c r="A650" s="534"/>
      <c r="B650" s="534"/>
      <c r="C650" s="575"/>
      <c r="D650" s="585"/>
      <c r="E650" s="586"/>
      <c r="F650" s="342"/>
      <c r="G650" s="342"/>
      <c r="H650" s="342"/>
      <c r="I650" s="342"/>
      <c r="J650" s="342"/>
      <c r="K650" s="342"/>
      <c r="L650" s="342"/>
      <c r="M650" s="342"/>
      <c r="N650" s="342"/>
      <c r="O650" s="341"/>
      <c r="P650" s="341"/>
      <c r="Q650" s="342"/>
      <c r="R650" s="342"/>
      <c r="S650" s="341"/>
      <c r="T650" s="342"/>
      <c r="U650" s="342"/>
      <c r="V650" s="342"/>
      <c r="W650" s="342"/>
      <c r="X650" s="342"/>
      <c r="Y650" s="342"/>
      <c r="Z650" s="342"/>
    </row>
    <row r="651" ht="12.75" customHeight="1">
      <c r="A651" s="534"/>
      <c r="B651" s="534"/>
      <c r="C651" s="575"/>
      <c r="D651" s="585"/>
      <c r="E651" s="586"/>
      <c r="F651" s="342"/>
      <c r="G651" s="342"/>
      <c r="H651" s="342"/>
      <c r="I651" s="342"/>
      <c r="J651" s="342"/>
      <c r="K651" s="342"/>
      <c r="L651" s="342"/>
      <c r="M651" s="342"/>
      <c r="N651" s="342"/>
      <c r="O651" s="341"/>
      <c r="P651" s="341"/>
      <c r="Q651" s="342"/>
      <c r="R651" s="342"/>
      <c r="S651" s="341"/>
      <c r="T651" s="342"/>
      <c r="U651" s="342"/>
      <c r="V651" s="342"/>
      <c r="W651" s="342"/>
      <c r="X651" s="342"/>
      <c r="Y651" s="342"/>
      <c r="Z651" s="342"/>
    </row>
    <row r="652" ht="12.75" customHeight="1">
      <c r="A652" s="534"/>
      <c r="B652" s="534"/>
      <c r="C652" s="575"/>
      <c r="D652" s="585"/>
      <c r="E652" s="586"/>
      <c r="F652" s="342"/>
      <c r="G652" s="342"/>
      <c r="H652" s="342"/>
      <c r="I652" s="342"/>
      <c r="J652" s="342"/>
      <c r="K652" s="342"/>
      <c r="L652" s="342"/>
      <c r="M652" s="342"/>
      <c r="N652" s="342"/>
      <c r="O652" s="341"/>
      <c r="P652" s="341"/>
      <c r="Q652" s="342"/>
      <c r="R652" s="342"/>
      <c r="S652" s="341"/>
      <c r="T652" s="342"/>
      <c r="U652" s="342"/>
      <c r="V652" s="342"/>
      <c r="W652" s="342"/>
      <c r="X652" s="342"/>
      <c r="Y652" s="342"/>
      <c r="Z652" s="342"/>
    </row>
    <row r="653" ht="12.75" customHeight="1">
      <c r="A653" s="534"/>
      <c r="B653" s="534"/>
      <c r="C653" s="575"/>
      <c r="D653" s="585"/>
      <c r="E653" s="586"/>
      <c r="F653" s="342"/>
      <c r="G653" s="342"/>
      <c r="H653" s="342"/>
      <c r="I653" s="342"/>
      <c r="J653" s="342"/>
      <c r="K653" s="342"/>
      <c r="L653" s="342"/>
      <c r="M653" s="342"/>
      <c r="N653" s="342"/>
      <c r="O653" s="341"/>
      <c r="P653" s="341"/>
      <c r="Q653" s="342"/>
      <c r="R653" s="342"/>
      <c r="S653" s="341"/>
      <c r="T653" s="342"/>
      <c r="U653" s="342"/>
      <c r="V653" s="342"/>
      <c r="W653" s="342"/>
      <c r="X653" s="342"/>
      <c r="Y653" s="342"/>
      <c r="Z653" s="342"/>
    </row>
    <row r="654" ht="12.75" customHeight="1">
      <c r="A654" s="534"/>
      <c r="B654" s="534"/>
      <c r="C654" s="575"/>
      <c r="D654" s="585"/>
      <c r="E654" s="586"/>
      <c r="F654" s="342"/>
      <c r="G654" s="342"/>
      <c r="H654" s="342"/>
      <c r="I654" s="342"/>
      <c r="J654" s="342"/>
      <c r="K654" s="342"/>
      <c r="L654" s="342"/>
      <c r="M654" s="342"/>
      <c r="N654" s="342"/>
      <c r="O654" s="341"/>
      <c r="P654" s="341"/>
      <c r="Q654" s="342"/>
      <c r="R654" s="342"/>
      <c r="S654" s="341"/>
      <c r="T654" s="342"/>
      <c r="U654" s="342"/>
      <c r="V654" s="342"/>
      <c r="W654" s="342"/>
      <c r="X654" s="342"/>
      <c r="Y654" s="342"/>
      <c r="Z654" s="342"/>
    </row>
    <row r="655" ht="12.75" customHeight="1">
      <c r="A655" s="534"/>
      <c r="B655" s="534"/>
      <c r="C655" s="575"/>
      <c r="D655" s="585"/>
      <c r="E655" s="586"/>
      <c r="F655" s="342"/>
      <c r="G655" s="342"/>
      <c r="H655" s="342"/>
      <c r="I655" s="342"/>
      <c r="J655" s="342"/>
      <c r="K655" s="342"/>
      <c r="L655" s="342"/>
      <c r="M655" s="342"/>
      <c r="N655" s="342"/>
      <c r="O655" s="341"/>
      <c r="P655" s="341"/>
      <c r="Q655" s="342"/>
      <c r="R655" s="342"/>
      <c r="S655" s="341"/>
      <c r="T655" s="342"/>
      <c r="U655" s="342"/>
      <c r="V655" s="342"/>
      <c r="W655" s="342"/>
      <c r="X655" s="342"/>
      <c r="Y655" s="342"/>
      <c r="Z655" s="342"/>
    </row>
    <row r="656" ht="12.75" customHeight="1">
      <c r="A656" s="534"/>
      <c r="B656" s="534"/>
      <c r="C656" s="575"/>
      <c r="D656" s="585"/>
      <c r="E656" s="586"/>
      <c r="F656" s="342"/>
      <c r="G656" s="342"/>
      <c r="H656" s="342"/>
      <c r="I656" s="342"/>
      <c r="J656" s="342"/>
      <c r="K656" s="342"/>
      <c r="L656" s="342"/>
      <c r="M656" s="342"/>
      <c r="N656" s="342"/>
      <c r="O656" s="341"/>
      <c r="P656" s="341"/>
      <c r="Q656" s="342"/>
      <c r="R656" s="342"/>
      <c r="S656" s="341"/>
      <c r="T656" s="342"/>
      <c r="U656" s="342"/>
      <c r="V656" s="342"/>
      <c r="W656" s="342"/>
      <c r="X656" s="342"/>
      <c r="Y656" s="342"/>
      <c r="Z656" s="342"/>
    </row>
    <row r="657" ht="12.75" customHeight="1">
      <c r="A657" s="534"/>
      <c r="B657" s="534"/>
      <c r="C657" s="575"/>
      <c r="D657" s="585"/>
      <c r="E657" s="586"/>
      <c r="F657" s="342"/>
      <c r="G657" s="342"/>
      <c r="H657" s="342"/>
      <c r="I657" s="342"/>
      <c r="J657" s="342"/>
      <c r="K657" s="342"/>
      <c r="L657" s="342"/>
      <c r="M657" s="342"/>
      <c r="N657" s="342"/>
      <c r="O657" s="341"/>
      <c r="P657" s="341"/>
      <c r="Q657" s="342"/>
      <c r="R657" s="342"/>
      <c r="S657" s="341"/>
      <c r="T657" s="342"/>
      <c r="U657" s="342"/>
      <c r="V657" s="342"/>
      <c r="W657" s="342"/>
      <c r="X657" s="342"/>
      <c r="Y657" s="342"/>
      <c r="Z657" s="342"/>
    </row>
    <row r="658" ht="12.75" customHeight="1">
      <c r="A658" s="534"/>
      <c r="B658" s="534"/>
      <c r="C658" s="575"/>
      <c r="D658" s="585"/>
      <c r="E658" s="586"/>
      <c r="F658" s="342"/>
      <c r="G658" s="342"/>
      <c r="H658" s="342"/>
      <c r="I658" s="342"/>
      <c r="J658" s="342"/>
      <c r="K658" s="342"/>
      <c r="L658" s="342"/>
      <c r="M658" s="342"/>
      <c r="N658" s="342"/>
      <c r="O658" s="341"/>
      <c r="P658" s="341"/>
      <c r="Q658" s="342"/>
      <c r="R658" s="342"/>
      <c r="S658" s="341"/>
      <c r="T658" s="342"/>
      <c r="U658" s="342"/>
      <c r="V658" s="342"/>
      <c r="W658" s="342"/>
      <c r="X658" s="342"/>
      <c r="Y658" s="342"/>
      <c r="Z658" s="342"/>
    </row>
    <row r="659" ht="12.75" customHeight="1">
      <c r="A659" s="534"/>
      <c r="B659" s="534"/>
      <c r="C659" s="575"/>
      <c r="D659" s="585"/>
      <c r="E659" s="586"/>
      <c r="F659" s="342"/>
      <c r="G659" s="342"/>
      <c r="H659" s="342"/>
      <c r="I659" s="342"/>
      <c r="J659" s="342"/>
      <c r="K659" s="342"/>
      <c r="L659" s="342"/>
      <c r="M659" s="342"/>
      <c r="N659" s="342"/>
      <c r="O659" s="341"/>
      <c r="P659" s="341"/>
      <c r="Q659" s="342"/>
      <c r="R659" s="342"/>
      <c r="S659" s="341"/>
      <c r="T659" s="342"/>
      <c r="U659" s="342"/>
      <c r="V659" s="342"/>
      <c r="W659" s="342"/>
      <c r="X659" s="342"/>
      <c r="Y659" s="342"/>
      <c r="Z659" s="342"/>
    </row>
    <row r="660" ht="12.75" customHeight="1">
      <c r="A660" s="534"/>
      <c r="B660" s="534"/>
      <c r="C660" s="575"/>
      <c r="D660" s="585"/>
      <c r="E660" s="586"/>
      <c r="F660" s="342"/>
      <c r="G660" s="342"/>
      <c r="H660" s="342"/>
      <c r="I660" s="342"/>
      <c r="J660" s="342"/>
      <c r="K660" s="342"/>
      <c r="L660" s="342"/>
      <c r="M660" s="342"/>
      <c r="N660" s="342"/>
      <c r="O660" s="341"/>
      <c r="P660" s="341"/>
      <c r="Q660" s="342"/>
      <c r="R660" s="342"/>
      <c r="S660" s="341"/>
      <c r="T660" s="342"/>
      <c r="U660" s="342"/>
      <c r="V660" s="342"/>
      <c r="W660" s="342"/>
      <c r="X660" s="342"/>
      <c r="Y660" s="342"/>
      <c r="Z660" s="342"/>
    </row>
    <row r="661" ht="12.75" customHeight="1">
      <c r="A661" s="534"/>
      <c r="B661" s="534"/>
      <c r="C661" s="575"/>
      <c r="D661" s="585"/>
      <c r="E661" s="586"/>
      <c r="F661" s="342"/>
      <c r="G661" s="342"/>
      <c r="H661" s="342"/>
      <c r="I661" s="342"/>
      <c r="J661" s="342"/>
      <c r="K661" s="342"/>
      <c r="L661" s="342"/>
      <c r="M661" s="342"/>
      <c r="N661" s="342"/>
      <c r="O661" s="341"/>
      <c r="P661" s="341"/>
      <c r="Q661" s="342"/>
      <c r="R661" s="342"/>
      <c r="S661" s="341"/>
      <c r="T661" s="342"/>
      <c r="U661" s="342"/>
      <c r="V661" s="342"/>
      <c r="W661" s="342"/>
      <c r="X661" s="342"/>
      <c r="Y661" s="342"/>
      <c r="Z661" s="342"/>
    </row>
    <row r="662" ht="12.75" customHeight="1">
      <c r="A662" s="534"/>
      <c r="B662" s="534"/>
      <c r="C662" s="575"/>
      <c r="D662" s="585"/>
      <c r="E662" s="586"/>
      <c r="F662" s="342"/>
      <c r="G662" s="342"/>
      <c r="H662" s="342"/>
      <c r="I662" s="342"/>
      <c r="J662" s="342"/>
      <c r="K662" s="342"/>
      <c r="L662" s="342"/>
      <c r="M662" s="342"/>
      <c r="N662" s="342"/>
      <c r="O662" s="341"/>
      <c r="P662" s="341"/>
      <c r="Q662" s="342"/>
      <c r="R662" s="342"/>
      <c r="S662" s="341"/>
      <c r="T662" s="342"/>
      <c r="U662" s="342"/>
      <c r="V662" s="342"/>
      <c r="W662" s="342"/>
      <c r="X662" s="342"/>
      <c r="Y662" s="342"/>
      <c r="Z662" s="342"/>
    </row>
    <row r="663" ht="12.75" customHeight="1">
      <c r="A663" s="534"/>
      <c r="B663" s="534"/>
      <c r="C663" s="575"/>
      <c r="D663" s="585"/>
      <c r="E663" s="586"/>
      <c r="F663" s="342"/>
      <c r="G663" s="342"/>
      <c r="H663" s="342"/>
      <c r="I663" s="342"/>
      <c r="J663" s="342"/>
      <c r="K663" s="342"/>
      <c r="L663" s="342"/>
      <c r="M663" s="342"/>
      <c r="N663" s="342"/>
      <c r="O663" s="341"/>
      <c r="P663" s="341"/>
      <c r="Q663" s="342"/>
      <c r="R663" s="342"/>
      <c r="S663" s="341"/>
      <c r="T663" s="342"/>
      <c r="U663" s="342"/>
      <c r="V663" s="342"/>
      <c r="W663" s="342"/>
      <c r="X663" s="342"/>
      <c r="Y663" s="342"/>
      <c r="Z663" s="342"/>
    </row>
    <row r="664" ht="12.75" customHeight="1">
      <c r="A664" s="534"/>
      <c r="B664" s="534"/>
      <c r="C664" s="575"/>
      <c r="D664" s="585"/>
      <c r="E664" s="586"/>
      <c r="F664" s="342"/>
      <c r="G664" s="342"/>
      <c r="H664" s="342"/>
      <c r="I664" s="342"/>
      <c r="J664" s="342"/>
      <c r="K664" s="342"/>
      <c r="L664" s="342"/>
      <c r="M664" s="342"/>
      <c r="N664" s="342"/>
      <c r="O664" s="341"/>
      <c r="P664" s="341"/>
      <c r="Q664" s="342"/>
      <c r="R664" s="342"/>
      <c r="S664" s="341"/>
      <c r="T664" s="342"/>
      <c r="U664" s="342"/>
      <c r="V664" s="342"/>
      <c r="W664" s="342"/>
      <c r="X664" s="342"/>
      <c r="Y664" s="342"/>
      <c r="Z664" s="342"/>
    </row>
    <row r="665" ht="12.75" customHeight="1">
      <c r="A665" s="534"/>
      <c r="B665" s="534"/>
      <c r="C665" s="575"/>
      <c r="D665" s="585"/>
      <c r="E665" s="586"/>
      <c r="F665" s="342"/>
      <c r="G665" s="342"/>
      <c r="H665" s="342"/>
      <c r="I665" s="342"/>
      <c r="J665" s="342"/>
      <c r="K665" s="342"/>
      <c r="L665" s="342"/>
      <c r="M665" s="342"/>
      <c r="N665" s="342"/>
      <c r="O665" s="341"/>
      <c r="P665" s="341"/>
      <c r="Q665" s="342"/>
      <c r="R665" s="342"/>
      <c r="S665" s="341"/>
      <c r="T665" s="342"/>
      <c r="U665" s="342"/>
      <c r="V665" s="342"/>
      <c r="W665" s="342"/>
      <c r="X665" s="342"/>
      <c r="Y665" s="342"/>
      <c r="Z665" s="342"/>
    </row>
    <row r="666" ht="12.75" customHeight="1">
      <c r="A666" s="534"/>
      <c r="B666" s="534"/>
      <c r="C666" s="575"/>
      <c r="D666" s="585"/>
      <c r="E666" s="586"/>
      <c r="F666" s="342"/>
      <c r="G666" s="342"/>
      <c r="H666" s="342"/>
      <c r="I666" s="342"/>
      <c r="J666" s="342"/>
      <c r="K666" s="342"/>
      <c r="L666" s="342"/>
      <c r="M666" s="342"/>
      <c r="N666" s="342"/>
      <c r="O666" s="341"/>
      <c r="P666" s="341"/>
      <c r="Q666" s="342"/>
      <c r="R666" s="342"/>
      <c r="S666" s="341"/>
      <c r="T666" s="342"/>
      <c r="U666" s="342"/>
      <c r="V666" s="342"/>
      <c r="W666" s="342"/>
      <c r="X666" s="342"/>
      <c r="Y666" s="342"/>
      <c r="Z666" s="342"/>
    </row>
    <row r="667" ht="12.75" customHeight="1">
      <c r="A667" s="534"/>
      <c r="B667" s="534"/>
      <c r="C667" s="575"/>
      <c r="D667" s="585"/>
      <c r="E667" s="586"/>
      <c r="F667" s="342"/>
      <c r="G667" s="342"/>
      <c r="H667" s="342"/>
      <c r="I667" s="342"/>
      <c r="J667" s="342"/>
      <c r="K667" s="342"/>
      <c r="L667" s="342"/>
      <c r="M667" s="342"/>
      <c r="N667" s="342"/>
      <c r="O667" s="341"/>
      <c r="P667" s="341"/>
      <c r="Q667" s="342"/>
      <c r="R667" s="342"/>
      <c r="S667" s="341"/>
      <c r="T667" s="342"/>
      <c r="U667" s="342"/>
      <c r="V667" s="342"/>
      <c r="W667" s="342"/>
      <c r="X667" s="342"/>
      <c r="Y667" s="342"/>
      <c r="Z667" s="342"/>
    </row>
    <row r="668" ht="12.75" customHeight="1">
      <c r="A668" s="534"/>
      <c r="B668" s="534"/>
      <c r="C668" s="575"/>
      <c r="D668" s="585"/>
      <c r="E668" s="586"/>
      <c r="F668" s="342"/>
      <c r="G668" s="342"/>
      <c r="H668" s="342"/>
      <c r="I668" s="342"/>
      <c r="J668" s="342"/>
      <c r="K668" s="342"/>
      <c r="L668" s="342"/>
      <c r="M668" s="342"/>
      <c r="N668" s="342"/>
      <c r="O668" s="341"/>
      <c r="P668" s="341"/>
      <c r="Q668" s="342"/>
      <c r="R668" s="342"/>
      <c r="S668" s="341"/>
      <c r="T668" s="342"/>
      <c r="U668" s="342"/>
      <c r="V668" s="342"/>
      <c r="W668" s="342"/>
      <c r="X668" s="342"/>
      <c r="Y668" s="342"/>
      <c r="Z668" s="342"/>
    </row>
    <row r="669" ht="12.75" customHeight="1">
      <c r="A669" s="534"/>
      <c r="B669" s="534"/>
      <c r="C669" s="575"/>
      <c r="D669" s="585"/>
      <c r="E669" s="586"/>
      <c r="F669" s="342"/>
      <c r="G669" s="342"/>
      <c r="H669" s="342"/>
      <c r="I669" s="342"/>
      <c r="J669" s="342"/>
      <c r="K669" s="342"/>
      <c r="L669" s="342"/>
      <c r="M669" s="342"/>
      <c r="N669" s="342"/>
      <c r="O669" s="341"/>
      <c r="P669" s="341"/>
      <c r="Q669" s="342"/>
      <c r="R669" s="342"/>
      <c r="S669" s="341"/>
      <c r="T669" s="342"/>
      <c r="U669" s="342"/>
      <c r="V669" s="342"/>
      <c r="W669" s="342"/>
      <c r="X669" s="342"/>
      <c r="Y669" s="342"/>
      <c r="Z669" s="342"/>
    </row>
    <row r="670" ht="12.75" customHeight="1">
      <c r="A670" s="534"/>
      <c r="B670" s="534"/>
      <c r="C670" s="575"/>
      <c r="D670" s="585"/>
      <c r="E670" s="586"/>
      <c r="F670" s="342"/>
      <c r="G670" s="342"/>
      <c r="H670" s="342"/>
      <c r="I670" s="342"/>
      <c r="J670" s="342"/>
      <c r="K670" s="342"/>
      <c r="L670" s="342"/>
      <c r="M670" s="342"/>
      <c r="N670" s="342"/>
      <c r="O670" s="341"/>
      <c r="P670" s="341"/>
      <c r="Q670" s="342"/>
      <c r="R670" s="342"/>
      <c r="S670" s="341"/>
      <c r="T670" s="342"/>
      <c r="U670" s="342"/>
      <c r="V670" s="342"/>
      <c r="W670" s="342"/>
      <c r="X670" s="342"/>
      <c r="Y670" s="342"/>
      <c r="Z670" s="342"/>
    </row>
    <row r="671" ht="12.75" customHeight="1">
      <c r="A671" s="534"/>
      <c r="B671" s="534"/>
      <c r="C671" s="575"/>
      <c r="D671" s="585"/>
      <c r="E671" s="586"/>
      <c r="F671" s="342"/>
      <c r="G671" s="342"/>
      <c r="H671" s="342"/>
      <c r="I671" s="342"/>
      <c r="J671" s="342"/>
      <c r="K671" s="342"/>
      <c r="L671" s="342"/>
      <c r="M671" s="342"/>
      <c r="N671" s="342"/>
      <c r="O671" s="341"/>
      <c r="P671" s="341"/>
      <c r="Q671" s="342"/>
      <c r="R671" s="342"/>
      <c r="S671" s="341"/>
      <c r="T671" s="342"/>
      <c r="U671" s="342"/>
      <c r="V671" s="342"/>
      <c r="W671" s="342"/>
      <c r="X671" s="342"/>
      <c r="Y671" s="342"/>
      <c r="Z671" s="342"/>
    </row>
    <row r="672" ht="12.75" customHeight="1">
      <c r="A672" s="534"/>
      <c r="B672" s="534"/>
      <c r="C672" s="575"/>
      <c r="D672" s="585"/>
      <c r="E672" s="586"/>
      <c r="F672" s="342"/>
      <c r="G672" s="342"/>
      <c r="H672" s="342"/>
      <c r="I672" s="342"/>
      <c r="J672" s="342"/>
      <c r="K672" s="342"/>
      <c r="L672" s="342"/>
      <c r="M672" s="342"/>
      <c r="N672" s="342"/>
      <c r="O672" s="341"/>
      <c r="P672" s="341"/>
      <c r="Q672" s="342"/>
      <c r="R672" s="342"/>
      <c r="S672" s="341"/>
      <c r="T672" s="342"/>
      <c r="U672" s="342"/>
      <c r="V672" s="342"/>
      <c r="W672" s="342"/>
      <c r="X672" s="342"/>
      <c r="Y672" s="342"/>
      <c r="Z672" s="342"/>
    </row>
    <row r="673" ht="12.75" customHeight="1">
      <c r="A673" s="534"/>
      <c r="B673" s="534"/>
      <c r="C673" s="575"/>
      <c r="D673" s="585"/>
      <c r="E673" s="586"/>
      <c r="F673" s="342"/>
      <c r="G673" s="342"/>
      <c r="H673" s="342"/>
      <c r="I673" s="342"/>
      <c r="J673" s="342"/>
      <c r="K673" s="342"/>
      <c r="L673" s="342"/>
      <c r="M673" s="342"/>
      <c r="N673" s="342"/>
      <c r="O673" s="341"/>
      <c r="P673" s="341"/>
      <c r="Q673" s="342"/>
      <c r="R673" s="342"/>
      <c r="S673" s="341"/>
      <c r="T673" s="342"/>
      <c r="U673" s="342"/>
      <c r="V673" s="342"/>
      <c r="W673" s="342"/>
      <c r="X673" s="342"/>
      <c r="Y673" s="342"/>
      <c r="Z673" s="342"/>
    </row>
    <row r="674" ht="12.75" customHeight="1">
      <c r="A674" s="534"/>
      <c r="B674" s="534"/>
      <c r="C674" s="575"/>
      <c r="D674" s="585"/>
      <c r="E674" s="586"/>
      <c r="F674" s="342"/>
      <c r="G674" s="342"/>
      <c r="H674" s="342"/>
      <c r="I674" s="342"/>
      <c r="J674" s="342"/>
      <c r="K674" s="342"/>
      <c r="L674" s="342"/>
      <c r="M674" s="342"/>
      <c r="N674" s="342"/>
      <c r="O674" s="341"/>
      <c r="P674" s="341"/>
      <c r="Q674" s="342"/>
      <c r="R674" s="342"/>
      <c r="S674" s="341"/>
      <c r="T674" s="342"/>
      <c r="U674" s="342"/>
      <c r="V674" s="342"/>
      <c r="W674" s="342"/>
      <c r="X674" s="342"/>
      <c r="Y674" s="342"/>
      <c r="Z674" s="342"/>
    </row>
    <row r="675" ht="12.75" customHeight="1">
      <c r="A675" s="534"/>
      <c r="B675" s="534"/>
      <c r="C675" s="575"/>
      <c r="D675" s="585"/>
      <c r="E675" s="586"/>
      <c r="F675" s="342"/>
      <c r="G675" s="342"/>
      <c r="H675" s="342"/>
      <c r="I675" s="342"/>
      <c r="J675" s="342"/>
      <c r="K675" s="342"/>
      <c r="L675" s="342"/>
      <c r="M675" s="342"/>
      <c r="N675" s="342"/>
      <c r="O675" s="341"/>
      <c r="P675" s="341"/>
      <c r="Q675" s="342"/>
      <c r="R675" s="342"/>
      <c r="S675" s="341"/>
      <c r="T675" s="342"/>
      <c r="U675" s="342"/>
      <c r="V675" s="342"/>
      <c r="W675" s="342"/>
      <c r="X675" s="342"/>
      <c r="Y675" s="342"/>
      <c r="Z675" s="342"/>
    </row>
    <row r="676" ht="12.75" customHeight="1">
      <c r="A676" s="534"/>
      <c r="B676" s="534"/>
      <c r="C676" s="575"/>
      <c r="D676" s="585"/>
      <c r="E676" s="586"/>
      <c r="F676" s="342"/>
      <c r="G676" s="342"/>
      <c r="H676" s="342"/>
      <c r="I676" s="342"/>
      <c r="J676" s="342"/>
      <c r="K676" s="342"/>
      <c r="L676" s="342"/>
      <c r="M676" s="342"/>
      <c r="N676" s="342"/>
      <c r="O676" s="341"/>
      <c r="P676" s="341"/>
      <c r="Q676" s="342"/>
      <c r="R676" s="342"/>
      <c r="S676" s="341"/>
      <c r="T676" s="342"/>
      <c r="U676" s="342"/>
      <c r="V676" s="342"/>
      <c r="W676" s="342"/>
      <c r="X676" s="342"/>
      <c r="Y676" s="342"/>
      <c r="Z676" s="342"/>
    </row>
    <row r="677" ht="12.75" customHeight="1">
      <c r="A677" s="534"/>
      <c r="B677" s="534"/>
      <c r="C677" s="575"/>
      <c r="D677" s="585"/>
      <c r="E677" s="586"/>
      <c r="F677" s="342"/>
      <c r="G677" s="342"/>
      <c r="H677" s="342"/>
      <c r="I677" s="342"/>
      <c r="J677" s="342"/>
      <c r="K677" s="342"/>
      <c r="L677" s="342"/>
      <c r="M677" s="342"/>
      <c r="N677" s="342"/>
      <c r="O677" s="341"/>
      <c r="P677" s="341"/>
      <c r="Q677" s="342"/>
      <c r="R677" s="342"/>
      <c r="S677" s="341"/>
      <c r="T677" s="342"/>
      <c r="U677" s="342"/>
      <c r="V677" s="342"/>
      <c r="W677" s="342"/>
      <c r="X677" s="342"/>
      <c r="Y677" s="342"/>
      <c r="Z677" s="342"/>
    </row>
    <row r="678" ht="12.75" customHeight="1">
      <c r="A678" s="534"/>
      <c r="B678" s="534"/>
      <c r="C678" s="575"/>
      <c r="D678" s="585"/>
      <c r="E678" s="586"/>
      <c r="F678" s="342"/>
      <c r="G678" s="342"/>
      <c r="H678" s="342"/>
      <c r="I678" s="342"/>
      <c r="J678" s="342"/>
      <c r="K678" s="342"/>
      <c r="L678" s="342"/>
      <c r="M678" s="342"/>
      <c r="N678" s="342"/>
      <c r="O678" s="341"/>
      <c r="P678" s="341"/>
      <c r="Q678" s="342"/>
      <c r="R678" s="342"/>
      <c r="S678" s="341"/>
      <c r="T678" s="342"/>
      <c r="U678" s="342"/>
      <c r="V678" s="342"/>
      <c r="W678" s="342"/>
      <c r="X678" s="342"/>
      <c r="Y678" s="342"/>
      <c r="Z678" s="342"/>
    </row>
    <row r="679" ht="12.75" customHeight="1">
      <c r="A679" s="534"/>
      <c r="B679" s="534"/>
      <c r="C679" s="575"/>
      <c r="D679" s="585"/>
      <c r="E679" s="586"/>
      <c r="F679" s="342"/>
      <c r="G679" s="342"/>
      <c r="H679" s="342"/>
      <c r="I679" s="342"/>
      <c r="J679" s="342"/>
      <c r="K679" s="342"/>
      <c r="L679" s="342"/>
      <c r="M679" s="342"/>
      <c r="N679" s="342"/>
      <c r="O679" s="341"/>
      <c r="P679" s="341"/>
      <c r="Q679" s="342"/>
      <c r="R679" s="342"/>
      <c r="S679" s="341"/>
      <c r="T679" s="342"/>
      <c r="U679" s="342"/>
      <c r="V679" s="342"/>
      <c r="W679" s="342"/>
      <c r="X679" s="342"/>
      <c r="Y679" s="342"/>
      <c r="Z679" s="342"/>
    </row>
    <row r="680" ht="12.75" customHeight="1">
      <c r="A680" s="534"/>
      <c r="B680" s="534"/>
      <c r="C680" s="575"/>
      <c r="D680" s="585"/>
      <c r="E680" s="586"/>
      <c r="F680" s="342"/>
      <c r="G680" s="342"/>
      <c r="H680" s="342"/>
      <c r="I680" s="342"/>
      <c r="J680" s="342"/>
      <c r="K680" s="342"/>
      <c r="L680" s="342"/>
      <c r="M680" s="342"/>
      <c r="N680" s="342"/>
      <c r="O680" s="341"/>
      <c r="P680" s="341"/>
      <c r="Q680" s="342"/>
      <c r="R680" s="342"/>
      <c r="S680" s="341"/>
      <c r="T680" s="342"/>
      <c r="U680" s="342"/>
      <c r="V680" s="342"/>
      <c r="W680" s="342"/>
      <c r="X680" s="342"/>
      <c r="Y680" s="342"/>
      <c r="Z680" s="342"/>
    </row>
    <row r="681" ht="12.75" customHeight="1">
      <c r="A681" s="534"/>
      <c r="B681" s="534"/>
      <c r="C681" s="575"/>
      <c r="D681" s="585"/>
      <c r="E681" s="586"/>
      <c r="F681" s="342"/>
      <c r="G681" s="342"/>
      <c r="H681" s="342"/>
      <c r="I681" s="342"/>
      <c r="J681" s="342"/>
      <c r="K681" s="342"/>
      <c r="L681" s="342"/>
      <c r="M681" s="342"/>
      <c r="N681" s="342"/>
      <c r="O681" s="341"/>
      <c r="P681" s="341"/>
      <c r="Q681" s="342"/>
      <c r="R681" s="342"/>
      <c r="S681" s="341"/>
      <c r="T681" s="342"/>
      <c r="U681" s="342"/>
      <c r="V681" s="342"/>
      <c r="W681" s="342"/>
      <c r="X681" s="342"/>
      <c r="Y681" s="342"/>
      <c r="Z681" s="342"/>
    </row>
    <row r="682" ht="12.75" customHeight="1">
      <c r="A682" s="534"/>
      <c r="B682" s="534"/>
      <c r="C682" s="575"/>
      <c r="D682" s="585"/>
      <c r="E682" s="586"/>
      <c r="F682" s="342"/>
      <c r="G682" s="342"/>
      <c r="H682" s="342"/>
      <c r="I682" s="342"/>
      <c r="J682" s="342"/>
      <c r="K682" s="342"/>
      <c r="L682" s="342"/>
      <c r="M682" s="342"/>
      <c r="N682" s="342"/>
      <c r="O682" s="341"/>
      <c r="P682" s="341"/>
      <c r="Q682" s="342"/>
      <c r="R682" s="342"/>
      <c r="S682" s="341"/>
      <c r="T682" s="342"/>
      <c r="U682" s="342"/>
      <c r="V682" s="342"/>
      <c r="W682" s="342"/>
      <c r="X682" s="342"/>
      <c r="Y682" s="342"/>
      <c r="Z682" s="342"/>
    </row>
    <row r="683" ht="12.75" customHeight="1">
      <c r="A683" s="534"/>
      <c r="B683" s="534"/>
      <c r="C683" s="575"/>
      <c r="D683" s="585"/>
      <c r="E683" s="586"/>
      <c r="F683" s="342"/>
      <c r="G683" s="342"/>
      <c r="H683" s="342"/>
      <c r="I683" s="342"/>
      <c r="J683" s="342"/>
      <c r="K683" s="342"/>
      <c r="L683" s="342"/>
      <c r="M683" s="342"/>
      <c r="N683" s="342"/>
      <c r="O683" s="341"/>
      <c r="P683" s="341"/>
      <c r="Q683" s="342"/>
      <c r="R683" s="342"/>
      <c r="S683" s="341"/>
      <c r="T683" s="342"/>
      <c r="U683" s="342"/>
      <c r="V683" s="342"/>
      <c r="W683" s="342"/>
      <c r="X683" s="342"/>
      <c r="Y683" s="342"/>
      <c r="Z683" s="342"/>
    </row>
    <row r="684" ht="12.75" customHeight="1">
      <c r="A684" s="534"/>
      <c r="B684" s="534"/>
      <c r="C684" s="575"/>
      <c r="D684" s="585"/>
      <c r="E684" s="586"/>
      <c r="F684" s="342"/>
      <c r="G684" s="342"/>
      <c r="H684" s="342"/>
      <c r="I684" s="342"/>
      <c r="J684" s="342"/>
      <c r="K684" s="342"/>
      <c r="L684" s="342"/>
      <c r="M684" s="342"/>
      <c r="N684" s="342"/>
      <c r="O684" s="341"/>
      <c r="P684" s="341"/>
      <c r="Q684" s="342"/>
      <c r="R684" s="342"/>
      <c r="S684" s="341"/>
      <c r="T684" s="342"/>
      <c r="U684" s="342"/>
      <c r="V684" s="342"/>
      <c r="W684" s="342"/>
      <c r="X684" s="342"/>
      <c r="Y684" s="342"/>
      <c r="Z684" s="342"/>
    </row>
    <row r="685" ht="12.75" customHeight="1">
      <c r="A685" s="534"/>
      <c r="B685" s="534"/>
      <c r="C685" s="575"/>
      <c r="D685" s="585"/>
      <c r="E685" s="586"/>
      <c r="F685" s="342"/>
      <c r="G685" s="342"/>
      <c r="H685" s="342"/>
      <c r="I685" s="342"/>
      <c r="J685" s="342"/>
      <c r="K685" s="342"/>
      <c r="L685" s="342"/>
      <c r="M685" s="342"/>
      <c r="N685" s="342"/>
      <c r="O685" s="341"/>
      <c r="P685" s="341"/>
      <c r="Q685" s="342"/>
      <c r="R685" s="342"/>
      <c r="S685" s="341"/>
      <c r="T685" s="342"/>
      <c r="U685" s="342"/>
      <c r="V685" s="342"/>
      <c r="W685" s="342"/>
      <c r="X685" s="342"/>
      <c r="Y685" s="342"/>
      <c r="Z685" s="342"/>
    </row>
    <row r="686" ht="12.75" customHeight="1">
      <c r="A686" s="534"/>
      <c r="B686" s="534"/>
      <c r="C686" s="575"/>
      <c r="D686" s="585"/>
      <c r="E686" s="586"/>
      <c r="F686" s="342"/>
      <c r="G686" s="342"/>
      <c r="H686" s="342"/>
      <c r="I686" s="342"/>
      <c r="J686" s="342"/>
      <c r="K686" s="342"/>
      <c r="L686" s="342"/>
      <c r="M686" s="342"/>
      <c r="N686" s="342"/>
      <c r="O686" s="341"/>
      <c r="P686" s="341"/>
      <c r="Q686" s="342"/>
      <c r="R686" s="342"/>
      <c r="S686" s="341"/>
      <c r="T686" s="342"/>
      <c r="U686" s="342"/>
      <c r="V686" s="342"/>
      <c r="W686" s="342"/>
      <c r="X686" s="342"/>
      <c r="Y686" s="342"/>
      <c r="Z686" s="342"/>
    </row>
    <row r="687" ht="12.75" customHeight="1">
      <c r="A687" s="534"/>
      <c r="B687" s="534"/>
      <c r="C687" s="575"/>
      <c r="D687" s="585"/>
      <c r="E687" s="586"/>
      <c r="F687" s="342"/>
      <c r="G687" s="342"/>
      <c r="H687" s="342"/>
      <c r="I687" s="342"/>
      <c r="J687" s="342"/>
      <c r="K687" s="342"/>
      <c r="L687" s="342"/>
      <c r="M687" s="342"/>
      <c r="N687" s="342"/>
      <c r="O687" s="341"/>
      <c r="P687" s="341"/>
      <c r="Q687" s="342"/>
      <c r="R687" s="342"/>
      <c r="S687" s="341"/>
      <c r="T687" s="342"/>
      <c r="U687" s="342"/>
      <c r="V687" s="342"/>
      <c r="W687" s="342"/>
      <c r="X687" s="342"/>
      <c r="Y687" s="342"/>
      <c r="Z687" s="342"/>
    </row>
    <row r="688" ht="12.75" customHeight="1">
      <c r="A688" s="534"/>
      <c r="B688" s="534"/>
      <c r="C688" s="575"/>
      <c r="D688" s="585"/>
      <c r="E688" s="586"/>
      <c r="F688" s="342"/>
      <c r="G688" s="342"/>
      <c r="H688" s="342"/>
      <c r="I688" s="342"/>
      <c r="J688" s="342"/>
      <c r="K688" s="342"/>
      <c r="L688" s="342"/>
      <c r="M688" s="342"/>
      <c r="N688" s="342"/>
      <c r="O688" s="341"/>
      <c r="P688" s="341"/>
      <c r="Q688" s="342"/>
      <c r="R688" s="342"/>
      <c r="S688" s="341"/>
      <c r="T688" s="342"/>
      <c r="U688" s="342"/>
      <c r="V688" s="342"/>
      <c r="W688" s="342"/>
      <c r="X688" s="342"/>
      <c r="Y688" s="342"/>
      <c r="Z688" s="342"/>
    </row>
    <row r="689" ht="12.75" customHeight="1">
      <c r="A689" s="534"/>
      <c r="B689" s="534"/>
      <c r="C689" s="575"/>
      <c r="D689" s="585"/>
      <c r="E689" s="586"/>
      <c r="F689" s="342"/>
      <c r="G689" s="342"/>
      <c r="H689" s="342"/>
      <c r="I689" s="342"/>
      <c r="J689" s="342"/>
      <c r="K689" s="342"/>
      <c r="L689" s="342"/>
      <c r="M689" s="342"/>
      <c r="N689" s="342"/>
      <c r="O689" s="341"/>
      <c r="P689" s="341"/>
      <c r="Q689" s="342"/>
      <c r="R689" s="342"/>
      <c r="S689" s="341"/>
      <c r="T689" s="342"/>
      <c r="U689" s="342"/>
      <c r="V689" s="342"/>
      <c r="W689" s="342"/>
      <c r="X689" s="342"/>
      <c r="Y689" s="342"/>
      <c r="Z689" s="342"/>
    </row>
    <row r="690" ht="12.75" customHeight="1">
      <c r="A690" s="534"/>
      <c r="B690" s="534"/>
      <c r="C690" s="575"/>
      <c r="D690" s="585"/>
      <c r="E690" s="586"/>
      <c r="F690" s="342"/>
      <c r="G690" s="342"/>
      <c r="H690" s="342"/>
      <c r="I690" s="342"/>
      <c r="J690" s="342"/>
      <c r="K690" s="342"/>
      <c r="L690" s="342"/>
      <c r="M690" s="342"/>
      <c r="N690" s="342"/>
      <c r="O690" s="341"/>
      <c r="P690" s="341"/>
      <c r="Q690" s="342"/>
      <c r="R690" s="342"/>
      <c r="S690" s="341"/>
      <c r="T690" s="342"/>
      <c r="U690" s="342"/>
      <c r="V690" s="342"/>
      <c r="W690" s="342"/>
      <c r="X690" s="342"/>
      <c r="Y690" s="342"/>
      <c r="Z690" s="342"/>
    </row>
    <row r="691" ht="12.75" customHeight="1">
      <c r="A691" s="534"/>
      <c r="B691" s="534"/>
      <c r="C691" s="575"/>
      <c r="D691" s="585"/>
      <c r="E691" s="586"/>
      <c r="F691" s="342"/>
      <c r="G691" s="342"/>
      <c r="H691" s="342"/>
      <c r="I691" s="342"/>
      <c r="J691" s="342"/>
      <c r="K691" s="342"/>
      <c r="L691" s="342"/>
      <c r="M691" s="342"/>
      <c r="N691" s="342"/>
      <c r="O691" s="341"/>
      <c r="P691" s="341"/>
      <c r="Q691" s="342"/>
      <c r="R691" s="342"/>
      <c r="S691" s="341"/>
      <c r="T691" s="342"/>
      <c r="U691" s="342"/>
      <c r="V691" s="342"/>
      <c r="W691" s="342"/>
      <c r="X691" s="342"/>
      <c r="Y691" s="342"/>
      <c r="Z691" s="342"/>
    </row>
    <row r="692" ht="12.75" customHeight="1">
      <c r="A692" s="534"/>
      <c r="B692" s="534"/>
      <c r="C692" s="575"/>
      <c r="D692" s="585"/>
      <c r="E692" s="586"/>
      <c r="F692" s="342"/>
      <c r="G692" s="342"/>
      <c r="H692" s="342"/>
      <c r="I692" s="342"/>
      <c r="J692" s="342"/>
      <c r="K692" s="342"/>
      <c r="L692" s="342"/>
      <c r="M692" s="342"/>
      <c r="N692" s="342"/>
      <c r="O692" s="341"/>
      <c r="P692" s="341"/>
      <c r="Q692" s="342"/>
      <c r="R692" s="342"/>
      <c r="S692" s="341"/>
      <c r="T692" s="342"/>
      <c r="U692" s="342"/>
      <c r="V692" s="342"/>
      <c r="W692" s="342"/>
      <c r="X692" s="342"/>
      <c r="Y692" s="342"/>
      <c r="Z692" s="342"/>
    </row>
    <row r="693" ht="12.75" customHeight="1">
      <c r="A693" s="534"/>
      <c r="B693" s="534"/>
      <c r="C693" s="575"/>
      <c r="D693" s="585"/>
      <c r="E693" s="586"/>
      <c r="F693" s="342"/>
      <c r="G693" s="342"/>
      <c r="H693" s="342"/>
      <c r="I693" s="342"/>
      <c r="J693" s="342"/>
      <c r="K693" s="342"/>
      <c r="L693" s="342"/>
      <c r="M693" s="342"/>
      <c r="N693" s="342"/>
      <c r="O693" s="341"/>
      <c r="P693" s="341"/>
      <c r="Q693" s="342"/>
      <c r="R693" s="342"/>
      <c r="S693" s="341"/>
      <c r="T693" s="342"/>
      <c r="U693" s="342"/>
      <c r="V693" s="342"/>
      <c r="W693" s="342"/>
      <c r="X693" s="342"/>
      <c r="Y693" s="342"/>
      <c r="Z693" s="342"/>
    </row>
    <row r="694" ht="12.75" customHeight="1">
      <c r="A694" s="534"/>
      <c r="B694" s="534"/>
      <c r="C694" s="575"/>
      <c r="D694" s="585"/>
      <c r="E694" s="586"/>
      <c r="F694" s="342"/>
      <c r="G694" s="342"/>
      <c r="H694" s="342"/>
      <c r="I694" s="342"/>
      <c r="J694" s="342"/>
      <c r="K694" s="342"/>
      <c r="L694" s="342"/>
      <c r="M694" s="342"/>
      <c r="N694" s="342"/>
      <c r="O694" s="341"/>
      <c r="P694" s="341"/>
      <c r="Q694" s="342"/>
      <c r="R694" s="342"/>
      <c r="S694" s="341"/>
      <c r="T694" s="342"/>
      <c r="U694" s="342"/>
      <c r="V694" s="342"/>
      <c r="W694" s="342"/>
      <c r="X694" s="342"/>
      <c r="Y694" s="342"/>
      <c r="Z694" s="342"/>
    </row>
    <row r="695" ht="12.75" customHeight="1">
      <c r="A695" s="534"/>
      <c r="B695" s="534"/>
      <c r="C695" s="575"/>
      <c r="D695" s="585"/>
      <c r="E695" s="586"/>
      <c r="F695" s="342"/>
      <c r="G695" s="342"/>
      <c r="H695" s="342"/>
      <c r="I695" s="342"/>
      <c r="J695" s="342"/>
      <c r="K695" s="342"/>
      <c r="L695" s="342"/>
      <c r="M695" s="342"/>
      <c r="N695" s="342"/>
      <c r="O695" s="341"/>
      <c r="P695" s="341"/>
      <c r="Q695" s="342"/>
      <c r="R695" s="342"/>
      <c r="S695" s="341"/>
      <c r="T695" s="342"/>
      <c r="U695" s="342"/>
      <c r="V695" s="342"/>
      <c r="W695" s="342"/>
      <c r="X695" s="342"/>
      <c r="Y695" s="342"/>
      <c r="Z695" s="342"/>
    </row>
    <row r="696" ht="12.75" customHeight="1">
      <c r="A696" s="534"/>
      <c r="B696" s="534"/>
      <c r="C696" s="575"/>
      <c r="D696" s="585"/>
      <c r="E696" s="586"/>
      <c r="F696" s="342"/>
      <c r="G696" s="342"/>
      <c r="H696" s="342"/>
      <c r="I696" s="342"/>
      <c r="J696" s="342"/>
      <c r="K696" s="342"/>
      <c r="L696" s="342"/>
      <c r="M696" s="342"/>
      <c r="N696" s="342"/>
      <c r="O696" s="341"/>
      <c r="P696" s="341"/>
      <c r="Q696" s="342"/>
      <c r="R696" s="342"/>
      <c r="S696" s="341"/>
      <c r="T696" s="342"/>
      <c r="U696" s="342"/>
      <c r="V696" s="342"/>
      <c r="W696" s="342"/>
      <c r="X696" s="342"/>
      <c r="Y696" s="342"/>
      <c r="Z696" s="342"/>
    </row>
    <row r="697" ht="12.75" customHeight="1">
      <c r="A697" s="534"/>
      <c r="B697" s="534"/>
      <c r="C697" s="575"/>
      <c r="D697" s="585"/>
      <c r="E697" s="586"/>
      <c r="F697" s="342"/>
      <c r="G697" s="342"/>
      <c r="H697" s="342"/>
      <c r="I697" s="342"/>
      <c r="J697" s="342"/>
      <c r="K697" s="342"/>
      <c r="L697" s="342"/>
      <c r="M697" s="342"/>
      <c r="N697" s="342"/>
      <c r="O697" s="341"/>
      <c r="P697" s="341"/>
      <c r="Q697" s="342"/>
      <c r="R697" s="342"/>
      <c r="S697" s="341"/>
      <c r="T697" s="342"/>
      <c r="U697" s="342"/>
      <c r="V697" s="342"/>
      <c r="W697" s="342"/>
      <c r="X697" s="342"/>
      <c r="Y697" s="342"/>
      <c r="Z697" s="342"/>
    </row>
    <row r="698" ht="12.75" customHeight="1">
      <c r="A698" s="534"/>
      <c r="B698" s="534"/>
      <c r="C698" s="575"/>
      <c r="D698" s="585"/>
      <c r="E698" s="586"/>
      <c r="F698" s="342"/>
      <c r="G698" s="342"/>
      <c r="H698" s="342"/>
      <c r="I698" s="342"/>
      <c r="J698" s="342"/>
      <c r="K698" s="342"/>
      <c r="L698" s="342"/>
      <c r="M698" s="342"/>
      <c r="N698" s="342"/>
      <c r="O698" s="341"/>
      <c r="P698" s="341"/>
      <c r="Q698" s="342"/>
      <c r="R698" s="342"/>
      <c r="S698" s="341"/>
      <c r="T698" s="342"/>
      <c r="U698" s="342"/>
      <c r="V698" s="342"/>
      <c r="W698" s="342"/>
      <c r="X698" s="342"/>
      <c r="Y698" s="342"/>
      <c r="Z698" s="342"/>
    </row>
    <row r="699" ht="12.75" customHeight="1">
      <c r="A699" s="534"/>
      <c r="B699" s="534"/>
      <c r="C699" s="575"/>
      <c r="D699" s="585"/>
      <c r="E699" s="586"/>
      <c r="F699" s="342"/>
      <c r="G699" s="342"/>
      <c r="H699" s="342"/>
      <c r="I699" s="342"/>
      <c r="J699" s="342"/>
      <c r="K699" s="342"/>
      <c r="L699" s="342"/>
      <c r="M699" s="342"/>
      <c r="N699" s="342"/>
      <c r="O699" s="341"/>
      <c r="P699" s="341"/>
      <c r="Q699" s="342"/>
      <c r="R699" s="342"/>
      <c r="S699" s="341"/>
      <c r="T699" s="342"/>
      <c r="U699" s="342"/>
      <c r="V699" s="342"/>
      <c r="W699" s="342"/>
      <c r="X699" s="342"/>
      <c r="Y699" s="342"/>
      <c r="Z699" s="342"/>
    </row>
    <row r="700" ht="12.75" customHeight="1">
      <c r="A700" s="534"/>
      <c r="B700" s="534"/>
      <c r="C700" s="575"/>
      <c r="D700" s="585"/>
      <c r="E700" s="586"/>
      <c r="F700" s="342"/>
      <c r="G700" s="342"/>
      <c r="H700" s="342"/>
      <c r="I700" s="342"/>
      <c r="J700" s="342"/>
      <c r="K700" s="342"/>
      <c r="L700" s="342"/>
      <c r="M700" s="342"/>
      <c r="N700" s="342"/>
      <c r="O700" s="341"/>
      <c r="P700" s="341"/>
      <c r="Q700" s="342"/>
      <c r="R700" s="342"/>
      <c r="S700" s="341"/>
      <c r="T700" s="342"/>
      <c r="U700" s="342"/>
      <c r="V700" s="342"/>
      <c r="W700" s="342"/>
      <c r="X700" s="342"/>
      <c r="Y700" s="342"/>
      <c r="Z700" s="342"/>
    </row>
    <row r="701" ht="12.75" customHeight="1">
      <c r="A701" s="534"/>
      <c r="B701" s="534"/>
      <c r="C701" s="575"/>
      <c r="D701" s="585"/>
      <c r="E701" s="586"/>
      <c r="F701" s="342"/>
      <c r="G701" s="342"/>
      <c r="H701" s="342"/>
      <c r="I701" s="342"/>
      <c r="J701" s="342"/>
      <c r="K701" s="342"/>
      <c r="L701" s="342"/>
      <c r="M701" s="342"/>
      <c r="N701" s="342"/>
      <c r="O701" s="341"/>
      <c r="P701" s="341"/>
      <c r="Q701" s="342"/>
      <c r="R701" s="342"/>
      <c r="S701" s="341"/>
      <c r="T701" s="342"/>
      <c r="U701" s="342"/>
      <c r="V701" s="342"/>
      <c r="W701" s="342"/>
      <c r="X701" s="342"/>
      <c r="Y701" s="342"/>
      <c r="Z701" s="342"/>
    </row>
    <row r="702" ht="12.75" customHeight="1">
      <c r="A702" s="534"/>
      <c r="B702" s="534"/>
      <c r="C702" s="575"/>
      <c r="D702" s="585"/>
      <c r="E702" s="586"/>
      <c r="F702" s="342"/>
      <c r="G702" s="342"/>
      <c r="H702" s="342"/>
      <c r="I702" s="342"/>
      <c r="J702" s="342"/>
      <c r="K702" s="342"/>
      <c r="L702" s="342"/>
      <c r="M702" s="342"/>
      <c r="N702" s="342"/>
      <c r="O702" s="341"/>
      <c r="P702" s="341"/>
      <c r="Q702" s="342"/>
      <c r="R702" s="342"/>
      <c r="S702" s="341"/>
      <c r="T702" s="342"/>
      <c r="U702" s="342"/>
      <c r="V702" s="342"/>
      <c r="W702" s="342"/>
      <c r="X702" s="342"/>
      <c r="Y702" s="342"/>
      <c r="Z702" s="342"/>
    </row>
    <row r="703" ht="12.75" customHeight="1">
      <c r="A703" s="534"/>
      <c r="B703" s="534"/>
      <c r="C703" s="575"/>
      <c r="D703" s="585"/>
      <c r="E703" s="586"/>
      <c r="F703" s="342"/>
      <c r="G703" s="342"/>
      <c r="H703" s="342"/>
      <c r="I703" s="342"/>
      <c r="J703" s="342"/>
      <c r="K703" s="342"/>
      <c r="L703" s="342"/>
      <c r="M703" s="342"/>
      <c r="N703" s="342"/>
      <c r="O703" s="341"/>
      <c r="P703" s="341"/>
      <c r="Q703" s="342"/>
      <c r="R703" s="342"/>
      <c r="S703" s="341"/>
      <c r="T703" s="342"/>
      <c r="U703" s="342"/>
      <c r="V703" s="342"/>
      <c r="W703" s="342"/>
      <c r="X703" s="342"/>
      <c r="Y703" s="342"/>
      <c r="Z703" s="342"/>
    </row>
    <row r="704" ht="12.75" customHeight="1">
      <c r="A704" s="534"/>
      <c r="B704" s="534"/>
      <c r="C704" s="575"/>
      <c r="D704" s="585"/>
      <c r="E704" s="586"/>
      <c r="F704" s="342"/>
      <c r="G704" s="342"/>
      <c r="H704" s="342"/>
      <c r="I704" s="342"/>
      <c r="J704" s="342"/>
      <c r="K704" s="342"/>
      <c r="L704" s="342"/>
      <c r="M704" s="342"/>
      <c r="N704" s="342"/>
      <c r="O704" s="341"/>
      <c r="P704" s="341"/>
      <c r="Q704" s="342"/>
      <c r="R704" s="342"/>
      <c r="S704" s="341"/>
      <c r="T704" s="342"/>
      <c r="U704" s="342"/>
      <c r="V704" s="342"/>
      <c r="W704" s="342"/>
      <c r="X704" s="342"/>
      <c r="Y704" s="342"/>
      <c r="Z704" s="342"/>
    </row>
    <row r="705" ht="12.75" customHeight="1">
      <c r="A705" s="534"/>
      <c r="B705" s="534"/>
      <c r="C705" s="575"/>
      <c r="D705" s="585"/>
      <c r="E705" s="586"/>
      <c r="F705" s="342"/>
      <c r="G705" s="342"/>
      <c r="H705" s="342"/>
      <c r="I705" s="342"/>
      <c r="J705" s="342"/>
      <c r="K705" s="342"/>
      <c r="L705" s="342"/>
      <c r="M705" s="342"/>
      <c r="N705" s="342"/>
      <c r="O705" s="341"/>
      <c r="P705" s="341"/>
      <c r="Q705" s="342"/>
      <c r="R705" s="342"/>
      <c r="S705" s="341"/>
      <c r="T705" s="342"/>
      <c r="U705" s="342"/>
      <c r="V705" s="342"/>
      <c r="W705" s="342"/>
      <c r="X705" s="342"/>
      <c r="Y705" s="342"/>
      <c r="Z705" s="342"/>
    </row>
    <row r="706" ht="12.75" customHeight="1">
      <c r="A706" s="534"/>
      <c r="B706" s="534"/>
      <c r="C706" s="575"/>
      <c r="D706" s="585"/>
      <c r="E706" s="586"/>
      <c r="F706" s="342"/>
      <c r="G706" s="342"/>
      <c r="H706" s="342"/>
      <c r="I706" s="342"/>
      <c r="J706" s="342"/>
      <c r="K706" s="342"/>
      <c r="L706" s="342"/>
      <c r="M706" s="342"/>
      <c r="N706" s="342"/>
      <c r="O706" s="341"/>
      <c r="P706" s="341"/>
      <c r="Q706" s="342"/>
      <c r="R706" s="342"/>
      <c r="S706" s="341"/>
      <c r="T706" s="342"/>
      <c r="U706" s="342"/>
      <c r="V706" s="342"/>
      <c r="W706" s="342"/>
      <c r="X706" s="342"/>
      <c r="Y706" s="342"/>
      <c r="Z706" s="342"/>
    </row>
    <row r="707" ht="12.75" customHeight="1">
      <c r="A707" s="534"/>
      <c r="B707" s="534"/>
      <c r="C707" s="575"/>
      <c r="D707" s="585"/>
      <c r="E707" s="586"/>
      <c r="F707" s="342"/>
      <c r="G707" s="342"/>
      <c r="H707" s="342"/>
      <c r="I707" s="342"/>
      <c r="J707" s="342"/>
      <c r="K707" s="342"/>
      <c r="L707" s="342"/>
      <c r="M707" s="342"/>
      <c r="N707" s="342"/>
      <c r="O707" s="341"/>
      <c r="P707" s="341"/>
      <c r="Q707" s="342"/>
      <c r="R707" s="342"/>
      <c r="S707" s="341"/>
      <c r="T707" s="342"/>
      <c r="U707" s="342"/>
      <c r="V707" s="342"/>
      <c r="W707" s="342"/>
      <c r="X707" s="342"/>
      <c r="Y707" s="342"/>
      <c r="Z707" s="342"/>
    </row>
    <row r="708" ht="12.75" customHeight="1">
      <c r="A708" s="534"/>
      <c r="B708" s="534"/>
      <c r="C708" s="575"/>
      <c r="D708" s="585"/>
      <c r="E708" s="586"/>
      <c r="F708" s="342"/>
      <c r="G708" s="342"/>
      <c r="H708" s="342"/>
      <c r="I708" s="342"/>
      <c r="J708" s="342"/>
      <c r="K708" s="342"/>
      <c r="L708" s="342"/>
      <c r="M708" s="342"/>
      <c r="N708" s="342"/>
      <c r="O708" s="341"/>
      <c r="P708" s="341"/>
      <c r="Q708" s="342"/>
      <c r="R708" s="342"/>
      <c r="S708" s="341"/>
      <c r="T708" s="342"/>
      <c r="U708" s="342"/>
      <c r="V708" s="342"/>
      <c r="W708" s="342"/>
      <c r="X708" s="342"/>
      <c r="Y708" s="342"/>
      <c r="Z708" s="342"/>
    </row>
    <row r="709" ht="12.75" customHeight="1">
      <c r="A709" s="534"/>
      <c r="B709" s="534"/>
      <c r="C709" s="575"/>
      <c r="D709" s="585"/>
      <c r="E709" s="586"/>
      <c r="F709" s="342"/>
      <c r="G709" s="342"/>
      <c r="H709" s="342"/>
      <c r="I709" s="342"/>
      <c r="J709" s="342"/>
      <c r="K709" s="342"/>
      <c r="L709" s="342"/>
      <c r="M709" s="342"/>
      <c r="N709" s="342"/>
      <c r="O709" s="341"/>
      <c r="P709" s="341"/>
      <c r="Q709" s="342"/>
      <c r="R709" s="342"/>
      <c r="S709" s="341"/>
      <c r="T709" s="342"/>
      <c r="U709" s="342"/>
      <c r="V709" s="342"/>
      <c r="W709" s="342"/>
      <c r="X709" s="342"/>
      <c r="Y709" s="342"/>
      <c r="Z709" s="342"/>
    </row>
    <row r="710" ht="12.75" customHeight="1">
      <c r="A710" s="534"/>
      <c r="B710" s="534"/>
      <c r="C710" s="575"/>
      <c r="D710" s="585"/>
      <c r="E710" s="586"/>
      <c r="F710" s="342"/>
      <c r="G710" s="342"/>
      <c r="H710" s="342"/>
      <c r="I710" s="342"/>
      <c r="J710" s="342"/>
      <c r="K710" s="342"/>
      <c r="L710" s="342"/>
      <c r="M710" s="342"/>
      <c r="N710" s="342"/>
      <c r="O710" s="341"/>
      <c r="P710" s="341"/>
      <c r="Q710" s="342"/>
      <c r="R710" s="342"/>
      <c r="S710" s="341"/>
      <c r="T710" s="342"/>
      <c r="U710" s="342"/>
      <c r="V710" s="342"/>
      <c r="W710" s="342"/>
      <c r="X710" s="342"/>
      <c r="Y710" s="342"/>
      <c r="Z710" s="342"/>
    </row>
    <row r="711" ht="12.75" customHeight="1">
      <c r="A711" s="534"/>
      <c r="B711" s="534"/>
      <c r="C711" s="575"/>
      <c r="D711" s="585"/>
      <c r="E711" s="586"/>
      <c r="F711" s="342"/>
      <c r="G711" s="342"/>
      <c r="H711" s="342"/>
      <c r="I711" s="342"/>
      <c r="J711" s="342"/>
      <c r="K711" s="342"/>
      <c r="L711" s="342"/>
      <c r="M711" s="342"/>
      <c r="N711" s="342"/>
      <c r="O711" s="341"/>
      <c r="P711" s="341"/>
      <c r="Q711" s="342"/>
      <c r="R711" s="342"/>
      <c r="S711" s="341"/>
      <c r="T711" s="342"/>
      <c r="U711" s="342"/>
      <c r="V711" s="342"/>
      <c r="W711" s="342"/>
      <c r="X711" s="342"/>
      <c r="Y711" s="342"/>
      <c r="Z711" s="342"/>
    </row>
    <row r="712" ht="12.75" customHeight="1">
      <c r="A712" s="534"/>
      <c r="B712" s="534"/>
      <c r="C712" s="575"/>
      <c r="D712" s="585"/>
      <c r="E712" s="586"/>
      <c r="F712" s="342"/>
      <c r="G712" s="342"/>
      <c r="H712" s="342"/>
      <c r="I712" s="342"/>
      <c r="J712" s="342"/>
      <c r="K712" s="342"/>
      <c r="L712" s="342"/>
      <c r="M712" s="342"/>
      <c r="N712" s="342"/>
      <c r="O712" s="341"/>
      <c r="P712" s="341"/>
      <c r="Q712" s="342"/>
      <c r="R712" s="342"/>
      <c r="S712" s="341"/>
      <c r="T712" s="342"/>
      <c r="U712" s="342"/>
      <c r="V712" s="342"/>
      <c r="W712" s="342"/>
      <c r="X712" s="342"/>
      <c r="Y712" s="342"/>
      <c r="Z712" s="342"/>
    </row>
    <row r="713" ht="12.75" customHeight="1">
      <c r="A713" s="534"/>
      <c r="B713" s="534"/>
      <c r="C713" s="575"/>
      <c r="D713" s="585"/>
      <c r="E713" s="586"/>
      <c r="F713" s="342"/>
      <c r="G713" s="342"/>
      <c r="H713" s="342"/>
      <c r="I713" s="342"/>
      <c r="J713" s="342"/>
      <c r="K713" s="342"/>
      <c r="L713" s="342"/>
      <c r="M713" s="342"/>
      <c r="N713" s="342"/>
      <c r="O713" s="341"/>
      <c r="P713" s="341"/>
      <c r="Q713" s="342"/>
      <c r="R713" s="342"/>
      <c r="S713" s="341"/>
      <c r="T713" s="342"/>
      <c r="U713" s="342"/>
      <c r="V713" s="342"/>
      <c r="W713" s="342"/>
      <c r="X713" s="342"/>
      <c r="Y713" s="342"/>
      <c r="Z713" s="342"/>
    </row>
    <row r="714" ht="12.75" customHeight="1">
      <c r="A714" s="534"/>
      <c r="B714" s="534"/>
      <c r="C714" s="575"/>
      <c r="D714" s="585"/>
      <c r="E714" s="586"/>
      <c r="F714" s="342"/>
      <c r="G714" s="342"/>
      <c r="H714" s="342"/>
      <c r="I714" s="342"/>
      <c r="J714" s="342"/>
      <c r="K714" s="342"/>
      <c r="L714" s="342"/>
      <c r="M714" s="342"/>
      <c r="N714" s="342"/>
      <c r="O714" s="341"/>
      <c r="P714" s="341"/>
      <c r="Q714" s="342"/>
      <c r="R714" s="342"/>
      <c r="S714" s="341"/>
      <c r="T714" s="342"/>
      <c r="U714" s="342"/>
      <c r="V714" s="342"/>
      <c r="W714" s="342"/>
      <c r="X714" s="342"/>
      <c r="Y714" s="342"/>
      <c r="Z714" s="342"/>
    </row>
    <row r="715" ht="12.75" customHeight="1">
      <c r="A715" s="534"/>
      <c r="B715" s="534"/>
      <c r="C715" s="575"/>
      <c r="D715" s="585"/>
      <c r="E715" s="586"/>
      <c r="F715" s="342"/>
      <c r="G715" s="342"/>
      <c r="H715" s="342"/>
      <c r="I715" s="342"/>
      <c r="J715" s="342"/>
      <c r="K715" s="342"/>
      <c r="L715" s="342"/>
      <c r="M715" s="342"/>
      <c r="N715" s="342"/>
      <c r="O715" s="341"/>
      <c r="P715" s="341"/>
      <c r="Q715" s="342"/>
      <c r="R715" s="342"/>
      <c r="S715" s="341"/>
      <c r="T715" s="342"/>
      <c r="U715" s="342"/>
      <c r="V715" s="342"/>
      <c r="W715" s="342"/>
      <c r="X715" s="342"/>
      <c r="Y715" s="342"/>
      <c r="Z715" s="342"/>
    </row>
    <row r="716" ht="12.75" customHeight="1">
      <c r="A716" s="534"/>
      <c r="B716" s="534"/>
      <c r="C716" s="575"/>
      <c r="D716" s="585"/>
      <c r="E716" s="586"/>
      <c r="F716" s="342"/>
      <c r="G716" s="342"/>
      <c r="H716" s="342"/>
      <c r="I716" s="342"/>
      <c r="J716" s="342"/>
      <c r="K716" s="342"/>
      <c r="L716" s="342"/>
      <c r="M716" s="342"/>
      <c r="N716" s="342"/>
      <c r="O716" s="341"/>
      <c r="P716" s="341"/>
      <c r="Q716" s="342"/>
      <c r="R716" s="342"/>
      <c r="S716" s="341"/>
      <c r="T716" s="342"/>
      <c r="U716" s="342"/>
      <c r="V716" s="342"/>
      <c r="W716" s="342"/>
      <c r="X716" s="342"/>
      <c r="Y716" s="342"/>
      <c r="Z716" s="342"/>
    </row>
    <row r="717" ht="12.75" customHeight="1">
      <c r="A717" s="534"/>
      <c r="B717" s="534"/>
      <c r="C717" s="575"/>
      <c r="D717" s="585"/>
      <c r="E717" s="586"/>
      <c r="F717" s="342"/>
      <c r="G717" s="342"/>
      <c r="H717" s="342"/>
      <c r="I717" s="342"/>
      <c r="J717" s="342"/>
      <c r="K717" s="342"/>
      <c r="L717" s="342"/>
      <c r="M717" s="342"/>
      <c r="N717" s="342"/>
      <c r="O717" s="341"/>
      <c r="P717" s="341"/>
      <c r="Q717" s="342"/>
      <c r="R717" s="342"/>
      <c r="S717" s="341"/>
      <c r="T717" s="342"/>
      <c r="U717" s="342"/>
      <c r="V717" s="342"/>
      <c r="W717" s="342"/>
      <c r="X717" s="342"/>
      <c r="Y717" s="342"/>
      <c r="Z717" s="342"/>
    </row>
    <row r="718" ht="12.75" customHeight="1">
      <c r="A718" s="534"/>
      <c r="B718" s="534"/>
      <c r="C718" s="575"/>
      <c r="D718" s="585"/>
      <c r="E718" s="586"/>
      <c r="F718" s="342"/>
      <c r="G718" s="342"/>
      <c r="H718" s="342"/>
      <c r="I718" s="342"/>
      <c r="J718" s="342"/>
      <c r="K718" s="342"/>
      <c r="L718" s="342"/>
      <c r="M718" s="342"/>
      <c r="N718" s="342"/>
      <c r="O718" s="341"/>
      <c r="P718" s="341"/>
      <c r="Q718" s="342"/>
      <c r="R718" s="342"/>
      <c r="S718" s="341"/>
      <c r="T718" s="342"/>
      <c r="U718" s="342"/>
      <c r="V718" s="342"/>
      <c r="W718" s="342"/>
      <c r="X718" s="342"/>
      <c r="Y718" s="342"/>
      <c r="Z718" s="342"/>
    </row>
    <row r="719" ht="12.75" customHeight="1">
      <c r="A719" s="534"/>
      <c r="B719" s="534"/>
      <c r="C719" s="575"/>
      <c r="D719" s="585"/>
      <c r="E719" s="586"/>
      <c r="F719" s="342"/>
      <c r="G719" s="342"/>
      <c r="H719" s="342"/>
      <c r="I719" s="342"/>
      <c r="J719" s="342"/>
      <c r="K719" s="342"/>
      <c r="L719" s="342"/>
      <c r="M719" s="342"/>
      <c r="N719" s="342"/>
      <c r="O719" s="341"/>
      <c r="P719" s="341"/>
      <c r="Q719" s="342"/>
      <c r="R719" s="342"/>
      <c r="S719" s="341"/>
      <c r="T719" s="342"/>
      <c r="U719" s="342"/>
      <c r="V719" s="342"/>
      <c r="W719" s="342"/>
      <c r="X719" s="342"/>
      <c r="Y719" s="342"/>
      <c r="Z719" s="342"/>
    </row>
    <row r="720" ht="12.75" customHeight="1">
      <c r="A720" s="534"/>
      <c r="B720" s="534"/>
      <c r="C720" s="575"/>
      <c r="D720" s="585"/>
      <c r="E720" s="586"/>
      <c r="F720" s="342"/>
      <c r="G720" s="342"/>
      <c r="H720" s="342"/>
      <c r="I720" s="342"/>
      <c r="J720" s="342"/>
      <c r="K720" s="342"/>
      <c r="L720" s="342"/>
      <c r="M720" s="342"/>
      <c r="N720" s="342"/>
      <c r="O720" s="341"/>
      <c r="P720" s="341"/>
      <c r="Q720" s="342"/>
      <c r="R720" s="342"/>
      <c r="S720" s="341"/>
      <c r="T720" s="342"/>
      <c r="U720" s="342"/>
      <c r="V720" s="342"/>
      <c r="W720" s="342"/>
      <c r="X720" s="342"/>
      <c r="Y720" s="342"/>
      <c r="Z720" s="342"/>
    </row>
    <row r="721" ht="12.75" customHeight="1">
      <c r="A721" s="534"/>
      <c r="B721" s="534"/>
      <c r="C721" s="575"/>
      <c r="D721" s="585"/>
      <c r="E721" s="586"/>
      <c r="F721" s="342"/>
      <c r="G721" s="342"/>
      <c r="H721" s="342"/>
      <c r="I721" s="342"/>
      <c r="J721" s="342"/>
      <c r="K721" s="342"/>
      <c r="L721" s="342"/>
      <c r="M721" s="342"/>
      <c r="N721" s="342"/>
      <c r="O721" s="341"/>
      <c r="P721" s="341"/>
      <c r="Q721" s="342"/>
      <c r="R721" s="342"/>
      <c r="S721" s="341"/>
      <c r="T721" s="342"/>
      <c r="U721" s="342"/>
      <c r="V721" s="342"/>
      <c r="W721" s="342"/>
      <c r="X721" s="342"/>
      <c r="Y721" s="342"/>
      <c r="Z721" s="342"/>
    </row>
    <row r="722" ht="12.75" customHeight="1">
      <c r="A722" s="534"/>
      <c r="B722" s="534"/>
      <c r="C722" s="575"/>
      <c r="D722" s="585"/>
      <c r="E722" s="586"/>
      <c r="F722" s="342"/>
      <c r="G722" s="342"/>
      <c r="H722" s="342"/>
      <c r="I722" s="342"/>
      <c r="J722" s="342"/>
      <c r="K722" s="342"/>
      <c r="L722" s="342"/>
      <c r="M722" s="342"/>
      <c r="N722" s="342"/>
      <c r="O722" s="341"/>
      <c r="P722" s="341"/>
      <c r="Q722" s="342"/>
      <c r="R722" s="342"/>
      <c r="S722" s="341"/>
      <c r="T722" s="342"/>
      <c r="U722" s="342"/>
      <c r="V722" s="342"/>
      <c r="W722" s="342"/>
      <c r="X722" s="342"/>
      <c r="Y722" s="342"/>
      <c r="Z722" s="342"/>
    </row>
    <row r="723" ht="12.75" customHeight="1">
      <c r="A723" s="534"/>
      <c r="B723" s="534"/>
      <c r="C723" s="575"/>
      <c r="D723" s="585"/>
      <c r="E723" s="586"/>
      <c r="F723" s="342"/>
      <c r="G723" s="342"/>
      <c r="H723" s="342"/>
      <c r="I723" s="342"/>
      <c r="J723" s="342"/>
      <c r="K723" s="342"/>
      <c r="L723" s="342"/>
      <c r="M723" s="342"/>
      <c r="N723" s="342"/>
      <c r="O723" s="341"/>
      <c r="P723" s="341"/>
      <c r="Q723" s="342"/>
      <c r="R723" s="342"/>
      <c r="S723" s="341"/>
      <c r="T723" s="342"/>
      <c r="U723" s="342"/>
      <c r="V723" s="342"/>
      <c r="W723" s="342"/>
      <c r="X723" s="342"/>
      <c r="Y723" s="342"/>
      <c r="Z723" s="342"/>
    </row>
    <row r="724" ht="12.75" customHeight="1">
      <c r="A724" s="534"/>
      <c r="B724" s="534"/>
      <c r="C724" s="575"/>
      <c r="D724" s="585"/>
      <c r="E724" s="586"/>
      <c r="F724" s="342"/>
      <c r="G724" s="342"/>
      <c r="H724" s="342"/>
      <c r="I724" s="342"/>
      <c r="J724" s="342"/>
      <c r="K724" s="342"/>
      <c r="L724" s="342"/>
      <c r="M724" s="342"/>
      <c r="N724" s="342"/>
      <c r="O724" s="341"/>
      <c r="P724" s="341"/>
      <c r="Q724" s="342"/>
      <c r="R724" s="342"/>
      <c r="S724" s="341"/>
      <c r="T724" s="342"/>
      <c r="U724" s="342"/>
      <c r="V724" s="342"/>
      <c r="W724" s="342"/>
      <c r="X724" s="342"/>
      <c r="Y724" s="342"/>
      <c r="Z724" s="342"/>
    </row>
    <row r="725" ht="12.75" customHeight="1">
      <c r="A725" s="534"/>
      <c r="B725" s="534"/>
      <c r="C725" s="575"/>
      <c r="D725" s="585"/>
      <c r="E725" s="586"/>
      <c r="F725" s="342"/>
      <c r="G725" s="342"/>
      <c r="H725" s="342"/>
      <c r="I725" s="342"/>
      <c r="J725" s="342"/>
      <c r="K725" s="342"/>
      <c r="L725" s="342"/>
      <c r="M725" s="342"/>
      <c r="N725" s="342"/>
      <c r="O725" s="341"/>
      <c r="P725" s="341"/>
      <c r="Q725" s="342"/>
      <c r="R725" s="342"/>
      <c r="S725" s="341"/>
      <c r="T725" s="342"/>
      <c r="U725" s="342"/>
      <c r="V725" s="342"/>
      <c r="W725" s="342"/>
      <c r="X725" s="342"/>
      <c r="Y725" s="342"/>
      <c r="Z725" s="342"/>
    </row>
    <row r="726" ht="12.75" customHeight="1">
      <c r="A726" s="534"/>
      <c r="B726" s="534"/>
      <c r="C726" s="575"/>
      <c r="D726" s="585"/>
      <c r="E726" s="586"/>
      <c r="F726" s="342"/>
      <c r="G726" s="342"/>
      <c r="H726" s="342"/>
      <c r="I726" s="342"/>
      <c r="J726" s="342"/>
      <c r="K726" s="342"/>
      <c r="L726" s="342"/>
      <c r="M726" s="342"/>
      <c r="N726" s="342"/>
      <c r="O726" s="341"/>
      <c r="P726" s="341"/>
      <c r="Q726" s="342"/>
      <c r="R726" s="342"/>
      <c r="S726" s="341"/>
      <c r="T726" s="342"/>
      <c r="U726" s="342"/>
      <c r="V726" s="342"/>
      <c r="W726" s="342"/>
      <c r="X726" s="342"/>
      <c r="Y726" s="342"/>
      <c r="Z726" s="342"/>
    </row>
    <row r="727" ht="12.75" customHeight="1">
      <c r="A727" s="534"/>
      <c r="B727" s="534"/>
      <c r="C727" s="575"/>
      <c r="D727" s="585"/>
      <c r="E727" s="586"/>
      <c r="F727" s="342"/>
      <c r="G727" s="342"/>
      <c r="H727" s="342"/>
      <c r="I727" s="342"/>
      <c r="J727" s="342"/>
      <c r="K727" s="342"/>
      <c r="L727" s="342"/>
      <c r="M727" s="342"/>
      <c r="N727" s="342"/>
      <c r="O727" s="341"/>
      <c r="P727" s="341"/>
      <c r="Q727" s="342"/>
      <c r="R727" s="342"/>
      <c r="S727" s="341"/>
      <c r="T727" s="342"/>
      <c r="U727" s="342"/>
      <c r="V727" s="342"/>
      <c r="W727" s="342"/>
      <c r="X727" s="342"/>
      <c r="Y727" s="342"/>
      <c r="Z727" s="342"/>
    </row>
    <row r="728" ht="12.75" customHeight="1">
      <c r="A728" s="534"/>
      <c r="B728" s="534"/>
      <c r="C728" s="575"/>
      <c r="D728" s="585"/>
      <c r="E728" s="586"/>
      <c r="F728" s="342"/>
      <c r="G728" s="342"/>
      <c r="H728" s="342"/>
      <c r="I728" s="342"/>
      <c r="J728" s="342"/>
      <c r="K728" s="342"/>
      <c r="L728" s="342"/>
      <c r="M728" s="342"/>
      <c r="N728" s="342"/>
      <c r="O728" s="341"/>
      <c r="P728" s="341"/>
      <c r="Q728" s="342"/>
      <c r="R728" s="342"/>
      <c r="S728" s="341"/>
      <c r="T728" s="342"/>
      <c r="U728" s="342"/>
      <c r="V728" s="342"/>
      <c r="W728" s="342"/>
      <c r="X728" s="342"/>
      <c r="Y728" s="342"/>
      <c r="Z728" s="342"/>
    </row>
    <row r="729" ht="12.75" customHeight="1">
      <c r="A729" s="534"/>
      <c r="B729" s="534"/>
      <c r="C729" s="575"/>
      <c r="D729" s="585"/>
      <c r="E729" s="586"/>
      <c r="F729" s="342"/>
      <c r="G729" s="342"/>
      <c r="H729" s="342"/>
      <c r="I729" s="342"/>
      <c r="J729" s="342"/>
      <c r="K729" s="342"/>
      <c r="L729" s="342"/>
      <c r="M729" s="342"/>
      <c r="N729" s="342"/>
      <c r="O729" s="341"/>
      <c r="P729" s="341"/>
      <c r="Q729" s="342"/>
      <c r="R729" s="342"/>
      <c r="S729" s="341"/>
      <c r="T729" s="342"/>
      <c r="U729" s="342"/>
      <c r="V729" s="342"/>
      <c r="W729" s="342"/>
      <c r="X729" s="342"/>
      <c r="Y729" s="342"/>
      <c r="Z729" s="342"/>
    </row>
    <row r="730" ht="12.75" customHeight="1">
      <c r="A730" s="534"/>
      <c r="B730" s="534"/>
      <c r="C730" s="575"/>
      <c r="D730" s="585"/>
      <c r="E730" s="586"/>
      <c r="F730" s="342"/>
      <c r="G730" s="342"/>
      <c r="H730" s="342"/>
      <c r="I730" s="342"/>
      <c r="J730" s="342"/>
      <c r="K730" s="342"/>
      <c r="L730" s="342"/>
      <c r="M730" s="342"/>
      <c r="N730" s="342"/>
      <c r="O730" s="341"/>
      <c r="P730" s="341"/>
      <c r="Q730" s="342"/>
      <c r="R730" s="342"/>
      <c r="S730" s="341"/>
      <c r="T730" s="342"/>
      <c r="U730" s="342"/>
      <c r="V730" s="342"/>
      <c r="W730" s="342"/>
      <c r="X730" s="342"/>
      <c r="Y730" s="342"/>
      <c r="Z730" s="342"/>
    </row>
    <row r="731" ht="12.75" customHeight="1">
      <c r="A731" s="534"/>
      <c r="B731" s="534"/>
      <c r="C731" s="575"/>
      <c r="D731" s="585"/>
      <c r="E731" s="586"/>
      <c r="F731" s="342"/>
      <c r="G731" s="342"/>
      <c r="H731" s="342"/>
      <c r="I731" s="342"/>
      <c r="J731" s="342"/>
      <c r="K731" s="342"/>
      <c r="L731" s="342"/>
      <c r="M731" s="342"/>
      <c r="N731" s="342"/>
      <c r="O731" s="341"/>
      <c r="P731" s="341"/>
      <c r="Q731" s="342"/>
      <c r="R731" s="342"/>
      <c r="S731" s="341"/>
      <c r="T731" s="342"/>
      <c r="U731" s="342"/>
      <c r="V731" s="342"/>
      <c r="W731" s="342"/>
      <c r="X731" s="342"/>
      <c r="Y731" s="342"/>
      <c r="Z731" s="342"/>
    </row>
    <row r="732" ht="12.75" customHeight="1">
      <c r="A732" s="534"/>
      <c r="B732" s="534"/>
      <c r="C732" s="575"/>
      <c r="D732" s="585"/>
      <c r="E732" s="586"/>
      <c r="F732" s="342"/>
      <c r="G732" s="342"/>
      <c r="H732" s="342"/>
      <c r="I732" s="342"/>
      <c r="J732" s="342"/>
      <c r="K732" s="342"/>
      <c r="L732" s="342"/>
      <c r="M732" s="342"/>
      <c r="N732" s="342"/>
      <c r="O732" s="341"/>
      <c r="P732" s="341"/>
      <c r="Q732" s="342"/>
      <c r="R732" s="342"/>
      <c r="S732" s="341"/>
      <c r="T732" s="342"/>
      <c r="U732" s="342"/>
      <c r="V732" s="342"/>
      <c r="W732" s="342"/>
      <c r="X732" s="342"/>
      <c r="Y732" s="342"/>
      <c r="Z732" s="342"/>
    </row>
    <row r="733" ht="12.75" customHeight="1">
      <c r="A733" s="534"/>
      <c r="B733" s="534"/>
      <c r="C733" s="575"/>
      <c r="D733" s="585"/>
      <c r="E733" s="586"/>
      <c r="F733" s="342"/>
      <c r="G733" s="342"/>
      <c r="H733" s="342"/>
      <c r="I733" s="342"/>
      <c r="J733" s="342"/>
      <c r="K733" s="342"/>
      <c r="L733" s="342"/>
      <c r="M733" s="342"/>
      <c r="N733" s="342"/>
      <c r="O733" s="341"/>
      <c r="P733" s="341"/>
      <c r="Q733" s="342"/>
      <c r="R733" s="342"/>
      <c r="S733" s="341"/>
      <c r="T733" s="342"/>
      <c r="U733" s="342"/>
      <c r="V733" s="342"/>
      <c r="W733" s="342"/>
      <c r="X733" s="342"/>
      <c r="Y733" s="342"/>
      <c r="Z733" s="342"/>
    </row>
    <row r="734" ht="12.75" customHeight="1">
      <c r="A734" s="534"/>
      <c r="B734" s="534"/>
      <c r="C734" s="575"/>
      <c r="D734" s="585"/>
      <c r="E734" s="586"/>
      <c r="F734" s="342"/>
      <c r="G734" s="342"/>
      <c r="H734" s="342"/>
      <c r="I734" s="342"/>
      <c r="J734" s="342"/>
      <c r="K734" s="342"/>
      <c r="L734" s="342"/>
      <c r="M734" s="342"/>
      <c r="N734" s="342"/>
      <c r="O734" s="341"/>
      <c r="P734" s="341"/>
      <c r="Q734" s="342"/>
      <c r="R734" s="342"/>
      <c r="S734" s="341"/>
      <c r="T734" s="342"/>
      <c r="U734" s="342"/>
      <c r="V734" s="342"/>
      <c r="W734" s="342"/>
      <c r="X734" s="342"/>
      <c r="Y734" s="342"/>
      <c r="Z734" s="342"/>
    </row>
    <row r="735" ht="12.75" customHeight="1">
      <c r="A735" s="534"/>
      <c r="B735" s="534"/>
      <c r="C735" s="575"/>
      <c r="D735" s="585"/>
      <c r="E735" s="586"/>
      <c r="F735" s="342"/>
      <c r="G735" s="342"/>
      <c r="H735" s="342"/>
      <c r="I735" s="342"/>
      <c r="J735" s="342"/>
      <c r="K735" s="342"/>
      <c r="L735" s="342"/>
      <c r="M735" s="342"/>
      <c r="N735" s="342"/>
      <c r="O735" s="341"/>
      <c r="P735" s="341"/>
      <c r="Q735" s="342"/>
      <c r="R735" s="342"/>
      <c r="S735" s="341"/>
      <c r="T735" s="342"/>
      <c r="U735" s="342"/>
      <c r="V735" s="342"/>
      <c r="W735" s="342"/>
      <c r="X735" s="342"/>
      <c r="Y735" s="342"/>
      <c r="Z735" s="342"/>
    </row>
    <row r="736" ht="12.75" customHeight="1">
      <c r="A736" s="534"/>
      <c r="B736" s="534"/>
      <c r="C736" s="575"/>
      <c r="D736" s="585"/>
      <c r="E736" s="586"/>
      <c r="F736" s="342"/>
      <c r="G736" s="342"/>
      <c r="H736" s="342"/>
      <c r="I736" s="342"/>
      <c r="J736" s="342"/>
      <c r="K736" s="342"/>
      <c r="L736" s="342"/>
      <c r="M736" s="342"/>
      <c r="N736" s="342"/>
      <c r="O736" s="341"/>
      <c r="P736" s="341"/>
      <c r="Q736" s="342"/>
      <c r="R736" s="342"/>
      <c r="S736" s="341"/>
      <c r="T736" s="342"/>
      <c r="U736" s="342"/>
      <c r="V736" s="342"/>
      <c r="W736" s="342"/>
      <c r="X736" s="342"/>
      <c r="Y736" s="342"/>
      <c r="Z736" s="342"/>
    </row>
    <row r="737" ht="12.75" customHeight="1">
      <c r="A737" s="534"/>
      <c r="B737" s="534"/>
      <c r="C737" s="575"/>
      <c r="D737" s="585"/>
      <c r="E737" s="586"/>
      <c r="F737" s="342"/>
      <c r="G737" s="342"/>
      <c r="H737" s="342"/>
      <c r="I737" s="342"/>
      <c r="J737" s="342"/>
      <c r="K737" s="342"/>
      <c r="L737" s="342"/>
      <c r="M737" s="342"/>
      <c r="N737" s="342"/>
      <c r="O737" s="341"/>
      <c r="P737" s="341"/>
      <c r="Q737" s="342"/>
      <c r="R737" s="342"/>
      <c r="S737" s="341"/>
      <c r="T737" s="342"/>
      <c r="U737" s="342"/>
      <c r="V737" s="342"/>
      <c r="W737" s="342"/>
      <c r="X737" s="342"/>
      <c r="Y737" s="342"/>
      <c r="Z737" s="342"/>
    </row>
    <row r="738" ht="12.75" customHeight="1">
      <c r="A738" s="534"/>
      <c r="B738" s="534"/>
      <c r="C738" s="575"/>
      <c r="D738" s="585"/>
      <c r="E738" s="586"/>
      <c r="F738" s="342"/>
      <c r="G738" s="342"/>
      <c r="H738" s="342"/>
      <c r="I738" s="342"/>
      <c r="J738" s="342"/>
      <c r="K738" s="342"/>
      <c r="L738" s="342"/>
      <c r="M738" s="342"/>
      <c r="N738" s="342"/>
      <c r="O738" s="341"/>
      <c r="P738" s="341"/>
      <c r="Q738" s="342"/>
      <c r="R738" s="342"/>
      <c r="S738" s="341"/>
      <c r="T738" s="342"/>
      <c r="U738" s="342"/>
      <c r="V738" s="342"/>
      <c r="W738" s="342"/>
      <c r="X738" s="342"/>
      <c r="Y738" s="342"/>
      <c r="Z738" s="342"/>
    </row>
    <row r="739" ht="12.75" customHeight="1">
      <c r="A739" s="534"/>
      <c r="B739" s="534"/>
      <c r="C739" s="575"/>
      <c r="D739" s="585"/>
      <c r="E739" s="586"/>
      <c r="F739" s="342"/>
      <c r="G739" s="342"/>
      <c r="H739" s="342"/>
      <c r="I739" s="342"/>
      <c r="J739" s="342"/>
      <c r="K739" s="342"/>
      <c r="L739" s="342"/>
      <c r="M739" s="342"/>
      <c r="N739" s="342"/>
      <c r="O739" s="341"/>
      <c r="P739" s="341"/>
      <c r="Q739" s="342"/>
      <c r="R739" s="342"/>
      <c r="S739" s="341"/>
      <c r="T739" s="342"/>
      <c r="U739" s="342"/>
      <c r="V739" s="342"/>
      <c r="W739" s="342"/>
      <c r="X739" s="342"/>
      <c r="Y739" s="342"/>
      <c r="Z739" s="342"/>
    </row>
    <row r="740" ht="12.75" customHeight="1">
      <c r="A740" s="534"/>
      <c r="B740" s="534"/>
      <c r="C740" s="575"/>
      <c r="D740" s="585"/>
      <c r="E740" s="586"/>
      <c r="F740" s="342"/>
      <c r="G740" s="342"/>
      <c r="H740" s="342"/>
      <c r="I740" s="342"/>
      <c r="J740" s="342"/>
      <c r="K740" s="342"/>
      <c r="L740" s="342"/>
      <c r="M740" s="342"/>
      <c r="N740" s="342"/>
      <c r="O740" s="341"/>
      <c r="P740" s="341"/>
      <c r="Q740" s="342"/>
      <c r="R740" s="342"/>
      <c r="S740" s="341"/>
      <c r="T740" s="342"/>
      <c r="U740" s="342"/>
      <c r="V740" s="342"/>
      <c r="W740" s="342"/>
      <c r="X740" s="342"/>
      <c r="Y740" s="342"/>
      <c r="Z740" s="342"/>
    </row>
    <row r="741" ht="12.75" customHeight="1">
      <c r="A741" s="534"/>
      <c r="B741" s="534"/>
      <c r="C741" s="575"/>
      <c r="D741" s="585"/>
      <c r="E741" s="586"/>
      <c r="F741" s="342"/>
      <c r="G741" s="342"/>
      <c r="H741" s="342"/>
      <c r="I741" s="342"/>
      <c r="J741" s="342"/>
      <c r="K741" s="342"/>
      <c r="L741" s="342"/>
      <c r="M741" s="342"/>
      <c r="N741" s="342"/>
      <c r="O741" s="341"/>
      <c r="P741" s="341"/>
      <c r="Q741" s="342"/>
      <c r="R741" s="342"/>
      <c r="S741" s="341"/>
      <c r="T741" s="342"/>
      <c r="U741" s="342"/>
      <c r="V741" s="342"/>
      <c r="W741" s="342"/>
      <c r="X741" s="342"/>
      <c r="Y741" s="342"/>
      <c r="Z741" s="342"/>
    </row>
    <row r="742" ht="12.75" customHeight="1">
      <c r="A742" s="534"/>
      <c r="B742" s="534"/>
      <c r="C742" s="575"/>
      <c r="D742" s="585"/>
      <c r="E742" s="586"/>
      <c r="F742" s="342"/>
      <c r="G742" s="342"/>
      <c r="H742" s="342"/>
      <c r="I742" s="342"/>
      <c r="J742" s="342"/>
      <c r="K742" s="342"/>
      <c r="L742" s="342"/>
      <c r="M742" s="342"/>
      <c r="N742" s="342"/>
      <c r="O742" s="341"/>
      <c r="P742" s="341"/>
      <c r="Q742" s="342"/>
      <c r="R742" s="342"/>
      <c r="S742" s="341"/>
      <c r="T742" s="342"/>
      <c r="U742" s="342"/>
      <c r="V742" s="342"/>
      <c r="W742" s="342"/>
      <c r="X742" s="342"/>
      <c r="Y742" s="342"/>
      <c r="Z742" s="342"/>
    </row>
    <row r="743" ht="12.75" customHeight="1">
      <c r="A743" s="534"/>
      <c r="B743" s="534"/>
      <c r="C743" s="575"/>
      <c r="D743" s="585"/>
      <c r="E743" s="586"/>
      <c r="F743" s="342"/>
      <c r="G743" s="342"/>
      <c r="H743" s="342"/>
      <c r="I743" s="342"/>
      <c r="J743" s="342"/>
      <c r="K743" s="342"/>
      <c r="L743" s="342"/>
      <c r="M743" s="342"/>
      <c r="N743" s="342"/>
      <c r="O743" s="341"/>
      <c r="P743" s="341"/>
      <c r="Q743" s="342"/>
      <c r="R743" s="342"/>
      <c r="S743" s="341"/>
      <c r="T743" s="342"/>
      <c r="U743" s="342"/>
      <c r="V743" s="342"/>
      <c r="W743" s="342"/>
      <c r="X743" s="342"/>
      <c r="Y743" s="342"/>
      <c r="Z743" s="342"/>
    </row>
    <row r="744" ht="12.75" customHeight="1">
      <c r="A744" s="534"/>
      <c r="B744" s="534"/>
      <c r="C744" s="575"/>
      <c r="D744" s="585"/>
      <c r="E744" s="586"/>
      <c r="F744" s="342"/>
      <c r="G744" s="342"/>
      <c r="H744" s="342"/>
      <c r="I744" s="342"/>
      <c r="J744" s="342"/>
      <c r="K744" s="342"/>
      <c r="L744" s="342"/>
      <c r="M744" s="342"/>
      <c r="N744" s="342"/>
      <c r="O744" s="341"/>
      <c r="P744" s="341"/>
      <c r="Q744" s="342"/>
      <c r="R744" s="342"/>
      <c r="S744" s="341"/>
      <c r="T744" s="342"/>
      <c r="U744" s="342"/>
      <c r="V744" s="342"/>
      <c r="W744" s="342"/>
      <c r="X744" s="342"/>
      <c r="Y744" s="342"/>
      <c r="Z744" s="342"/>
    </row>
    <row r="745" ht="12.75" customHeight="1">
      <c r="A745" s="534"/>
      <c r="B745" s="534"/>
      <c r="C745" s="575"/>
      <c r="D745" s="585"/>
      <c r="E745" s="586"/>
      <c r="F745" s="342"/>
      <c r="G745" s="342"/>
      <c r="H745" s="342"/>
      <c r="I745" s="342"/>
      <c r="J745" s="342"/>
      <c r="K745" s="342"/>
      <c r="L745" s="342"/>
      <c r="M745" s="342"/>
      <c r="N745" s="342"/>
      <c r="O745" s="341"/>
      <c r="P745" s="341"/>
      <c r="Q745" s="342"/>
      <c r="R745" s="342"/>
      <c r="S745" s="341"/>
      <c r="T745" s="342"/>
      <c r="U745" s="342"/>
      <c r="V745" s="342"/>
      <c r="W745" s="342"/>
      <c r="X745" s="342"/>
      <c r="Y745" s="342"/>
      <c r="Z745" s="342"/>
    </row>
    <row r="746" ht="12.75" customHeight="1">
      <c r="A746" s="534"/>
      <c r="B746" s="534"/>
      <c r="C746" s="575"/>
      <c r="D746" s="585"/>
      <c r="E746" s="586"/>
      <c r="F746" s="342"/>
      <c r="G746" s="342"/>
      <c r="H746" s="342"/>
      <c r="I746" s="342"/>
      <c r="J746" s="342"/>
      <c r="K746" s="342"/>
      <c r="L746" s="342"/>
      <c r="M746" s="342"/>
      <c r="N746" s="342"/>
      <c r="O746" s="341"/>
      <c r="P746" s="341"/>
      <c r="Q746" s="342"/>
      <c r="R746" s="342"/>
      <c r="S746" s="341"/>
      <c r="T746" s="342"/>
      <c r="U746" s="342"/>
      <c r="V746" s="342"/>
      <c r="W746" s="342"/>
      <c r="X746" s="342"/>
      <c r="Y746" s="342"/>
      <c r="Z746" s="342"/>
    </row>
    <row r="747" ht="12.75" customHeight="1">
      <c r="A747" s="534"/>
      <c r="B747" s="534"/>
      <c r="C747" s="575"/>
      <c r="D747" s="585"/>
      <c r="E747" s="586"/>
      <c r="F747" s="342"/>
      <c r="G747" s="342"/>
      <c r="H747" s="342"/>
      <c r="I747" s="342"/>
      <c r="J747" s="342"/>
      <c r="K747" s="342"/>
      <c r="L747" s="342"/>
      <c r="M747" s="342"/>
      <c r="N747" s="342"/>
      <c r="O747" s="341"/>
      <c r="P747" s="341"/>
      <c r="Q747" s="342"/>
      <c r="R747" s="342"/>
      <c r="S747" s="341"/>
      <c r="T747" s="342"/>
      <c r="U747" s="342"/>
      <c r="V747" s="342"/>
      <c r="W747" s="342"/>
      <c r="X747" s="342"/>
      <c r="Y747" s="342"/>
      <c r="Z747" s="342"/>
    </row>
    <row r="748" ht="12.75" customHeight="1">
      <c r="A748" s="534"/>
      <c r="B748" s="534"/>
      <c r="C748" s="575"/>
      <c r="D748" s="585"/>
      <c r="E748" s="586"/>
      <c r="F748" s="342"/>
      <c r="G748" s="342"/>
      <c r="H748" s="342"/>
      <c r="I748" s="342"/>
      <c r="J748" s="342"/>
      <c r="K748" s="342"/>
      <c r="L748" s="342"/>
      <c r="M748" s="342"/>
      <c r="N748" s="342"/>
      <c r="O748" s="341"/>
      <c r="P748" s="341"/>
      <c r="Q748" s="342"/>
      <c r="R748" s="342"/>
      <c r="S748" s="341"/>
      <c r="T748" s="342"/>
      <c r="U748" s="342"/>
      <c r="V748" s="342"/>
      <c r="W748" s="342"/>
      <c r="X748" s="342"/>
      <c r="Y748" s="342"/>
      <c r="Z748" s="342"/>
    </row>
    <row r="749" ht="12.75" customHeight="1">
      <c r="A749" s="534"/>
      <c r="B749" s="534"/>
      <c r="C749" s="575"/>
      <c r="D749" s="585"/>
      <c r="E749" s="586"/>
      <c r="F749" s="342"/>
      <c r="G749" s="342"/>
      <c r="H749" s="342"/>
      <c r="I749" s="342"/>
      <c r="J749" s="342"/>
      <c r="K749" s="342"/>
      <c r="L749" s="342"/>
      <c r="M749" s="342"/>
      <c r="N749" s="342"/>
      <c r="O749" s="341"/>
      <c r="P749" s="341"/>
      <c r="Q749" s="342"/>
      <c r="R749" s="342"/>
      <c r="S749" s="341"/>
      <c r="T749" s="342"/>
      <c r="U749" s="342"/>
      <c r="V749" s="342"/>
      <c r="W749" s="342"/>
      <c r="X749" s="342"/>
      <c r="Y749" s="342"/>
      <c r="Z749" s="342"/>
    </row>
    <row r="750" ht="12.75" customHeight="1">
      <c r="A750" s="534"/>
      <c r="B750" s="534"/>
      <c r="C750" s="575"/>
      <c r="D750" s="585"/>
      <c r="E750" s="586"/>
      <c r="F750" s="342"/>
      <c r="G750" s="342"/>
      <c r="H750" s="342"/>
      <c r="I750" s="342"/>
      <c r="J750" s="342"/>
      <c r="K750" s="342"/>
      <c r="L750" s="342"/>
      <c r="M750" s="342"/>
      <c r="N750" s="342"/>
      <c r="O750" s="341"/>
      <c r="P750" s="341"/>
      <c r="Q750" s="342"/>
      <c r="R750" s="342"/>
      <c r="S750" s="341"/>
      <c r="T750" s="342"/>
      <c r="U750" s="342"/>
      <c r="V750" s="342"/>
      <c r="W750" s="342"/>
      <c r="X750" s="342"/>
      <c r="Y750" s="342"/>
      <c r="Z750" s="342"/>
    </row>
    <row r="751" ht="12.75" customHeight="1">
      <c r="A751" s="534"/>
      <c r="B751" s="534"/>
      <c r="C751" s="575"/>
      <c r="D751" s="585"/>
      <c r="E751" s="586"/>
      <c r="F751" s="342"/>
      <c r="G751" s="342"/>
      <c r="H751" s="342"/>
      <c r="I751" s="342"/>
      <c r="J751" s="342"/>
      <c r="K751" s="342"/>
      <c r="L751" s="342"/>
      <c r="M751" s="342"/>
      <c r="N751" s="342"/>
      <c r="O751" s="341"/>
      <c r="P751" s="341"/>
      <c r="Q751" s="342"/>
      <c r="R751" s="342"/>
      <c r="S751" s="341"/>
      <c r="T751" s="342"/>
      <c r="U751" s="342"/>
      <c r="V751" s="342"/>
      <c r="W751" s="342"/>
      <c r="X751" s="342"/>
      <c r="Y751" s="342"/>
      <c r="Z751" s="342"/>
    </row>
    <row r="752" ht="12.75" customHeight="1">
      <c r="A752" s="534"/>
      <c r="B752" s="534"/>
      <c r="C752" s="575"/>
      <c r="D752" s="585"/>
      <c r="E752" s="586"/>
      <c r="F752" s="342"/>
      <c r="G752" s="342"/>
      <c r="H752" s="342"/>
      <c r="I752" s="342"/>
      <c r="J752" s="342"/>
      <c r="K752" s="342"/>
      <c r="L752" s="342"/>
      <c r="M752" s="342"/>
      <c r="N752" s="342"/>
      <c r="O752" s="341"/>
      <c r="P752" s="341"/>
      <c r="Q752" s="342"/>
      <c r="R752" s="342"/>
      <c r="S752" s="341"/>
      <c r="T752" s="342"/>
      <c r="U752" s="342"/>
      <c r="V752" s="342"/>
      <c r="W752" s="342"/>
      <c r="X752" s="342"/>
      <c r="Y752" s="342"/>
      <c r="Z752" s="342"/>
    </row>
    <row r="753" ht="12.75" customHeight="1">
      <c r="A753" s="534"/>
      <c r="B753" s="534"/>
      <c r="C753" s="575"/>
      <c r="D753" s="585"/>
      <c r="E753" s="586"/>
      <c r="F753" s="342"/>
      <c r="G753" s="342"/>
      <c r="H753" s="342"/>
      <c r="I753" s="342"/>
      <c r="J753" s="342"/>
      <c r="K753" s="342"/>
      <c r="L753" s="342"/>
      <c r="M753" s="342"/>
      <c r="N753" s="342"/>
      <c r="O753" s="341"/>
      <c r="P753" s="341"/>
      <c r="Q753" s="342"/>
      <c r="R753" s="342"/>
      <c r="S753" s="341"/>
      <c r="T753" s="342"/>
      <c r="U753" s="342"/>
      <c r="V753" s="342"/>
      <c r="W753" s="342"/>
      <c r="X753" s="342"/>
      <c r="Y753" s="342"/>
      <c r="Z753" s="342"/>
    </row>
    <row r="754" ht="12.75" customHeight="1">
      <c r="A754" s="534"/>
      <c r="B754" s="534"/>
      <c r="C754" s="575"/>
      <c r="D754" s="585"/>
      <c r="E754" s="586"/>
      <c r="F754" s="342"/>
      <c r="G754" s="342"/>
      <c r="H754" s="342"/>
      <c r="I754" s="342"/>
      <c r="J754" s="342"/>
      <c r="K754" s="342"/>
      <c r="L754" s="342"/>
      <c r="M754" s="342"/>
      <c r="N754" s="342"/>
      <c r="O754" s="341"/>
      <c r="P754" s="341"/>
      <c r="Q754" s="342"/>
      <c r="R754" s="342"/>
      <c r="S754" s="341"/>
      <c r="T754" s="342"/>
      <c r="U754" s="342"/>
      <c r="V754" s="342"/>
      <c r="W754" s="342"/>
      <c r="X754" s="342"/>
      <c r="Y754" s="342"/>
      <c r="Z754" s="342"/>
    </row>
    <row r="755" ht="12.75" customHeight="1">
      <c r="A755" s="534"/>
      <c r="B755" s="534"/>
      <c r="C755" s="575"/>
      <c r="D755" s="585"/>
      <c r="E755" s="586"/>
      <c r="F755" s="342"/>
      <c r="G755" s="342"/>
      <c r="H755" s="342"/>
      <c r="I755" s="342"/>
      <c r="J755" s="342"/>
      <c r="K755" s="342"/>
      <c r="L755" s="342"/>
      <c r="M755" s="342"/>
      <c r="N755" s="342"/>
      <c r="O755" s="341"/>
      <c r="P755" s="341"/>
      <c r="Q755" s="342"/>
      <c r="R755" s="342"/>
      <c r="S755" s="341"/>
      <c r="T755" s="342"/>
      <c r="U755" s="342"/>
      <c r="V755" s="342"/>
      <c r="W755" s="342"/>
      <c r="X755" s="342"/>
      <c r="Y755" s="342"/>
      <c r="Z755" s="342"/>
    </row>
    <row r="756" ht="12.75" customHeight="1">
      <c r="A756" s="534"/>
      <c r="B756" s="534"/>
      <c r="C756" s="575"/>
      <c r="D756" s="585"/>
      <c r="E756" s="586"/>
      <c r="F756" s="342"/>
      <c r="G756" s="342"/>
      <c r="H756" s="342"/>
      <c r="I756" s="342"/>
      <c r="J756" s="342"/>
      <c r="K756" s="342"/>
      <c r="L756" s="342"/>
      <c r="M756" s="342"/>
      <c r="N756" s="342"/>
      <c r="O756" s="341"/>
      <c r="P756" s="341"/>
      <c r="Q756" s="342"/>
      <c r="R756" s="342"/>
      <c r="S756" s="341"/>
      <c r="T756" s="342"/>
      <c r="U756" s="342"/>
      <c r="V756" s="342"/>
      <c r="W756" s="342"/>
      <c r="X756" s="342"/>
      <c r="Y756" s="342"/>
      <c r="Z756" s="342"/>
    </row>
    <row r="757" ht="12.75" customHeight="1">
      <c r="A757" s="534"/>
      <c r="B757" s="534"/>
      <c r="C757" s="575"/>
      <c r="D757" s="585"/>
      <c r="E757" s="586"/>
      <c r="F757" s="342"/>
      <c r="G757" s="342"/>
      <c r="H757" s="342"/>
      <c r="I757" s="342"/>
      <c r="J757" s="342"/>
      <c r="K757" s="342"/>
      <c r="L757" s="342"/>
      <c r="M757" s="342"/>
      <c r="N757" s="342"/>
      <c r="O757" s="341"/>
      <c r="P757" s="341"/>
      <c r="Q757" s="342"/>
      <c r="R757" s="342"/>
      <c r="S757" s="341"/>
      <c r="T757" s="342"/>
      <c r="U757" s="342"/>
      <c r="V757" s="342"/>
      <c r="W757" s="342"/>
      <c r="X757" s="342"/>
      <c r="Y757" s="342"/>
      <c r="Z757" s="342"/>
    </row>
    <row r="758" ht="12.75" customHeight="1">
      <c r="A758" s="534"/>
      <c r="B758" s="534"/>
      <c r="C758" s="575"/>
      <c r="D758" s="585"/>
      <c r="E758" s="586"/>
      <c r="F758" s="342"/>
      <c r="G758" s="342"/>
      <c r="H758" s="342"/>
      <c r="I758" s="342"/>
      <c r="J758" s="342"/>
      <c r="K758" s="342"/>
      <c r="L758" s="342"/>
      <c r="M758" s="342"/>
      <c r="N758" s="342"/>
      <c r="O758" s="341"/>
      <c r="P758" s="341"/>
      <c r="Q758" s="342"/>
      <c r="R758" s="342"/>
      <c r="S758" s="341"/>
      <c r="T758" s="342"/>
      <c r="U758" s="342"/>
      <c r="V758" s="342"/>
      <c r="W758" s="342"/>
      <c r="X758" s="342"/>
      <c r="Y758" s="342"/>
      <c r="Z758" s="342"/>
    </row>
    <row r="759" ht="12.75" customHeight="1">
      <c r="A759" s="534"/>
      <c r="B759" s="534"/>
      <c r="C759" s="575"/>
      <c r="D759" s="585"/>
      <c r="E759" s="586"/>
      <c r="F759" s="342"/>
      <c r="G759" s="342"/>
      <c r="H759" s="342"/>
      <c r="I759" s="342"/>
      <c r="J759" s="342"/>
      <c r="K759" s="342"/>
      <c r="L759" s="342"/>
      <c r="M759" s="342"/>
      <c r="N759" s="342"/>
      <c r="O759" s="341"/>
      <c r="P759" s="341"/>
      <c r="Q759" s="342"/>
      <c r="R759" s="342"/>
      <c r="S759" s="341"/>
      <c r="T759" s="342"/>
      <c r="U759" s="342"/>
      <c r="V759" s="342"/>
      <c r="W759" s="342"/>
      <c r="X759" s="342"/>
      <c r="Y759" s="342"/>
      <c r="Z759" s="342"/>
    </row>
    <row r="760" ht="12.75" customHeight="1">
      <c r="A760" s="534"/>
      <c r="B760" s="534"/>
      <c r="C760" s="575"/>
      <c r="D760" s="585"/>
      <c r="E760" s="586"/>
      <c r="F760" s="342"/>
      <c r="G760" s="342"/>
      <c r="H760" s="342"/>
      <c r="I760" s="342"/>
      <c r="J760" s="342"/>
      <c r="K760" s="342"/>
      <c r="L760" s="342"/>
      <c r="M760" s="342"/>
      <c r="N760" s="342"/>
      <c r="O760" s="341"/>
      <c r="P760" s="341"/>
      <c r="Q760" s="342"/>
      <c r="R760" s="342"/>
      <c r="S760" s="341"/>
      <c r="T760" s="342"/>
      <c r="U760" s="342"/>
      <c r="V760" s="342"/>
      <c r="W760" s="342"/>
      <c r="X760" s="342"/>
      <c r="Y760" s="342"/>
      <c r="Z760" s="342"/>
    </row>
    <row r="761" ht="12.75" customHeight="1">
      <c r="A761" s="534"/>
      <c r="B761" s="534"/>
      <c r="C761" s="575"/>
      <c r="D761" s="585"/>
      <c r="E761" s="586"/>
      <c r="F761" s="342"/>
      <c r="G761" s="342"/>
      <c r="H761" s="342"/>
      <c r="I761" s="342"/>
      <c r="J761" s="342"/>
      <c r="K761" s="342"/>
      <c r="L761" s="342"/>
      <c r="M761" s="342"/>
      <c r="N761" s="342"/>
      <c r="O761" s="341"/>
      <c r="P761" s="341"/>
      <c r="Q761" s="342"/>
      <c r="R761" s="342"/>
      <c r="S761" s="341"/>
      <c r="T761" s="342"/>
      <c r="U761" s="342"/>
      <c r="V761" s="342"/>
      <c r="W761" s="342"/>
      <c r="X761" s="342"/>
      <c r="Y761" s="342"/>
      <c r="Z761" s="342"/>
    </row>
    <row r="762" ht="12.75" customHeight="1">
      <c r="A762" s="534"/>
      <c r="B762" s="534"/>
      <c r="C762" s="575"/>
      <c r="D762" s="585"/>
      <c r="E762" s="586"/>
      <c r="F762" s="342"/>
      <c r="G762" s="342"/>
      <c r="H762" s="342"/>
      <c r="I762" s="342"/>
      <c r="J762" s="342"/>
      <c r="K762" s="342"/>
      <c r="L762" s="342"/>
      <c r="M762" s="342"/>
      <c r="N762" s="342"/>
      <c r="O762" s="341"/>
      <c r="P762" s="341"/>
      <c r="Q762" s="342"/>
      <c r="R762" s="342"/>
      <c r="S762" s="341"/>
      <c r="T762" s="342"/>
      <c r="U762" s="342"/>
      <c r="V762" s="342"/>
      <c r="W762" s="342"/>
      <c r="X762" s="342"/>
      <c r="Y762" s="342"/>
      <c r="Z762" s="342"/>
    </row>
    <row r="763" ht="12.75" customHeight="1">
      <c r="A763" s="534"/>
      <c r="B763" s="534"/>
      <c r="C763" s="575"/>
      <c r="D763" s="585"/>
      <c r="E763" s="586"/>
      <c r="F763" s="342"/>
      <c r="G763" s="342"/>
      <c r="H763" s="342"/>
      <c r="I763" s="342"/>
      <c r="J763" s="342"/>
      <c r="K763" s="342"/>
      <c r="L763" s="342"/>
      <c r="M763" s="342"/>
      <c r="N763" s="342"/>
      <c r="O763" s="341"/>
      <c r="P763" s="341"/>
      <c r="Q763" s="342"/>
      <c r="R763" s="342"/>
      <c r="S763" s="341"/>
      <c r="T763" s="342"/>
      <c r="U763" s="342"/>
      <c r="V763" s="342"/>
      <c r="W763" s="342"/>
      <c r="X763" s="342"/>
      <c r="Y763" s="342"/>
      <c r="Z763" s="342"/>
    </row>
    <row r="764" ht="12.75" customHeight="1">
      <c r="A764" s="534"/>
      <c r="B764" s="534"/>
      <c r="C764" s="575"/>
      <c r="D764" s="585"/>
      <c r="E764" s="586"/>
      <c r="F764" s="342"/>
      <c r="G764" s="342"/>
      <c r="H764" s="342"/>
      <c r="I764" s="342"/>
      <c r="J764" s="342"/>
      <c r="K764" s="342"/>
      <c r="L764" s="342"/>
      <c r="M764" s="342"/>
      <c r="N764" s="342"/>
      <c r="O764" s="341"/>
      <c r="P764" s="341"/>
      <c r="Q764" s="342"/>
      <c r="R764" s="342"/>
      <c r="S764" s="341"/>
      <c r="T764" s="342"/>
      <c r="U764" s="342"/>
      <c r="V764" s="342"/>
      <c r="W764" s="342"/>
      <c r="X764" s="342"/>
      <c r="Y764" s="342"/>
      <c r="Z764" s="342"/>
    </row>
    <row r="765" ht="12.75" customHeight="1">
      <c r="A765" s="534"/>
      <c r="B765" s="534"/>
      <c r="C765" s="575"/>
      <c r="D765" s="585"/>
      <c r="E765" s="586"/>
      <c r="F765" s="342"/>
      <c r="G765" s="342"/>
      <c r="H765" s="342"/>
      <c r="I765" s="342"/>
      <c r="J765" s="342"/>
      <c r="K765" s="342"/>
      <c r="L765" s="342"/>
      <c r="M765" s="342"/>
      <c r="N765" s="342"/>
      <c r="O765" s="341"/>
      <c r="P765" s="341"/>
      <c r="Q765" s="342"/>
      <c r="R765" s="342"/>
      <c r="S765" s="341"/>
      <c r="T765" s="342"/>
      <c r="U765" s="342"/>
      <c r="V765" s="342"/>
      <c r="W765" s="342"/>
      <c r="X765" s="342"/>
      <c r="Y765" s="342"/>
      <c r="Z765" s="342"/>
    </row>
    <row r="766" ht="12.75" customHeight="1">
      <c r="A766" s="534"/>
      <c r="B766" s="534"/>
      <c r="C766" s="575"/>
      <c r="D766" s="585"/>
      <c r="E766" s="586"/>
      <c r="F766" s="342"/>
      <c r="G766" s="342"/>
      <c r="H766" s="342"/>
      <c r="I766" s="342"/>
      <c r="J766" s="342"/>
      <c r="K766" s="342"/>
      <c r="L766" s="342"/>
      <c r="M766" s="342"/>
      <c r="N766" s="342"/>
      <c r="O766" s="341"/>
      <c r="P766" s="341"/>
      <c r="Q766" s="342"/>
      <c r="R766" s="342"/>
      <c r="S766" s="341"/>
      <c r="T766" s="342"/>
      <c r="U766" s="342"/>
      <c r="V766" s="342"/>
      <c r="W766" s="342"/>
      <c r="X766" s="342"/>
      <c r="Y766" s="342"/>
      <c r="Z766" s="342"/>
    </row>
    <row r="767" ht="12.75" customHeight="1">
      <c r="A767" s="534"/>
      <c r="B767" s="534"/>
      <c r="C767" s="575"/>
      <c r="D767" s="585"/>
      <c r="E767" s="586"/>
      <c r="F767" s="342"/>
      <c r="G767" s="342"/>
      <c r="H767" s="342"/>
      <c r="I767" s="342"/>
      <c r="J767" s="342"/>
      <c r="K767" s="342"/>
      <c r="L767" s="342"/>
      <c r="M767" s="342"/>
      <c r="N767" s="342"/>
      <c r="O767" s="341"/>
      <c r="P767" s="341"/>
      <c r="Q767" s="342"/>
      <c r="R767" s="342"/>
      <c r="S767" s="341"/>
      <c r="T767" s="342"/>
      <c r="U767" s="342"/>
      <c r="V767" s="342"/>
      <c r="W767" s="342"/>
      <c r="X767" s="342"/>
      <c r="Y767" s="342"/>
      <c r="Z767" s="342"/>
    </row>
    <row r="768" ht="12.75" customHeight="1">
      <c r="A768" s="534"/>
      <c r="B768" s="534"/>
      <c r="C768" s="575"/>
      <c r="D768" s="585"/>
      <c r="E768" s="586"/>
      <c r="F768" s="342"/>
      <c r="G768" s="342"/>
      <c r="H768" s="342"/>
      <c r="I768" s="342"/>
      <c r="J768" s="342"/>
      <c r="K768" s="342"/>
      <c r="L768" s="342"/>
      <c r="M768" s="342"/>
      <c r="N768" s="342"/>
      <c r="O768" s="341"/>
      <c r="P768" s="341"/>
      <c r="Q768" s="342"/>
      <c r="R768" s="342"/>
      <c r="S768" s="341"/>
      <c r="T768" s="342"/>
      <c r="U768" s="342"/>
      <c r="V768" s="342"/>
      <c r="W768" s="342"/>
      <c r="X768" s="342"/>
      <c r="Y768" s="342"/>
      <c r="Z768" s="342"/>
    </row>
    <row r="769" ht="12.75" customHeight="1">
      <c r="A769" s="534"/>
      <c r="B769" s="534"/>
      <c r="C769" s="575"/>
      <c r="D769" s="585"/>
      <c r="E769" s="586"/>
      <c r="F769" s="342"/>
      <c r="G769" s="342"/>
      <c r="H769" s="342"/>
      <c r="I769" s="342"/>
      <c r="J769" s="342"/>
      <c r="K769" s="342"/>
      <c r="L769" s="342"/>
      <c r="M769" s="342"/>
      <c r="N769" s="342"/>
      <c r="O769" s="341"/>
      <c r="P769" s="341"/>
      <c r="Q769" s="342"/>
      <c r="R769" s="342"/>
      <c r="S769" s="341"/>
      <c r="T769" s="342"/>
      <c r="U769" s="342"/>
      <c r="V769" s="342"/>
      <c r="W769" s="342"/>
      <c r="X769" s="342"/>
      <c r="Y769" s="342"/>
      <c r="Z769" s="342"/>
    </row>
    <row r="770" ht="12.75" customHeight="1">
      <c r="A770" s="534"/>
      <c r="B770" s="534"/>
      <c r="C770" s="575"/>
      <c r="D770" s="585"/>
      <c r="E770" s="586"/>
      <c r="F770" s="342"/>
      <c r="G770" s="342"/>
      <c r="H770" s="342"/>
      <c r="I770" s="342"/>
      <c r="J770" s="342"/>
      <c r="K770" s="342"/>
      <c r="L770" s="342"/>
      <c r="M770" s="342"/>
      <c r="N770" s="342"/>
      <c r="O770" s="341"/>
      <c r="P770" s="341"/>
      <c r="Q770" s="342"/>
      <c r="R770" s="342"/>
      <c r="S770" s="341"/>
      <c r="T770" s="342"/>
      <c r="U770" s="342"/>
      <c r="V770" s="342"/>
      <c r="W770" s="342"/>
      <c r="X770" s="342"/>
      <c r="Y770" s="342"/>
      <c r="Z770" s="342"/>
    </row>
    <row r="771" ht="12.75" customHeight="1">
      <c r="A771" s="534"/>
      <c r="B771" s="534"/>
      <c r="C771" s="575"/>
      <c r="D771" s="585"/>
      <c r="E771" s="586"/>
      <c r="F771" s="342"/>
      <c r="G771" s="342"/>
      <c r="H771" s="342"/>
      <c r="I771" s="342"/>
      <c r="J771" s="342"/>
      <c r="K771" s="342"/>
      <c r="L771" s="342"/>
      <c r="M771" s="342"/>
      <c r="N771" s="342"/>
      <c r="O771" s="341"/>
      <c r="P771" s="341"/>
      <c r="Q771" s="342"/>
      <c r="R771" s="342"/>
      <c r="S771" s="341"/>
      <c r="T771" s="342"/>
      <c r="U771" s="342"/>
      <c r="V771" s="342"/>
      <c r="W771" s="342"/>
      <c r="X771" s="342"/>
      <c r="Y771" s="342"/>
      <c r="Z771" s="342"/>
    </row>
    <row r="772" ht="12.75" customHeight="1">
      <c r="A772" s="534"/>
      <c r="B772" s="534"/>
      <c r="C772" s="575"/>
      <c r="D772" s="585"/>
      <c r="E772" s="586"/>
      <c r="F772" s="342"/>
      <c r="G772" s="342"/>
      <c r="H772" s="342"/>
      <c r="I772" s="342"/>
      <c r="J772" s="342"/>
      <c r="K772" s="342"/>
      <c r="L772" s="342"/>
      <c r="M772" s="342"/>
      <c r="N772" s="342"/>
      <c r="O772" s="341"/>
      <c r="P772" s="341"/>
      <c r="Q772" s="342"/>
      <c r="R772" s="342"/>
      <c r="S772" s="341"/>
      <c r="T772" s="342"/>
      <c r="U772" s="342"/>
      <c r="V772" s="342"/>
      <c r="W772" s="342"/>
      <c r="X772" s="342"/>
      <c r="Y772" s="342"/>
      <c r="Z772" s="342"/>
    </row>
    <row r="773" ht="12.75" customHeight="1">
      <c r="A773" s="534"/>
      <c r="B773" s="534"/>
      <c r="C773" s="575"/>
      <c r="D773" s="585"/>
      <c r="E773" s="586"/>
      <c r="F773" s="342"/>
      <c r="G773" s="342"/>
      <c r="H773" s="342"/>
      <c r="I773" s="342"/>
      <c r="J773" s="342"/>
      <c r="K773" s="342"/>
      <c r="L773" s="342"/>
      <c r="M773" s="342"/>
      <c r="N773" s="342"/>
      <c r="O773" s="341"/>
      <c r="P773" s="341"/>
      <c r="Q773" s="342"/>
      <c r="R773" s="342"/>
      <c r="S773" s="341"/>
      <c r="T773" s="342"/>
      <c r="U773" s="342"/>
      <c r="V773" s="342"/>
      <c r="W773" s="342"/>
      <c r="X773" s="342"/>
      <c r="Y773" s="342"/>
      <c r="Z773" s="342"/>
    </row>
    <row r="774" ht="12.75" customHeight="1">
      <c r="A774" s="534"/>
      <c r="B774" s="534"/>
      <c r="C774" s="575"/>
      <c r="D774" s="585"/>
      <c r="E774" s="586"/>
      <c r="F774" s="342"/>
      <c r="G774" s="342"/>
      <c r="H774" s="342"/>
      <c r="I774" s="342"/>
      <c r="J774" s="342"/>
      <c r="K774" s="342"/>
      <c r="L774" s="342"/>
      <c r="M774" s="342"/>
      <c r="N774" s="342"/>
      <c r="O774" s="341"/>
      <c r="P774" s="341"/>
      <c r="Q774" s="342"/>
      <c r="R774" s="342"/>
      <c r="S774" s="341"/>
      <c r="T774" s="342"/>
      <c r="U774" s="342"/>
      <c r="V774" s="342"/>
      <c r="W774" s="342"/>
      <c r="X774" s="342"/>
      <c r="Y774" s="342"/>
      <c r="Z774" s="342"/>
    </row>
    <row r="775" ht="12.75" customHeight="1">
      <c r="A775" s="534"/>
      <c r="B775" s="534"/>
      <c r="C775" s="575"/>
      <c r="D775" s="585"/>
      <c r="E775" s="586"/>
      <c r="F775" s="342"/>
      <c r="G775" s="342"/>
      <c r="H775" s="342"/>
      <c r="I775" s="342"/>
      <c r="J775" s="342"/>
      <c r="K775" s="342"/>
      <c r="L775" s="342"/>
      <c r="M775" s="342"/>
      <c r="N775" s="342"/>
      <c r="O775" s="341"/>
      <c r="P775" s="341"/>
      <c r="Q775" s="342"/>
      <c r="R775" s="342"/>
      <c r="S775" s="341"/>
      <c r="T775" s="342"/>
      <c r="U775" s="342"/>
      <c r="V775" s="342"/>
      <c r="W775" s="342"/>
      <c r="X775" s="342"/>
      <c r="Y775" s="342"/>
      <c r="Z775" s="342"/>
    </row>
    <row r="776" ht="12.75" customHeight="1">
      <c r="A776" s="534"/>
      <c r="B776" s="534"/>
      <c r="C776" s="575"/>
      <c r="D776" s="585"/>
      <c r="E776" s="586"/>
      <c r="F776" s="342"/>
      <c r="G776" s="342"/>
      <c r="H776" s="342"/>
      <c r="I776" s="342"/>
      <c r="J776" s="342"/>
      <c r="K776" s="342"/>
      <c r="L776" s="342"/>
      <c r="M776" s="342"/>
      <c r="N776" s="342"/>
      <c r="O776" s="341"/>
      <c r="P776" s="341"/>
      <c r="Q776" s="342"/>
      <c r="R776" s="342"/>
      <c r="S776" s="341"/>
      <c r="T776" s="342"/>
      <c r="U776" s="342"/>
      <c r="V776" s="342"/>
      <c r="W776" s="342"/>
      <c r="X776" s="342"/>
      <c r="Y776" s="342"/>
      <c r="Z776" s="342"/>
    </row>
    <row r="777" ht="12.75" customHeight="1">
      <c r="A777" s="534"/>
      <c r="B777" s="534"/>
      <c r="C777" s="575"/>
      <c r="D777" s="585"/>
      <c r="E777" s="586"/>
      <c r="F777" s="342"/>
      <c r="G777" s="342"/>
      <c r="H777" s="342"/>
      <c r="I777" s="342"/>
      <c r="J777" s="342"/>
      <c r="K777" s="342"/>
      <c r="L777" s="342"/>
      <c r="M777" s="342"/>
      <c r="N777" s="342"/>
      <c r="O777" s="341"/>
      <c r="P777" s="341"/>
      <c r="Q777" s="342"/>
      <c r="R777" s="342"/>
      <c r="S777" s="341"/>
      <c r="T777" s="342"/>
      <c r="U777" s="342"/>
      <c r="V777" s="342"/>
      <c r="W777" s="342"/>
      <c r="X777" s="342"/>
      <c r="Y777" s="342"/>
      <c r="Z777" s="342"/>
    </row>
    <row r="778" ht="12.75" customHeight="1">
      <c r="A778" s="534"/>
      <c r="B778" s="534"/>
      <c r="C778" s="575"/>
      <c r="D778" s="585"/>
      <c r="E778" s="586"/>
      <c r="F778" s="342"/>
      <c r="G778" s="342"/>
      <c r="H778" s="342"/>
      <c r="I778" s="342"/>
      <c r="J778" s="342"/>
      <c r="K778" s="342"/>
      <c r="L778" s="342"/>
      <c r="M778" s="342"/>
      <c r="N778" s="342"/>
      <c r="O778" s="341"/>
      <c r="P778" s="341"/>
      <c r="Q778" s="342"/>
      <c r="R778" s="342"/>
      <c r="S778" s="341"/>
      <c r="T778" s="342"/>
      <c r="U778" s="342"/>
      <c r="V778" s="342"/>
      <c r="W778" s="342"/>
      <c r="X778" s="342"/>
      <c r="Y778" s="342"/>
      <c r="Z778" s="342"/>
    </row>
    <row r="779" ht="12.75" customHeight="1">
      <c r="A779" s="534"/>
      <c r="B779" s="534"/>
      <c r="C779" s="575"/>
      <c r="D779" s="585"/>
      <c r="E779" s="586"/>
      <c r="F779" s="342"/>
      <c r="G779" s="342"/>
      <c r="H779" s="342"/>
      <c r="I779" s="342"/>
      <c r="J779" s="342"/>
      <c r="K779" s="342"/>
      <c r="L779" s="342"/>
      <c r="M779" s="342"/>
      <c r="N779" s="342"/>
      <c r="O779" s="341"/>
      <c r="P779" s="341"/>
      <c r="Q779" s="342"/>
      <c r="R779" s="342"/>
      <c r="S779" s="341"/>
      <c r="T779" s="342"/>
      <c r="U779" s="342"/>
      <c r="V779" s="342"/>
      <c r="W779" s="342"/>
      <c r="X779" s="342"/>
      <c r="Y779" s="342"/>
      <c r="Z779" s="342"/>
    </row>
    <row r="780" ht="12.75" customHeight="1">
      <c r="A780" s="534"/>
      <c r="B780" s="534"/>
      <c r="C780" s="575"/>
      <c r="D780" s="585"/>
      <c r="E780" s="586"/>
      <c r="F780" s="342"/>
      <c r="G780" s="342"/>
      <c r="H780" s="342"/>
      <c r="I780" s="342"/>
      <c r="J780" s="342"/>
      <c r="K780" s="342"/>
      <c r="L780" s="342"/>
      <c r="M780" s="342"/>
      <c r="N780" s="342"/>
      <c r="O780" s="341"/>
      <c r="P780" s="341"/>
      <c r="Q780" s="342"/>
      <c r="R780" s="342"/>
      <c r="S780" s="341"/>
      <c r="T780" s="342"/>
      <c r="U780" s="342"/>
      <c r="V780" s="342"/>
      <c r="W780" s="342"/>
      <c r="X780" s="342"/>
      <c r="Y780" s="342"/>
      <c r="Z780" s="342"/>
    </row>
    <row r="781" ht="12.75" customHeight="1">
      <c r="A781" s="534"/>
      <c r="B781" s="534"/>
      <c r="C781" s="575"/>
      <c r="D781" s="585"/>
      <c r="E781" s="586"/>
      <c r="F781" s="342"/>
      <c r="G781" s="342"/>
      <c r="H781" s="342"/>
      <c r="I781" s="342"/>
      <c r="J781" s="342"/>
      <c r="K781" s="342"/>
      <c r="L781" s="342"/>
      <c r="M781" s="342"/>
      <c r="N781" s="342"/>
      <c r="O781" s="341"/>
      <c r="P781" s="341"/>
      <c r="Q781" s="342"/>
      <c r="R781" s="342"/>
      <c r="S781" s="341"/>
      <c r="T781" s="342"/>
      <c r="U781" s="342"/>
      <c r="V781" s="342"/>
      <c r="W781" s="342"/>
      <c r="X781" s="342"/>
      <c r="Y781" s="342"/>
      <c r="Z781" s="342"/>
    </row>
    <row r="782" ht="12.75" customHeight="1">
      <c r="A782" s="534"/>
      <c r="B782" s="534"/>
      <c r="C782" s="575"/>
      <c r="D782" s="585"/>
      <c r="E782" s="586"/>
      <c r="F782" s="342"/>
      <c r="G782" s="342"/>
      <c r="H782" s="342"/>
      <c r="I782" s="342"/>
      <c r="J782" s="342"/>
      <c r="K782" s="342"/>
      <c r="L782" s="342"/>
      <c r="M782" s="342"/>
      <c r="N782" s="342"/>
      <c r="O782" s="341"/>
      <c r="P782" s="341"/>
      <c r="Q782" s="342"/>
      <c r="R782" s="342"/>
      <c r="S782" s="341"/>
      <c r="T782" s="342"/>
      <c r="U782" s="342"/>
      <c r="V782" s="342"/>
      <c r="W782" s="342"/>
      <c r="X782" s="342"/>
      <c r="Y782" s="342"/>
      <c r="Z782" s="342"/>
    </row>
    <row r="783" ht="12.75" customHeight="1">
      <c r="A783" s="534"/>
      <c r="B783" s="534"/>
      <c r="C783" s="575"/>
      <c r="D783" s="585"/>
      <c r="E783" s="586"/>
      <c r="F783" s="342"/>
      <c r="G783" s="342"/>
      <c r="H783" s="342"/>
      <c r="I783" s="342"/>
      <c r="J783" s="342"/>
      <c r="K783" s="342"/>
      <c r="L783" s="342"/>
      <c r="M783" s="342"/>
      <c r="N783" s="342"/>
      <c r="O783" s="341"/>
      <c r="P783" s="341"/>
      <c r="Q783" s="342"/>
      <c r="R783" s="342"/>
      <c r="S783" s="341"/>
      <c r="T783" s="342"/>
      <c r="U783" s="342"/>
      <c r="V783" s="342"/>
      <c r="W783" s="342"/>
      <c r="X783" s="342"/>
      <c r="Y783" s="342"/>
      <c r="Z783" s="342"/>
    </row>
    <row r="784" ht="12.75" customHeight="1">
      <c r="A784" s="534"/>
      <c r="B784" s="534"/>
      <c r="C784" s="575"/>
      <c r="D784" s="585"/>
      <c r="E784" s="586"/>
      <c r="F784" s="342"/>
      <c r="G784" s="342"/>
      <c r="H784" s="342"/>
      <c r="I784" s="342"/>
      <c r="J784" s="342"/>
      <c r="K784" s="342"/>
      <c r="L784" s="342"/>
      <c r="M784" s="342"/>
      <c r="N784" s="342"/>
      <c r="O784" s="341"/>
      <c r="P784" s="341"/>
      <c r="Q784" s="342"/>
      <c r="R784" s="342"/>
      <c r="S784" s="341"/>
      <c r="T784" s="342"/>
      <c r="U784" s="342"/>
      <c r="V784" s="342"/>
      <c r="W784" s="342"/>
      <c r="X784" s="342"/>
      <c r="Y784" s="342"/>
      <c r="Z784" s="342"/>
    </row>
    <row r="785" ht="12.75" customHeight="1">
      <c r="A785" s="534"/>
      <c r="B785" s="534"/>
      <c r="C785" s="575"/>
      <c r="D785" s="585"/>
      <c r="E785" s="586"/>
      <c r="F785" s="342"/>
      <c r="G785" s="342"/>
      <c r="H785" s="342"/>
      <c r="I785" s="342"/>
      <c r="J785" s="342"/>
      <c r="K785" s="342"/>
      <c r="L785" s="342"/>
      <c r="M785" s="342"/>
      <c r="N785" s="342"/>
      <c r="O785" s="341"/>
      <c r="P785" s="341"/>
      <c r="Q785" s="342"/>
      <c r="R785" s="342"/>
      <c r="S785" s="341"/>
      <c r="T785" s="342"/>
      <c r="U785" s="342"/>
      <c r="V785" s="342"/>
      <c r="W785" s="342"/>
      <c r="X785" s="342"/>
      <c r="Y785" s="342"/>
      <c r="Z785" s="342"/>
    </row>
    <row r="786" ht="12.75" customHeight="1">
      <c r="A786" s="534"/>
      <c r="B786" s="534"/>
      <c r="C786" s="575"/>
      <c r="D786" s="585"/>
      <c r="E786" s="586"/>
      <c r="F786" s="342"/>
      <c r="G786" s="342"/>
      <c r="H786" s="342"/>
      <c r="I786" s="342"/>
      <c r="J786" s="342"/>
      <c r="K786" s="342"/>
      <c r="L786" s="342"/>
      <c r="M786" s="342"/>
      <c r="N786" s="342"/>
      <c r="O786" s="341"/>
      <c r="P786" s="341"/>
      <c r="Q786" s="342"/>
      <c r="R786" s="342"/>
      <c r="S786" s="341"/>
      <c r="T786" s="342"/>
      <c r="U786" s="342"/>
      <c r="V786" s="342"/>
      <c r="W786" s="342"/>
      <c r="X786" s="342"/>
      <c r="Y786" s="342"/>
      <c r="Z786" s="342"/>
    </row>
    <row r="787" ht="12.75" customHeight="1">
      <c r="A787" s="534"/>
      <c r="B787" s="534"/>
      <c r="C787" s="575"/>
      <c r="D787" s="585"/>
      <c r="E787" s="586"/>
      <c r="F787" s="342"/>
      <c r="G787" s="342"/>
      <c r="H787" s="342"/>
      <c r="I787" s="342"/>
      <c r="J787" s="342"/>
      <c r="K787" s="342"/>
      <c r="L787" s="342"/>
      <c r="M787" s="342"/>
      <c r="N787" s="342"/>
      <c r="O787" s="341"/>
      <c r="P787" s="341"/>
      <c r="Q787" s="342"/>
      <c r="R787" s="342"/>
      <c r="S787" s="341"/>
      <c r="T787" s="342"/>
      <c r="U787" s="342"/>
      <c r="V787" s="342"/>
      <c r="W787" s="342"/>
      <c r="X787" s="342"/>
      <c r="Y787" s="342"/>
      <c r="Z787" s="342"/>
    </row>
    <row r="788" ht="12.75" customHeight="1">
      <c r="A788" s="534"/>
      <c r="B788" s="534"/>
      <c r="C788" s="575"/>
      <c r="D788" s="585"/>
      <c r="E788" s="586"/>
      <c r="F788" s="342"/>
      <c r="G788" s="342"/>
      <c r="H788" s="342"/>
      <c r="I788" s="342"/>
      <c r="J788" s="342"/>
      <c r="K788" s="342"/>
      <c r="L788" s="342"/>
      <c r="M788" s="342"/>
      <c r="N788" s="342"/>
      <c r="O788" s="341"/>
      <c r="P788" s="341"/>
      <c r="Q788" s="342"/>
      <c r="R788" s="342"/>
      <c r="S788" s="341"/>
      <c r="T788" s="342"/>
      <c r="U788" s="342"/>
      <c r="V788" s="342"/>
      <c r="W788" s="342"/>
      <c r="X788" s="342"/>
      <c r="Y788" s="342"/>
      <c r="Z788" s="342"/>
    </row>
    <row r="789" ht="12.75" customHeight="1">
      <c r="A789" s="534"/>
      <c r="B789" s="534"/>
      <c r="C789" s="575"/>
      <c r="D789" s="585"/>
      <c r="E789" s="586"/>
      <c r="F789" s="342"/>
      <c r="G789" s="342"/>
      <c r="H789" s="342"/>
      <c r="I789" s="342"/>
      <c r="J789" s="342"/>
      <c r="K789" s="342"/>
      <c r="L789" s="342"/>
      <c r="M789" s="342"/>
      <c r="N789" s="342"/>
      <c r="O789" s="341"/>
      <c r="P789" s="341"/>
      <c r="Q789" s="342"/>
      <c r="R789" s="342"/>
      <c r="S789" s="341"/>
      <c r="T789" s="342"/>
      <c r="U789" s="342"/>
      <c r="V789" s="342"/>
      <c r="W789" s="342"/>
      <c r="X789" s="342"/>
      <c r="Y789" s="342"/>
      <c r="Z789" s="342"/>
    </row>
    <row r="790" ht="12.75" customHeight="1">
      <c r="A790" s="534"/>
      <c r="B790" s="534"/>
      <c r="C790" s="575"/>
      <c r="D790" s="585"/>
      <c r="E790" s="586"/>
      <c r="F790" s="342"/>
      <c r="G790" s="342"/>
      <c r="H790" s="342"/>
      <c r="I790" s="342"/>
      <c r="J790" s="342"/>
      <c r="K790" s="342"/>
      <c r="L790" s="342"/>
      <c r="M790" s="342"/>
      <c r="N790" s="342"/>
      <c r="O790" s="341"/>
      <c r="P790" s="341"/>
      <c r="Q790" s="342"/>
      <c r="R790" s="342"/>
      <c r="S790" s="341"/>
      <c r="T790" s="342"/>
      <c r="U790" s="342"/>
      <c r="V790" s="342"/>
      <c r="W790" s="342"/>
      <c r="X790" s="342"/>
      <c r="Y790" s="342"/>
      <c r="Z790" s="342"/>
    </row>
    <row r="791" ht="12.75" customHeight="1">
      <c r="A791" s="534"/>
      <c r="B791" s="534"/>
      <c r="C791" s="575"/>
      <c r="D791" s="585"/>
      <c r="E791" s="586"/>
      <c r="F791" s="342"/>
      <c r="G791" s="342"/>
      <c r="H791" s="342"/>
      <c r="I791" s="342"/>
      <c r="J791" s="342"/>
      <c r="K791" s="342"/>
      <c r="L791" s="342"/>
      <c r="M791" s="342"/>
      <c r="N791" s="342"/>
      <c r="O791" s="341"/>
      <c r="P791" s="341"/>
      <c r="Q791" s="342"/>
      <c r="R791" s="342"/>
      <c r="S791" s="341"/>
      <c r="T791" s="342"/>
      <c r="U791" s="342"/>
      <c r="V791" s="342"/>
      <c r="W791" s="342"/>
      <c r="X791" s="342"/>
      <c r="Y791" s="342"/>
      <c r="Z791" s="342"/>
    </row>
    <row r="792" ht="12.75" customHeight="1">
      <c r="A792" s="534"/>
      <c r="B792" s="534"/>
      <c r="C792" s="575"/>
      <c r="D792" s="585"/>
      <c r="E792" s="586"/>
      <c r="F792" s="342"/>
      <c r="G792" s="342"/>
      <c r="H792" s="342"/>
      <c r="I792" s="342"/>
      <c r="J792" s="342"/>
      <c r="K792" s="342"/>
      <c r="L792" s="342"/>
      <c r="M792" s="342"/>
      <c r="N792" s="342"/>
      <c r="O792" s="341"/>
      <c r="P792" s="341"/>
      <c r="Q792" s="342"/>
      <c r="R792" s="342"/>
      <c r="S792" s="341"/>
      <c r="T792" s="342"/>
      <c r="U792" s="342"/>
      <c r="V792" s="342"/>
      <c r="W792" s="342"/>
      <c r="X792" s="342"/>
      <c r="Y792" s="342"/>
      <c r="Z792" s="342"/>
    </row>
    <row r="793" ht="12.75" customHeight="1">
      <c r="A793" s="534"/>
      <c r="B793" s="534"/>
      <c r="C793" s="575"/>
      <c r="D793" s="585"/>
      <c r="E793" s="586"/>
      <c r="F793" s="342"/>
      <c r="G793" s="342"/>
      <c r="H793" s="342"/>
      <c r="I793" s="342"/>
      <c r="J793" s="342"/>
      <c r="K793" s="342"/>
      <c r="L793" s="342"/>
      <c r="M793" s="342"/>
      <c r="N793" s="342"/>
      <c r="O793" s="341"/>
      <c r="P793" s="341"/>
      <c r="Q793" s="342"/>
      <c r="R793" s="342"/>
      <c r="S793" s="341"/>
      <c r="T793" s="342"/>
      <c r="U793" s="342"/>
      <c r="V793" s="342"/>
      <c r="W793" s="342"/>
      <c r="X793" s="342"/>
      <c r="Y793" s="342"/>
      <c r="Z793" s="342"/>
    </row>
    <row r="794" ht="12.75" customHeight="1">
      <c r="A794" s="534"/>
      <c r="B794" s="534"/>
      <c r="C794" s="575"/>
      <c r="D794" s="585"/>
      <c r="E794" s="586"/>
      <c r="F794" s="342"/>
      <c r="G794" s="342"/>
      <c r="H794" s="342"/>
      <c r="I794" s="342"/>
      <c r="J794" s="342"/>
      <c r="K794" s="342"/>
      <c r="L794" s="342"/>
      <c r="M794" s="342"/>
      <c r="N794" s="342"/>
      <c r="O794" s="341"/>
      <c r="P794" s="341"/>
      <c r="Q794" s="342"/>
      <c r="R794" s="342"/>
      <c r="S794" s="341"/>
      <c r="T794" s="342"/>
      <c r="U794" s="342"/>
      <c r="V794" s="342"/>
      <c r="W794" s="342"/>
      <c r="X794" s="342"/>
      <c r="Y794" s="342"/>
      <c r="Z794" s="342"/>
    </row>
    <row r="795" ht="12.75" customHeight="1">
      <c r="A795" s="534"/>
      <c r="B795" s="534"/>
      <c r="C795" s="575"/>
      <c r="D795" s="585"/>
      <c r="E795" s="586"/>
      <c r="F795" s="342"/>
      <c r="G795" s="342"/>
      <c r="H795" s="342"/>
      <c r="I795" s="342"/>
      <c r="J795" s="342"/>
      <c r="K795" s="342"/>
      <c r="L795" s="342"/>
      <c r="M795" s="342"/>
      <c r="N795" s="342"/>
      <c r="O795" s="341"/>
      <c r="P795" s="341"/>
      <c r="Q795" s="342"/>
      <c r="R795" s="342"/>
      <c r="S795" s="341"/>
      <c r="T795" s="342"/>
      <c r="U795" s="342"/>
      <c r="V795" s="342"/>
      <c r="W795" s="342"/>
      <c r="X795" s="342"/>
      <c r="Y795" s="342"/>
      <c r="Z795" s="342"/>
    </row>
    <row r="796" ht="12.75" customHeight="1">
      <c r="A796" s="534"/>
      <c r="B796" s="534"/>
      <c r="C796" s="575"/>
      <c r="D796" s="585"/>
      <c r="E796" s="586"/>
      <c r="F796" s="342"/>
      <c r="G796" s="342"/>
      <c r="H796" s="342"/>
      <c r="I796" s="342"/>
      <c r="J796" s="342"/>
      <c r="K796" s="342"/>
      <c r="L796" s="342"/>
      <c r="M796" s="342"/>
      <c r="N796" s="342"/>
      <c r="O796" s="341"/>
      <c r="P796" s="341"/>
      <c r="Q796" s="342"/>
      <c r="R796" s="342"/>
      <c r="S796" s="341"/>
      <c r="T796" s="342"/>
      <c r="U796" s="342"/>
      <c r="V796" s="342"/>
      <c r="W796" s="342"/>
      <c r="X796" s="342"/>
      <c r="Y796" s="342"/>
      <c r="Z796" s="342"/>
    </row>
    <row r="797" ht="12.75" customHeight="1">
      <c r="A797" s="534"/>
      <c r="B797" s="534"/>
      <c r="C797" s="575"/>
      <c r="D797" s="585"/>
      <c r="E797" s="586"/>
      <c r="F797" s="342"/>
      <c r="G797" s="342"/>
      <c r="H797" s="342"/>
      <c r="I797" s="342"/>
      <c r="J797" s="342"/>
      <c r="K797" s="342"/>
      <c r="L797" s="342"/>
      <c r="M797" s="342"/>
      <c r="N797" s="342"/>
      <c r="O797" s="341"/>
      <c r="P797" s="341"/>
      <c r="Q797" s="342"/>
      <c r="R797" s="342"/>
      <c r="S797" s="341"/>
      <c r="T797" s="342"/>
      <c r="U797" s="342"/>
      <c r="V797" s="342"/>
      <c r="W797" s="342"/>
      <c r="X797" s="342"/>
      <c r="Y797" s="342"/>
      <c r="Z797" s="342"/>
    </row>
    <row r="798" ht="12.75" customHeight="1">
      <c r="A798" s="534"/>
      <c r="B798" s="534"/>
      <c r="C798" s="575"/>
      <c r="D798" s="585"/>
      <c r="E798" s="586"/>
      <c r="F798" s="342"/>
      <c r="G798" s="342"/>
      <c r="H798" s="342"/>
      <c r="I798" s="342"/>
      <c r="J798" s="342"/>
      <c r="K798" s="342"/>
      <c r="L798" s="342"/>
      <c r="M798" s="342"/>
      <c r="N798" s="342"/>
      <c r="O798" s="341"/>
      <c r="P798" s="341"/>
      <c r="Q798" s="342"/>
      <c r="R798" s="342"/>
      <c r="S798" s="341"/>
      <c r="T798" s="342"/>
      <c r="U798" s="342"/>
      <c r="V798" s="342"/>
      <c r="W798" s="342"/>
      <c r="X798" s="342"/>
      <c r="Y798" s="342"/>
      <c r="Z798" s="342"/>
    </row>
    <row r="799" ht="12.75" customHeight="1">
      <c r="A799" s="534"/>
      <c r="B799" s="534"/>
      <c r="C799" s="575"/>
      <c r="D799" s="585"/>
      <c r="E799" s="586"/>
      <c r="F799" s="342"/>
      <c r="G799" s="342"/>
      <c r="H799" s="342"/>
      <c r="I799" s="342"/>
      <c r="J799" s="342"/>
      <c r="K799" s="342"/>
      <c r="L799" s="342"/>
      <c r="M799" s="342"/>
      <c r="N799" s="342"/>
      <c r="O799" s="341"/>
      <c r="P799" s="341"/>
      <c r="Q799" s="342"/>
      <c r="R799" s="342"/>
      <c r="S799" s="341"/>
      <c r="T799" s="342"/>
      <c r="U799" s="342"/>
      <c r="V799" s="342"/>
      <c r="W799" s="342"/>
      <c r="X799" s="342"/>
      <c r="Y799" s="342"/>
      <c r="Z799" s="342"/>
    </row>
    <row r="800" ht="12.75" customHeight="1">
      <c r="A800" s="534"/>
      <c r="B800" s="534"/>
      <c r="C800" s="575"/>
      <c r="D800" s="585"/>
      <c r="E800" s="586"/>
      <c r="F800" s="342"/>
      <c r="G800" s="342"/>
      <c r="H800" s="342"/>
      <c r="I800" s="342"/>
      <c r="J800" s="342"/>
      <c r="K800" s="342"/>
      <c r="L800" s="342"/>
      <c r="M800" s="342"/>
      <c r="N800" s="342"/>
      <c r="O800" s="341"/>
      <c r="P800" s="341"/>
      <c r="Q800" s="342"/>
      <c r="R800" s="342"/>
      <c r="S800" s="341"/>
      <c r="T800" s="342"/>
      <c r="U800" s="342"/>
      <c r="V800" s="342"/>
      <c r="W800" s="342"/>
      <c r="X800" s="342"/>
      <c r="Y800" s="342"/>
      <c r="Z800" s="342"/>
    </row>
    <row r="801" ht="12.75" customHeight="1">
      <c r="A801" s="534"/>
      <c r="B801" s="534"/>
      <c r="C801" s="575"/>
      <c r="D801" s="585"/>
      <c r="E801" s="586"/>
      <c r="F801" s="342"/>
      <c r="G801" s="342"/>
      <c r="H801" s="342"/>
      <c r="I801" s="342"/>
      <c r="J801" s="342"/>
      <c r="K801" s="342"/>
      <c r="L801" s="342"/>
      <c r="M801" s="342"/>
      <c r="N801" s="342"/>
      <c r="O801" s="341"/>
      <c r="P801" s="341"/>
      <c r="Q801" s="342"/>
      <c r="R801" s="342"/>
      <c r="S801" s="341"/>
      <c r="T801" s="342"/>
      <c r="U801" s="342"/>
      <c r="V801" s="342"/>
      <c r="W801" s="342"/>
      <c r="X801" s="342"/>
      <c r="Y801" s="342"/>
      <c r="Z801" s="342"/>
    </row>
    <row r="802" ht="12.75" customHeight="1">
      <c r="A802" s="534"/>
      <c r="B802" s="534"/>
      <c r="C802" s="575"/>
      <c r="D802" s="585"/>
      <c r="E802" s="586"/>
      <c r="F802" s="342"/>
      <c r="G802" s="342"/>
      <c r="H802" s="342"/>
      <c r="I802" s="342"/>
      <c r="J802" s="342"/>
      <c r="K802" s="342"/>
      <c r="L802" s="342"/>
      <c r="M802" s="342"/>
      <c r="N802" s="342"/>
      <c r="O802" s="341"/>
      <c r="P802" s="341"/>
      <c r="Q802" s="342"/>
      <c r="R802" s="342"/>
      <c r="S802" s="341"/>
      <c r="T802" s="342"/>
      <c r="U802" s="342"/>
      <c r="V802" s="342"/>
      <c r="W802" s="342"/>
      <c r="X802" s="342"/>
      <c r="Y802" s="342"/>
      <c r="Z802" s="342"/>
    </row>
    <row r="803" ht="12.75" customHeight="1">
      <c r="A803" s="534"/>
      <c r="B803" s="534"/>
      <c r="C803" s="575"/>
      <c r="D803" s="585"/>
      <c r="E803" s="586"/>
      <c r="F803" s="342"/>
      <c r="G803" s="342"/>
      <c r="H803" s="342"/>
      <c r="I803" s="342"/>
      <c r="J803" s="342"/>
      <c r="K803" s="342"/>
      <c r="L803" s="342"/>
      <c r="M803" s="342"/>
      <c r="N803" s="342"/>
      <c r="O803" s="341"/>
      <c r="P803" s="341"/>
      <c r="Q803" s="342"/>
      <c r="R803" s="342"/>
      <c r="S803" s="341"/>
      <c r="T803" s="342"/>
      <c r="U803" s="342"/>
      <c r="V803" s="342"/>
      <c r="W803" s="342"/>
      <c r="X803" s="342"/>
      <c r="Y803" s="342"/>
      <c r="Z803" s="342"/>
    </row>
    <row r="804" ht="12.75" customHeight="1">
      <c r="A804" s="534"/>
      <c r="B804" s="534"/>
      <c r="C804" s="575"/>
      <c r="D804" s="585"/>
      <c r="E804" s="586"/>
      <c r="F804" s="342"/>
      <c r="G804" s="342"/>
      <c r="H804" s="342"/>
      <c r="I804" s="342"/>
      <c r="J804" s="342"/>
      <c r="K804" s="342"/>
      <c r="L804" s="342"/>
      <c r="M804" s="342"/>
      <c r="N804" s="342"/>
      <c r="O804" s="341"/>
      <c r="P804" s="341"/>
      <c r="Q804" s="342"/>
      <c r="R804" s="342"/>
      <c r="S804" s="341"/>
      <c r="T804" s="342"/>
      <c r="U804" s="342"/>
      <c r="V804" s="342"/>
      <c r="W804" s="342"/>
      <c r="X804" s="342"/>
      <c r="Y804" s="342"/>
      <c r="Z804" s="342"/>
    </row>
    <row r="805" ht="12.75" customHeight="1">
      <c r="A805" s="534"/>
      <c r="B805" s="534"/>
      <c r="C805" s="575"/>
      <c r="D805" s="585"/>
      <c r="E805" s="586"/>
      <c r="F805" s="342"/>
      <c r="G805" s="342"/>
      <c r="H805" s="342"/>
      <c r="I805" s="342"/>
      <c r="J805" s="342"/>
      <c r="K805" s="342"/>
      <c r="L805" s="342"/>
      <c r="M805" s="342"/>
      <c r="N805" s="342"/>
      <c r="O805" s="341"/>
      <c r="P805" s="341"/>
      <c r="Q805" s="342"/>
      <c r="R805" s="342"/>
      <c r="S805" s="341"/>
      <c r="T805" s="342"/>
      <c r="U805" s="342"/>
      <c r="V805" s="342"/>
      <c r="W805" s="342"/>
      <c r="X805" s="342"/>
      <c r="Y805" s="342"/>
      <c r="Z805" s="342"/>
    </row>
    <row r="806" ht="12.75" customHeight="1">
      <c r="A806" s="534"/>
      <c r="B806" s="534"/>
      <c r="C806" s="575"/>
      <c r="D806" s="585"/>
      <c r="E806" s="586"/>
      <c r="F806" s="342"/>
      <c r="G806" s="342"/>
      <c r="H806" s="342"/>
      <c r="I806" s="342"/>
      <c r="J806" s="342"/>
      <c r="K806" s="342"/>
      <c r="L806" s="342"/>
      <c r="M806" s="342"/>
      <c r="N806" s="342"/>
      <c r="O806" s="341"/>
      <c r="P806" s="341"/>
      <c r="Q806" s="342"/>
      <c r="R806" s="342"/>
      <c r="S806" s="341"/>
      <c r="T806" s="342"/>
      <c r="U806" s="342"/>
      <c r="V806" s="342"/>
      <c r="W806" s="342"/>
      <c r="X806" s="342"/>
      <c r="Y806" s="342"/>
      <c r="Z806" s="342"/>
    </row>
    <row r="807" ht="12.75" customHeight="1">
      <c r="A807" s="534"/>
      <c r="B807" s="534"/>
      <c r="C807" s="575"/>
      <c r="D807" s="585"/>
      <c r="E807" s="586"/>
      <c r="F807" s="342"/>
      <c r="G807" s="342"/>
      <c r="H807" s="342"/>
      <c r="I807" s="342"/>
      <c r="J807" s="342"/>
      <c r="K807" s="342"/>
      <c r="L807" s="342"/>
      <c r="M807" s="342"/>
      <c r="N807" s="342"/>
      <c r="O807" s="341"/>
      <c r="P807" s="341"/>
      <c r="Q807" s="342"/>
      <c r="R807" s="342"/>
      <c r="S807" s="341"/>
      <c r="T807" s="342"/>
      <c r="U807" s="342"/>
      <c r="V807" s="342"/>
      <c r="W807" s="342"/>
      <c r="X807" s="342"/>
      <c r="Y807" s="342"/>
      <c r="Z807" s="342"/>
    </row>
    <row r="808" ht="12.75" customHeight="1">
      <c r="A808" s="534"/>
      <c r="B808" s="534"/>
      <c r="C808" s="575"/>
      <c r="D808" s="585"/>
      <c r="E808" s="586"/>
      <c r="F808" s="342"/>
      <c r="G808" s="342"/>
      <c r="H808" s="342"/>
      <c r="I808" s="342"/>
      <c r="J808" s="342"/>
      <c r="K808" s="342"/>
      <c r="L808" s="342"/>
      <c r="M808" s="342"/>
      <c r="N808" s="342"/>
      <c r="O808" s="341"/>
      <c r="P808" s="341"/>
      <c r="Q808" s="342"/>
      <c r="R808" s="342"/>
      <c r="S808" s="341"/>
      <c r="T808" s="342"/>
      <c r="U808" s="342"/>
      <c r="V808" s="342"/>
      <c r="W808" s="342"/>
      <c r="X808" s="342"/>
      <c r="Y808" s="342"/>
      <c r="Z808" s="342"/>
    </row>
    <row r="809" ht="12.75" customHeight="1">
      <c r="A809" s="534"/>
      <c r="B809" s="534"/>
      <c r="C809" s="575"/>
      <c r="D809" s="585"/>
      <c r="E809" s="586"/>
      <c r="F809" s="342"/>
      <c r="G809" s="342"/>
      <c r="H809" s="342"/>
      <c r="I809" s="342"/>
      <c r="J809" s="342"/>
      <c r="K809" s="342"/>
      <c r="L809" s="342"/>
      <c r="M809" s="342"/>
      <c r="N809" s="342"/>
      <c r="O809" s="341"/>
      <c r="P809" s="341"/>
      <c r="Q809" s="342"/>
      <c r="R809" s="342"/>
      <c r="S809" s="341"/>
      <c r="T809" s="342"/>
      <c r="U809" s="342"/>
      <c r="V809" s="342"/>
      <c r="W809" s="342"/>
      <c r="X809" s="342"/>
      <c r="Y809" s="342"/>
      <c r="Z809" s="342"/>
    </row>
    <row r="810" ht="12.75" customHeight="1">
      <c r="A810" s="534"/>
      <c r="B810" s="534"/>
      <c r="C810" s="575"/>
      <c r="D810" s="585"/>
      <c r="E810" s="586"/>
      <c r="F810" s="342"/>
      <c r="G810" s="342"/>
      <c r="H810" s="342"/>
      <c r="I810" s="342"/>
      <c r="J810" s="342"/>
      <c r="K810" s="342"/>
      <c r="L810" s="342"/>
      <c r="M810" s="342"/>
      <c r="N810" s="342"/>
      <c r="O810" s="341"/>
      <c r="P810" s="341"/>
      <c r="Q810" s="342"/>
      <c r="R810" s="342"/>
      <c r="S810" s="341"/>
      <c r="T810" s="342"/>
      <c r="U810" s="342"/>
      <c r="V810" s="342"/>
      <c r="W810" s="342"/>
      <c r="X810" s="342"/>
      <c r="Y810" s="342"/>
      <c r="Z810" s="342"/>
    </row>
    <row r="811" ht="12.75" customHeight="1">
      <c r="A811" s="534"/>
      <c r="B811" s="534"/>
      <c r="C811" s="575"/>
      <c r="D811" s="585"/>
      <c r="E811" s="586"/>
      <c r="F811" s="342"/>
      <c r="G811" s="342"/>
      <c r="H811" s="342"/>
      <c r="I811" s="342"/>
      <c r="J811" s="342"/>
      <c r="K811" s="342"/>
      <c r="L811" s="342"/>
      <c r="M811" s="342"/>
      <c r="N811" s="342"/>
      <c r="O811" s="341"/>
      <c r="P811" s="341"/>
      <c r="Q811" s="342"/>
      <c r="R811" s="342"/>
      <c r="S811" s="341"/>
      <c r="T811" s="342"/>
      <c r="U811" s="342"/>
      <c r="V811" s="342"/>
      <c r="W811" s="342"/>
      <c r="X811" s="342"/>
      <c r="Y811" s="342"/>
      <c r="Z811" s="342"/>
    </row>
    <row r="812" ht="12.75" customHeight="1">
      <c r="A812" s="534"/>
      <c r="B812" s="534"/>
      <c r="C812" s="575"/>
      <c r="D812" s="585"/>
      <c r="E812" s="586"/>
      <c r="F812" s="342"/>
      <c r="G812" s="342"/>
      <c r="H812" s="342"/>
      <c r="I812" s="342"/>
      <c r="J812" s="342"/>
      <c r="K812" s="342"/>
      <c r="L812" s="342"/>
      <c r="M812" s="342"/>
      <c r="N812" s="342"/>
      <c r="O812" s="341"/>
      <c r="P812" s="341"/>
      <c r="Q812" s="342"/>
      <c r="R812" s="342"/>
      <c r="S812" s="341"/>
      <c r="T812" s="342"/>
      <c r="U812" s="342"/>
      <c r="V812" s="342"/>
      <c r="W812" s="342"/>
      <c r="X812" s="342"/>
      <c r="Y812" s="342"/>
      <c r="Z812" s="342"/>
    </row>
    <row r="813" ht="12.75" customHeight="1">
      <c r="A813" s="534"/>
      <c r="B813" s="534"/>
      <c r="C813" s="575"/>
      <c r="D813" s="585"/>
      <c r="E813" s="586"/>
      <c r="F813" s="342"/>
      <c r="G813" s="342"/>
      <c r="H813" s="342"/>
      <c r="I813" s="342"/>
      <c r="J813" s="342"/>
      <c r="K813" s="342"/>
      <c r="L813" s="342"/>
      <c r="M813" s="342"/>
      <c r="N813" s="342"/>
      <c r="O813" s="341"/>
      <c r="P813" s="341"/>
      <c r="Q813" s="342"/>
      <c r="R813" s="342"/>
      <c r="S813" s="341"/>
      <c r="T813" s="342"/>
      <c r="U813" s="342"/>
      <c r="V813" s="342"/>
      <c r="W813" s="342"/>
      <c r="X813" s="342"/>
      <c r="Y813" s="342"/>
      <c r="Z813" s="342"/>
    </row>
    <row r="814" ht="12.75" customHeight="1">
      <c r="A814" s="534"/>
      <c r="B814" s="534"/>
      <c r="C814" s="575"/>
      <c r="D814" s="585"/>
      <c r="E814" s="586"/>
      <c r="F814" s="342"/>
      <c r="G814" s="342"/>
      <c r="H814" s="342"/>
      <c r="I814" s="342"/>
      <c r="J814" s="342"/>
      <c r="K814" s="342"/>
      <c r="L814" s="342"/>
      <c r="M814" s="342"/>
      <c r="N814" s="342"/>
      <c r="O814" s="341"/>
      <c r="P814" s="341"/>
      <c r="Q814" s="342"/>
      <c r="R814" s="342"/>
      <c r="S814" s="341"/>
      <c r="T814" s="342"/>
      <c r="U814" s="342"/>
      <c r="V814" s="342"/>
      <c r="W814" s="342"/>
      <c r="X814" s="342"/>
      <c r="Y814" s="342"/>
      <c r="Z814" s="342"/>
    </row>
    <row r="815" ht="12.75" customHeight="1">
      <c r="A815" s="534"/>
      <c r="B815" s="534"/>
      <c r="C815" s="575"/>
      <c r="D815" s="585"/>
      <c r="E815" s="586"/>
      <c r="F815" s="342"/>
      <c r="G815" s="342"/>
      <c r="H815" s="342"/>
      <c r="I815" s="342"/>
      <c r="J815" s="342"/>
      <c r="K815" s="342"/>
      <c r="L815" s="342"/>
      <c r="M815" s="342"/>
      <c r="N815" s="342"/>
      <c r="O815" s="341"/>
      <c r="P815" s="341"/>
      <c r="Q815" s="342"/>
      <c r="R815" s="342"/>
      <c r="S815" s="341"/>
      <c r="T815" s="342"/>
      <c r="U815" s="342"/>
      <c r="V815" s="342"/>
      <c r="W815" s="342"/>
      <c r="X815" s="342"/>
      <c r="Y815" s="342"/>
      <c r="Z815" s="342"/>
    </row>
    <row r="816" ht="12.75" customHeight="1">
      <c r="A816" s="534"/>
      <c r="B816" s="534"/>
      <c r="C816" s="575"/>
      <c r="D816" s="585"/>
      <c r="E816" s="586"/>
      <c r="F816" s="342"/>
      <c r="G816" s="342"/>
      <c r="H816" s="342"/>
      <c r="I816" s="342"/>
      <c r="J816" s="342"/>
      <c r="K816" s="342"/>
      <c r="L816" s="342"/>
      <c r="M816" s="342"/>
      <c r="N816" s="342"/>
      <c r="O816" s="341"/>
      <c r="P816" s="341"/>
      <c r="Q816" s="342"/>
      <c r="R816" s="342"/>
      <c r="S816" s="341"/>
      <c r="T816" s="342"/>
      <c r="U816" s="342"/>
      <c r="V816" s="342"/>
      <c r="W816" s="342"/>
      <c r="X816" s="342"/>
      <c r="Y816" s="342"/>
      <c r="Z816" s="342"/>
    </row>
    <row r="817" ht="12.75" customHeight="1">
      <c r="A817" s="534"/>
      <c r="B817" s="534"/>
      <c r="C817" s="575"/>
      <c r="D817" s="585"/>
      <c r="E817" s="586"/>
      <c r="F817" s="342"/>
      <c r="G817" s="342"/>
      <c r="H817" s="342"/>
      <c r="I817" s="342"/>
      <c r="J817" s="342"/>
      <c r="K817" s="342"/>
      <c r="L817" s="342"/>
      <c r="M817" s="342"/>
      <c r="N817" s="342"/>
      <c r="O817" s="341"/>
      <c r="P817" s="341"/>
      <c r="Q817" s="342"/>
      <c r="R817" s="342"/>
      <c r="S817" s="341"/>
      <c r="T817" s="342"/>
      <c r="U817" s="342"/>
      <c r="V817" s="342"/>
      <c r="W817" s="342"/>
      <c r="X817" s="342"/>
      <c r="Y817" s="342"/>
      <c r="Z817" s="342"/>
    </row>
    <row r="818" ht="12.75" customHeight="1">
      <c r="A818" s="534"/>
      <c r="B818" s="534"/>
      <c r="C818" s="575"/>
      <c r="D818" s="585"/>
      <c r="E818" s="586"/>
      <c r="F818" s="342"/>
      <c r="G818" s="342"/>
      <c r="H818" s="342"/>
      <c r="I818" s="342"/>
      <c r="J818" s="342"/>
      <c r="K818" s="342"/>
      <c r="L818" s="342"/>
      <c r="M818" s="342"/>
      <c r="N818" s="342"/>
      <c r="O818" s="341"/>
      <c r="P818" s="341"/>
      <c r="Q818" s="342"/>
      <c r="R818" s="342"/>
      <c r="S818" s="341"/>
      <c r="T818" s="342"/>
      <c r="U818" s="342"/>
      <c r="V818" s="342"/>
      <c r="W818" s="342"/>
      <c r="X818" s="342"/>
      <c r="Y818" s="342"/>
      <c r="Z818" s="342"/>
    </row>
    <row r="819" ht="12.75" customHeight="1">
      <c r="A819" s="534"/>
      <c r="B819" s="534"/>
      <c r="C819" s="575"/>
      <c r="D819" s="585"/>
      <c r="E819" s="586"/>
      <c r="F819" s="342"/>
      <c r="G819" s="342"/>
      <c r="H819" s="342"/>
      <c r="I819" s="342"/>
      <c r="J819" s="342"/>
      <c r="K819" s="342"/>
      <c r="L819" s="342"/>
      <c r="M819" s="342"/>
      <c r="N819" s="342"/>
      <c r="O819" s="341"/>
      <c r="P819" s="341"/>
      <c r="Q819" s="342"/>
      <c r="R819" s="342"/>
      <c r="S819" s="341"/>
      <c r="T819" s="342"/>
      <c r="U819" s="342"/>
      <c r="V819" s="342"/>
      <c r="W819" s="342"/>
      <c r="X819" s="342"/>
      <c r="Y819" s="342"/>
      <c r="Z819" s="342"/>
    </row>
    <row r="820" ht="12.75" customHeight="1">
      <c r="A820" s="534"/>
      <c r="B820" s="534"/>
      <c r="C820" s="575"/>
      <c r="D820" s="585"/>
      <c r="E820" s="586"/>
      <c r="F820" s="342"/>
      <c r="G820" s="342"/>
      <c r="H820" s="342"/>
      <c r="I820" s="342"/>
      <c r="J820" s="342"/>
      <c r="K820" s="342"/>
      <c r="L820" s="342"/>
      <c r="M820" s="342"/>
      <c r="N820" s="342"/>
      <c r="O820" s="341"/>
      <c r="P820" s="341"/>
      <c r="Q820" s="342"/>
      <c r="R820" s="342"/>
      <c r="S820" s="341"/>
      <c r="T820" s="342"/>
      <c r="U820" s="342"/>
      <c r="V820" s="342"/>
      <c r="W820" s="342"/>
      <c r="X820" s="342"/>
      <c r="Y820" s="342"/>
      <c r="Z820" s="342"/>
    </row>
    <row r="821" ht="12.75" customHeight="1">
      <c r="A821" s="534"/>
      <c r="B821" s="534"/>
      <c r="C821" s="575"/>
      <c r="D821" s="585"/>
      <c r="E821" s="586"/>
      <c r="F821" s="342"/>
      <c r="G821" s="342"/>
      <c r="H821" s="342"/>
      <c r="I821" s="342"/>
      <c r="J821" s="342"/>
      <c r="K821" s="342"/>
      <c r="L821" s="342"/>
      <c r="M821" s="342"/>
      <c r="N821" s="342"/>
      <c r="O821" s="341"/>
      <c r="P821" s="341"/>
      <c r="Q821" s="342"/>
      <c r="R821" s="342"/>
      <c r="S821" s="341"/>
      <c r="T821" s="342"/>
      <c r="U821" s="342"/>
      <c r="V821" s="342"/>
      <c r="W821" s="342"/>
      <c r="X821" s="342"/>
      <c r="Y821" s="342"/>
      <c r="Z821" s="342"/>
    </row>
    <row r="822" ht="12.75" customHeight="1">
      <c r="A822" s="534"/>
      <c r="B822" s="534"/>
      <c r="C822" s="575"/>
      <c r="D822" s="585"/>
      <c r="E822" s="586"/>
      <c r="F822" s="342"/>
      <c r="G822" s="342"/>
      <c r="H822" s="342"/>
      <c r="I822" s="342"/>
      <c r="J822" s="342"/>
      <c r="K822" s="342"/>
      <c r="L822" s="342"/>
      <c r="M822" s="342"/>
      <c r="N822" s="342"/>
      <c r="O822" s="341"/>
      <c r="P822" s="341"/>
      <c r="Q822" s="342"/>
      <c r="R822" s="342"/>
      <c r="S822" s="341"/>
      <c r="T822" s="342"/>
      <c r="U822" s="342"/>
      <c r="V822" s="342"/>
      <c r="W822" s="342"/>
      <c r="X822" s="342"/>
      <c r="Y822" s="342"/>
      <c r="Z822" s="342"/>
    </row>
    <row r="823" ht="12.75" customHeight="1">
      <c r="A823" s="534"/>
      <c r="B823" s="534"/>
      <c r="C823" s="575"/>
      <c r="D823" s="585"/>
      <c r="E823" s="586"/>
      <c r="F823" s="342"/>
      <c r="G823" s="342"/>
      <c r="H823" s="342"/>
      <c r="I823" s="342"/>
      <c r="J823" s="342"/>
      <c r="K823" s="342"/>
      <c r="L823" s="342"/>
      <c r="M823" s="342"/>
      <c r="N823" s="342"/>
      <c r="O823" s="341"/>
      <c r="P823" s="341"/>
      <c r="Q823" s="342"/>
      <c r="R823" s="342"/>
      <c r="S823" s="341"/>
      <c r="T823" s="342"/>
      <c r="U823" s="342"/>
      <c r="V823" s="342"/>
      <c r="W823" s="342"/>
      <c r="X823" s="342"/>
      <c r="Y823" s="342"/>
      <c r="Z823" s="342"/>
    </row>
    <row r="824" ht="12.75" customHeight="1">
      <c r="A824" s="534"/>
      <c r="B824" s="534"/>
      <c r="C824" s="575"/>
      <c r="D824" s="585"/>
      <c r="E824" s="586"/>
      <c r="F824" s="342"/>
      <c r="G824" s="342"/>
      <c r="H824" s="342"/>
      <c r="I824" s="342"/>
      <c r="J824" s="342"/>
      <c r="K824" s="342"/>
      <c r="L824" s="342"/>
      <c r="M824" s="342"/>
      <c r="N824" s="342"/>
      <c r="O824" s="341"/>
      <c r="P824" s="341"/>
      <c r="Q824" s="342"/>
      <c r="R824" s="342"/>
      <c r="S824" s="341"/>
      <c r="T824" s="342"/>
      <c r="U824" s="342"/>
      <c r="V824" s="342"/>
      <c r="W824" s="342"/>
      <c r="X824" s="342"/>
      <c r="Y824" s="342"/>
      <c r="Z824" s="342"/>
    </row>
    <row r="825" ht="12.75" customHeight="1">
      <c r="A825" s="534"/>
      <c r="B825" s="534"/>
      <c r="C825" s="575"/>
      <c r="D825" s="585"/>
      <c r="E825" s="586"/>
      <c r="F825" s="342"/>
      <c r="G825" s="342"/>
      <c r="H825" s="342"/>
      <c r="I825" s="342"/>
      <c r="J825" s="342"/>
      <c r="K825" s="342"/>
      <c r="L825" s="342"/>
      <c r="M825" s="342"/>
      <c r="N825" s="342"/>
      <c r="O825" s="341"/>
      <c r="P825" s="341"/>
      <c r="Q825" s="342"/>
      <c r="R825" s="342"/>
      <c r="S825" s="341"/>
      <c r="T825" s="342"/>
      <c r="U825" s="342"/>
      <c r="V825" s="342"/>
      <c r="W825" s="342"/>
      <c r="X825" s="342"/>
      <c r="Y825" s="342"/>
      <c r="Z825" s="342"/>
    </row>
    <row r="826" ht="12.75" customHeight="1">
      <c r="A826" s="534"/>
      <c r="B826" s="534"/>
      <c r="C826" s="575"/>
      <c r="D826" s="585"/>
      <c r="E826" s="586"/>
      <c r="F826" s="342"/>
      <c r="G826" s="342"/>
      <c r="H826" s="342"/>
      <c r="I826" s="342"/>
      <c r="J826" s="342"/>
      <c r="K826" s="342"/>
      <c r="L826" s="342"/>
      <c r="M826" s="342"/>
      <c r="N826" s="342"/>
      <c r="O826" s="341"/>
      <c r="P826" s="341"/>
      <c r="Q826" s="342"/>
      <c r="R826" s="342"/>
      <c r="S826" s="341"/>
      <c r="T826" s="342"/>
      <c r="U826" s="342"/>
      <c r="V826" s="342"/>
      <c r="W826" s="342"/>
      <c r="X826" s="342"/>
      <c r="Y826" s="342"/>
      <c r="Z826" s="342"/>
    </row>
    <row r="827" ht="12.75" customHeight="1">
      <c r="A827" s="534"/>
      <c r="B827" s="534"/>
      <c r="C827" s="575"/>
      <c r="D827" s="585"/>
      <c r="E827" s="586"/>
      <c r="F827" s="342"/>
      <c r="G827" s="342"/>
      <c r="H827" s="342"/>
      <c r="I827" s="342"/>
      <c r="J827" s="342"/>
      <c r="K827" s="342"/>
      <c r="L827" s="342"/>
      <c r="M827" s="342"/>
      <c r="N827" s="342"/>
      <c r="O827" s="341"/>
      <c r="P827" s="341"/>
      <c r="Q827" s="342"/>
      <c r="R827" s="342"/>
      <c r="S827" s="341"/>
      <c r="T827" s="342"/>
      <c r="U827" s="342"/>
      <c r="V827" s="342"/>
      <c r="W827" s="342"/>
      <c r="X827" s="342"/>
      <c r="Y827" s="342"/>
      <c r="Z827" s="342"/>
    </row>
    <row r="828" ht="12.75" customHeight="1">
      <c r="A828" s="534"/>
      <c r="B828" s="534"/>
      <c r="C828" s="575"/>
      <c r="D828" s="585"/>
      <c r="E828" s="586"/>
      <c r="F828" s="342"/>
      <c r="G828" s="342"/>
      <c r="H828" s="342"/>
      <c r="I828" s="342"/>
      <c r="J828" s="342"/>
      <c r="K828" s="342"/>
      <c r="L828" s="342"/>
      <c r="M828" s="342"/>
      <c r="N828" s="342"/>
      <c r="O828" s="341"/>
      <c r="P828" s="341"/>
      <c r="Q828" s="342"/>
      <c r="R828" s="342"/>
      <c r="S828" s="341"/>
      <c r="T828" s="342"/>
      <c r="U828" s="342"/>
      <c r="V828" s="342"/>
      <c r="W828" s="342"/>
      <c r="X828" s="342"/>
      <c r="Y828" s="342"/>
      <c r="Z828" s="342"/>
    </row>
    <row r="829" ht="12.75" customHeight="1">
      <c r="A829" s="534"/>
      <c r="B829" s="534"/>
      <c r="C829" s="575"/>
      <c r="D829" s="585"/>
      <c r="E829" s="586"/>
      <c r="F829" s="342"/>
      <c r="G829" s="342"/>
      <c r="H829" s="342"/>
      <c r="I829" s="342"/>
      <c r="J829" s="342"/>
      <c r="K829" s="342"/>
      <c r="L829" s="342"/>
      <c r="M829" s="342"/>
      <c r="N829" s="342"/>
      <c r="O829" s="341"/>
      <c r="P829" s="341"/>
      <c r="Q829" s="342"/>
      <c r="R829" s="342"/>
      <c r="S829" s="341"/>
      <c r="T829" s="342"/>
      <c r="U829" s="342"/>
      <c r="V829" s="342"/>
      <c r="W829" s="342"/>
      <c r="X829" s="342"/>
      <c r="Y829" s="342"/>
      <c r="Z829" s="342"/>
    </row>
    <row r="830" ht="12.75" customHeight="1">
      <c r="A830" s="534"/>
      <c r="B830" s="534"/>
      <c r="C830" s="575"/>
      <c r="D830" s="585"/>
      <c r="E830" s="586"/>
      <c r="F830" s="342"/>
      <c r="G830" s="342"/>
      <c r="H830" s="342"/>
      <c r="I830" s="342"/>
      <c r="J830" s="342"/>
      <c r="K830" s="342"/>
      <c r="L830" s="342"/>
      <c r="M830" s="342"/>
      <c r="N830" s="342"/>
      <c r="O830" s="341"/>
      <c r="P830" s="341"/>
      <c r="Q830" s="342"/>
      <c r="R830" s="342"/>
      <c r="S830" s="341"/>
      <c r="T830" s="342"/>
      <c r="U830" s="342"/>
      <c r="V830" s="342"/>
      <c r="W830" s="342"/>
      <c r="X830" s="342"/>
      <c r="Y830" s="342"/>
      <c r="Z830" s="342"/>
    </row>
    <row r="831" ht="12.75" customHeight="1">
      <c r="A831" s="534"/>
      <c r="B831" s="534"/>
      <c r="C831" s="575"/>
      <c r="D831" s="585"/>
      <c r="E831" s="586"/>
      <c r="F831" s="342"/>
      <c r="G831" s="342"/>
      <c r="H831" s="342"/>
      <c r="I831" s="342"/>
      <c r="J831" s="342"/>
      <c r="K831" s="342"/>
      <c r="L831" s="342"/>
      <c r="M831" s="342"/>
      <c r="N831" s="342"/>
      <c r="O831" s="341"/>
      <c r="P831" s="341"/>
      <c r="Q831" s="342"/>
      <c r="R831" s="342"/>
      <c r="S831" s="341"/>
      <c r="T831" s="342"/>
      <c r="U831" s="342"/>
      <c r="V831" s="342"/>
      <c r="W831" s="342"/>
      <c r="X831" s="342"/>
      <c r="Y831" s="342"/>
      <c r="Z831" s="342"/>
    </row>
    <row r="832" ht="12.75" customHeight="1">
      <c r="A832" s="534"/>
      <c r="B832" s="534"/>
      <c r="C832" s="575"/>
      <c r="D832" s="585"/>
      <c r="E832" s="586"/>
      <c r="F832" s="342"/>
      <c r="G832" s="342"/>
      <c r="H832" s="342"/>
      <c r="I832" s="342"/>
      <c r="J832" s="342"/>
      <c r="K832" s="342"/>
      <c r="L832" s="342"/>
      <c r="M832" s="342"/>
      <c r="N832" s="342"/>
      <c r="O832" s="341"/>
      <c r="P832" s="341"/>
      <c r="Q832" s="342"/>
      <c r="R832" s="342"/>
      <c r="S832" s="341"/>
      <c r="T832" s="342"/>
      <c r="U832" s="342"/>
      <c r="V832" s="342"/>
      <c r="W832" s="342"/>
      <c r="X832" s="342"/>
      <c r="Y832" s="342"/>
      <c r="Z832" s="342"/>
    </row>
    <row r="833" ht="12.75" customHeight="1">
      <c r="A833" s="534"/>
      <c r="B833" s="534"/>
      <c r="C833" s="575"/>
      <c r="D833" s="585"/>
      <c r="E833" s="586"/>
      <c r="F833" s="342"/>
      <c r="G833" s="342"/>
      <c r="H833" s="342"/>
      <c r="I833" s="342"/>
      <c r="J833" s="342"/>
      <c r="K833" s="342"/>
      <c r="L833" s="342"/>
      <c r="M833" s="342"/>
      <c r="N833" s="342"/>
      <c r="O833" s="341"/>
      <c r="P833" s="341"/>
      <c r="Q833" s="342"/>
      <c r="R833" s="342"/>
      <c r="S833" s="341"/>
      <c r="T833" s="342"/>
      <c r="U833" s="342"/>
      <c r="V833" s="342"/>
      <c r="W833" s="342"/>
      <c r="X833" s="342"/>
      <c r="Y833" s="342"/>
      <c r="Z833" s="342"/>
    </row>
    <row r="834" ht="12.75" customHeight="1">
      <c r="A834" s="534"/>
      <c r="B834" s="534"/>
      <c r="C834" s="575"/>
      <c r="D834" s="585"/>
      <c r="E834" s="586"/>
      <c r="F834" s="342"/>
      <c r="G834" s="342"/>
      <c r="H834" s="342"/>
      <c r="I834" s="342"/>
      <c r="J834" s="342"/>
      <c r="K834" s="342"/>
      <c r="L834" s="342"/>
      <c r="M834" s="342"/>
      <c r="N834" s="342"/>
      <c r="O834" s="341"/>
      <c r="P834" s="341"/>
      <c r="Q834" s="342"/>
      <c r="R834" s="342"/>
      <c r="S834" s="341"/>
      <c r="T834" s="342"/>
      <c r="U834" s="342"/>
      <c r="V834" s="342"/>
      <c r="W834" s="342"/>
      <c r="X834" s="342"/>
      <c r="Y834" s="342"/>
      <c r="Z834" s="342"/>
    </row>
    <row r="835" ht="12.75" customHeight="1">
      <c r="A835" s="534"/>
      <c r="B835" s="534"/>
      <c r="C835" s="575"/>
      <c r="D835" s="585"/>
      <c r="E835" s="586"/>
      <c r="F835" s="342"/>
      <c r="G835" s="342"/>
      <c r="H835" s="342"/>
      <c r="I835" s="342"/>
      <c r="J835" s="342"/>
      <c r="K835" s="342"/>
      <c r="L835" s="342"/>
      <c r="M835" s="342"/>
      <c r="N835" s="342"/>
      <c r="O835" s="341"/>
      <c r="P835" s="341"/>
      <c r="Q835" s="342"/>
      <c r="R835" s="342"/>
      <c r="S835" s="341"/>
      <c r="T835" s="342"/>
      <c r="U835" s="342"/>
      <c r="V835" s="342"/>
      <c r="W835" s="342"/>
      <c r="X835" s="342"/>
      <c r="Y835" s="342"/>
      <c r="Z835" s="342"/>
    </row>
    <row r="836" ht="12.75" customHeight="1">
      <c r="A836" s="534"/>
      <c r="B836" s="534"/>
      <c r="C836" s="575"/>
      <c r="D836" s="585"/>
      <c r="E836" s="586"/>
      <c r="F836" s="342"/>
      <c r="G836" s="342"/>
      <c r="H836" s="342"/>
      <c r="I836" s="342"/>
      <c r="J836" s="342"/>
      <c r="K836" s="342"/>
      <c r="L836" s="342"/>
      <c r="M836" s="342"/>
      <c r="N836" s="342"/>
      <c r="O836" s="341"/>
      <c r="P836" s="341"/>
      <c r="Q836" s="342"/>
      <c r="R836" s="342"/>
      <c r="S836" s="341"/>
      <c r="T836" s="342"/>
      <c r="U836" s="342"/>
      <c r="V836" s="342"/>
      <c r="W836" s="342"/>
      <c r="X836" s="342"/>
      <c r="Y836" s="342"/>
      <c r="Z836" s="342"/>
    </row>
    <row r="837" ht="12.75" customHeight="1">
      <c r="A837" s="534"/>
      <c r="B837" s="534"/>
      <c r="C837" s="575"/>
      <c r="D837" s="585"/>
      <c r="E837" s="586"/>
      <c r="F837" s="342"/>
      <c r="G837" s="342"/>
      <c r="H837" s="342"/>
      <c r="I837" s="342"/>
      <c r="J837" s="342"/>
      <c r="K837" s="342"/>
      <c r="L837" s="342"/>
      <c r="M837" s="342"/>
      <c r="N837" s="342"/>
      <c r="O837" s="341"/>
      <c r="P837" s="341"/>
      <c r="Q837" s="342"/>
      <c r="R837" s="342"/>
      <c r="S837" s="341"/>
      <c r="T837" s="342"/>
      <c r="U837" s="342"/>
      <c r="V837" s="342"/>
      <c r="W837" s="342"/>
      <c r="X837" s="342"/>
      <c r="Y837" s="342"/>
      <c r="Z837" s="342"/>
    </row>
    <row r="838" ht="12.75" customHeight="1">
      <c r="A838" s="534"/>
      <c r="B838" s="534"/>
      <c r="C838" s="575"/>
      <c r="D838" s="585"/>
      <c r="E838" s="586"/>
      <c r="F838" s="342"/>
      <c r="G838" s="342"/>
      <c r="H838" s="342"/>
      <c r="I838" s="342"/>
      <c r="J838" s="342"/>
      <c r="K838" s="342"/>
      <c r="L838" s="342"/>
      <c r="M838" s="342"/>
      <c r="N838" s="342"/>
      <c r="O838" s="341"/>
      <c r="P838" s="341"/>
      <c r="Q838" s="342"/>
      <c r="R838" s="342"/>
      <c r="S838" s="341"/>
      <c r="T838" s="342"/>
      <c r="U838" s="342"/>
      <c r="V838" s="342"/>
      <c r="W838" s="342"/>
      <c r="X838" s="342"/>
      <c r="Y838" s="342"/>
      <c r="Z838" s="342"/>
    </row>
    <row r="839" ht="12.75" customHeight="1">
      <c r="A839" s="534"/>
      <c r="B839" s="534"/>
      <c r="C839" s="575"/>
      <c r="D839" s="585"/>
      <c r="E839" s="586"/>
      <c r="F839" s="342"/>
      <c r="G839" s="342"/>
      <c r="H839" s="342"/>
      <c r="I839" s="342"/>
      <c r="J839" s="342"/>
      <c r="K839" s="342"/>
      <c r="L839" s="342"/>
      <c r="M839" s="342"/>
      <c r="N839" s="342"/>
      <c r="O839" s="341"/>
      <c r="P839" s="341"/>
      <c r="Q839" s="342"/>
      <c r="R839" s="342"/>
      <c r="S839" s="341"/>
      <c r="T839" s="342"/>
      <c r="U839" s="342"/>
      <c r="V839" s="342"/>
      <c r="W839" s="342"/>
      <c r="X839" s="342"/>
      <c r="Y839" s="342"/>
      <c r="Z839" s="342"/>
    </row>
    <row r="840" ht="12.75" customHeight="1">
      <c r="A840" s="534"/>
      <c r="B840" s="534"/>
      <c r="C840" s="575"/>
      <c r="D840" s="585"/>
      <c r="E840" s="586"/>
      <c r="F840" s="342"/>
      <c r="G840" s="342"/>
      <c r="H840" s="342"/>
      <c r="I840" s="342"/>
      <c r="J840" s="342"/>
      <c r="K840" s="342"/>
      <c r="L840" s="342"/>
      <c r="M840" s="342"/>
      <c r="N840" s="342"/>
      <c r="O840" s="341"/>
      <c r="P840" s="341"/>
      <c r="Q840" s="342"/>
      <c r="R840" s="342"/>
      <c r="S840" s="341"/>
      <c r="T840" s="342"/>
      <c r="U840" s="342"/>
      <c r="V840" s="342"/>
      <c r="W840" s="342"/>
      <c r="X840" s="342"/>
      <c r="Y840" s="342"/>
      <c r="Z840" s="342"/>
    </row>
    <row r="841" ht="12.75" customHeight="1">
      <c r="A841" s="534"/>
      <c r="B841" s="534"/>
      <c r="C841" s="575"/>
      <c r="D841" s="585"/>
      <c r="E841" s="586"/>
      <c r="F841" s="342"/>
      <c r="G841" s="342"/>
      <c r="H841" s="342"/>
      <c r="I841" s="342"/>
      <c r="J841" s="342"/>
      <c r="K841" s="342"/>
      <c r="L841" s="342"/>
      <c r="M841" s="342"/>
      <c r="N841" s="342"/>
      <c r="O841" s="341"/>
      <c r="P841" s="341"/>
      <c r="Q841" s="342"/>
      <c r="R841" s="342"/>
      <c r="S841" s="341"/>
      <c r="T841" s="342"/>
      <c r="U841" s="342"/>
      <c r="V841" s="342"/>
      <c r="W841" s="342"/>
      <c r="X841" s="342"/>
      <c r="Y841" s="342"/>
      <c r="Z841" s="342"/>
    </row>
    <row r="842" ht="12.75" customHeight="1">
      <c r="A842" s="534"/>
      <c r="B842" s="534"/>
      <c r="C842" s="575"/>
      <c r="D842" s="585"/>
      <c r="E842" s="586"/>
      <c r="F842" s="342"/>
      <c r="G842" s="342"/>
      <c r="H842" s="342"/>
      <c r="I842" s="342"/>
      <c r="J842" s="342"/>
      <c r="K842" s="342"/>
      <c r="L842" s="342"/>
      <c r="M842" s="342"/>
      <c r="N842" s="342"/>
      <c r="O842" s="341"/>
      <c r="P842" s="341"/>
      <c r="Q842" s="342"/>
      <c r="R842" s="342"/>
      <c r="S842" s="341"/>
      <c r="T842" s="342"/>
      <c r="U842" s="342"/>
      <c r="V842" s="342"/>
      <c r="W842" s="342"/>
      <c r="X842" s="342"/>
      <c r="Y842" s="342"/>
      <c r="Z842" s="342"/>
    </row>
    <row r="843" ht="12.75" customHeight="1">
      <c r="A843" s="534"/>
      <c r="B843" s="534"/>
      <c r="C843" s="575"/>
      <c r="D843" s="585"/>
      <c r="E843" s="586"/>
      <c r="F843" s="342"/>
      <c r="G843" s="342"/>
      <c r="H843" s="342"/>
      <c r="I843" s="342"/>
      <c r="J843" s="342"/>
      <c r="K843" s="342"/>
      <c r="L843" s="342"/>
      <c r="M843" s="342"/>
      <c r="N843" s="342"/>
      <c r="O843" s="341"/>
      <c r="P843" s="341"/>
      <c r="Q843" s="342"/>
      <c r="R843" s="342"/>
      <c r="S843" s="341"/>
      <c r="T843" s="342"/>
      <c r="U843" s="342"/>
      <c r="V843" s="342"/>
      <c r="W843" s="342"/>
      <c r="X843" s="342"/>
      <c r="Y843" s="342"/>
      <c r="Z843" s="342"/>
    </row>
    <row r="844" ht="12.75" customHeight="1">
      <c r="A844" s="534"/>
      <c r="B844" s="534"/>
      <c r="C844" s="575"/>
      <c r="D844" s="585"/>
      <c r="E844" s="586"/>
      <c r="F844" s="342"/>
      <c r="G844" s="342"/>
      <c r="H844" s="342"/>
      <c r="I844" s="342"/>
      <c r="J844" s="342"/>
      <c r="K844" s="342"/>
      <c r="L844" s="342"/>
      <c r="M844" s="342"/>
      <c r="N844" s="342"/>
      <c r="O844" s="341"/>
      <c r="P844" s="341"/>
      <c r="Q844" s="342"/>
      <c r="R844" s="342"/>
      <c r="S844" s="341"/>
      <c r="T844" s="342"/>
      <c r="U844" s="342"/>
      <c r="V844" s="342"/>
      <c r="W844" s="342"/>
      <c r="X844" s="342"/>
      <c r="Y844" s="342"/>
      <c r="Z844" s="342"/>
    </row>
    <row r="845" ht="12.75" customHeight="1">
      <c r="A845" s="534"/>
      <c r="B845" s="534"/>
      <c r="C845" s="575"/>
      <c r="D845" s="585"/>
      <c r="E845" s="586"/>
      <c r="F845" s="342"/>
      <c r="G845" s="342"/>
      <c r="H845" s="342"/>
      <c r="I845" s="342"/>
      <c r="J845" s="342"/>
      <c r="K845" s="342"/>
      <c r="L845" s="342"/>
      <c r="M845" s="342"/>
      <c r="N845" s="342"/>
      <c r="O845" s="341"/>
      <c r="P845" s="341"/>
      <c r="Q845" s="342"/>
      <c r="R845" s="342"/>
      <c r="S845" s="341"/>
      <c r="T845" s="342"/>
      <c r="U845" s="342"/>
      <c r="V845" s="342"/>
      <c r="W845" s="342"/>
      <c r="X845" s="342"/>
      <c r="Y845" s="342"/>
      <c r="Z845" s="342"/>
    </row>
    <row r="846" ht="12.75" customHeight="1">
      <c r="A846" s="534"/>
      <c r="B846" s="534"/>
      <c r="C846" s="575"/>
      <c r="D846" s="585"/>
      <c r="E846" s="586"/>
      <c r="F846" s="342"/>
      <c r="G846" s="342"/>
      <c r="H846" s="342"/>
      <c r="I846" s="342"/>
      <c r="J846" s="342"/>
      <c r="K846" s="342"/>
      <c r="L846" s="342"/>
      <c r="M846" s="342"/>
      <c r="N846" s="342"/>
      <c r="O846" s="341"/>
      <c r="P846" s="341"/>
      <c r="Q846" s="342"/>
      <c r="R846" s="342"/>
      <c r="S846" s="341"/>
      <c r="T846" s="342"/>
      <c r="U846" s="342"/>
      <c r="V846" s="342"/>
      <c r="W846" s="342"/>
      <c r="X846" s="342"/>
      <c r="Y846" s="342"/>
      <c r="Z846" s="342"/>
    </row>
    <row r="847" ht="12.75" customHeight="1">
      <c r="A847" s="534"/>
      <c r="B847" s="534"/>
      <c r="C847" s="575"/>
      <c r="D847" s="585"/>
      <c r="E847" s="586"/>
      <c r="F847" s="342"/>
      <c r="G847" s="342"/>
      <c r="H847" s="342"/>
      <c r="I847" s="342"/>
      <c r="J847" s="342"/>
      <c r="K847" s="342"/>
      <c r="L847" s="342"/>
      <c r="M847" s="342"/>
      <c r="N847" s="342"/>
      <c r="O847" s="341"/>
      <c r="P847" s="341"/>
      <c r="Q847" s="342"/>
      <c r="R847" s="342"/>
      <c r="S847" s="341"/>
      <c r="T847" s="342"/>
      <c r="U847" s="342"/>
      <c r="V847" s="342"/>
      <c r="W847" s="342"/>
      <c r="X847" s="342"/>
      <c r="Y847" s="342"/>
      <c r="Z847" s="342"/>
    </row>
    <row r="848" ht="12.75" customHeight="1">
      <c r="A848" s="534"/>
      <c r="B848" s="534"/>
      <c r="C848" s="575"/>
      <c r="D848" s="585"/>
      <c r="E848" s="586"/>
      <c r="F848" s="342"/>
      <c r="G848" s="342"/>
      <c r="H848" s="342"/>
      <c r="I848" s="342"/>
      <c r="J848" s="342"/>
      <c r="K848" s="342"/>
      <c r="L848" s="342"/>
      <c r="M848" s="342"/>
      <c r="N848" s="342"/>
      <c r="O848" s="341"/>
      <c r="P848" s="341"/>
      <c r="Q848" s="342"/>
      <c r="R848" s="342"/>
      <c r="S848" s="341"/>
      <c r="T848" s="342"/>
      <c r="U848" s="342"/>
      <c r="V848" s="342"/>
      <c r="W848" s="342"/>
      <c r="X848" s="342"/>
      <c r="Y848" s="342"/>
      <c r="Z848" s="342"/>
    </row>
    <row r="849" ht="12.75" customHeight="1">
      <c r="A849" s="534"/>
      <c r="B849" s="534"/>
      <c r="C849" s="575"/>
      <c r="D849" s="585"/>
      <c r="E849" s="586"/>
      <c r="F849" s="342"/>
      <c r="G849" s="342"/>
      <c r="H849" s="342"/>
      <c r="I849" s="342"/>
      <c r="J849" s="342"/>
      <c r="K849" s="342"/>
      <c r="L849" s="342"/>
      <c r="M849" s="342"/>
      <c r="N849" s="342"/>
      <c r="O849" s="341"/>
      <c r="P849" s="341"/>
      <c r="Q849" s="342"/>
      <c r="R849" s="342"/>
      <c r="S849" s="341"/>
      <c r="T849" s="342"/>
      <c r="U849" s="342"/>
      <c r="V849" s="342"/>
      <c r="W849" s="342"/>
      <c r="X849" s="342"/>
      <c r="Y849" s="342"/>
      <c r="Z849" s="342"/>
    </row>
    <row r="850" ht="12.75" customHeight="1">
      <c r="A850" s="534"/>
      <c r="B850" s="534"/>
      <c r="C850" s="575"/>
      <c r="D850" s="585"/>
      <c r="E850" s="586"/>
      <c r="F850" s="342"/>
      <c r="G850" s="342"/>
      <c r="H850" s="342"/>
      <c r="I850" s="342"/>
      <c r="J850" s="342"/>
      <c r="K850" s="342"/>
      <c r="L850" s="342"/>
      <c r="M850" s="342"/>
      <c r="N850" s="342"/>
      <c r="O850" s="341"/>
      <c r="P850" s="341"/>
      <c r="Q850" s="342"/>
      <c r="R850" s="342"/>
      <c r="S850" s="341"/>
      <c r="T850" s="342"/>
      <c r="U850" s="342"/>
      <c r="V850" s="342"/>
      <c r="W850" s="342"/>
      <c r="X850" s="342"/>
      <c r="Y850" s="342"/>
      <c r="Z850" s="342"/>
    </row>
    <row r="851" ht="12.75" customHeight="1">
      <c r="A851" s="534"/>
      <c r="B851" s="534"/>
      <c r="C851" s="575"/>
      <c r="D851" s="585"/>
      <c r="E851" s="586"/>
      <c r="F851" s="342"/>
      <c r="G851" s="342"/>
      <c r="H851" s="342"/>
      <c r="I851" s="342"/>
      <c r="J851" s="342"/>
      <c r="K851" s="342"/>
      <c r="L851" s="342"/>
      <c r="M851" s="342"/>
      <c r="N851" s="342"/>
      <c r="O851" s="341"/>
      <c r="P851" s="341"/>
      <c r="Q851" s="342"/>
      <c r="R851" s="342"/>
      <c r="S851" s="341"/>
      <c r="T851" s="342"/>
      <c r="U851" s="342"/>
      <c r="V851" s="342"/>
      <c r="W851" s="342"/>
      <c r="X851" s="342"/>
      <c r="Y851" s="342"/>
      <c r="Z851" s="342"/>
    </row>
    <row r="852" ht="12.75" customHeight="1">
      <c r="A852" s="534"/>
      <c r="B852" s="534"/>
      <c r="C852" s="575"/>
      <c r="D852" s="585"/>
      <c r="E852" s="586"/>
      <c r="F852" s="342"/>
      <c r="G852" s="342"/>
      <c r="H852" s="342"/>
      <c r="I852" s="342"/>
      <c r="J852" s="342"/>
      <c r="K852" s="342"/>
      <c r="L852" s="342"/>
      <c r="M852" s="342"/>
      <c r="N852" s="342"/>
      <c r="O852" s="341"/>
      <c r="P852" s="341"/>
      <c r="Q852" s="342"/>
      <c r="R852" s="342"/>
      <c r="S852" s="341"/>
      <c r="T852" s="342"/>
      <c r="U852" s="342"/>
      <c r="V852" s="342"/>
      <c r="W852" s="342"/>
      <c r="X852" s="342"/>
      <c r="Y852" s="342"/>
      <c r="Z852" s="342"/>
    </row>
    <row r="853" ht="12.75" customHeight="1">
      <c r="A853" s="534"/>
      <c r="B853" s="534"/>
      <c r="C853" s="575"/>
      <c r="D853" s="585"/>
      <c r="E853" s="586"/>
      <c r="F853" s="342"/>
      <c r="G853" s="342"/>
      <c r="H853" s="342"/>
      <c r="I853" s="342"/>
      <c r="J853" s="342"/>
      <c r="K853" s="342"/>
      <c r="L853" s="342"/>
      <c r="M853" s="342"/>
      <c r="N853" s="342"/>
      <c r="O853" s="341"/>
      <c r="P853" s="341"/>
      <c r="Q853" s="342"/>
      <c r="R853" s="342"/>
      <c r="S853" s="341"/>
      <c r="T853" s="342"/>
      <c r="U853" s="342"/>
      <c r="V853" s="342"/>
      <c r="W853" s="342"/>
      <c r="X853" s="342"/>
      <c r="Y853" s="342"/>
      <c r="Z853" s="342"/>
    </row>
    <row r="854" ht="12.75" customHeight="1">
      <c r="A854" s="534"/>
      <c r="B854" s="534"/>
      <c r="C854" s="575"/>
      <c r="D854" s="585"/>
      <c r="E854" s="586"/>
      <c r="F854" s="342"/>
      <c r="G854" s="342"/>
      <c r="H854" s="342"/>
      <c r="I854" s="342"/>
      <c r="J854" s="342"/>
      <c r="K854" s="342"/>
      <c r="L854" s="342"/>
      <c r="M854" s="342"/>
      <c r="N854" s="342"/>
      <c r="O854" s="341"/>
      <c r="P854" s="341"/>
      <c r="Q854" s="342"/>
      <c r="R854" s="342"/>
      <c r="S854" s="341"/>
      <c r="T854" s="342"/>
      <c r="U854" s="342"/>
      <c r="V854" s="342"/>
      <c r="W854" s="342"/>
      <c r="X854" s="342"/>
      <c r="Y854" s="342"/>
      <c r="Z854" s="342"/>
    </row>
    <row r="855" ht="12.75" customHeight="1">
      <c r="A855" s="534"/>
      <c r="B855" s="534"/>
      <c r="C855" s="575"/>
      <c r="D855" s="585"/>
      <c r="E855" s="586"/>
      <c r="F855" s="342"/>
      <c r="G855" s="342"/>
      <c r="H855" s="342"/>
      <c r="I855" s="342"/>
      <c r="J855" s="342"/>
      <c r="K855" s="342"/>
      <c r="L855" s="342"/>
      <c r="M855" s="342"/>
      <c r="N855" s="342"/>
      <c r="O855" s="341"/>
      <c r="P855" s="341"/>
      <c r="Q855" s="342"/>
      <c r="R855" s="342"/>
      <c r="S855" s="341"/>
      <c r="T855" s="342"/>
      <c r="U855" s="342"/>
      <c r="V855" s="342"/>
      <c r="W855" s="342"/>
      <c r="X855" s="342"/>
      <c r="Y855" s="342"/>
      <c r="Z855" s="342"/>
    </row>
    <row r="856" ht="12.75" customHeight="1">
      <c r="A856" s="534"/>
      <c r="B856" s="534"/>
      <c r="C856" s="575"/>
      <c r="D856" s="585"/>
      <c r="E856" s="586"/>
      <c r="F856" s="342"/>
      <c r="G856" s="342"/>
      <c r="H856" s="342"/>
      <c r="I856" s="342"/>
      <c r="J856" s="342"/>
      <c r="K856" s="342"/>
      <c r="L856" s="342"/>
      <c r="M856" s="342"/>
      <c r="N856" s="342"/>
      <c r="O856" s="341"/>
      <c r="P856" s="341"/>
      <c r="Q856" s="342"/>
      <c r="R856" s="342"/>
      <c r="S856" s="341"/>
      <c r="T856" s="342"/>
      <c r="U856" s="342"/>
      <c r="V856" s="342"/>
      <c r="W856" s="342"/>
      <c r="X856" s="342"/>
      <c r="Y856" s="342"/>
      <c r="Z856" s="342"/>
    </row>
    <row r="857" ht="12.75" customHeight="1">
      <c r="A857" s="534"/>
      <c r="B857" s="534"/>
      <c r="C857" s="575"/>
      <c r="D857" s="585"/>
      <c r="E857" s="586"/>
      <c r="F857" s="342"/>
      <c r="G857" s="342"/>
      <c r="H857" s="342"/>
      <c r="I857" s="342"/>
      <c r="J857" s="342"/>
      <c r="K857" s="342"/>
      <c r="L857" s="342"/>
      <c r="M857" s="342"/>
      <c r="N857" s="342"/>
      <c r="O857" s="341"/>
      <c r="P857" s="341"/>
      <c r="Q857" s="342"/>
      <c r="R857" s="342"/>
      <c r="S857" s="341"/>
      <c r="T857" s="342"/>
      <c r="U857" s="342"/>
      <c r="V857" s="342"/>
      <c r="W857" s="342"/>
      <c r="X857" s="342"/>
      <c r="Y857" s="342"/>
      <c r="Z857" s="342"/>
    </row>
    <row r="858" ht="12.75" customHeight="1">
      <c r="A858" s="534"/>
      <c r="B858" s="534"/>
      <c r="C858" s="575"/>
      <c r="D858" s="585"/>
      <c r="E858" s="586"/>
      <c r="F858" s="342"/>
      <c r="G858" s="342"/>
      <c r="H858" s="342"/>
      <c r="I858" s="342"/>
      <c r="J858" s="342"/>
      <c r="K858" s="342"/>
      <c r="L858" s="342"/>
      <c r="M858" s="342"/>
      <c r="N858" s="342"/>
      <c r="O858" s="341"/>
      <c r="P858" s="341"/>
      <c r="Q858" s="342"/>
      <c r="R858" s="342"/>
      <c r="S858" s="341"/>
      <c r="T858" s="342"/>
      <c r="U858" s="342"/>
      <c r="V858" s="342"/>
      <c r="W858" s="342"/>
      <c r="X858" s="342"/>
      <c r="Y858" s="342"/>
      <c r="Z858" s="342"/>
    </row>
    <row r="859" ht="12.75" customHeight="1">
      <c r="A859" s="534"/>
      <c r="B859" s="534"/>
      <c r="C859" s="575"/>
      <c r="D859" s="585"/>
      <c r="E859" s="586"/>
      <c r="F859" s="342"/>
      <c r="G859" s="342"/>
      <c r="H859" s="342"/>
      <c r="I859" s="342"/>
      <c r="J859" s="342"/>
      <c r="K859" s="342"/>
      <c r="L859" s="342"/>
      <c r="M859" s="342"/>
      <c r="N859" s="342"/>
      <c r="O859" s="341"/>
      <c r="P859" s="341"/>
      <c r="Q859" s="342"/>
      <c r="R859" s="342"/>
      <c r="S859" s="341"/>
      <c r="T859" s="342"/>
      <c r="U859" s="342"/>
      <c r="V859" s="342"/>
      <c r="W859" s="342"/>
      <c r="X859" s="342"/>
      <c r="Y859" s="342"/>
      <c r="Z859" s="342"/>
    </row>
    <row r="860" ht="12.75" customHeight="1">
      <c r="A860" s="534"/>
      <c r="B860" s="534"/>
      <c r="C860" s="575"/>
      <c r="D860" s="585"/>
      <c r="E860" s="586"/>
      <c r="F860" s="342"/>
      <c r="G860" s="342"/>
      <c r="H860" s="342"/>
      <c r="I860" s="342"/>
      <c r="J860" s="342"/>
      <c r="K860" s="342"/>
      <c r="L860" s="342"/>
      <c r="M860" s="342"/>
      <c r="N860" s="342"/>
      <c r="O860" s="341"/>
      <c r="P860" s="341"/>
      <c r="Q860" s="342"/>
      <c r="R860" s="342"/>
      <c r="S860" s="341"/>
      <c r="T860" s="342"/>
      <c r="U860" s="342"/>
      <c r="V860" s="342"/>
      <c r="W860" s="342"/>
      <c r="X860" s="342"/>
      <c r="Y860" s="342"/>
      <c r="Z860" s="342"/>
    </row>
    <row r="861" ht="12.75" customHeight="1">
      <c r="A861" s="534"/>
      <c r="B861" s="534"/>
      <c r="C861" s="575"/>
      <c r="D861" s="585"/>
      <c r="E861" s="586"/>
      <c r="F861" s="342"/>
      <c r="G861" s="342"/>
      <c r="H861" s="342"/>
      <c r="I861" s="342"/>
      <c r="J861" s="342"/>
      <c r="K861" s="342"/>
      <c r="L861" s="342"/>
      <c r="M861" s="342"/>
      <c r="N861" s="342"/>
      <c r="O861" s="341"/>
      <c r="P861" s="341"/>
      <c r="Q861" s="342"/>
      <c r="R861" s="342"/>
      <c r="S861" s="341"/>
      <c r="T861" s="342"/>
      <c r="U861" s="342"/>
      <c r="V861" s="342"/>
      <c r="W861" s="342"/>
      <c r="X861" s="342"/>
      <c r="Y861" s="342"/>
      <c r="Z861" s="342"/>
    </row>
    <row r="862" ht="12.75" customHeight="1">
      <c r="A862" s="534"/>
      <c r="B862" s="534"/>
      <c r="C862" s="575"/>
      <c r="D862" s="585"/>
      <c r="E862" s="586"/>
      <c r="F862" s="342"/>
      <c r="G862" s="342"/>
      <c r="H862" s="342"/>
      <c r="I862" s="342"/>
      <c r="J862" s="342"/>
      <c r="K862" s="342"/>
      <c r="L862" s="342"/>
      <c r="M862" s="342"/>
      <c r="N862" s="342"/>
      <c r="O862" s="341"/>
      <c r="P862" s="341"/>
      <c r="Q862" s="342"/>
      <c r="R862" s="342"/>
      <c r="S862" s="341"/>
      <c r="T862" s="342"/>
      <c r="U862" s="342"/>
      <c r="V862" s="342"/>
      <c r="W862" s="342"/>
      <c r="X862" s="342"/>
      <c r="Y862" s="342"/>
      <c r="Z862" s="342"/>
    </row>
    <row r="863" ht="12.75" customHeight="1">
      <c r="A863" s="534"/>
      <c r="B863" s="534"/>
      <c r="C863" s="575"/>
      <c r="D863" s="585"/>
      <c r="E863" s="586"/>
      <c r="F863" s="342"/>
      <c r="G863" s="342"/>
      <c r="H863" s="342"/>
      <c r="I863" s="342"/>
      <c r="J863" s="342"/>
      <c r="K863" s="342"/>
      <c r="L863" s="342"/>
      <c r="M863" s="342"/>
      <c r="N863" s="342"/>
      <c r="O863" s="341"/>
      <c r="P863" s="341"/>
      <c r="Q863" s="342"/>
      <c r="R863" s="342"/>
      <c r="S863" s="341"/>
      <c r="T863" s="342"/>
      <c r="U863" s="342"/>
      <c r="V863" s="342"/>
      <c r="W863" s="342"/>
      <c r="X863" s="342"/>
      <c r="Y863" s="342"/>
      <c r="Z863" s="342"/>
    </row>
    <row r="864" ht="12.75" customHeight="1">
      <c r="A864" s="534"/>
      <c r="B864" s="534"/>
      <c r="C864" s="575"/>
      <c r="D864" s="585"/>
      <c r="E864" s="586"/>
      <c r="F864" s="342"/>
      <c r="G864" s="342"/>
      <c r="H864" s="342"/>
      <c r="I864" s="342"/>
      <c r="J864" s="342"/>
      <c r="K864" s="342"/>
      <c r="L864" s="342"/>
      <c r="M864" s="342"/>
      <c r="N864" s="342"/>
      <c r="O864" s="341"/>
      <c r="P864" s="341"/>
      <c r="Q864" s="342"/>
      <c r="R864" s="342"/>
      <c r="S864" s="341"/>
      <c r="T864" s="342"/>
      <c r="U864" s="342"/>
      <c r="V864" s="342"/>
      <c r="W864" s="342"/>
      <c r="X864" s="342"/>
      <c r="Y864" s="342"/>
      <c r="Z864" s="342"/>
    </row>
    <row r="865" ht="12.75" customHeight="1">
      <c r="A865" s="534"/>
      <c r="B865" s="534"/>
      <c r="C865" s="575"/>
      <c r="D865" s="585"/>
      <c r="E865" s="586"/>
      <c r="F865" s="342"/>
      <c r="G865" s="342"/>
      <c r="H865" s="342"/>
      <c r="I865" s="342"/>
      <c r="J865" s="342"/>
      <c r="K865" s="342"/>
      <c r="L865" s="342"/>
      <c r="M865" s="342"/>
      <c r="N865" s="342"/>
      <c r="O865" s="341"/>
      <c r="P865" s="341"/>
      <c r="Q865" s="342"/>
      <c r="R865" s="342"/>
      <c r="S865" s="341"/>
      <c r="T865" s="342"/>
      <c r="U865" s="342"/>
      <c r="V865" s="342"/>
      <c r="W865" s="342"/>
      <c r="X865" s="342"/>
      <c r="Y865" s="342"/>
      <c r="Z865" s="342"/>
    </row>
    <row r="866" ht="12.75" customHeight="1">
      <c r="A866" s="534"/>
      <c r="B866" s="534"/>
      <c r="C866" s="575"/>
      <c r="D866" s="585"/>
      <c r="E866" s="586"/>
      <c r="F866" s="342"/>
      <c r="G866" s="342"/>
      <c r="H866" s="342"/>
      <c r="I866" s="342"/>
      <c r="J866" s="342"/>
      <c r="K866" s="342"/>
      <c r="L866" s="342"/>
      <c r="M866" s="342"/>
      <c r="N866" s="342"/>
      <c r="O866" s="341"/>
      <c r="P866" s="341"/>
      <c r="Q866" s="342"/>
      <c r="R866" s="342"/>
      <c r="S866" s="341"/>
      <c r="T866" s="342"/>
      <c r="U866" s="342"/>
      <c r="V866" s="342"/>
      <c r="W866" s="342"/>
      <c r="X866" s="342"/>
      <c r="Y866" s="342"/>
      <c r="Z866" s="342"/>
    </row>
    <row r="867" ht="12.75" customHeight="1">
      <c r="A867" s="534"/>
      <c r="B867" s="534"/>
      <c r="C867" s="575"/>
      <c r="D867" s="585"/>
      <c r="E867" s="586"/>
      <c r="F867" s="342"/>
      <c r="G867" s="342"/>
      <c r="H867" s="342"/>
      <c r="I867" s="342"/>
      <c r="J867" s="342"/>
      <c r="K867" s="342"/>
      <c r="L867" s="342"/>
      <c r="M867" s="342"/>
      <c r="N867" s="342"/>
      <c r="O867" s="341"/>
      <c r="P867" s="341"/>
      <c r="Q867" s="342"/>
      <c r="R867" s="342"/>
      <c r="S867" s="341"/>
      <c r="T867" s="342"/>
      <c r="U867" s="342"/>
      <c r="V867" s="342"/>
      <c r="W867" s="342"/>
      <c r="X867" s="342"/>
      <c r="Y867" s="342"/>
      <c r="Z867" s="342"/>
    </row>
    <row r="868" ht="12.75" customHeight="1">
      <c r="A868" s="534"/>
      <c r="B868" s="534"/>
      <c r="C868" s="575"/>
      <c r="D868" s="585"/>
      <c r="E868" s="586"/>
      <c r="F868" s="342"/>
      <c r="G868" s="342"/>
      <c r="H868" s="342"/>
      <c r="I868" s="342"/>
      <c r="J868" s="342"/>
      <c r="K868" s="342"/>
      <c r="L868" s="342"/>
      <c r="M868" s="342"/>
      <c r="N868" s="342"/>
      <c r="O868" s="341"/>
      <c r="P868" s="341"/>
      <c r="Q868" s="342"/>
      <c r="R868" s="342"/>
      <c r="S868" s="341"/>
      <c r="T868" s="342"/>
      <c r="U868" s="342"/>
      <c r="V868" s="342"/>
      <c r="W868" s="342"/>
      <c r="X868" s="342"/>
      <c r="Y868" s="342"/>
      <c r="Z868" s="342"/>
    </row>
    <row r="869" ht="12.75" customHeight="1">
      <c r="A869" s="534"/>
      <c r="B869" s="534"/>
      <c r="C869" s="575"/>
      <c r="D869" s="585"/>
      <c r="E869" s="586"/>
      <c r="F869" s="342"/>
      <c r="G869" s="342"/>
      <c r="H869" s="342"/>
      <c r="I869" s="342"/>
      <c r="J869" s="342"/>
      <c r="K869" s="342"/>
      <c r="L869" s="342"/>
      <c r="M869" s="342"/>
      <c r="N869" s="342"/>
      <c r="O869" s="341"/>
      <c r="P869" s="341"/>
      <c r="Q869" s="342"/>
      <c r="R869" s="342"/>
      <c r="S869" s="341"/>
      <c r="T869" s="342"/>
      <c r="U869" s="342"/>
      <c r="V869" s="342"/>
      <c r="W869" s="342"/>
      <c r="X869" s="342"/>
      <c r="Y869" s="342"/>
      <c r="Z869" s="342"/>
    </row>
    <row r="870" ht="12.75" customHeight="1">
      <c r="A870" s="534"/>
      <c r="B870" s="534"/>
      <c r="C870" s="575"/>
      <c r="D870" s="585"/>
      <c r="E870" s="586"/>
      <c r="F870" s="342"/>
      <c r="G870" s="342"/>
      <c r="H870" s="342"/>
      <c r="I870" s="342"/>
      <c r="J870" s="342"/>
      <c r="K870" s="342"/>
      <c r="L870" s="342"/>
      <c r="M870" s="342"/>
      <c r="N870" s="342"/>
      <c r="O870" s="341"/>
      <c r="P870" s="341"/>
      <c r="Q870" s="342"/>
      <c r="R870" s="342"/>
      <c r="S870" s="341"/>
      <c r="T870" s="342"/>
      <c r="U870" s="342"/>
      <c r="V870" s="342"/>
      <c r="W870" s="342"/>
      <c r="X870" s="342"/>
      <c r="Y870" s="342"/>
      <c r="Z870" s="342"/>
    </row>
    <row r="871" ht="12.75" customHeight="1">
      <c r="A871" s="534"/>
      <c r="B871" s="534"/>
      <c r="C871" s="575"/>
      <c r="D871" s="585"/>
      <c r="E871" s="586"/>
      <c r="F871" s="342"/>
      <c r="G871" s="342"/>
      <c r="H871" s="342"/>
      <c r="I871" s="342"/>
      <c r="J871" s="342"/>
      <c r="K871" s="342"/>
      <c r="L871" s="342"/>
      <c r="M871" s="342"/>
      <c r="N871" s="342"/>
      <c r="O871" s="341"/>
      <c r="P871" s="341"/>
      <c r="Q871" s="342"/>
      <c r="R871" s="342"/>
      <c r="S871" s="341"/>
      <c r="T871" s="342"/>
      <c r="U871" s="342"/>
      <c r="V871" s="342"/>
      <c r="W871" s="342"/>
      <c r="X871" s="342"/>
      <c r="Y871" s="342"/>
      <c r="Z871" s="342"/>
    </row>
    <row r="872" ht="12.75" customHeight="1">
      <c r="A872" s="534"/>
      <c r="B872" s="534"/>
      <c r="C872" s="575"/>
      <c r="D872" s="585"/>
      <c r="E872" s="586"/>
      <c r="F872" s="342"/>
      <c r="G872" s="342"/>
      <c r="H872" s="342"/>
      <c r="I872" s="342"/>
      <c r="J872" s="342"/>
      <c r="K872" s="342"/>
      <c r="L872" s="342"/>
      <c r="M872" s="342"/>
      <c r="N872" s="342"/>
      <c r="O872" s="341"/>
      <c r="P872" s="341"/>
      <c r="Q872" s="342"/>
      <c r="R872" s="342"/>
      <c r="S872" s="341"/>
      <c r="T872" s="342"/>
      <c r="U872" s="342"/>
      <c r="V872" s="342"/>
      <c r="W872" s="342"/>
      <c r="X872" s="342"/>
      <c r="Y872" s="342"/>
      <c r="Z872" s="342"/>
    </row>
    <row r="873" ht="12.75" customHeight="1">
      <c r="A873" s="534"/>
      <c r="B873" s="534"/>
      <c r="C873" s="575"/>
      <c r="D873" s="585"/>
      <c r="E873" s="586"/>
      <c r="F873" s="342"/>
      <c r="G873" s="342"/>
      <c r="H873" s="342"/>
      <c r="I873" s="342"/>
      <c r="J873" s="342"/>
      <c r="K873" s="342"/>
      <c r="L873" s="342"/>
      <c r="M873" s="342"/>
      <c r="N873" s="342"/>
      <c r="O873" s="341"/>
      <c r="P873" s="341"/>
      <c r="Q873" s="342"/>
      <c r="R873" s="342"/>
      <c r="S873" s="341"/>
      <c r="T873" s="342"/>
      <c r="U873" s="342"/>
      <c r="V873" s="342"/>
      <c r="W873" s="342"/>
      <c r="X873" s="342"/>
      <c r="Y873" s="342"/>
      <c r="Z873" s="342"/>
    </row>
    <row r="874" ht="12.75" customHeight="1">
      <c r="A874" s="534"/>
      <c r="B874" s="534"/>
      <c r="C874" s="575"/>
      <c r="D874" s="585"/>
      <c r="E874" s="586"/>
      <c r="F874" s="342"/>
      <c r="G874" s="342"/>
      <c r="H874" s="342"/>
      <c r="I874" s="342"/>
      <c r="J874" s="342"/>
      <c r="K874" s="342"/>
      <c r="L874" s="342"/>
      <c r="M874" s="342"/>
      <c r="N874" s="342"/>
      <c r="O874" s="341"/>
      <c r="P874" s="341"/>
      <c r="Q874" s="342"/>
      <c r="R874" s="342"/>
      <c r="S874" s="341"/>
      <c r="T874" s="342"/>
      <c r="U874" s="342"/>
      <c r="V874" s="342"/>
      <c r="W874" s="342"/>
      <c r="X874" s="342"/>
      <c r="Y874" s="342"/>
      <c r="Z874" s="342"/>
    </row>
    <row r="875" ht="12.75" customHeight="1">
      <c r="A875" s="534"/>
      <c r="B875" s="534"/>
      <c r="C875" s="575"/>
      <c r="D875" s="585"/>
      <c r="E875" s="586"/>
      <c r="F875" s="342"/>
      <c r="G875" s="342"/>
      <c r="H875" s="342"/>
      <c r="I875" s="342"/>
      <c r="J875" s="342"/>
      <c r="K875" s="342"/>
      <c r="L875" s="342"/>
      <c r="M875" s="342"/>
      <c r="N875" s="342"/>
      <c r="O875" s="341"/>
      <c r="P875" s="341"/>
      <c r="Q875" s="342"/>
      <c r="R875" s="342"/>
      <c r="S875" s="341"/>
      <c r="T875" s="342"/>
      <c r="U875" s="342"/>
      <c r="V875" s="342"/>
      <c r="W875" s="342"/>
      <c r="X875" s="342"/>
      <c r="Y875" s="342"/>
      <c r="Z875" s="342"/>
    </row>
    <row r="876" ht="12.75" customHeight="1">
      <c r="A876" s="534"/>
      <c r="B876" s="534"/>
      <c r="C876" s="575"/>
      <c r="D876" s="585"/>
      <c r="E876" s="586"/>
      <c r="F876" s="342"/>
      <c r="G876" s="342"/>
      <c r="H876" s="342"/>
      <c r="I876" s="342"/>
      <c r="J876" s="342"/>
      <c r="K876" s="342"/>
      <c r="L876" s="342"/>
      <c r="M876" s="342"/>
      <c r="N876" s="342"/>
      <c r="O876" s="341"/>
      <c r="P876" s="341"/>
      <c r="Q876" s="342"/>
      <c r="R876" s="342"/>
      <c r="S876" s="341"/>
      <c r="T876" s="342"/>
      <c r="U876" s="342"/>
      <c r="V876" s="342"/>
      <c r="W876" s="342"/>
      <c r="X876" s="342"/>
      <c r="Y876" s="342"/>
      <c r="Z876" s="342"/>
    </row>
    <row r="877" ht="12.75" customHeight="1">
      <c r="A877" s="534"/>
      <c r="B877" s="534"/>
      <c r="C877" s="575"/>
      <c r="D877" s="585"/>
      <c r="E877" s="586"/>
      <c r="F877" s="342"/>
      <c r="G877" s="342"/>
      <c r="H877" s="342"/>
      <c r="I877" s="342"/>
      <c r="J877" s="342"/>
      <c r="K877" s="342"/>
      <c r="L877" s="342"/>
      <c r="M877" s="342"/>
      <c r="N877" s="342"/>
      <c r="O877" s="341"/>
      <c r="P877" s="341"/>
      <c r="Q877" s="342"/>
      <c r="R877" s="342"/>
      <c r="S877" s="341"/>
      <c r="T877" s="342"/>
      <c r="U877" s="342"/>
      <c r="V877" s="342"/>
      <c r="W877" s="342"/>
      <c r="X877" s="342"/>
      <c r="Y877" s="342"/>
      <c r="Z877" s="342"/>
    </row>
    <row r="878" ht="12.75" customHeight="1">
      <c r="A878" s="534"/>
      <c r="B878" s="534"/>
      <c r="C878" s="575"/>
      <c r="D878" s="585"/>
      <c r="E878" s="586"/>
      <c r="F878" s="342"/>
      <c r="G878" s="342"/>
      <c r="H878" s="342"/>
      <c r="I878" s="342"/>
      <c r="J878" s="342"/>
      <c r="K878" s="342"/>
      <c r="L878" s="342"/>
      <c r="M878" s="342"/>
      <c r="N878" s="342"/>
      <c r="O878" s="341"/>
      <c r="P878" s="341"/>
      <c r="Q878" s="342"/>
      <c r="R878" s="342"/>
      <c r="S878" s="341"/>
      <c r="T878" s="342"/>
      <c r="U878" s="342"/>
      <c r="V878" s="342"/>
      <c r="W878" s="342"/>
      <c r="X878" s="342"/>
      <c r="Y878" s="342"/>
      <c r="Z878" s="342"/>
    </row>
    <row r="879" ht="12.75" customHeight="1">
      <c r="A879" s="534"/>
      <c r="B879" s="534"/>
      <c r="C879" s="575"/>
      <c r="D879" s="585"/>
      <c r="E879" s="586"/>
      <c r="F879" s="342"/>
      <c r="G879" s="342"/>
      <c r="H879" s="342"/>
      <c r="I879" s="342"/>
      <c r="J879" s="342"/>
      <c r="K879" s="342"/>
      <c r="L879" s="342"/>
      <c r="M879" s="342"/>
      <c r="N879" s="342"/>
      <c r="O879" s="341"/>
      <c r="P879" s="341"/>
      <c r="Q879" s="342"/>
      <c r="R879" s="342"/>
      <c r="S879" s="341"/>
      <c r="T879" s="342"/>
      <c r="U879" s="342"/>
      <c r="V879" s="342"/>
      <c r="W879" s="342"/>
      <c r="X879" s="342"/>
      <c r="Y879" s="342"/>
      <c r="Z879" s="342"/>
    </row>
    <row r="880" ht="12.75" customHeight="1">
      <c r="A880" s="534"/>
      <c r="B880" s="534"/>
      <c r="C880" s="575"/>
      <c r="D880" s="585"/>
      <c r="E880" s="586"/>
      <c r="F880" s="342"/>
      <c r="G880" s="342"/>
      <c r="H880" s="342"/>
      <c r="I880" s="342"/>
      <c r="J880" s="342"/>
      <c r="K880" s="342"/>
      <c r="L880" s="342"/>
      <c r="M880" s="342"/>
      <c r="N880" s="342"/>
      <c r="O880" s="341"/>
      <c r="P880" s="341"/>
      <c r="Q880" s="342"/>
      <c r="R880" s="342"/>
      <c r="S880" s="341"/>
      <c r="T880" s="342"/>
      <c r="U880" s="342"/>
      <c r="V880" s="342"/>
      <c r="W880" s="342"/>
      <c r="X880" s="342"/>
      <c r="Y880" s="342"/>
      <c r="Z880" s="342"/>
    </row>
    <row r="881" ht="12.75" customHeight="1">
      <c r="A881" s="534"/>
      <c r="B881" s="534"/>
      <c r="C881" s="575"/>
      <c r="D881" s="585"/>
      <c r="E881" s="586"/>
      <c r="F881" s="342"/>
      <c r="G881" s="342"/>
      <c r="H881" s="342"/>
      <c r="I881" s="342"/>
      <c r="J881" s="342"/>
      <c r="K881" s="342"/>
      <c r="L881" s="342"/>
      <c r="M881" s="342"/>
      <c r="N881" s="342"/>
      <c r="O881" s="341"/>
      <c r="P881" s="341"/>
      <c r="Q881" s="342"/>
      <c r="R881" s="342"/>
      <c r="S881" s="341"/>
      <c r="T881" s="342"/>
      <c r="U881" s="342"/>
      <c r="V881" s="342"/>
      <c r="W881" s="342"/>
      <c r="X881" s="342"/>
      <c r="Y881" s="342"/>
      <c r="Z881" s="342"/>
    </row>
    <row r="882" ht="12.75" customHeight="1">
      <c r="A882" s="534"/>
      <c r="B882" s="534"/>
      <c r="C882" s="575"/>
      <c r="D882" s="585"/>
      <c r="E882" s="586"/>
      <c r="F882" s="342"/>
      <c r="G882" s="342"/>
      <c r="H882" s="342"/>
      <c r="I882" s="342"/>
      <c r="J882" s="342"/>
      <c r="K882" s="342"/>
      <c r="L882" s="342"/>
      <c r="M882" s="342"/>
      <c r="N882" s="342"/>
      <c r="O882" s="341"/>
      <c r="P882" s="341"/>
      <c r="Q882" s="342"/>
      <c r="R882" s="342"/>
      <c r="S882" s="341"/>
      <c r="T882" s="342"/>
      <c r="U882" s="342"/>
      <c r="V882" s="342"/>
      <c r="W882" s="342"/>
      <c r="X882" s="342"/>
      <c r="Y882" s="342"/>
      <c r="Z882" s="342"/>
    </row>
    <row r="883" ht="12.75" customHeight="1">
      <c r="A883" s="534"/>
      <c r="B883" s="534"/>
      <c r="C883" s="575"/>
      <c r="D883" s="585"/>
      <c r="E883" s="586"/>
      <c r="F883" s="342"/>
      <c r="G883" s="342"/>
      <c r="H883" s="342"/>
      <c r="I883" s="342"/>
      <c r="J883" s="342"/>
      <c r="K883" s="342"/>
      <c r="L883" s="342"/>
      <c r="M883" s="342"/>
      <c r="N883" s="342"/>
      <c r="O883" s="341"/>
      <c r="P883" s="341"/>
      <c r="Q883" s="342"/>
      <c r="R883" s="342"/>
      <c r="S883" s="341"/>
      <c r="T883" s="342"/>
      <c r="U883" s="342"/>
      <c r="V883" s="342"/>
      <c r="W883" s="342"/>
      <c r="X883" s="342"/>
      <c r="Y883" s="342"/>
      <c r="Z883" s="342"/>
    </row>
    <row r="884" ht="12.75" customHeight="1">
      <c r="A884" s="534"/>
      <c r="B884" s="534"/>
      <c r="C884" s="575"/>
      <c r="D884" s="585"/>
      <c r="E884" s="586"/>
      <c r="F884" s="342"/>
      <c r="G884" s="342"/>
      <c r="H884" s="342"/>
      <c r="I884" s="342"/>
      <c r="J884" s="342"/>
      <c r="K884" s="342"/>
      <c r="L884" s="342"/>
      <c r="M884" s="342"/>
      <c r="N884" s="342"/>
      <c r="O884" s="341"/>
      <c r="P884" s="341"/>
      <c r="Q884" s="342"/>
      <c r="R884" s="342"/>
      <c r="S884" s="341"/>
      <c r="T884" s="342"/>
      <c r="U884" s="342"/>
      <c r="V884" s="342"/>
      <c r="W884" s="342"/>
      <c r="X884" s="342"/>
      <c r="Y884" s="342"/>
      <c r="Z884" s="342"/>
    </row>
    <row r="885" ht="12.75" customHeight="1">
      <c r="A885" s="534"/>
      <c r="B885" s="534"/>
      <c r="C885" s="575"/>
      <c r="D885" s="585"/>
      <c r="E885" s="586"/>
      <c r="F885" s="342"/>
      <c r="G885" s="342"/>
      <c r="H885" s="342"/>
      <c r="I885" s="342"/>
      <c r="J885" s="342"/>
      <c r="K885" s="342"/>
      <c r="L885" s="342"/>
      <c r="M885" s="342"/>
      <c r="N885" s="342"/>
      <c r="O885" s="341"/>
      <c r="P885" s="341"/>
      <c r="Q885" s="342"/>
      <c r="R885" s="342"/>
      <c r="S885" s="341"/>
      <c r="T885" s="342"/>
      <c r="U885" s="342"/>
      <c r="V885" s="342"/>
      <c r="W885" s="342"/>
      <c r="X885" s="342"/>
      <c r="Y885" s="342"/>
      <c r="Z885" s="342"/>
    </row>
    <row r="886" ht="12.75" customHeight="1">
      <c r="A886" s="534"/>
      <c r="B886" s="534"/>
      <c r="C886" s="575"/>
      <c r="D886" s="585"/>
      <c r="E886" s="586"/>
      <c r="F886" s="342"/>
      <c r="G886" s="342"/>
      <c r="H886" s="342"/>
      <c r="I886" s="342"/>
      <c r="J886" s="342"/>
      <c r="K886" s="342"/>
      <c r="L886" s="342"/>
      <c r="M886" s="342"/>
      <c r="N886" s="342"/>
      <c r="O886" s="341"/>
      <c r="P886" s="341"/>
      <c r="Q886" s="342"/>
      <c r="R886" s="342"/>
      <c r="S886" s="341"/>
      <c r="T886" s="342"/>
      <c r="U886" s="342"/>
      <c r="V886" s="342"/>
      <c r="W886" s="342"/>
      <c r="X886" s="342"/>
      <c r="Y886" s="342"/>
      <c r="Z886" s="342"/>
    </row>
    <row r="887" ht="12.75" customHeight="1">
      <c r="A887" s="534"/>
      <c r="B887" s="534"/>
      <c r="C887" s="575"/>
      <c r="D887" s="585"/>
      <c r="E887" s="586"/>
      <c r="F887" s="342"/>
      <c r="G887" s="342"/>
      <c r="H887" s="342"/>
      <c r="I887" s="342"/>
      <c r="J887" s="342"/>
      <c r="K887" s="342"/>
      <c r="L887" s="342"/>
      <c r="M887" s="342"/>
      <c r="N887" s="342"/>
      <c r="O887" s="341"/>
      <c r="P887" s="341"/>
      <c r="Q887" s="342"/>
      <c r="R887" s="342"/>
      <c r="S887" s="341"/>
      <c r="T887" s="342"/>
      <c r="U887" s="342"/>
      <c r="V887" s="342"/>
      <c r="W887" s="342"/>
      <c r="X887" s="342"/>
      <c r="Y887" s="342"/>
      <c r="Z887" s="342"/>
    </row>
    <row r="888" ht="12.75" customHeight="1">
      <c r="A888" s="534"/>
      <c r="B888" s="534"/>
      <c r="C888" s="575"/>
      <c r="D888" s="585"/>
      <c r="E888" s="586"/>
      <c r="F888" s="342"/>
      <c r="G888" s="342"/>
      <c r="H888" s="342"/>
      <c r="I888" s="342"/>
      <c r="J888" s="342"/>
      <c r="K888" s="342"/>
      <c r="L888" s="342"/>
      <c r="M888" s="342"/>
      <c r="N888" s="342"/>
      <c r="O888" s="341"/>
      <c r="P888" s="341"/>
      <c r="Q888" s="342"/>
      <c r="R888" s="342"/>
      <c r="S888" s="341"/>
      <c r="T888" s="342"/>
      <c r="U888" s="342"/>
      <c r="V888" s="342"/>
      <c r="W888" s="342"/>
      <c r="X888" s="342"/>
      <c r="Y888" s="342"/>
      <c r="Z888" s="342"/>
    </row>
    <row r="889" ht="12.75" customHeight="1">
      <c r="A889" s="534"/>
      <c r="B889" s="534"/>
      <c r="C889" s="575"/>
      <c r="D889" s="585"/>
      <c r="E889" s="586"/>
      <c r="F889" s="342"/>
      <c r="G889" s="342"/>
      <c r="H889" s="342"/>
      <c r="I889" s="342"/>
      <c r="J889" s="342"/>
      <c r="K889" s="342"/>
      <c r="L889" s="342"/>
      <c r="M889" s="342"/>
      <c r="N889" s="342"/>
      <c r="O889" s="341"/>
      <c r="P889" s="341"/>
      <c r="Q889" s="342"/>
      <c r="R889" s="342"/>
      <c r="S889" s="341"/>
      <c r="T889" s="342"/>
      <c r="U889" s="342"/>
      <c r="V889" s="342"/>
      <c r="W889" s="342"/>
      <c r="X889" s="342"/>
      <c r="Y889" s="342"/>
      <c r="Z889" s="342"/>
    </row>
    <row r="890" ht="12.75" customHeight="1">
      <c r="A890" s="534"/>
      <c r="B890" s="534"/>
      <c r="C890" s="575"/>
      <c r="D890" s="585"/>
      <c r="E890" s="586"/>
      <c r="F890" s="342"/>
      <c r="G890" s="342"/>
      <c r="H890" s="342"/>
      <c r="I890" s="342"/>
      <c r="J890" s="342"/>
      <c r="K890" s="342"/>
      <c r="L890" s="342"/>
      <c r="M890" s="342"/>
      <c r="N890" s="342"/>
      <c r="O890" s="341"/>
      <c r="P890" s="341"/>
      <c r="Q890" s="342"/>
      <c r="R890" s="342"/>
      <c r="S890" s="341"/>
      <c r="T890" s="342"/>
      <c r="U890" s="342"/>
      <c r="V890" s="342"/>
      <c r="W890" s="342"/>
      <c r="X890" s="342"/>
      <c r="Y890" s="342"/>
      <c r="Z890" s="342"/>
    </row>
    <row r="891" ht="12.75" customHeight="1">
      <c r="A891" s="534"/>
      <c r="B891" s="534"/>
      <c r="C891" s="575"/>
      <c r="D891" s="585"/>
      <c r="E891" s="586"/>
      <c r="F891" s="342"/>
      <c r="G891" s="342"/>
      <c r="H891" s="342"/>
      <c r="I891" s="342"/>
      <c r="J891" s="342"/>
      <c r="K891" s="342"/>
      <c r="L891" s="342"/>
      <c r="M891" s="342"/>
      <c r="N891" s="342"/>
      <c r="O891" s="341"/>
      <c r="P891" s="341"/>
      <c r="Q891" s="342"/>
      <c r="R891" s="342"/>
      <c r="S891" s="341"/>
      <c r="T891" s="342"/>
      <c r="U891" s="342"/>
      <c r="V891" s="342"/>
      <c r="W891" s="342"/>
      <c r="X891" s="342"/>
      <c r="Y891" s="342"/>
      <c r="Z891" s="342"/>
    </row>
    <row r="892" ht="12.75" customHeight="1">
      <c r="A892" s="534"/>
      <c r="B892" s="534"/>
      <c r="C892" s="575"/>
      <c r="D892" s="585"/>
      <c r="E892" s="586"/>
      <c r="F892" s="342"/>
      <c r="G892" s="342"/>
      <c r="H892" s="342"/>
      <c r="I892" s="342"/>
      <c r="J892" s="342"/>
      <c r="K892" s="342"/>
      <c r="L892" s="342"/>
      <c r="M892" s="342"/>
      <c r="N892" s="342"/>
      <c r="O892" s="341"/>
      <c r="P892" s="341"/>
      <c r="Q892" s="342"/>
      <c r="R892" s="342"/>
      <c r="S892" s="341"/>
      <c r="T892" s="342"/>
      <c r="U892" s="342"/>
      <c r="V892" s="342"/>
      <c r="W892" s="342"/>
      <c r="X892" s="342"/>
      <c r="Y892" s="342"/>
      <c r="Z892" s="342"/>
    </row>
    <row r="893" ht="12.75" customHeight="1">
      <c r="A893" s="534"/>
      <c r="B893" s="534"/>
      <c r="C893" s="575"/>
      <c r="D893" s="585"/>
      <c r="E893" s="586"/>
      <c r="F893" s="342"/>
      <c r="G893" s="342"/>
      <c r="H893" s="342"/>
      <c r="I893" s="342"/>
      <c r="J893" s="342"/>
      <c r="K893" s="342"/>
      <c r="L893" s="342"/>
      <c r="M893" s="342"/>
      <c r="N893" s="342"/>
      <c r="O893" s="341"/>
      <c r="P893" s="341"/>
      <c r="Q893" s="342"/>
      <c r="R893" s="342"/>
      <c r="S893" s="341"/>
      <c r="T893" s="342"/>
      <c r="U893" s="342"/>
      <c r="V893" s="342"/>
      <c r="W893" s="342"/>
      <c r="X893" s="342"/>
      <c r="Y893" s="342"/>
      <c r="Z893" s="342"/>
    </row>
    <row r="894" ht="12.75" customHeight="1">
      <c r="A894" s="534"/>
      <c r="B894" s="534"/>
      <c r="C894" s="575"/>
      <c r="D894" s="585"/>
      <c r="E894" s="586"/>
      <c r="F894" s="342"/>
      <c r="G894" s="342"/>
      <c r="H894" s="342"/>
      <c r="I894" s="342"/>
      <c r="J894" s="342"/>
      <c r="K894" s="342"/>
      <c r="L894" s="342"/>
      <c r="M894" s="342"/>
      <c r="N894" s="342"/>
      <c r="O894" s="341"/>
      <c r="P894" s="341"/>
      <c r="Q894" s="342"/>
      <c r="R894" s="342"/>
      <c r="S894" s="341"/>
      <c r="T894" s="342"/>
      <c r="U894" s="342"/>
      <c r="V894" s="342"/>
      <c r="W894" s="342"/>
      <c r="X894" s="342"/>
      <c r="Y894" s="342"/>
      <c r="Z894" s="342"/>
    </row>
    <row r="895" ht="12.75" customHeight="1">
      <c r="A895" s="534"/>
      <c r="B895" s="534"/>
      <c r="C895" s="575"/>
      <c r="D895" s="585"/>
      <c r="E895" s="586"/>
      <c r="F895" s="342"/>
      <c r="G895" s="342"/>
      <c r="H895" s="342"/>
      <c r="I895" s="342"/>
      <c r="J895" s="342"/>
      <c r="K895" s="342"/>
      <c r="L895" s="342"/>
      <c r="M895" s="342"/>
      <c r="N895" s="342"/>
      <c r="O895" s="341"/>
      <c r="P895" s="341"/>
      <c r="Q895" s="342"/>
      <c r="R895" s="342"/>
      <c r="S895" s="341"/>
      <c r="T895" s="342"/>
      <c r="U895" s="342"/>
      <c r="V895" s="342"/>
      <c r="W895" s="342"/>
      <c r="X895" s="342"/>
      <c r="Y895" s="342"/>
      <c r="Z895" s="342"/>
    </row>
    <row r="896" ht="12.75" customHeight="1">
      <c r="A896" s="534"/>
      <c r="B896" s="534"/>
      <c r="C896" s="575"/>
      <c r="D896" s="585"/>
      <c r="E896" s="586"/>
      <c r="F896" s="342"/>
      <c r="G896" s="342"/>
      <c r="H896" s="342"/>
      <c r="I896" s="342"/>
      <c r="J896" s="342"/>
      <c r="K896" s="342"/>
      <c r="L896" s="342"/>
      <c r="M896" s="342"/>
      <c r="N896" s="342"/>
      <c r="O896" s="341"/>
      <c r="P896" s="341"/>
      <c r="Q896" s="342"/>
      <c r="R896" s="342"/>
      <c r="S896" s="341"/>
      <c r="T896" s="342"/>
      <c r="U896" s="342"/>
      <c r="V896" s="342"/>
      <c r="W896" s="342"/>
      <c r="X896" s="342"/>
      <c r="Y896" s="342"/>
      <c r="Z896" s="342"/>
    </row>
    <row r="897" ht="12.75" customHeight="1">
      <c r="A897" s="534"/>
      <c r="B897" s="534"/>
      <c r="C897" s="575"/>
      <c r="D897" s="585"/>
      <c r="E897" s="586"/>
      <c r="F897" s="342"/>
      <c r="G897" s="342"/>
      <c r="H897" s="342"/>
      <c r="I897" s="342"/>
      <c r="J897" s="342"/>
      <c r="K897" s="342"/>
      <c r="L897" s="342"/>
      <c r="M897" s="342"/>
      <c r="N897" s="342"/>
      <c r="O897" s="341"/>
      <c r="P897" s="341"/>
      <c r="Q897" s="342"/>
      <c r="R897" s="342"/>
      <c r="S897" s="341"/>
      <c r="T897" s="342"/>
      <c r="U897" s="342"/>
      <c r="V897" s="342"/>
      <c r="W897" s="342"/>
      <c r="X897" s="342"/>
      <c r="Y897" s="342"/>
      <c r="Z897" s="342"/>
    </row>
    <row r="898" ht="12.75" customHeight="1">
      <c r="A898" s="534"/>
      <c r="B898" s="534"/>
      <c r="C898" s="575"/>
      <c r="D898" s="585"/>
      <c r="E898" s="586"/>
      <c r="F898" s="342"/>
      <c r="G898" s="342"/>
      <c r="H898" s="342"/>
      <c r="I898" s="342"/>
      <c r="J898" s="342"/>
      <c r="K898" s="342"/>
      <c r="L898" s="342"/>
      <c r="M898" s="342"/>
      <c r="N898" s="342"/>
      <c r="O898" s="341"/>
      <c r="P898" s="341"/>
      <c r="Q898" s="342"/>
      <c r="R898" s="342"/>
      <c r="S898" s="341"/>
      <c r="T898" s="342"/>
      <c r="U898" s="342"/>
      <c r="V898" s="342"/>
      <c r="W898" s="342"/>
      <c r="X898" s="342"/>
      <c r="Y898" s="342"/>
      <c r="Z898" s="342"/>
    </row>
    <row r="899" ht="12.75" customHeight="1">
      <c r="A899" s="534"/>
      <c r="B899" s="534"/>
      <c r="C899" s="575"/>
      <c r="D899" s="585"/>
      <c r="E899" s="586"/>
      <c r="F899" s="342"/>
      <c r="G899" s="342"/>
      <c r="H899" s="342"/>
      <c r="I899" s="342"/>
      <c r="J899" s="342"/>
      <c r="K899" s="342"/>
      <c r="L899" s="342"/>
      <c r="M899" s="342"/>
      <c r="N899" s="342"/>
      <c r="O899" s="341"/>
      <c r="P899" s="341"/>
      <c r="Q899" s="342"/>
      <c r="R899" s="342"/>
      <c r="S899" s="341"/>
      <c r="T899" s="342"/>
      <c r="U899" s="342"/>
      <c r="V899" s="342"/>
      <c r="W899" s="342"/>
      <c r="X899" s="342"/>
      <c r="Y899" s="342"/>
      <c r="Z899" s="342"/>
    </row>
    <row r="900" ht="12.75" customHeight="1">
      <c r="A900" s="534"/>
      <c r="B900" s="534"/>
      <c r="C900" s="575"/>
      <c r="D900" s="585"/>
      <c r="E900" s="586"/>
      <c r="F900" s="342"/>
      <c r="G900" s="342"/>
      <c r="H900" s="342"/>
      <c r="I900" s="342"/>
      <c r="J900" s="342"/>
      <c r="K900" s="342"/>
      <c r="L900" s="342"/>
      <c r="M900" s="342"/>
      <c r="N900" s="342"/>
      <c r="O900" s="341"/>
      <c r="P900" s="341"/>
      <c r="Q900" s="342"/>
      <c r="R900" s="342"/>
      <c r="S900" s="341"/>
      <c r="T900" s="342"/>
      <c r="U900" s="342"/>
      <c r="V900" s="342"/>
      <c r="W900" s="342"/>
      <c r="X900" s="342"/>
      <c r="Y900" s="342"/>
      <c r="Z900" s="342"/>
    </row>
    <row r="901" ht="12.75" customHeight="1">
      <c r="A901" s="534"/>
      <c r="B901" s="534"/>
      <c r="C901" s="575"/>
      <c r="D901" s="585"/>
      <c r="E901" s="586"/>
      <c r="F901" s="342"/>
      <c r="G901" s="342"/>
      <c r="H901" s="342"/>
      <c r="I901" s="342"/>
      <c r="J901" s="342"/>
      <c r="K901" s="342"/>
      <c r="L901" s="342"/>
      <c r="M901" s="342"/>
      <c r="N901" s="342"/>
      <c r="O901" s="341"/>
      <c r="P901" s="341"/>
      <c r="Q901" s="342"/>
      <c r="R901" s="342"/>
      <c r="S901" s="341"/>
      <c r="T901" s="342"/>
      <c r="U901" s="342"/>
      <c r="V901" s="342"/>
      <c r="W901" s="342"/>
      <c r="X901" s="342"/>
      <c r="Y901" s="342"/>
      <c r="Z901" s="342"/>
    </row>
    <row r="902" ht="12.75" customHeight="1">
      <c r="A902" s="534"/>
      <c r="B902" s="534"/>
      <c r="C902" s="575"/>
      <c r="D902" s="585"/>
      <c r="E902" s="586"/>
      <c r="F902" s="342"/>
      <c r="G902" s="342"/>
      <c r="H902" s="342"/>
      <c r="I902" s="342"/>
      <c r="J902" s="342"/>
      <c r="K902" s="342"/>
      <c r="L902" s="342"/>
      <c r="M902" s="342"/>
      <c r="N902" s="342"/>
      <c r="O902" s="341"/>
      <c r="P902" s="341"/>
      <c r="Q902" s="342"/>
      <c r="R902" s="342"/>
      <c r="S902" s="341"/>
      <c r="T902" s="342"/>
      <c r="U902" s="342"/>
      <c r="V902" s="342"/>
      <c r="W902" s="342"/>
      <c r="X902" s="342"/>
      <c r="Y902" s="342"/>
      <c r="Z902" s="342"/>
    </row>
    <row r="903" ht="12.75" customHeight="1">
      <c r="A903" s="534"/>
      <c r="B903" s="534"/>
      <c r="C903" s="575"/>
      <c r="D903" s="585"/>
      <c r="E903" s="586"/>
      <c r="F903" s="342"/>
      <c r="G903" s="342"/>
      <c r="H903" s="342"/>
      <c r="I903" s="342"/>
      <c r="J903" s="342"/>
      <c r="K903" s="342"/>
      <c r="L903" s="342"/>
      <c r="M903" s="342"/>
      <c r="N903" s="342"/>
      <c r="O903" s="341"/>
      <c r="P903" s="341"/>
      <c r="Q903" s="342"/>
      <c r="R903" s="342"/>
      <c r="S903" s="341"/>
      <c r="T903" s="342"/>
      <c r="U903" s="342"/>
      <c r="V903" s="342"/>
      <c r="W903" s="342"/>
      <c r="X903" s="342"/>
      <c r="Y903" s="342"/>
      <c r="Z903" s="342"/>
    </row>
    <row r="904" ht="12.75" customHeight="1">
      <c r="A904" s="534"/>
      <c r="B904" s="534"/>
      <c r="C904" s="575"/>
      <c r="D904" s="585"/>
      <c r="E904" s="586"/>
      <c r="F904" s="342"/>
      <c r="G904" s="342"/>
      <c r="H904" s="342"/>
      <c r="I904" s="342"/>
      <c r="J904" s="342"/>
      <c r="K904" s="342"/>
      <c r="L904" s="342"/>
      <c r="M904" s="342"/>
      <c r="N904" s="342"/>
      <c r="O904" s="341"/>
      <c r="P904" s="341"/>
      <c r="Q904" s="342"/>
      <c r="R904" s="342"/>
      <c r="S904" s="341"/>
      <c r="T904" s="342"/>
      <c r="U904" s="342"/>
      <c r="V904" s="342"/>
      <c r="W904" s="342"/>
      <c r="X904" s="342"/>
      <c r="Y904" s="342"/>
      <c r="Z904" s="342"/>
    </row>
    <row r="905" ht="12.75" customHeight="1">
      <c r="A905" s="534"/>
      <c r="B905" s="534"/>
      <c r="C905" s="575"/>
      <c r="D905" s="585"/>
      <c r="E905" s="586"/>
      <c r="F905" s="342"/>
      <c r="G905" s="342"/>
      <c r="H905" s="342"/>
      <c r="I905" s="342"/>
      <c r="J905" s="342"/>
      <c r="K905" s="342"/>
      <c r="L905" s="342"/>
      <c r="M905" s="342"/>
      <c r="N905" s="342"/>
      <c r="O905" s="341"/>
      <c r="P905" s="341"/>
      <c r="Q905" s="342"/>
      <c r="R905" s="342"/>
      <c r="S905" s="341"/>
      <c r="T905" s="342"/>
      <c r="U905" s="342"/>
      <c r="V905" s="342"/>
      <c r="W905" s="342"/>
      <c r="X905" s="342"/>
      <c r="Y905" s="342"/>
      <c r="Z905" s="342"/>
    </row>
    <row r="906" ht="12.75" customHeight="1">
      <c r="A906" s="534"/>
      <c r="B906" s="534"/>
      <c r="C906" s="575"/>
      <c r="D906" s="585"/>
      <c r="E906" s="586"/>
      <c r="F906" s="342"/>
      <c r="G906" s="342"/>
      <c r="H906" s="342"/>
      <c r="I906" s="342"/>
      <c r="J906" s="342"/>
      <c r="K906" s="342"/>
      <c r="L906" s="342"/>
      <c r="M906" s="342"/>
      <c r="N906" s="342"/>
      <c r="O906" s="341"/>
      <c r="P906" s="341"/>
      <c r="Q906" s="342"/>
      <c r="R906" s="342"/>
      <c r="S906" s="341"/>
      <c r="T906" s="342"/>
      <c r="U906" s="342"/>
      <c r="V906" s="342"/>
      <c r="W906" s="342"/>
      <c r="X906" s="342"/>
      <c r="Y906" s="342"/>
      <c r="Z906" s="342"/>
    </row>
    <row r="907" ht="12.75" customHeight="1">
      <c r="A907" s="534"/>
      <c r="B907" s="534"/>
      <c r="C907" s="575"/>
      <c r="D907" s="585"/>
      <c r="E907" s="586"/>
      <c r="F907" s="342"/>
      <c r="G907" s="342"/>
      <c r="H907" s="342"/>
      <c r="I907" s="342"/>
      <c r="J907" s="342"/>
      <c r="K907" s="342"/>
      <c r="L907" s="342"/>
      <c r="M907" s="342"/>
      <c r="N907" s="342"/>
      <c r="O907" s="341"/>
      <c r="P907" s="341"/>
      <c r="Q907" s="342"/>
      <c r="R907" s="342"/>
      <c r="S907" s="341"/>
      <c r="T907" s="342"/>
      <c r="U907" s="342"/>
      <c r="V907" s="342"/>
      <c r="W907" s="342"/>
      <c r="X907" s="342"/>
      <c r="Y907" s="342"/>
      <c r="Z907" s="342"/>
    </row>
    <row r="908" ht="12.75" customHeight="1">
      <c r="A908" s="534"/>
      <c r="B908" s="534"/>
      <c r="C908" s="575"/>
      <c r="D908" s="585"/>
      <c r="E908" s="586"/>
      <c r="F908" s="342"/>
      <c r="G908" s="342"/>
      <c r="H908" s="342"/>
      <c r="I908" s="342"/>
      <c r="J908" s="342"/>
      <c r="K908" s="342"/>
      <c r="L908" s="342"/>
      <c r="M908" s="342"/>
      <c r="N908" s="342"/>
      <c r="O908" s="341"/>
      <c r="P908" s="341"/>
      <c r="Q908" s="342"/>
      <c r="R908" s="342"/>
      <c r="S908" s="341"/>
      <c r="T908" s="342"/>
      <c r="U908" s="342"/>
      <c r="V908" s="342"/>
      <c r="W908" s="342"/>
      <c r="X908" s="342"/>
      <c r="Y908" s="342"/>
      <c r="Z908" s="342"/>
    </row>
    <row r="909" ht="12.75" customHeight="1">
      <c r="A909" s="534"/>
      <c r="B909" s="534"/>
      <c r="C909" s="575"/>
      <c r="D909" s="585"/>
      <c r="E909" s="586"/>
      <c r="F909" s="342"/>
      <c r="G909" s="342"/>
      <c r="H909" s="342"/>
      <c r="I909" s="342"/>
      <c r="J909" s="342"/>
      <c r="K909" s="342"/>
      <c r="L909" s="342"/>
      <c r="M909" s="342"/>
      <c r="N909" s="342"/>
      <c r="O909" s="341"/>
      <c r="P909" s="341"/>
      <c r="Q909" s="342"/>
      <c r="R909" s="342"/>
      <c r="S909" s="341"/>
      <c r="T909" s="342"/>
      <c r="U909" s="342"/>
      <c r="V909" s="342"/>
      <c r="W909" s="342"/>
      <c r="X909" s="342"/>
      <c r="Y909" s="342"/>
      <c r="Z909" s="342"/>
    </row>
    <row r="910" ht="12.75" customHeight="1">
      <c r="A910" s="534"/>
      <c r="B910" s="534"/>
      <c r="C910" s="575"/>
      <c r="D910" s="585"/>
      <c r="E910" s="586"/>
      <c r="F910" s="342"/>
      <c r="G910" s="342"/>
      <c r="H910" s="342"/>
      <c r="I910" s="342"/>
      <c r="J910" s="342"/>
      <c r="K910" s="342"/>
      <c r="L910" s="342"/>
      <c r="M910" s="342"/>
      <c r="N910" s="342"/>
      <c r="O910" s="341"/>
      <c r="P910" s="341"/>
      <c r="Q910" s="342"/>
      <c r="R910" s="342"/>
      <c r="S910" s="341"/>
      <c r="T910" s="342"/>
      <c r="U910" s="342"/>
      <c r="V910" s="342"/>
      <c r="W910" s="342"/>
      <c r="X910" s="342"/>
      <c r="Y910" s="342"/>
      <c r="Z910" s="342"/>
    </row>
    <row r="911" ht="12.75" customHeight="1">
      <c r="A911" s="534"/>
      <c r="B911" s="534"/>
      <c r="C911" s="575"/>
      <c r="D911" s="585"/>
      <c r="E911" s="586"/>
      <c r="F911" s="342"/>
      <c r="G911" s="342"/>
      <c r="H911" s="342"/>
      <c r="I911" s="342"/>
      <c r="J911" s="342"/>
      <c r="K911" s="342"/>
      <c r="L911" s="342"/>
      <c r="M911" s="342"/>
      <c r="N911" s="342"/>
      <c r="O911" s="341"/>
      <c r="P911" s="341"/>
      <c r="Q911" s="342"/>
      <c r="R911" s="342"/>
      <c r="S911" s="341"/>
      <c r="T911" s="342"/>
      <c r="U911" s="342"/>
      <c r="V911" s="342"/>
      <c r="W911" s="342"/>
      <c r="X911" s="342"/>
      <c r="Y911" s="342"/>
      <c r="Z911" s="342"/>
    </row>
    <row r="912" ht="12.75" customHeight="1">
      <c r="A912" s="534"/>
      <c r="B912" s="534"/>
      <c r="C912" s="575"/>
      <c r="D912" s="585"/>
      <c r="E912" s="586"/>
      <c r="F912" s="342"/>
      <c r="G912" s="342"/>
      <c r="H912" s="342"/>
      <c r="I912" s="342"/>
      <c r="J912" s="342"/>
      <c r="K912" s="342"/>
      <c r="L912" s="342"/>
      <c r="M912" s="342"/>
      <c r="N912" s="342"/>
      <c r="O912" s="341"/>
      <c r="P912" s="341"/>
      <c r="Q912" s="342"/>
      <c r="R912" s="342"/>
      <c r="S912" s="341"/>
      <c r="T912" s="342"/>
      <c r="U912" s="342"/>
      <c r="V912" s="342"/>
      <c r="W912" s="342"/>
      <c r="X912" s="342"/>
      <c r="Y912" s="342"/>
      <c r="Z912" s="342"/>
    </row>
    <row r="913" ht="12.75" customHeight="1">
      <c r="A913" s="534"/>
      <c r="B913" s="534"/>
      <c r="C913" s="575"/>
      <c r="D913" s="585"/>
      <c r="E913" s="586"/>
      <c r="F913" s="342"/>
      <c r="G913" s="342"/>
      <c r="H913" s="342"/>
      <c r="I913" s="342"/>
      <c r="J913" s="342"/>
      <c r="K913" s="342"/>
      <c r="L913" s="342"/>
      <c r="M913" s="342"/>
      <c r="N913" s="342"/>
      <c r="O913" s="341"/>
      <c r="P913" s="341"/>
      <c r="Q913" s="342"/>
      <c r="R913" s="342"/>
      <c r="S913" s="341"/>
      <c r="T913" s="342"/>
      <c r="U913" s="342"/>
      <c r="V913" s="342"/>
      <c r="W913" s="342"/>
      <c r="X913" s="342"/>
      <c r="Y913" s="342"/>
      <c r="Z913" s="342"/>
    </row>
    <row r="914" ht="12.75" customHeight="1">
      <c r="A914" s="534"/>
      <c r="B914" s="534"/>
      <c r="C914" s="575"/>
      <c r="D914" s="585"/>
      <c r="E914" s="586"/>
      <c r="F914" s="342"/>
      <c r="G914" s="342"/>
      <c r="H914" s="342"/>
      <c r="I914" s="342"/>
      <c r="J914" s="342"/>
      <c r="K914" s="342"/>
      <c r="L914" s="342"/>
      <c r="M914" s="342"/>
      <c r="N914" s="342"/>
      <c r="O914" s="341"/>
      <c r="P914" s="341"/>
      <c r="Q914" s="342"/>
      <c r="R914" s="342"/>
      <c r="S914" s="341"/>
      <c r="T914" s="342"/>
      <c r="U914" s="342"/>
      <c r="V914" s="342"/>
      <c r="W914" s="342"/>
      <c r="X914" s="342"/>
      <c r="Y914" s="342"/>
      <c r="Z914" s="342"/>
    </row>
    <row r="915" ht="12.75" customHeight="1">
      <c r="A915" s="534"/>
      <c r="B915" s="534"/>
      <c r="C915" s="575"/>
      <c r="D915" s="585"/>
      <c r="E915" s="586"/>
      <c r="F915" s="342"/>
      <c r="G915" s="342"/>
      <c r="H915" s="342"/>
      <c r="I915" s="342"/>
      <c r="J915" s="342"/>
      <c r="K915" s="342"/>
      <c r="L915" s="342"/>
      <c r="M915" s="342"/>
      <c r="N915" s="342"/>
      <c r="O915" s="341"/>
      <c r="P915" s="341"/>
      <c r="Q915" s="342"/>
      <c r="R915" s="342"/>
      <c r="S915" s="341"/>
      <c r="T915" s="342"/>
      <c r="U915" s="342"/>
      <c r="V915" s="342"/>
      <c r="W915" s="342"/>
      <c r="X915" s="342"/>
      <c r="Y915" s="342"/>
      <c r="Z915" s="342"/>
    </row>
    <row r="916" ht="12.75" customHeight="1">
      <c r="A916" s="534"/>
      <c r="B916" s="534"/>
      <c r="C916" s="575"/>
      <c r="D916" s="585"/>
      <c r="E916" s="586"/>
      <c r="F916" s="342"/>
      <c r="G916" s="342"/>
      <c r="H916" s="342"/>
      <c r="I916" s="342"/>
      <c r="J916" s="342"/>
      <c r="K916" s="342"/>
      <c r="L916" s="342"/>
      <c r="M916" s="342"/>
      <c r="N916" s="342"/>
      <c r="O916" s="341"/>
      <c r="P916" s="341"/>
      <c r="Q916" s="342"/>
      <c r="R916" s="342"/>
      <c r="S916" s="341"/>
      <c r="T916" s="342"/>
      <c r="U916" s="342"/>
      <c r="V916" s="342"/>
      <c r="W916" s="342"/>
      <c r="X916" s="342"/>
      <c r="Y916" s="342"/>
      <c r="Z916" s="342"/>
    </row>
    <row r="917" ht="12.75" customHeight="1">
      <c r="A917" s="534"/>
      <c r="B917" s="534"/>
      <c r="C917" s="575"/>
      <c r="D917" s="585"/>
      <c r="E917" s="586"/>
      <c r="F917" s="342"/>
      <c r="G917" s="342"/>
      <c r="H917" s="342"/>
      <c r="I917" s="342"/>
      <c r="J917" s="342"/>
      <c r="K917" s="342"/>
      <c r="L917" s="342"/>
      <c r="M917" s="342"/>
      <c r="N917" s="342"/>
      <c r="O917" s="341"/>
      <c r="P917" s="341"/>
      <c r="Q917" s="342"/>
      <c r="R917" s="342"/>
      <c r="S917" s="341"/>
      <c r="T917" s="342"/>
      <c r="U917" s="342"/>
      <c r="V917" s="342"/>
      <c r="W917" s="342"/>
      <c r="X917" s="342"/>
      <c r="Y917" s="342"/>
      <c r="Z917" s="342"/>
    </row>
    <row r="918" ht="12.75" customHeight="1">
      <c r="A918" s="534"/>
      <c r="B918" s="534"/>
      <c r="C918" s="575"/>
      <c r="D918" s="585"/>
      <c r="E918" s="586"/>
      <c r="F918" s="342"/>
      <c r="G918" s="342"/>
      <c r="H918" s="342"/>
      <c r="I918" s="342"/>
      <c r="J918" s="342"/>
      <c r="K918" s="342"/>
      <c r="L918" s="342"/>
      <c r="M918" s="342"/>
      <c r="N918" s="342"/>
      <c r="O918" s="341"/>
      <c r="P918" s="341"/>
      <c r="Q918" s="342"/>
      <c r="R918" s="342"/>
      <c r="S918" s="341"/>
      <c r="T918" s="342"/>
      <c r="U918" s="342"/>
      <c r="V918" s="342"/>
      <c r="W918" s="342"/>
      <c r="X918" s="342"/>
      <c r="Y918" s="342"/>
      <c r="Z918" s="342"/>
    </row>
    <row r="919" ht="12.75" customHeight="1">
      <c r="A919" s="534"/>
      <c r="B919" s="534"/>
      <c r="C919" s="575"/>
      <c r="D919" s="585"/>
      <c r="E919" s="586"/>
      <c r="F919" s="342"/>
      <c r="G919" s="342"/>
      <c r="H919" s="342"/>
      <c r="I919" s="342"/>
      <c r="J919" s="342"/>
      <c r="K919" s="342"/>
      <c r="L919" s="342"/>
      <c r="M919" s="342"/>
      <c r="N919" s="342"/>
      <c r="O919" s="341"/>
      <c r="P919" s="341"/>
      <c r="Q919" s="342"/>
      <c r="R919" s="342"/>
      <c r="S919" s="341"/>
      <c r="T919" s="342"/>
      <c r="U919" s="342"/>
      <c r="V919" s="342"/>
      <c r="W919" s="342"/>
      <c r="X919" s="342"/>
      <c r="Y919" s="342"/>
      <c r="Z919" s="342"/>
    </row>
    <row r="920" ht="12.75" customHeight="1">
      <c r="A920" s="534"/>
      <c r="B920" s="534"/>
      <c r="C920" s="575"/>
      <c r="D920" s="585"/>
      <c r="E920" s="586"/>
      <c r="F920" s="342"/>
      <c r="G920" s="342"/>
      <c r="H920" s="342"/>
      <c r="I920" s="342"/>
      <c r="J920" s="342"/>
      <c r="K920" s="342"/>
      <c r="L920" s="342"/>
      <c r="M920" s="342"/>
      <c r="N920" s="342"/>
      <c r="O920" s="341"/>
      <c r="P920" s="341"/>
      <c r="Q920" s="342"/>
      <c r="R920" s="342"/>
      <c r="S920" s="341"/>
      <c r="T920" s="342"/>
      <c r="U920" s="342"/>
      <c r="V920" s="342"/>
      <c r="W920" s="342"/>
      <c r="X920" s="342"/>
      <c r="Y920" s="342"/>
      <c r="Z920" s="342"/>
    </row>
    <row r="921" ht="12.75" customHeight="1">
      <c r="A921" s="534"/>
      <c r="B921" s="534"/>
      <c r="C921" s="575"/>
      <c r="D921" s="585"/>
      <c r="E921" s="586"/>
      <c r="F921" s="342"/>
      <c r="G921" s="342"/>
      <c r="H921" s="342"/>
      <c r="I921" s="342"/>
      <c r="J921" s="342"/>
      <c r="K921" s="342"/>
      <c r="L921" s="342"/>
      <c r="M921" s="342"/>
      <c r="N921" s="342"/>
      <c r="O921" s="341"/>
      <c r="P921" s="341"/>
      <c r="Q921" s="342"/>
      <c r="R921" s="342"/>
      <c r="S921" s="341"/>
      <c r="T921" s="342"/>
      <c r="U921" s="342"/>
      <c r="V921" s="342"/>
      <c r="W921" s="342"/>
      <c r="X921" s="342"/>
      <c r="Y921" s="342"/>
      <c r="Z921" s="342"/>
    </row>
    <row r="922" ht="12.75" customHeight="1">
      <c r="A922" s="534"/>
      <c r="B922" s="534"/>
      <c r="C922" s="575"/>
      <c r="D922" s="585"/>
      <c r="E922" s="586"/>
      <c r="F922" s="342"/>
      <c r="G922" s="342"/>
      <c r="H922" s="342"/>
      <c r="I922" s="342"/>
      <c r="J922" s="342"/>
      <c r="K922" s="342"/>
      <c r="L922" s="342"/>
      <c r="M922" s="342"/>
      <c r="N922" s="342"/>
      <c r="O922" s="341"/>
      <c r="P922" s="341"/>
      <c r="Q922" s="342"/>
      <c r="R922" s="342"/>
      <c r="S922" s="341"/>
      <c r="T922" s="342"/>
      <c r="U922" s="342"/>
      <c r="V922" s="342"/>
      <c r="W922" s="342"/>
      <c r="X922" s="342"/>
      <c r="Y922" s="342"/>
      <c r="Z922" s="342"/>
    </row>
    <row r="923" ht="12.75" customHeight="1">
      <c r="A923" s="534"/>
      <c r="B923" s="534"/>
      <c r="C923" s="575"/>
      <c r="D923" s="585"/>
      <c r="E923" s="586"/>
      <c r="F923" s="342"/>
      <c r="G923" s="342"/>
      <c r="H923" s="342"/>
      <c r="I923" s="342"/>
      <c r="J923" s="342"/>
      <c r="K923" s="342"/>
      <c r="L923" s="342"/>
      <c r="M923" s="342"/>
      <c r="N923" s="342"/>
      <c r="O923" s="341"/>
      <c r="P923" s="341"/>
      <c r="Q923" s="342"/>
      <c r="R923" s="342"/>
      <c r="S923" s="341"/>
      <c r="T923" s="342"/>
      <c r="U923" s="342"/>
      <c r="V923" s="342"/>
      <c r="W923" s="342"/>
      <c r="X923" s="342"/>
      <c r="Y923" s="342"/>
      <c r="Z923" s="342"/>
    </row>
    <row r="924" ht="12.75" customHeight="1">
      <c r="A924" s="534"/>
      <c r="B924" s="534"/>
      <c r="C924" s="575"/>
      <c r="D924" s="585"/>
      <c r="E924" s="586"/>
      <c r="F924" s="342"/>
      <c r="G924" s="342"/>
      <c r="H924" s="342"/>
      <c r="I924" s="342"/>
      <c r="J924" s="342"/>
      <c r="K924" s="342"/>
      <c r="L924" s="342"/>
      <c r="M924" s="342"/>
      <c r="N924" s="342"/>
      <c r="O924" s="341"/>
      <c r="P924" s="341"/>
      <c r="Q924" s="342"/>
      <c r="R924" s="342"/>
      <c r="S924" s="341"/>
      <c r="T924" s="342"/>
      <c r="U924" s="342"/>
      <c r="V924" s="342"/>
      <c r="W924" s="342"/>
      <c r="X924" s="342"/>
      <c r="Y924" s="342"/>
      <c r="Z924" s="342"/>
    </row>
    <row r="925" ht="12.75" customHeight="1">
      <c r="A925" s="534"/>
      <c r="B925" s="534"/>
      <c r="C925" s="575"/>
      <c r="D925" s="585"/>
      <c r="E925" s="586"/>
      <c r="F925" s="342"/>
      <c r="G925" s="342"/>
      <c r="H925" s="342"/>
      <c r="I925" s="342"/>
      <c r="J925" s="342"/>
      <c r="K925" s="342"/>
      <c r="L925" s="342"/>
      <c r="M925" s="342"/>
      <c r="N925" s="342"/>
      <c r="O925" s="341"/>
      <c r="P925" s="341"/>
      <c r="Q925" s="342"/>
      <c r="R925" s="342"/>
      <c r="S925" s="341"/>
      <c r="T925" s="342"/>
      <c r="U925" s="342"/>
      <c r="V925" s="342"/>
      <c r="W925" s="342"/>
      <c r="X925" s="342"/>
      <c r="Y925" s="342"/>
      <c r="Z925" s="342"/>
    </row>
    <row r="926" ht="12.75" customHeight="1">
      <c r="A926" s="534"/>
      <c r="B926" s="534"/>
      <c r="C926" s="575"/>
      <c r="D926" s="585"/>
      <c r="E926" s="586"/>
      <c r="F926" s="342"/>
      <c r="G926" s="342"/>
      <c r="H926" s="342"/>
      <c r="I926" s="342"/>
      <c r="J926" s="342"/>
      <c r="K926" s="342"/>
      <c r="L926" s="342"/>
      <c r="M926" s="342"/>
      <c r="N926" s="342"/>
      <c r="O926" s="341"/>
      <c r="P926" s="341"/>
      <c r="Q926" s="342"/>
      <c r="R926" s="342"/>
      <c r="S926" s="341"/>
      <c r="T926" s="342"/>
      <c r="U926" s="342"/>
      <c r="V926" s="342"/>
      <c r="W926" s="342"/>
      <c r="X926" s="342"/>
      <c r="Y926" s="342"/>
      <c r="Z926" s="342"/>
    </row>
    <row r="927" ht="12.75" customHeight="1">
      <c r="A927" s="534"/>
      <c r="B927" s="534"/>
      <c r="C927" s="575"/>
      <c r="D927" s="585"/>
      <c r="E927" s="586"/>
      <c r="F927" s="342"/>
      <c r="G927" s="342"/>
      <c r="H927" s="342"/>
      <c r="I927" s="342"/>
      <c r="J927" s="342"/>
      <c r="K927" s="342"/>
      <c r="L927" s="342"/>
      <c r="M927" s="342"/>
      <c r="N927" s="342"/>
      <c r="O927" s="341"/>
      <c r="P927" s="341"/>
      <c r="Q927" s="342"/>
      <c r="R927" s="342"/>
      <c r="S927" s="341"/>
      <c r="T927" s="342"/>
      <c r="U927" s="342"/>
      <c r="V927" s="342"/>
      <c r="W927" s="342"/>
      <c r="X927" s="342"/>
      <c r="Y927" s="342"/>
      <c r="Z927" s="342"/>
    </row>
    <row r="928" ht="12.75" customHeight="1">
      <c r="A928" s="534"/>
      <c r="B928" s="534"/>
      <c r="C928" s="575"/>
      <c r="D928" s="585"/>
      <c r="E928" s="586"/>
      <c r="F928" s="342"/>
      <c r="G928" s="342"/>
      <c r="H928" s="342"/>
      <c r="I928" s="342"/>
      <c r="J928" s="342"/>
      <c r="K928" s="342"/>
      <c r="L928" s="342"/>
      <c r="M928" s="342"/>
      <c r="N928" s="342"/>
      <c r="O928" s="341"/>
      <c r="P928" s="341"/>
      <c r="Q928" s="342"/>
      <c r="R928" s="342"/>
      <c r="S928" s="341"/>
      <c r="T928" s="342"/>
      <c r="U928" s="342"/>
      <c r="V928" s="342"/>
      <c r="W928" s="342"/>
      <c r="X928" s="342"/>
      <c r="Y928" s="342"/>
      <c r="Z928" s="342"/>
    </row>
    <row r="929" ht="12.75" customHeight="1">
      <c r="A929" s="534"/>
      <c r="B929" s="534"/>
      <c r="C929" s="575"/>
      <c r="D929" s="585"/>
      <c r="E929" s="586"/>
      <c r="F929" s="342"/>
      <c r="G929" s="342"/>
      <c r="H929" s="342"/>
      <c r="I929" s="342"/>
      <c r="J929" s="342"/>
      <c r="K929" s="342"/>
      <c r="L929" s="342"/>
      <c r="M929" s="342"/>
      <c r="N929" s="342"/>
      <c r="O929" s="341"/>
      <c r="P929" s="341"/>
      <c r="Q929" s="342"/>
      <c r="R929" s="342"/>
      <c r="S929" s="341"/>
      <c r="T929" s="342"/>
      <c r="U929" s="342"/>
      <c r="V929" s="342"/>
      <c r="W929" s="342"/>
      <c r="X929" s="342"/>
      <c r="Y929" s="342"/>
      <c r="Z929" s="342"/>
    </row>
    <row r="930" ht="12.75" customHeight="1">
      <c r="A930" s="534"/>
      <c r="B930" s="534"/>
      <c r="C930" s="575"/>
      <c r="D930" s="585"/>
      <c r="E930" s="586"/>
      <c r="F930" s="342"/>
      <c r="G930" s="342"/>
      <c r="H930" s="342"/>
      <c r="I930" s="342"/>
      <c r="J930" s="342"/>
      <c r="K930" s="342"/>
      <c r="L930" s="342"/>
      <c r="M930" s="342"/>
      <c r="N930" s="342"/>
      <c r="O930" s="341"/>
      <c r="P930" s="341"/>
      <c r="Q930" s="342"/>
      <c r="R930" s="342"/>
      <c r="S930" s="341"/>
      <c r="T930" s="342"/>
      <c r="U930" s="342"/>
      <c r="V930" s="342"/>
      <c r="W930" s="342"/>
      <c r="X930" s="342"/>
      <c r="Y930" s="342"/>
      <c r="Z930" s="342"/>
    </row>
    <row r="931" ht="12.75" customHeight="1">
      <c r="A931" s="534"/>
      <c r="B931" s="534"/>
      <c r="C931" s="575"/>
      <c r="D931" s="585"/>
      <c r="E931" s="586"/>
      <c r="F931" s="342"/>
      <c r="G931" s="342"/>
      <c r="H931" s="342"/>
      <c r="I931" s="342"/>
      <c r="J931" s="342"/>
      <c r="K931" s="342"/>
      <c r="L931" s="342"/>
      <c r="M931" s="342"/>
      <c r="N931" s="342"/>
      <c r="O931" s="341"/>
      <c r="P931" s="341"/>
      <c r="Q931" s="342"/>
      <c r="R931" s="342"/>
      <c r="S931" s="341"/>
      <c r="T931" s="342"/>
      <c r="U931" s="342"/>
      <c r="V931" s="342"/>
      <c r="W931" s="342"/>
      <c r="X931" s="342"/>
      <c r="Y931" s="342"/>
      <c r="Z931" s="342"/>
    </row>
    <row r="932" ht="12.75" customHeight="1">
      <c r="A932" s="534"/>
      <c r="B932" s="534"/>
      <c r="C932" s="575"/>
      <c r="D932" s="585"/>
      <c r="E932" s="586"/>
      <c r="F932" s="342"/>
      <c r="G932" s="342"/>
      <c r="H932" s="342"/>
      <c r="I932" s="342"/>
      <c r="J932" s="342"/>
      <c r="K932" s="342"/>
      <c r="L932" s="342"/>
      <c r="M932" s="342"/>
      <c r="N932" s="342"/>
      <c r="O932" s="341"/>
      <c r="P932" s="341"/>
      <c r="Q932" s="342"/>
      <c r="R932" s="342"/>
      <c r="S932" s="341"/>
      <c r="T932" s="342"/>
      <c r="U932" s="342"/>
      <c r="V932" s="342"/>
      <c r="W932" s="342"/>
      <c r="X932" s="342"/>
      <c r="Y932" s="342"/>
      <c r="Z932" s="342"/>
    </row>
    <row r="933" ht="12.75" customHeight="1">
      <c r="A933" s="534"/>
      <c r="B933" s="534"/>
      <c r="C933" s="575"/>
      <c r="D933" s="585"/>
      <c r="E933" s="586"/>
      <c r="F933" s="342"/>
      <c r="G933" s="342"/>
      <c r="H933" s="342"/>
      <c r="I933" s="342"/>
      <c r="J933" s="342"/>
      <c r="K933" s="342"/>
      <c r="L933" s="342"/>
      <c r="M933" s="342"/>
      <c r="N933" s="342"/>
      <c r="O933" s="341"/>
      <c r="P933" s="341"/>
      <c r="Q933" s="342"/>
      <c r="R933" s="342"/>
      <c r="S933" s="341"/>
      <c r="T933" s="342"/>
      <c r="U933" s="342"/>
      <c r="V933" s="342"/>
      <c r="W933" s="342"/>
      <c r="X933" s="342"/>
      <c r="Y933" s="342"/>
      <c r="Z933" s="342"/>
    </row>
    <row r="934" ht="12.75" customHeight="1">
      <c r="A934" s="534"/>
      <c r="B934" s="534"/>
      <c r="C934" s="575"/>
      <c r="D934" s="585"/>
      <c r="E934" s="586"/>
      <c r="F934" s="342"/>
      <c r="G934" s="342"/>
      <c r="H934" s="342"/>
      <c r="I934" s="342"/>
      <c r="J934" s="342"/>
      <c r="K934" s="342"/>
      <c r="L934" s="342"/>
      <c r="M934" s="342"/>
      <c r="N934" s="342"/>
      <c r="O934" s="341"/>
      <c r="P934" s="341"/>
      <c r="Q934" s="342"/>
      <c r="R934" s="342"/>
      <c r="S934" s="341"/>
      <c r="T934" s="342"/>
      <c r="U934" s="342"/>
      <c r="V934" s="342"/>
      <c r="W934" s="342"/>
      <c r="X934" s="342"/>
      <c r="Y934" s="342"/>
      <c r="Z934" s="342"/>
    </row>
    <row r="935" ht="12.75" customHeight="1">
      <c r="A935" s="534"/>
      <c r="B935" s="534"/>
      <c r="C935" s="575"/>
      <c r="D935" s="585"/>
      <c r="E935" s="586"/>
      <c r="F935" s="342"/>
      <c r="G935" s="342"/>
      <c r="H935" s="342"/>
      <c r="I935" s="342"/>
      <c r="J935" s="342"/>
      <c r="K935" s="342"/>
      <c r="L935" s="342"/>
      <c r="M935" s="342"/>
      <c r="N935" s="342"/>
      <c r="O935" s="341"/>
      <c r="P935" s="341"/>
      <c r="Q935" s="342"/>
      <c r="R935" s="342"/>
      <c r="S935" s="341"/>
      <c r="T935" s="342"/>
      <c r="U935" s="342"/>
      <c r="V935" s="342"/>
      <c r="W935" s="342"/>
      <c r="X935" s="342"/>
      <c r="Y935" s="342"/>
      <c r="Z935" s="342"/>
    </row>
    <row r="936" ht="12.75" customHeight="1">
      <c r="A936" s="534"/>
      <c r="B936" s="534"/>
      <c r="C936" s="575"/>
      <c r="D936" s="585"/>
      <c r="E936" s="586"/>
      <c r="F936" s="342"/>
      <c r="G936" s="342"/>
      <c r="H936" s="342"/>
      <c r="I936" s="342"/>
      <c r="J936" s="342"/>
      <c r="K936" s="342"/>
      <c r="L936" s="342"/>
      <c r="M936" s="342"/>
      <c r="N936" s="342"/>
      <c r="O936" s="341"/>
      <c r="P936" s="341"/>
      <c r="Q936" s="342"/>
      <c r="R936" s="342"/>
      <c r="S936" s="341"/>
      <c r="T936" s="342"/>
      <c r="U936" s="342"/>
      <c r="V936" s="342"/>
      <c r="W936" s="342"/>
      <c r="X936" s="342"/>
      <c r="Y936" s="342"/>
      <c r="Z936" s="342"/>
    </row>
    <row r="937" ht="12.75" customHeight="1">
      <c r="A937" s="534"/>
      <c r="B937" s="534"/>
      <c r="C937" s="575"/>
      <c r="D937" s="585"/>
      <c r="E937" s="586"/>
      <c r="F937" s="342"/>
      <c r="G937" s="342"/>
      <c r="H937" s="342"/>
      <c r="I937" s="342"/>
      <c r="J937" s="342"/>
      <c r="K937" s="342"/>
      <c r="L937" s="342"/>
      <c r="M937" s="342"/>
      <c r="N937" s="342"/>
      <c r="O937" s="341"/>
      <c r="P937" s="341"/>
      <c r="Q937" s="342"/>
      <c r="R937" s="342"/>
      <c r="S937" s="341"/>
      <c r="T937" s="342"/>
      <c r="U937" s="342"/>
      <c r="V937" s="342"/>
      <c r="W937" s="342"/>
      <c r="X937" s="342"/>
      <c r="Y937" s="342"/>
      <c r="Z937" s="342"/>
    </row>
    <row r="938" ht="12.75" customHeight="1">
      <c r="A938" s="534"/>
      <c r="B938" s="534"/>
      <c r="C938" s="575"/>
      <c r="D938" s="585"/>
      <c r="E938" s="586"/>
      <c r="F938" s="342"/>
      <c r="G938" s="342"/>
      <c r="H938" s="342"/>
      <c r="I938" s="342"/>
      <c r="J938" s="342"/>
      <c r="K938" s="342"/>
      <c r="L938" s="342"/>
      <c r="M938" s="342"/>
      <c r="N938" s="342"/>
      <c r="O938" s="341"/>
      <c r="P938" s="341"/>
      <c r="Q938" s="342"/>
      <c r="R938" s="342"/>
      <c r="S938" s="341"/>
      <c r="T938" s="342"/>
      <c r="U938" s="342"/>
      <c r="V938" s="342"/>
      <c r="W938" s="342"/>
      <c r="X938" s="342"/>
      <c r="Y938" s="342"/>
      <c r="Z938" s="342"/>
    </row>
    <row r="939" ht="12.75" customHeight="1">
      <c r="A939" s="534"/>
      <c r="B939" s="534"/>
      <c r="C939" s="575"/>
      <c r="D939" s="585"/>
      <c r="E939" s="586"/>
      <c r="F939" s="342"/>
      <c r="G939" s="342"/>
      <c r="H939" s="342"/>
      <c r="I939" s="342"/>
      <c r="J939" s="342"/>
      <c r="K939" s="342"/>
      <c r="L939" s="342"/>
      <c r="M939" s="342"/>
      <c r="N939" s="342"/>
      <c r="O939" s="341"/>
      <c r="P939" s="341"/>
      <c r="Q939" s="342"/>
      <c r="R939" s="342"/>
      <c r="S939" s="341"/>
      <c r="T939" s="342"/>
      <c r="U939" s="342"/>
      <c r="V939" s="342"/>
      <c r="W939" s="342"/>
      <c r="X939" s="342"/>
      <c r="Y939" s="342"/>
      <c r="Z939" s="342"/>
    </row>
    <row r="940" ht="12.75" customHeight="1">
      <c r="A940" s="534"/>
      <c r="B940" s="534"/>
      <c r="C940" s="575"/>
      <c r="D940" s="585"/>
      <c r="E940" s="586"/>
      <c r="F940" s="342"/>
      <c r="G940" s="342"/>
      <c r="H940" s="342"/>
      <c r="I940" s="342"/>
      <c r="J940" s="342"/>
      <c r="K940" s="342"/>
      <c r="L940" s="342"/>
      <c r="M940" s="342"/>
      <c r="N940" s="342"/>
      <c r="O940" s="341"/>
      <c r="P940" s="341"/>
      <c r="Q940" s="342"/>
      <c r="R940" s="342"/>
      <c r="S940" s="341"/>
      <c r="T940" s="342"/>
      <c r="U940" s="342"/>
      <c r="V940" s="342"/>
      <c r="W940" s="342"/>
      <c r="X940" s="342"/>
      <c r="Y940" s="342"/>
      <c r="Z940" s="342"/>
    </row>
    <row r="941" ht="12.75" customHeight="1">
      <c r="A941" s="534"/>
      <c r="B941" s="534"/>
      <c r="C941" s="575"/>
      <c r="D941" s="585"/>
      <c r="E941" s="586"/>
      <c r="F941" s="342"/>
      <c r="G941" s="342"/>
      <c r="H941" s="342"/>
      <c r="I941" s="342"/>
      <c r="J941" s="342"/>
      <c r="K941" s="342"/>
      <c r="L941" s="342"/>
      <c r="M941" s="342"/>
      <c r="N941" s="342"/>
      <c r="O941" s="341"/>
      <c r="P941" s="341"/>
      <c r="Q941" s="342"/>
      <c r="R941" s="342"/>
      <c r="S941" s="341"/>
      <c r="T941" s="342"/>
      <c r="U941" s="342"/>
      <c r="V941" s="342"/>
      <c r="W941" s="342"/>
      <c r="X941" s="342"/>
      <c r="Y941" s="342"/>
      <c r="Z941" s="342"/>
    </row>
    <row r="942" ht="12.75" customHeight="1">
      <c r="A942" s="534"/>
      <c r="B942" s="534"/>
      <c r="C942" s="575"/>
      <c r="D942" s="585"/>
      <c r="E942" s="586"/>
      <c r="F942" s="342"/>
      <c r="G942" s="342"/>
      <c r="H942" s="342"/>
      <c r="I942" s="342"/>
      <c r="J942" s="342"/>
      <c r="K942" s="342"/>
      <c r="L942" s="342"/>
      <c r="M942" s="342"/>
      <c r="N942" s="342"/>
      <c r="O942" s="341"/>
      <c r="P942" s="341"/>
      <c r="Q942" s="342"/>
      <c r="R942" s="342"/>
      <c r="S942" s="341"/>
      <c r="T942" s="342"/>
      <c r="U942" s="342"/>
      <c r="V942" s="342"/>
      <c r="W942" s="342"/>
      <c r="X942" s="342"/>
      <c r="Y942" s="342"/>
      <c r="Z942" s="342"/>
    </row>
    <row r="943" ht="12.75" customHeight="1">
      <c r="A943" s="534"/>
      <c r="B943" s="534"/>
      <c r="C943" s="575"/>
      <c r="D943" s="585"/>
      <c r="E943" s="586"/>
      <c r="F943" s="342"/>
      <c r="G943" s="342"/>
      <c r="H943" s="342"/>
      <c r="I943" s="342"/>
      <c r="J943" s="342"/>
      <c r="K943" s="342"/>
      <c r="L943" s="342"/>
      <c r="M943" s="342"/>
      <c r="N943" s="342"/>
      <c r="O943" s="341"/>
      <c r="P943" s="341"/>
      <c r="Q943" s="342"/>
      <c r="R943" s="342"/>
      <c r="S943" s="341"/>
      <c r="T943" s="342"/>
      <c r="U943" s="342"/>
      <c r="V943" s="342"/>
      <c r="W943" s="342"/>
      <c r="X943" s="342"/>
      <c r="Y943" s="342"/>
      <c r="Z943" s="342"/>
    </row>
    <row r="944" ht="12.75" customHeight="1">
      <c r="A944" s="534"/>
      <c r="B944" s="534"/>
      <c r="C944" s="575"/>
      <c r="D944" s="585"/>
      <c r="E944" s="586"/>
      <c r="F944" s="342"/>
      <c r="G944" s="342"/>
      <c r="H944" s="342"/>
      <c r="I944" s="342"/>
      <c r="J944" s="342"/>
      <c r="K944" s="342"/>
      <c r="L944" s="342"/>
      <c r="M944" s="342"/>
      <c r="N944" s="342"/>
      <c r="O944" s="341"/>
      <c r="P944" s="341"/>
      <c r="Q944" s="342"/>
      <c r="R944" s="342"/>
      <c r="S944" s="341"/>
      <c r="T944" s="342"/>
      <c r="U944" s="342"/>
      <c r="V944" s="342"/>
      <c r="W944" s="342"/>
      <c r="X944" s="342"/>
      <c r="Y944" s="342"/>
      <c r="Z944" s="342"/>
    </row>
    <row r="945" ht="12.75" customHeight="1">
      <c r="A945" s="534"/>
      <c r="B945" s="534"/>
      <c r="C945" s="575"/>
      <c r="D945" s="585"/>
      <c r="E945" s="586"/>
      <c r="F945" s="342"/>
      <c r="G945" s="342"/>
      <c r="H945" s="342"/>
      <c r="I945" s="342"/>
      <c r="J945" s="342"/>
      <c r="K945" s="342"/>
      <c r="L945" s="342"/>
      <c r="M945" s="342"/>
      <c r="N945" s="342"/>
      <c r="O945" s="341"/>
      <c r="P945" s="341"/>
      <c r="Q945" s="342"/>
      <c r="R945" s="342"/>
      <c r="S945" s="341"/>
      <c r="T945" s="342"/>
      <c r="U945" s="342"/>
      <c r="V945" s="342"/>
      <c r="W945" s="342"/>
      <c r="X945" s="342"/>
      <c r="Y945" s="342"/>
      <c r="Z945" s="342"/>
    </row>
    <row r="946" ht="12.75" customHeight="1">
      <c r="A946" s="534"/>
      <c r="B946" s="534"/>
      <c r="C946" s="575"/>
      <c r="D946" s="585"/>
      <c r="E946" s="586"/>
      <c r="F946" s="342"/>
      <c r="G946" s="342"/>
      <c r="H946" s="342"/>
      <c r="I946" s="342"/>
      <c r="J946" s="342"/>
      <c r="K946" s="342"/>
      <c r="L946" s="342"/>
      <c r="M946" s="342"/>
      <c r="N946" s="342"/>
      <c r="O946" s="341"/>
      <c r="P946" s="341"/>
      <c r="Q946" s="342"/>
      <c r="R946" s="342"/>
      <c r="S946" s="341"/>
      <c r="T946" s="342"/>
      <c r="U946" s="342"/>
      <c r="V946" s="342"/>
      <c r="W946" s="342"/>
      <c r="X946" s="342"/>
      <c r="Y946" s="342"/>
      <c r="Z946" s="342"/>
    </row>
    <row r="947" ht="12.75" customHeight="1">
      <c r="A947" s="534"/>
      <c r="B947" s="534"/>
      <c r="C947" s="575"/>
      <c r="D947" s="585"/>
      <c r="E947" s="586"/>
      <c r="F947" s="342"/>
      <c r="G947" s="342"/>
      <c r="H947" s="342"/>
      <c r="I947" s="342"/>
      <c r="J947" s="342"/>
      <c r="K947" s="342"/>
      <c r="L947" s="342"/>
      <c r="M947" s="342"/>
      <c r="N947" s="342"/>
      <c r="O947" s="341"/>
      <c r="P947" s="341"/>
      <c r="Q947" s="342"/>
      <c r="R947" s="342"/>
      <c r="S947" s="341"/>
      <c r="T947" s="342"/>
      <c r="U947" s="342"/>
      <c r="V947" s="342"/>
      <c r="W947" s="342"/>
      <c r="X947" s="342"/>
      <c r="Y947" s="342"/>
      <c r="Z947" s="342"/>
    </row>
    <row r="948" ht="12.75" customHeight="1">
      <c r="A948" s="534"/>
      <c r="B948" s="534"/>
      <c r="C948" s="575"/>
      <c r="D948" s="585"/>
      <c r="E948" s="586"/>
      <c r="F948" s="342"/>
      <c r="G948" s="342"/>
      <c r="H948" s="342"/>
      <c r="I948" s="342"/>
      <c r="J948" s="342"/>
      <c r="K948" s="342"/>
      <c r="L948" s="342"/>
      <c r="M948" s="342"/>
      <c r="N948" s="342"/>
      <c r="O948" s="341"/>
      <c r="P948" s="341"/>
      <c r="Q948" s="342"/>
      <c r="R948" s="342"/>
      <c r="S948" s="341"/>
      <c r="T948" s="342"/>
      <c r="U948" s="342"/>
      <c r="V948" s="342"/>
      <c r="W948" s="342"/>
      <c r="X948" s="342"/>
      <c r="Y948" s="342"/>
      <c r="Z948" s="342"/>
    </row>
    <row r="949" ht="12.75" customHeight="1">
      <c r="A949" s="534"/>
      <c r="B949" s="534"/>
      <c r="C949" s="575"/>
      <c r="D949" s="585"/>
      <c r="E949" s="586"/>
      <c r="F949" s="342"/>
      <c r="G949" s="342"/>
      <c r="H949" s="342"/>
      <c r="I949" s="342"/>
      <c r="J949" s="342"/>
      <c r="K949" s="342"/>
      <c r="L949" s="342"/>
      <c r="M949" s="342"/>
      <c r="N949" s="342"/>
      <c r="O949" s="341"/>
      <c r="P949" s="341"/>
      <c r="Q949" s="342"/>
      <c r="R949" s="342"/>
      <c r="S949" s="341"/>
      <c r="T949" s="342"/>
      <c r="U949" s="342"/>
      <c r="V949" s="342"/>
      <c r="W949" s="342"/>
      <c r="X949" s="342"/>
      <c r="Y949" s="342"/>
      <c r="Z949" s="342"/>
    </row>
    <row r="950" ht="12.75" customHeight="1">
      <c r="A950" s="534"/>
      <c r="B950" s="534"/>
      <c r="C950" s="575"/>
      <c r="D950" s="585"/>
      <c r="E950" s="586"/>
      <c r="F950" s="342"/>
      <c r="G950" s="342"/>
      <c r="H950" s="342"/>
      <c r="I950" s="342"/>
      <c r="J950" s="342"/>
      <c r="K950" s="342"/>
      <c r="L950" s="342"/>
      <c r="M950" s="342"/>
      <c r="N950" s="342"/>
      <c r="O950" s="341"/>
      <c r="P950" s="341"/>
      <c r="Q950" s="342"/>
      <c r="R950" s="342"/>
      <c r="S950" s="341"/>
      <c r="T950" s="342"/>
      <c r="U950" s="342"/>
      <c r="V950" s="342"/>
      <c r="W950" s="342"/>
      <c r="X950" s="342"/>
      <c r="Y950" s="342"/>
      <c r="Z950" s="342"/>
    </row>
    <row r="951" ht="12.75" customHeight="1">
      <c r="A951" s="534"/>
      <c r="B951" s="534"/>
      <c r="C951" s="575"/>
      <c r="D951" s="585"/>
      <c r="E951" s="586"/>
      <c r="F951" s="342"/>
      <c r="G951" s="342"/>
      <c r="H951" s="342"/>
      <c r="I951" s="342"/>
      <c r="J951" s="342"/>
      <c r="K951" s="342"/>
      <c r="L951" s="342"/>
      <c r="M951" s="342"/>
      <c r="N951" s="342"/>
      <c r="O951" s="341"/>
      <c r="P951" s="341"/>
      <c r="Q951" s="342"/>
      <c r="R951" s="342"/>
      <c r="S951" s="341"/>
      <c r="T951" s="342"/>
      <c r="U951" s="342"/>
      <c r="V951" s="342"/>
      <c r="W951" s="342"/>
      <c r="X951" s="342"/>
      <c r="Y951" s="342"/>
      <c r="Z951" s="342"/>
    </row>
    <row r="952" ht="12.75" customHeight="1">
      <c r="A952" s="534"/>
      <c r="B952" s="534"/>
      <c r="C952" s="575"/>
      <c r="D952" s="585"/>
      <c r="E952" s="586"/>
      <c r="F952" s="342"/>
      <c r="G952" s="342"/>
      <c r="H952" s="342"/>
      <c r="I952" s="342"/>
      <c r="J952" s="342"/>
      <c r="K952" s="342"/>
      <c r="L952" s="342"/>
      <c r="M952" s="342"/>
      <c r="N952" s="342"/>
      <c r="O952" s="341"/>
      <c r="P952" s="341"/>
      <c r="Q952" s="342"/>
      <c r="R952" s="342"/>
      <c r="S952" s="341"/>
      <c r="T952" s="342"/>
      <c r="U952" s="342"/>
      <c r="V952" s="342"/>
      <c r="W952" s="342"/>
      <c r="X952" s="342"/>
      <c r="Y952" s="342"/>
      <c r="Z952" s="342"/>
    </row>
    <row r="953" ht="12.75" customHeight="1">
      <c r="A953" s="534"/>
      <c r="B953" s="534"/>
      <c r="C953" s="575"/>
      <c r="D953" s="585"/>
      <c r="E953" s="586"/>
      <c r="F953" s="342"/>
      <c r="G953" s="342"/>
      <c r="H953" s="342"/>
      <c r="I953" s="342"/>
      <c r="J953" s="342"/>
      <c r="K953" s="342"/>
      <c r="L953" s="342"/>
      <c r="M953" s="342"/>
      <c r="N953" s="342"/>
      <c r="O953" s="341"/>
      <c r="P953" s="341"/>
      <c r="Q953" s="342"/>
      <c r="R953" s="342"/>
      <c r="S953" s="341"/>
      <c r="T953" s="342"/>
      <c r="U953" s="342"/>
      <c r="V953" s="342"/>
      <c r="W953" s="342"/>
      <c r="X953" s="342"/>
      <c r="Y953" s="342"/>
      <c r="Z953" s="342"/>
    </row>
    <row r="954" ht="12.75" customHeight="1">
      <c r="A954" s="534"/>
      <c r="B954" s="534"/>
      <c r="C954" s="575"/>
      <c r="D954" s="585"/>
      <c r="E954" s="586"/>
      <c r="F954" s="342"/>
      <c r="G954" s="342"/>
      <c r="H954" s="342"/>
      <c r="I954" s="342"/>
      <c r="J954" s="342"/>
      <c r="K954" s="342"/>
      <c r="L954" s="342"/>
      <c r="M954" s="342"/>
      <c r="N954" s="342"/>
      <c r="O954" s="341"/>
      <c r="P954" s="341"/>
      <c r="Q954" s="342"/>
      <c r="R954" s="342"/>
      <c r="S954" s="341"/>
      <c r="T954" s="342"/>
      <c r="U954" s="342"/>
      <c r="V954" s="342"/>
      <c r="W954" s="342"/>
      <c r="X954" s="342"/>
      <c r="Y954" s="342"/>
      <c r="Z954" s="342"/>
    </row>
    <row r="955" ht="12.75" customHeight="1">
      <c r="A955" s="534"/>
      <c r="B955" s="534"/>
      <c r="C955" s="575"/>
      <c r="D955" s="585"/>
      <c r="E955" s="586"/>
      <c r="F955" s="342"/>
      <c r="G955" s="342"/>
      <c r="H955" s="342"/>
      <c r="I955" s="342"/>
      <c r="J955" s="342"/>
      <c r="K955" s="342"/>
      <c r="L955" s="342"/>
      <c r="M955" s="342"/>
      <c r="N955" s="342"/>
      <c r="O955" s="341"/>
      <c r="P955" s="341"/>
      <c r="Q955" s="342"/>
      <c r="R955" s="342"/>
      <c r="S955" s="341"/>
      <c r="T955" s="342"/>
      <c r="U955" s="342"/>
      <c r="V955" s="342"/>
      <c r="W955" s="342"/>
      <c r="X955" s="342"/>
      <c r="Y955" s="342"/>
      <c r="Z955" s="342"/>
    </row>
    <row r="956" ht="12.75" customHeight="1">
      <c r="A956" s="534"/>
      <c r="B956" s="534"/>
      <c r="C956" s="575"/>
      <c r="D956" s="585"/>
      <c r="E956" s="586"/>
      <c r="F956" s="342"/>
      <c r="G956" s="342"/>
      <c r="H956" s="342"/>
      <c r="I956" s="342"/>
      <c r="J956" s="342"/>
      <c r="K956" s="342"/>
      <c r="L956" s="342"/>
      <c r="M956" s="342"/>
      <c r="N956" s="342"/>
      <c r="O956" s="341"/>
      <c r="P956" s="341"/>
      <c r="Q956" s="342"/>
      <c r="R956" s="342"/>
      <c r="S956" s="341"/>
      <c r="T956" s="342"/>
      <c r="U956" s="342"/>
      <c r="V956" s="342"/>
      <c r="W956" s="342"/>
      <c r="X956" s="342"/>
      <c r="Y956" s="342"/>
      <c r="Z956" s="342"/>
    </row>
    <row r="957" ht="12.75" customHeight="1">
      <c r="A957" s="534"/>
      <c r="B957" s="534"/>
      <c r="C957" s="575"/>
      <c r="D957" s="585"/>
      <c r="E957" s="586"/>
      <c r="F957" s="342"/>
      <c r="G957" s="342"/>
      <c r="H957" s="342"/>
      <c r="I957" s="342"/>
      <c r="J957" s="342"/>
      <c r="K957" s="342"/>
      <c r="L957" s="342"/>
      <c r="M957" s="342"/>
      <c r="N957" s="342"/>
      <c r="O957" s="341"/>
      <c r="P957" s="341"/>
      <c r="Q957" s="342"/>
      <c r="R957" s="342"/>
      <c r="S957" s="341"/>
      <c r="T957" s="342"/>
      <c r="U957" s="342"/>
      <c r="V957" s="342"/>
      <c r="W957" s="342"/>
      <c r="X957" s="342"/>
      <c r="Y957" s="342"/>
      <c r="Z957" s="342"/>
    </row>
    <row r="958" ht="12.75" customHeight="1">
      <c r="A958" s="534"/>
      <c r="B958" s="534"/>
      <c r="C958" s="575"/>
      <c r="D958" s="585"/>
      <c r="E958" s="586"/>
      <c r="F958" s="342"/>
      <c r="G958" s="342"/>
      <c r="H958" s="342"/>
      <c r="I958" s="342"/>
      <c r="J958" s="342"/>
      <c r="K958" s="342"/>
      <c r="L958" s="342"/>
      <c r="M958" s="342"/>
      <c r="N958" s="342"/>
      <c r="O958" s="341"/>
      <c r="P958" s="341"/>
      <c r="Q958" s="342"/>
      <c r="R958" s="342"/>
      <c r="S958" s="341"/>
      <c r="T958" s="342"/>
      <c r="U958" s="342"/>
      <c r="V958" s="342"/>
      <c r="W958" s="342"/>
      <c r="X958" s="342"/>
      <c r="Y958" s="342"/>
      <c r="Z958" s="342"/>
    </row>
    <row r="959" ht="12.75" customHeight="1">
      <c r="A959" s="534"/>
      <c r="B959" s="534"/>
      <c r="C959" s="575"/>
      <c r="D959" s="585"/>
      <c r="E959" s="586"/>
      <c r="F959" s="342"/>
      <c r="G959" s="342"/>
      <c r="H959" s="342"/>
      <c r="I959" s="342"/>
      <c r="J959" s="342"/>
      <c r="K959" s="342"/>
      <c r="L959" s="342"/>
      <c r="M959" s="342"/>
      <c r="N959" s="342"/>
      <c r="O959" s="341"/>
      <c r="P959" s="341"/>
      <c r="Q959" s="342"/>
      <c r="R959" s="342"/>
      <c r="S959" s="341"/>
      <c r="T959" s="342"/>
      <c r="U959" s="342"/>
      <c r="V959" s="342"/>
      <c r="W959" s="342"/>
      <c r="X959" s="342"/>
      <c r="Y959" s="342"/>
      <c r="Z959" s="342"/>
    </row>
    <row r="960" ht="12.75" customHeight="1">
      <c r="A960" s="534"/>
      <c r="B960" s="534"/>
      <c r="C960" s="575"/>
      <c r="D960" s="585"/>
      <c r="E960" s="586"/>
      <c r="F960" s="342"/>
      <c r="G960" s="342"/>
      <c r="H960" s="342"/>
      <c r="I960" s="342"/>
      <c r="J960" s="342"/>
      <c r="K960" s="342"/>
      <c r="L960" s="342"/>
      <c r="M960" s="342"/>
      <c r="N960" s="342"/>
      <c r="O960" s="341"/>
      <c r="P960" s="341"/>
      <c r="Q960" s="342"/>
      <c r="R960" s="342"/>
      <c r="S960" s="341"/>
      <c r="T960" s="342"/>
      <c r="U960" s="342"/>
      <c r="V960" s="342"/>
      <c r="W960" s="342"/>
      <c r="X960" s="342"/>
      <c r="Y960" s="342"/>
      <c r="Z960" s="342"/>
    </row>
    <row r="961" ht="12.75" customHeight="1">
      <c r="A961" s="534"/>
      <c r="B961" s="534"/>
      <c r="C961" s="575"/>
      <c r="D961" s="585"/>
      <c r="E961" s="586"/>
      <c r="F961" s="342"/>
      <c r="G961" s="342"/>
      <c r="H961" s="342"/>
      <c r="I961" s="342"/>
      <c r="J961" s="342"/>
      <c r="K961" s="342"/>
      <c r="L961" s="342"/>
      <c r="M961" s="342"/>
      <c r="N961" s="342"/>
      <c r="O961" s="341"/>
      <c r="P961" s="341"/>
      <c r="Q961" s="342"/>
      <c r="R961" s="342"/>
      <c r="S961" s="341"/>
      <c r="T961" s="342"/>
      <c r="U961" s="342"/>
      <c r="V961" s="342"/>
      <c r="W961" s="342"/>
      <c r="X961" s="342"/>
      <c r="Y961" s="342"/>
      <c r="Z961" s="342"/>
    </row>
    <row r="962" ht="12.75" customHeight="1">
      <c r="A962" s="534"/>
      <c r="B962" s="534"/>
      <c r="C962" s="575"/>
      <c r="D962" s="585"/>
      <c r="E962" s="586"/>
      <c r="F962" s="342"/>
      <c r="G962" s="342"/>
      <c r="H962" s="342"/>
      <c r="I962" s="342"/>
      <c r="J962" s="342"/>
      <c r="K962" s="342"/>
      <c r="L962" s="342"/>
      <c r="M962" s="342"/>
      <c r="N962" s="342"/>
      <c r="O962" s="341"/>
      <c r="P962" s="341"/>
      <c r="Q962" s="342"/>
      <c r="R962" s="342"/>
      <c r="S962" s="341"/>
      <c r="T962" s="342"/>
      <c r="U962" s="342"/>
      <c r="V962" s="342"/>
      <c r="W962" s="342"/>
      <c r="X962" s="342"/>
      <c r="Y962" s="342"/>
      <c r="Z962" s="342"/>
    </row>
    <row r="963" ht="12.75" customHeight="1">
      <c r="A963" s="534"/>
      <c r="B963" s="534"/>
      <c r="C963" s="575"/>
      <c r="D963" s="585"/>
      <c r="E963" s="586"/>
      <c r="F963" s="342"/>
      <c r="G963" s="342"/>
      <c r="H963" s="342"/>
      <c r="I963" s="342"/>
      <c r="J963" s="342"/>
      <c r="K963" s="342"/>
      <c r="L963" s="342"/>
      <c r="M963" s="342"/>
      <c r="N963" s="342"/>
      <c r="O963" s="341"/>
      <c r="P963" s="341"/>
      <c r="Q963" s="342"/>
      <c r="R963" s="342"/>
      <c r="S963" s="341"/>
      <c r="T963" s="342"/>
      <c r="U963" s="342"/>
      <c r="V963" s="342"/>
      <c r="W963" s="342"/>
      <c r="X963" s="342"/>
      <c r="Y963" s="342"/>
      <c r="Z963" s="342"/>
    </row>
    <row r="964" ht="12.75" customHeight="1">
      <c r="A964" s="534"/>
      <c r="B964" s="534"/>
      <c r="C964" s="575"/>
      <c r="D964" s="585"/>
      <c r="E964" s="586"/>
      <c r="F964" s="342"/>
      <c r="G964" s="342"/>
      <c r="H964" s="342"/>
      <c r="I964" s="342"/>
      <c r="J964" s="342"/>
      <c r="K964" s="342"/>
      <c r="L964" s="342"/>
      <c r="M964" s="342"/>
      <c r="N964" s="342"/>
      <c r="O964" s="341"/>
      <c r="P964" s="341"/>
      <c r="Q964" s="342"/>
      <c r="R964" s="342"/>
      <c r="S964" s="341"/>
      <c r="T964" s="342"/>
      <c r="U964" s="342"/>
      <c r="V964" s="342"/>
      <c r="W964" s="342"/>
      <c r="X964" s="342"/>
      <c r="Y964" s="342"/>
      <c r="Z964" s="342"/>
    </row>
    <row r="965" ht="12.75" customHeight="1">
      <c r="A965" s="534"/>
      <c r="B965" s="534"/>
      <c r="C965" s="575"/>
      <c r="D965" s="585"/>
      <c r="E965" s="586"/>
      <c r="F965" s="342"/>
      <c r="G965" s="342"/>
      <c r="H965" s="342"/>
      <c r="I965" s="342"/>
      <c r="J965" s="342"/>
      <c r="K965" s="342"/>
      <c r="L965" s="342"/>
      <c r="M965" s="342"/>
      <c r="N965" s="342"/>
      <c r="O965" s="341"/>
      <c r="P965" s="341"/>
      <c r="Q965" s="342"/>
      <c r="R965" s="342"/>
      <c r="S965" s="341"/>
      <c r="T965" s="342"/>
      <c r="U965" s="342"/>
      <c r="V965" s="342"/>
      <c r="W965" s="342"/>
      <c r="X965" s="342"/>
      <c r="Y965" s="342"/>
      <c r="Z965" s="342"/>
    </row>
    <row r="966" ht="12.75" customHeight="1">
      <c r="A966" s="534"/>
      <c r="B966" s="534"/>
      <c r="C966" s="575"/>
      <c r="D966" s="585"/>
      <c r="E966" s="586"/>
      <c r="F966" s="342"/>
      <c r="G966" s="342"/>
      <c r="H966" s="342"/>
      <c r="I966" s="342"/>
      <c r="J966" s="342"/>
      <c r="K966" s="342"/>
      <c r="L966" s="342"/>
      <c r="M966" s="342"/>
      <c r="N966" s="342"/>
      <c r="O966" s="341"/>
      <c r="P966" s="341"/>
      <c r="Q966" s="342"/>
      <c r="R966" s="342"/>
      <c r="S966" s="341"/>
      <c r="T966" s="342"/>
      <c r="U966" s="342"/>
      <c r="V966" s="342"/>
      <c r="W966" s="342"/>
      <c r="X966" s="342"/>
      <c r="Y966" s="342"/>
      <c r="Z966" s="342"/>
    </row>
    <row r="967" ht="12.75" customHeight="1">
      <c r="A967" s="534"/>
      <c r="B967" s="534"/>
      <c r="C967" s="575"/>
      <c r="D967" s="585"/>
      <c r="E967" s="586"/>
      <c r="F967" s="342"/>
      <c r="G967" s="342"/>
      <c r="H967" s="342"/>
      <c r="I967" s="342"/>
      <c r="J967" s="342"/>
      <c r="K967" s="342"/>
      <c r="L967" s="342"/>
      <c r="M967" s="342"/>
      <c r="N967" s="342"/>
      <c r="O967" s="341"/>
      <c r="P967" s="341"/>
      <c r="Q967" s="342"/>
      <c r="R967" s="342"/>
      <c r="S967" s="341"/>
      <c r="T967" s="342"/>
      <c r="U967" s="342"/>
      <c r="V967" s="342"/>
      <c r="W967" s="342"/>
      <c r="X967" s="342"/>
      <c r="Y967" s="342"/>
      <c r="Z967" s="342"/>
    </row>
    <row r="968" ht="12.75" customHeight="1">
      <c r="A968" s="534"/>
      <c r="B968" s="534"/>
      <c r="C968" s="575"/>
      <c r="D968" s="585"/>
      <c r="E968" s="586"/>
      <c r="F968" s="342"/>
      <c r="G968" s="342"/>
      <c r="H968" s="342"/>
      <c r="I968" s="342"/>
      <c r="J968" s="342"/>
      <c r="K968" s="342"/>
      <c r="L968" s="342"/>
      <c r="M968" s="342"/>
      <c r="N968" s="342"/>
      <c r="O968" s="341"/>
      <c r="P968" s="341"/>
      <c r="Q968" s="342"/>
      <c r="R968" s="342"/>
      <c r="S968" s="341"/>
      <c r="T968" s="342"/>
      <c r="U968" s="342"/>
      <c r="V968" s="342"/>
      <c r="W968" s="342"/>
      <c r="X968" s="342"/>
      <c r="Y968" s="342"/>
      <c r="Z968" s="342"/>
    </row>
    <row r="969" ht="12.75" customHeight="1">
      <c r="A969" s="534"/>
      <c r="B969" s="534"/>
      <c r="C969" s="575"/>
      <c r="D969" s="585"/>
      <c r="E969" s="586"/>
      <c r="F969" s="342"/>
      <c r="G969" s="342"/>
      <c r="H969" s="342"/>
      <c r="I969" s="342"/>
      <c r="J969" s="342"/>
      <c r="K969" s="342"/>
      <c r="L969" s="342"/>
      <c r="M969" s="342"/>
      <c r="N969" s="342"/>
      <c r="O969" s="341"/>
      <c r="P969" s="341"/>
      <c r="Q969" s="342"/>
      <c r="R969" s="342"/>
      <c r="S969" s="341"/>
      <c r="T969" s="342"/>
      <c r="U969" s="342"/>
      <c r="V969" s="342"/>
      <c r="W969" s="342"/>
      <c r="X969" s="342"/>
      <c r="Y969" s="342"/>
      <c r="Z969" s="342"/>
    </row>
    <row r="970" ht="12.75" customHeight="1">
      <c r="A970" s="534"/>
      <c r="B970" s="534"/>
      <c r="C970" s="575"/>
      <c r="D970" s="585"/>
      <c r="E970" s="586"/>
      <c r="F970" s="342"/>
      <c r="G970" s="342"/>
      <c r="H970" s="342"/>
      <c r="I970" s="342"/>
      <c r="J970" s="342"/>
      <c r="K970" s="342"/>
      <c r="L970" s="342"/>
      <c r="M970" s="342"/>
      <c r="N970" s="342"/>
      <c r="O970" s="341"/>
      <c r="P970" s="341"/>
      <c r="Q970" s="342"/>
      <c r="R970" s="342"/>
      <c r="S970" s="341"/>
      <c r="T970" s="342"/>
      <c r="U970" s="342"/>
      <c r="V970" s="342"/>
      <c r="W970" s="342"/>
      <c r="X970" s="342"/>
      <c r="Y970" s="342"/>
      <c r="Z970" s="342"/>
    </row>
    <row r="971" ht="12.75" customHeight="1">
      <c r="A971" s="534"/>
      <c r="B971" s="534"/>
      <c r="C971" s="575"/>
      <c r="D971" s="585"/>
      <c r="E971" s="586"/>
      <c r="F971" s="342"/>
      <c r="G971" s="342"/>
      <c r="H971" s="342"/>
      <c r="I971" s="342"/>
      <c r="J971" s="342"/>
      <c r="K971" s="342"/>
      <c r="L971" s="342"/>
      <c r="M971" s="342"/>
      <c r="N971" s="342"/>
      <c r="O971" s="341"/>
      <c r="P971" s="341"/>
      <c r="Q971" s="342"/>
      <c r="R971" s="342"/>
      <c r="S971" s="341"/>
      <c r="T971" s="342"/>
      <c r="U971" s="342"/>
      <c r="V971" s="342"/>
      <c r="W971" s="342"/>
      <c r="X971" s="342"/>
      <c r="Y971" s="342"/>
      <c r="Z971" s="342"/>
    </row>
    <row r="972" ht="12.75" customHeight="1">
      <c r="A972" s="534"/>
      <c r="B972" s="534"/>
      <c r="C972" s="575"/>
      <c r="D972" s="585"/>
      <c r="E972" s="586"/>
      <c r="F972" s="342"/>
      <c r="G972" s="342"/>
      <c r="H972" s="342"/>
      <c r="I972" s="342"/>
      <c r="J972" s="342"/>
      <c r="K972" s="342"/>
      <c r="L972" s="342"/>
      <c r="M972" s="342"/>
      <c r="N972" s="342"/>
      <c r="O972" s="341"/>
      <c r="P972" s="341"/>
      <c r="Q972" s="342"/>
      <c r="R972" s="342"/>
      <c r="S972" s="341"/>
      <c r="T972" s="342"/>
      <c r="U972" s="342"/>
      <c r="V972" s="342"/>
      <c r="W972" s="342"/>
      <c r="X972" s="342"/>
      <c r="Y972" s="342"/>
      <c r="Z972" s="342"/>
    </row>
    <row r="973" ht="12.75" customHeight="1">
      <c r="A973" s="534"/>
      <c r="B973" s="534"/>
      <c r="C973" s="575"/>
      <c r="D973" s="585"/>
      <c r="E973" s="586"/>
      <c r="F973" s="342"/>
      <c r="G973" s="342"/>
      <c r="H973" s="342"/>
      <c r="I973" s="342"/>
      <c r="J973" s="342"/>
      <c r="K973" s="342"/>
      <c r="L973" s="342"/>
      <c r="M973" s="342"/>
      <c r="N973" s="342"/>
      <c r="O973" s="341"/>
      <c r="P973" s="341"/>
      <c r="Q973" s="342"/>
      <c r="R973" s="342"/>
      <c r="S973" s="341"/>
      <c r="T973" s="342"/>
      <c r="U973" s="342"/>
      <c r="V973" s="342"/>
      <c r="W973" s="342"/>
      <c r="X973" s="342"/>
      <c r="Y973" s="342"/>
      <c r="Z973" s="342"/>
    </row>
    <row r="974" ht="12.75" customHeight="1">
      <c r="A974" s="534"/>
      <c r="B974" s="534"/>
      <c r="C974" s="575"/>
      <c r="D974" s="585"/>
      <c r="E974" s="586"/>
      <c r="F974" s="342"/>
      <c r="G974" s="342"/>
      <c r="H974" s="342"/>
      <c r="I974" s="342"/>
      <c r="J974" s="342"/>
      <c r="K974" s="342"/>
      <c r="L974" s="342"/>
      <c r="M974" s="342"/>
      <c r="N974" s="342"/>
      <c r="O974" s="341"/>
      <c r="P974" s="341"/>
      <c r="Q974" s="342"/>
      <c r="R974" s="342"/>
      <c r="S974" s="341"/>
      <c r="T974" s="342"/>
      <c r="U974" s="342"/>
      <c r="V974" s="342"/>
      <c r="W974" s="342"/>
      <c r="X974" s="342"/>
      <c r="Y974" s="342"/>
      <c r="Z974" s="342"/>
    </row>
    <row r="975" ht="12.75" customHeight="1">
      <c r="A975" s="534"/>
      <c r="B975" s="534"/>
      <c r="C975" s="575"/>
      <c r="D975" s="585"/>
      <c r="E975" s="586"/>
      <c r="F975" s="342"/>
      <c r="G975" s="342"/>
      <c r="H975" s="342"/>
      <c r="I975" s="342"/>
      <c r="J975" s="342"/>
      <c r="K975" s="342"/>
      <c r="L975" s="342"/>
      <c r="M975" s="342"/>
      <c r="N975" s="342"/>
      <c r="O975" s="341"/>
      <c r="P975" s="341"/>
      <c r="Q975" s="342"/>
      <c r="R975" s="342"/>
      <c r="S975" s="341"/>
      <c r="T975" s="342"/>
      <c r="U975" s="342"/>
      <c r="V975" s="342"/>
      <c r="W975" s="342"/>
      <c r="X975" s="342"/>
      <c r="Y975" s="342"/>
      <c r="Z975" s="342"/>
    </row>
    <row r="976" ht="12.75" customHeight="1">
      <c r="A976" s="534"/>
      <c r="B976" s="534"/>
      <c r="C976" s="575"/>
      <c r="D976" s="585"/>
      <c r="E976" s="586"/>
      <c r="F976" s="342"/>
      <c r="G976" s="342"/>
      <c r="H976" s="342"/>
      <c r="I976" s="342"/>
      <c r="J976" s="342"/>
      <c r="K976" s="342"/>
      <c r="L976" s="342"/>
      <c r="M976" s="342"/>
      <c r="N976" s="342"/>
      <c r="O976" s="341"/>
      <c r="P976" s="341"/>
      <c r="Q976" s="342"/>
      <c r="R976" s="342"/>
      <c r="S976" s="341"/>
      <c r="T976" s="342"/>
      <c r="U976" s="342"/>
      <c r="V976" s="342"/>
      <c r="W976" s="342"/>
      <c r="X976" s="342"/>
      <c r="Y976" s="342"/>
      <c r="Z976" s="342"/>
    </row>
    <row r="977" ht="12.75" customHeight="1">
      <c r="A977" s="534"/>
      <c r="B977" s="534"/>
      <c r="C977" s="575"/>
      <c r="D977" s="585"/>
      <c r="E977" s="586"/>
      <c r="F977" s="342"/>
      <c r="G977" s="342"/>
      <c r="H977" s="342"/>
      <c r="I977" s="342"/>
      <c r="J977" s="342"/>
      <c r="K977" s="342"/>
      <c r="L977" s="342"/>
      <c r="M977" s="342"/>
      <c r="N977" s="342"/>
      <c r="O977" s="341"/>
      <c r="P977" s="341"/>
      <c r="Q977" s="342"/>
      <c r="R977" s="342"/>
      <c r="S977" s="341"/>
      <c r="T977" s="342"/>
      <c r="U977" s="342"/>
      <c r="V977" s="342"/>
      <c r="W977" s="342"/>
      <c r="X977" s="342"/>
      <c r="Y977" s="342"/>
      <c r="Z977" s="342"/>
    </row>
    <row r="978" ht="12.75" customHeight="1">
      <c r="A978" s="534"/>
      <c r="B978" s="534"/>
      <c r="C978" s="575"/>
      <c r="D978" s="585"/>
      <c r="E978" s="586"/>
      <c r="F978" s="342"/>
      <c r="G978" s="342"/>
      <c r="H978" s="342"/>
      <c r="I978" s="342"/>
      <c r="J978" s="342"/>
      <c r="K978" s="342"/>
      <c r="L978" s="342"/>
      <c r="M978" s="342"/>
      <c r="N978" s="342"/>
      <c r="O978" s="341"/>
      <c r="P978" s="341"/>
      <c r="Q978" s="342"/>
      <c r="R978" s="342"/>
      <c r="S978" s="341"/>
      <c r="T978" s="342"/>
      <c r="U978" s="342"/>
      <c r="V978" s="342"/>
      <c r="W978" s="342"/>
      <c r="X978" s="342"/>
      <c r="Y978" s="342"/>
      <c r="Z978" s="342"/>
    </row>
    <row r="979" ht="12.75" customHeight="1">
      <c r="A979" s="534"/>
      <c r="B979" s="534"/>
      <c r="C979" s="575"/>
      <c r="D979" s="585"/>
      <c r="E979" s="586"/>
      <c r="F979" s="342"/>
      <c r="G979" s="342"/>
      <c r="H979" s="342"/>
      <c r="I979" s="342"/>
      <c r="J979" s="342"/>
      <c r="K979" s="342"/>
      <c r="L979" s="342"/>
      <c r="M979" s="342"/>
      <c r="N979" s="342"/>
      <c r="O979" s="341"/>
      <c r="P979" s="341"/>
      <c r="Q979" s="342"/>
      <c r="R979" s="342"/>
      <c r="S979" s="341"/>
      <c r="T979" s="342"/>
      <c r="U979" s="342"/>
      <c r="V979" s="342"/>
      <c r="W979" s="342"/>
      <c r="X979" s="342"/>
      <c r="Y979" s="342"/>
      <c r="Z979" s="342"/>
    </row>
    <row r="980" ht="12.75" customHeight="1">
      <c r="A980" s="534"/>
      <c r="B980" s="534"/>
      <c r="C980" s="575"/>
      <c r="D980" s="585"/>
      <c r="E980" s="586"/>
      <c r="F980" s="342"/>
      <c r="G980" s="342"/>
      <c r="H980" s="342"/>
      <c r="I980" s="342"/>
      <c r="J980" s="342"/>
      <c r="K980" s="342"/>
      <c r="L980" s="342"/>
      <c r="M980" s="342"/>
      <c r="N980" s="342"/>
      <c r="O980" s="341"/>
      <c r="P980" s="341"/>
      <c r="Q980" s="342"/>
      <c r="R980" s="342"/>
      <c r="S980" s="341"/>
      <c r="T980" s="342"/>
      <c r="U980" s="342"/>
      <c r="V980" s="342"/>
      <c r="W980" s="342"/>
      <c r="X980" s="342"/>
      <c r="Y980" s="342"/>
      <c r="Z980" s="342"/>
    </row>
    <row r="981" ht="12.75" customHeight="1">
      <c r="A981" s="534"/>
      <c r="B981" s="534"/>
      <c r="C981" s="575"/>
      <c r="D981" s="585"/>
      <c r="E981" s="586"/>
      <c r="F981" s="342"/>
      <c r="G981" s="342"/>
      <c r="H981" s="342"/>
      <c r="I981" s="342"/>
      <c r="J981" s="342"/>
      <c r="K981" s="342"/>
      <c r="L981" s="342"/>
      <c r="M981" s="342"/>
      <c r="N981" s="342"/>
      <c r="O981" s="341"/>
      <c r="P981" s="341"/>
      <c r="Q981" s="342"/>
      <c r="R981" s="342"/>
      <c r="S981" s="341"/>
      <c r="T981" s="342"/>
      <c r="U981" s="342"/>
      <c r="V981" s="342"/>
      <c r="W981" s="342"/>
      <c r="X981" s="342"/>
      <c r="Y981" s="342"/>
      <c r="Z981" s="342"/>
    </row>
    <row r="982" ht="12.75" customHeight="1">
      <c r="A982" s="534"/>
      <c r="B982" s="534"/>
      <c r="C982" s="575"/>
      <c r="D982" s="585"/>
      <c r="E982" s="586"/>
      <c r="F982" s="342"/>
      <c r="G982" s="342"/>
      <c r="H982" s="342"/>
      <c r="I982" s="342"/>
      <c r="J982" s="342"/>
      <c r="K982" s="342"/>
      <c r="L982" s="342"/>
      <c r="M982" s="342"/>
      <c r="N982" s="342"/>
      <c r="O982" s="341"/>
      <c r="P982" s="341"/>
      <c r="Q982" s="342"/>
      <c r="R982" s="342"/>
      <c r="S982" s="341"/>
      <c r="T982" s="342"/>
      <c r="U982" s="342"/>
      <c r="V982" s="342"/>
      <c r="W982" s="342"/>
      <c r="X982" s="342"/>
      <c r="Y982" s="342"/>
      <c r="Z982" s="342"/>
    </row>
    <row r="983" ht="12.75" customHeight="1">
      <c r="A983" s="534"/>
      <c r="B983" s="534"/>
      <c r="C983" s="575"/>
      <c r="D983" s="585"/>
      <c r="E983" s="586"/>
      <c r="F983" s="342"/>
      <c r="G983" s="342"/>
      <c r="H983" s="342"/>
      <c r="I983" s="342"/>
      <c r="J983" s="342"/>
      <c r="K983" s="342"/>
      <c r="L983" s="342"/>
      <c r="M983" s="342"/>
      <c r="N983" s="342"/>
      <c r="O983" s="341"/>
      <c r="P983" s="341"/>
      <c r="Q983" s="342"/>
      <c r="R983" s="342"/>
      <c r="S983" s="341"/>
      <c r="T983" s="342"/>
      <c r="U983" s="342"/>
      <c r="V983" s="342"/>
      <c r="W983" s="342"/>
      <c r="X983" s="342"/>
      <c r="Y983" s="342"/>
      <c r="Z983" s="342"/>
    </row>
    <row r="984" ht="12.75" customHeight="1">
      <c r="A984" s="534"/>
      <c r="B984" s="534"/>
      <c r="C984" s="575"/>
      <c r="D984" s="585"/>
      <c r="E984" s="586"/>
      <c r="F984" s="342"/>
      <c r="G984" s="342"/>
      <c r="H984" s="342"/>
      <c r="I984" s="342"/>
      <c r="J984" s="342"/>
      <c r="K984" s="342"/>
      <c r="L984" s="342"/>
      <c r="M984" s="342"/>
      <c r="N984" s="342"/>
      <c r="O984" s="341"/>
      <c r="P984" s="341"/>
      <c r="Q984" s="342"/>
      <c r="R984" s="342"/>
      <c r="S984" s="341"/>
      <c r="T984" s="342"/>
      <c r="U984" s="342"/>
      <c r="V984" s="342"/>
      <c r="W984" s="342"/>
      <c r="X984" s="342"/>
      <c r="Y984" s="342"/>
      <c r="Z984" s="342"/>
    </row>
    <row r="985" ht="12.75" customHeight="1">
      <c r="A985" s="534"/>
      <c r="B985" s="534"/>
      <c r="C985" s="575"/>
      <c r="D985" s="585"/>
      <c r="E985" s="586"/>
      <c r="F985" s="342"/>
      <c r="G985" s="342"/>
      <c r="H985" s="342"/>
      <c r="I985" s="342"/>
      <c r="J985" s="342"/>
      <c r="K985" s="342"/>
      <c r="L985" s="342"/>
      <c r="M985" s="342"/>
      <c r="N985" s="342"/>
      <c r="O985" s="341"/>
      <c r="P985" s="341"/>
      <c r="Q985" s="342"/>
      <c r="R985" s="342"/>
      <c r="S985" s="341"/>
      <c r="T985" s="342"/>
      <c r="U985" s="342"/>
      <c r="V985" s="342"/>
      <c r="W985" s="342"/>
      <c r="X985" s="342"/>
      <c r="Y985" s="342"/>
      <c r="Z985" s="342"/>
    </row>
    <row r="986" ht="12.75" customHeight="1">
      <c r="A986" s="534"/>
      <c r="B986" s="534"/>
      <c r="C986" s="575"/>
      <c r="D986" s="585"/>
      <c r="E986" s="586"/>
      <c r="F986" s="342"/>
      <c r="G986" s="342"/>
      <c r="H986" s="342"/>
      <c r="I986" s="342"/>
      <c r="J986" s="342"/>
      <c r="K986" s="342"/>
      <c r="L986" s="342"/>
      <c r="M986" s="342"/>
      <c r="N986" s="342"/>
      <c r="O986" s="341"/>
      <c r="P986" s="341"/>
      <c r="Q986" s="342"/>
      <c r="R986" s="342"/>
      <c r="S986" s="341"/>
      <c r="T986" s="342"/>
      <c r="U986" s="342"/>
      <c r="V986" s="342"/>
      <c r="W986" s="342"/>
      <c r="X986" s="342"/>
      <c r="Y986" s="342"/>
      <c r="Z986" s="342"/>
    </row>
    <row r="987" ht="12.75" customHeight="1">
      <c r="A987" s="534"/>
      <c r="B987" s="534"/>
      <c r="C987" s="575"/>
      <c r="D987" s="585"/>
      <c r="E987" s="586"/>
      <c r="F987" s="342"/>
      <c r="G987" s="342"/>
      <c r="H987" s="342"/>
      <c r="I987" s="342"/>
      <c r="J987" s="342"/>
      <c r="K987" s="342"/>
      <c r="L987" s="342"/>
      <c r="M987" s="342"/>
      <c r="N987" s="342"/>
      <c r="O987" s="341"/>
      <c r="P987" s="341"/>
      <c r="Q987" s="342"/>
      <c r="R987" s="342"/>
      <c r="S987" s="341"/>
      <c r="T987" s="342"/>
      <c r="U987" s="342"/>
      <c r="V987" s="342"/>
      <c r="W987" s="342"/>
      <c r="X987" s="342"/>
      <c r="Y987" s="342"/>
      <c r="Z987" s="342"/>
    </row>
    <row r="988" ht="12.75" customHeight="1">
      <c r="A988" s="534"/>
      <c r="B988" s="534"/>
      <c r="C988" s="575"/>
      <c r="D988" s="585"/>
      <c r="E988" s="586"/>
      <c r="F988" s="342"/>
      <c r="G988" s="342"/>
      <c r="H988" s="342"/>
      <c r="I988" s="342"/>
      <c r="J988" s="342"/>
      <c r="K988" s="342"/>
      <c r="L988" s="342"/>
      <c r="M988" s="342"/>
      <c r="N988" s="342"/>
      <c r="O988" s="341"/>
      <c r="P988" s="341"/>
      <c r="Q988" s="342"/>
      <c r="R988" s="342"/>
      <c r="S988" s="341"/>
      <c r="T988" s="342"/>
      <c r="U988" s="342"/>
      <c r="V988" s="342"/>
      <c r="W988" s="342"/>
      <c r="X988" s="342"/>
      <c r="Y988" s="342"/>
      <c r="Z988" s="342"/>
    </row>
    <row r="989" ht="12.75" customHeight="1">
      <c r="A989" s="534"/>
      <c r="B989" s="534"/>
      <c r="C989" s="575"/>
      <c r="D989" s="585"/>
      <c r="E989" s="586"/>
      <c r="F989" s="342"/>
      <c r="G989" s="342"/>
      <c r="H989" s="342"/>
      <c r="I989" s="342"/>
      <c r="J989" s="342"/>
      <c r="K989" s="342"/>
      <c r="L989" s="342"/>
      <c r="M989" s="342"/>
      <c r="N989" s="342"/>
      <c r="O989" s="341"/>
      <c r="P989" s="341"/>
      <c r="Q989" s="342"/>
      <c r="R989" s="342"/>
      <c r="S989" s="341"/>
      <c r="T989" s="342"/>
      <c r="U989" s="342"/>
      <c r="V989" s="342"/>
      <c r="W989" s="342"/>
      <c r="X989" s="342"/>
      <c r="Y989" s="342"/>
      <c r="Z989" s="342"/>
    </row>
    <row r="990" ht="12.75" customHeight="1">
      <c r="A990" s="534"/>
      <c r="B990" s="534"/>
      <c r="C990" s="575"/>
      <c r="D990" s="585"/>
      <c r="E990" s="586"/>
      <c r="F990" s="342"/>
      <c r="G990" s="342"/>
      <c r="H990" s="342"/>
      <c r="I990" s="342"/>
      <c r="J990" s="342"/>
      <c r="K990" s="342"/>
      <c r="L990" s="342"/>
      <c r="M990" s="342"/>
      <c r="N990" s="342"/>
      <c r="O990" s="341"/>
      <c r="P990" s="341"/>
      <c r="Q990" s="342"/>
      <c r="R990" s="342"/>
      <c r="S990" s="341"/>
      <c r="T990" s="342"/>
      <c r="U990" s="342"/>
      <c r="V990" s="342"/>
      <c r="W990" s="342"/>
      <c r="X990" s="342"/>
      <c r="Y990" s="342"/>
      <c r="Z990" s="342"/>
    </row>
    <row r="991" ht="12.75" customHeight="1">
      <c r="A991" s="534"/>
      <c r="B991" s="534"/>
      <c r="C991" s="575"/>
      <c r="D991" s="585"/>
      <c r="E991" s="586"/>
      <c r="F991" s="342"/>
      <c r="G991" s="342"/>
      <c r="H991" s="342"/>
      <c r="I991" s="342"/>
      <c r="J991" s="342"/>
      <c r="K991" s="342"/>
      <c r="L991" s="342"/>
      <c r="M991" s="342"/>
      <c r="N991" s="342"/>
      <c r="O991" s="341"/>
      <c r="P991" s="341"/>
      <c r="Q991" s="342"/>
      <c r="R991" s="342"/>
      <c r="S991" s="341"/>
      <c r="T991" s="342"/>
      <c r="U991" s="342"/>
      <c r="V991" s="342"/>
      <c r="W991" s="342"/>
      <c r="X991" s="342"/>
      <c r="Y991" s="342"/>
      <c r="Z991" s="342"/>
    </row>
    <row r="992" ht="12.75" customHeight="1">
      <c r="A992" s="534"/>
      <c r="B992" s="534"/>
      <c r="C992" s="575"/>
      <c r="D992" s="585"/>
      <c r="E992" s="586"/>
      <c r="F992" s="342"/>
      <c r="G992" s="342"/>
      <c r="H992" s="342"/>
      <c r="I992" s="342"/>
      <c r="J992" s="342"/>
      <c r="K992" s="342"/>
      <c r="L992" s="342"/>
      <c r="M992" s="342"/>
      <c r="N992" s="342"/>
      <c r="O992" s="341"/>
      <c r="P992" s="341"/>
      <c r="Q992" s="342"/>
      <c r="R992" s="342"/>
      <c r="S992" s="341"/>
      <c r="T992" s="342"/>
      <c r="U992" s="342"/>
      <c r="V992" s="342"/>
      <c r="W992" s="342"/>
      <c r="X992" s="342"/>
      <c r="Y992" s="342"/>
      <c r="Z992" s="342"/>
    </row>
    <row r="993" ht="12.75" customHeight="1">
      <c r="A993" s="534"/>
      <c r="B993" s="534"/>
      <c r="C993" s="575"/>
      <c r="D993" s="585"/>
      <c r="E993" s="586"/>
      <c r="F993" s="342"/>
      <c r="G993" s="342"/>
      <c r="H993" s="342"/>
      <c r="I993" s="342"/>
      <c r="J993" s="342"/>
      <c r="K993" s="342"/>
      <c r="L993" s="342"/>
      <c r="M993" s="342"/>
      <c r="N993" s="342"/>
      <c r="O993" s="341"/>
      <c r="P993" s="341"/>
      <c r="Q993" s="342"/>
      <c r="R993" s="342"/>
      <c r="S993" s="341"/>
      <c r="T993" s="342"/>
      <c r="U993" s="342"/>
      <c r="V993" s="342"/>
      <c r="W993" s="342"/>
      <c r="X993" s="342"/>
      <c r="Y993" s="342"/>
      <c r="Z993" s="342"/>
    </row>
    <row r="994" ht="12.75" customHeight="1">
      <c r="A994" s="534"/>
      <c r="B994" s="534"/>
      <c r="C994" s="575"/>
      <c r="D994" s="585"/>
      <c r="E994" s="586"/>
      <c r="F994" s="342"/>
      <c r="G994" s="342"/>
      <c r="H994" s="342"/>
      <c r="I994" s="342"/>
      <c r="J994" s="342"/>
      <c r="K994" s="342"/>
      <c r="L994" s="342"/>
      <c r="M994" s="342"/>
      <c r="N994" s="342"/>
      <c r="O994" s="341"/>
      <c r="P994" s="341"/>
      <c r="Q994" s="342"/>
      <c r="R994" s="342"/>
      <c r="S994" s="341"/>
      <c r="T994" s="342"/>
      <c r="U994" s="342"/>
      <c r="V994" s="342"/>
      <c r="W994" s="342"/>
      <c r="X994" s="342"/>
      <c r="Y994" s="342"/>
      <c r="Z994" s="342"/>
    </row>
    <row r="995" ht="12.75" customHeight="1">
      <c r="A995" s="534"/>
      <c r="B995" s="534"/>
      <c r="C995" s="575"/>
      <c r="D995" s="585"/>
      <c r="E995" s="586"/>
      <c r="F995" s="342"/>
      <c r="G995" s="342"/>
      <c r="H995" s="342"/>
      <c r="I995" s="342"/>
      <c r="J995" s="342"/>
      <c r="K995" s="342"/>
      <c r="L995" s="342"/>
      <c r="M995" s="342"/>
      <c r="N995" s="342"/>
      <c r="O995" s="341"/>
      <c r="P995" s="341"/>
      <c r="Q995" s="342"/>
      <c r="R995" s="342"/>
      <c r="S995" s="341"/>
      <c r="T995" s="342"/>
      <c r="U995" s="342"/>
      <c r="V995" s="342"/>
      <c r="W995" s="342"/>
      <c r="X995" s="342"/>
      <c r="Y995" s="342"/>
      <c r="Z995" s="342"/>
    </row>
    <row r="996" ht="12.75" customHeight="1">
      <c r="A996" s="534"/>
      <c r="B996" s="534"/>
      <c r="C996" s="575"/>
      <c r="D996" s="585"/>
      <c r="E996" s="586"/>
      <c r="F996" s="342"/>
      <c r="G996" s="342"/>
      <c r="H996" s="342"/>
      <c r="I996" s="342"/>
      <c r="J996" s="342"/>
      <c r="K996" s="342"/>
      <c r="L996" s="342"/>
      <c r="M996" s="342"/>
      <c r="N996" s="342"/>
      <c r="O996" s="341"/>
      <c r="P996" s="341"/>
      <c r="Q996" s="342"/>
      <c r="R996" s="342"/>
      <c r="S996" s="341"/>
      <c r="T996" s="342"/>
      <c r="U996" s="342"/>
      <c r="V996" s="342"/>
      <c r="W996" s="342"/>
      <c r="X996" s="342"/>
      <c r="Y996" s="342"/>
      <c r="Z996" s="342"/>
    </row>
    <row r="997" ht="12.75" customHeight="1">
      <c r="A997" s="534"/>
      <c r="B997" s="534"/>
      <c r="C997" s="575"/>
      <c r="D997" s="585"/>
      <c r="E997" s="586"/>
      <c r="F997" s="342"/>
      <c r="G997" s="342"/>
      <c r="H997" s="342"/>
      <c r="I997" s="342"/>
      <c r="J997" s="342"/>
      <c r="K997" s="342"/>
      <c r="L997" s="342"/>
      <c r="M997" s="342"/>
      <c r="N997" s="342"/>
      <c r="O997" s="341"/>
      <c r="P997" s="341"/>
      <c r="Q997" s="342"/>
      <c r="R997" s="342"/>
      <c r="S997" s="341"/>
      <c r="T997" s="342"/>
      <c r="U997" s="342"/>
      <c r="V997" s="342"/>
      <c r="W997" s="342"/>
      <c r="X997" s="342"/>
      <c r="Y997" s="342"/>
      <c r="Z997" s="342"/>
    </row>
    <row r="998" ht="12.75" customHeight="1">
      <c r="A998" s="534"/>
      <c r="B998" s="534"/>
      <c r="C998" s="575"/>
      <c r="D998" s="585"/>
      <c r="E998" s="586"/>
      <c r="F998" s="342"/>
      <c r="G998" s="342"/>
      <c r="H998" s="342"/>
      <c r="I998" s="342"/>
      <c r="J998" s="342"/>
      <c r="K998" s="342"/>
      <c r="L998" s="342"/>
      <c r="M998" s="342"/>
      <c r="N998" s="342"/>
      <c r="O998" s="341"/>
      <c r="P998" s="341"/>
      <c r="Q998" s="342"/>
      <c r="R998" s="342"/>
      <c r="S998" s="341"/>
      <c r="T998" s="342"/>
      <c r="U998" s="342"/>
      <c r="V998" s="342"/>
      <c r="W998" s="342"/>
      <c r="X998" s="342"/>
      <c r="Y998" s="342"/>
      <c r="Z998" s="342"/>
    </row>
    <row r="999" ht="12.75" customHeight="1">
      <c r="A999" s="534"/>
      <c r="B999" s="534"/>
      <c r="C999" s="575"/>
      <c r="D999" s="585"/>
      <c r="E999" s="586"/>
      <c r="F999" s="342"/>
      <c r="G999" s="342"/>
      <c r="H999" s="342"/>
      <c r="I999" s="342"/>
      <c r="J999" s="342"/>
      <c r="K999" s="342"/>
      <c r="L999" s="342"/>
      <c r="M999" s="342"/>
      <c r="N999" s="342"/>
      <c r="O999" s="341"/>
      <c r="P999" s="341"/>
      <c r="Q999" s="342"/>
      <c r="R999" s="342"/>
      <c r="S999" s="341"/>
      <c r="T999" s="342"/>
      <c r="U999" s="342"/>
      <c r="V999" s="342"/>
      <c r="W999" s="342"/>
      <c r="X999" s="342"/>
      <c r="Y999" s="342"/>
      <c r="Z999" s="342"/>
    </row>
    <row r="1000" ht="12.75" customHeight="1">
      <c r="A1000" s="534"/>
      <c r="B1000" s="534"/>
      <c r="C1000" s="575"/>
      <c r="D1000" s="585"/>
      <c r="E1000" s="586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1"/>
      <c r="P1000" s="341"/>
      <c r="Q1000" s="342"/>
      <c r="R1000" s="342"/>
      <c r="S1000" s="341"/>
      <c r="T1000" s="342"/>
      <c r="U1000" s="342"/>
      <c r="V1000" s="342"/>
      <c r="W1000" s="342"/>
      <c r="X1000" s="342"/>
      <c r="Y1000" s="342"/>
      <c r="Z1000" s="342"/>
    </row>
    <row r="1001" ht="12.75" customHeight="1">
      <c r="A1001" s="534"/>
      <c r="B1001" s="534"/>
      <c r="C1001" s="575"/>
      <c r="D1001" s="585"/>
      <c r="E1001" s="586"/>
      <c r="F1001" s="342"/>
      <c r="G1001" s="342"/>
      <c r="H1001" s="342"/>
      <c r="I1001" s="342"/>
      <c r="J1001" s="342"/>
      <c r="K1001" s="342"/>
      <c r="L1001" s="342"/>
      <c r="M1001" s="342"/>
      <c r="N1001" s="342"/>
      <c r="O1001" s="341"/>
      <c r="P1001" s="341"/>
      <c r="Q1001" s="342"/>
      <c r="R1001" s="342"/>
      <c r="S1001" s="341"/>
      <c r="T1001" s="342"/>
      <c r="U1001" s="342"/>
      <c r="V1001" s="342"/>
      <c r="W1001" s="342"/>
      <c r="X1001" s="342"/>
      <c r="Y1001" s="342"/>
      <c r="Z1001" s="342"/>
    </row>
    <row r="1002" ht="12.75" customHeight="1">
      <c r="A1002" s="534"/>
      <c r="B1002" s="534"/>
      <c r="C1002" s="575"/>
      <c r="D1002" s="585"/>
      <c r="E1002" s="586"/>
      <c r="F1002" s="342"/>
      <c r="G1002" s="342"/>
      <c r="H1002" s="342"/>
      <c r="I1002" s="342"/>
      <c r="J1002" s="342"/>
      <c r="K1002" s="342"/>
      <c r="L1002" s="342"/>
      <c r="M1002" s="342"/>
      <c r="N1002" s="342"/>
      <c r="O1002" s="341"/>
      <c r="P1002" s="341"/>
      <c r="Q1002" s="342"/>
      <c r="R1002" s="342"/>
      <c r="S1002" s="341"/>
      <c r="T1002" s="342"/>
      <c r="U1002" s="342"/>
      <c r="V1002" s="342"/>
      <c r="W1002" s="342"/>
      <c r="X1002" s="342"/>
      <c r="Y1002" s="342"/>
      <c r="Z1002" s="342"/>
    </row>
    <row r="1003" ht="12.75" customHeight="1">
      <c r="A1003" s="534"/>
      <c r="B1003" s="534"/>
      <c r="C1003" s="575"/>
      <c r="D1003" s="585"/>
      <c r="E1003" s="586"/>
      <c r="F1003" s="342"/>
      <c r="G1003" s="342"/>
      <c r="H1003" s="342"/>
      <c r="I1003" s="342"/>
      <c r="J1003" s="342"/>
      <c r="K1003" s="342"/>
      <c r="L1003" s="342"/>
      <c r="M1003" s="342"/>
      <c r="N1003" s="342"/>
      <c r="O1003" s="341"/>
      <c r="P1003" s="341"/>
      <c r="Q1003" s="342"/>
      <c r="R1003" s="342"/>
      <c r="S1003" s="341"/>
      <c r="T1003" s="342"/>
      <c r="U1003" s="342"/>
      <c r="V1003" s="342"/>
      <c r="W1003" s="342"/>
      <c r="X1003" s="342"/>
      <c r="Y1003" s="342"/>
      <c r="Z1003" s="342"/>
    </row>
    <row r="1004" ht="12.75" customHeight="1">
      <c r="A1004" s="534"/>
      <c r="B1004" s="534"/>
      <c r="C1004" s="575"/>
      <c r="D1004" s="585"/>
      <c r="E1004" s="586"/>
      <c r="F1004" s="342"/>
      <c r="G1004" s="342"/>
      <c r="H1004" s="342"/>
      <c r="I1004" s="342"/>
      <c r="J1004" s="342"/>
      <c r="K1004" s="342"/>
      <c r="L1004" s="342"/>
      <c r="M1004" s="342"/>
      <c r="N1004" s="342"/>
      <c r="O1004" s="341"/>
      <c r="P1004" s="341"/>
      <c r="Q1004" s="342"/>
      <c r="R1004" s="342"/>
      <c r="S1004" s="341"/>
      <c r="T1004" s="342"/>
      <c r="U1004" s="342"/>
      <c r="V1004" s="342"/>
      <c r="W1004" s="342"/>
      <c r="X1004" s="342"/>
      <c r="Y1004" s="342"/>
      <c r="Z1004" s="342"/>
    </row>
    <row r="1005" ht="12.75" customHeight="1">
      <c r="A1005" s="534"/>
      <c r="B1005" s="534"/>
      <c r="C1005" s="575"/>
      <c r="D1005" s="585"/>
      <c r="E1005" s="586"/>
      <c r="F1005" s="342"/>
      <c r="G1005" s="342"/>
      <c r="H1005" s="342"/>
      <c r="I1005" s="342"/>
      <c r="J1005" s="342"/>
      <c r="K1005" s="342"/>
      <c r="L1005" s="342"/>
      <c r="M1005" s="342"/>
      <c r="N1005" s="342"/>
      <c r="O1005" s="341"/>
      <c r="P1005" s="341"/>
      <c r="Q1005" s="342"/>
      <c r="R1005" s="342"/>
      <c r="S1005" s="341"/>
      <c r="T1005" s="342"/>
      <c r="U1005" s="342"/>
      <c r="V1005" s="342"/>
      <c r="W1005" s="342"/>
      <c r="X1005" s="342"/>
      <c r="Y1005" s="342"/>
      <c r="Z1005" s="342"/>
    </row>
    <row r="1006" ht="12.75" customHeight="1">
      <c r="A1006" s="534"/>
      <c r="B1006" s="534"/>
      <c r="C1006" s="575"/>
      <c r="D1006" s="585"/>
      <c r="E1006" s="586"/>
      <c r="F1006" s="342"/>
      <c r="G1006" s="342"/>
      <c r="H1006" s="342"/>
      <c r="I1006" s="342"/>
      <c r="J1006" s="342"/>
      <c r="K1006" s="342"/>
      <c r="L1006" s="342"/>
      <c r="M1006" s="342"/>
      <c r="N1006" s="342"/>
      <c r="O1006" s="341"/>
      <c r="P1006" s="341"/>
      <c r="Q1006" s="342"/>
      <c r="R1006" s="342"/>
      <c r="S1006" s="341"/>
      <c r="T1006" s="342"/>
      <c r="U1006" s="342"/>
      <c r="V1006" s="342"/>
      <c r="W1006" s="342"/>
      <c r="X1006" s="342"/>
      <c r="Y1006" s="342"/>
      <c r="Z1006" s="342"/>
    </row>
    <row r="1007" ht="12.75" customHeight="1">
      <c r="A1007" s="534"/>
      <c r="B1007" s="534"/>
      <c r="C1007" s="575"/>
      <c r="D1007" s="585"/>
      <c r="E1007" s="586"/>
      <c r="F1007" s="342"/>
      <c r="G1007" s="342"/>
      <c r="H1007" s="342"/>
      <c r="I1007" s="342"/>
      <c r="J1007" s="342"/>
      <c r="K1007" s="342"/>
      <c r="L1007" s="342"/>
      <c r="M1007" s="342"/>
      <c r="N1007" s="342"/>
      <c r="O1007" s="341"/>
      <c r="P1007" s="341"/>
      <c r="Q1007" s="342"/>
      <c r="R1007" s="342"/>
      <c r="S1007" s="341"/>
      <c r="T1007" s="342"/>
      <c r="U1007" s="342"/>
      <c r="V1007" s="342"/>
      <c r="W1007" s="342"/>
      <c r="X1007" s="342"/>
      <c r="Y1007" s="342"/>
      <c r="Z1007" s="342"/>
    </row>
    <row r="1008" ht="12.75" customHeight="1">
      <c r="A1008" s="534"/>
      <c r="B1008" s="534"/>
      <c r="C1008" s="575"/>
      <c r="D1008" s="585"/>
      <c r="E1008" s="586"/>
      <c r="F1008" s="342"/>
      <c r="G1008" s="342"/>
      <c r="H1008" s="342"/>
      <c r="I1008" s="342"/>
      <c r="J1008" s="342"/>
      <c r="K1008" s="342"/>
      <c r="L1008" s="342"/>
      <c r="M1008" s="342"/>
      <c r="N1008" s="342"/>
      <c r="O1008" s="341"/>
      <c r="P1008" s="341"/>
      <c r="Q1008" s="342"/>
      <c r="R1008" s="342"/>
      <c r="S1008" s="341"/>
      <c r="T1008" s="342"/>
      <c r="U1008" s="342"/>
      <c r="V1008" s="342"/>
      <c r="W1008" s="342"/>
      <c r="X1008" s="342"/>
      <c r="Y1008" s="342"/>
      <c r="Z1008" s="342"/>
    </row>
    <row r="1009" ht="12.75" customHeight="1">
      <c r="A1009" s="534"/>
      <c r="B1009" s="534"/>
      <c r="C1009" s="575"/>
      <c r="D1009" s="585"/>
      <c r="E1009" s="586"/>
      <c r="F1009" s="342"/>
      <c r="G1009" s="342"/>
      <c r="H1009" s="342"/>
      <c r="I1009" s="342"/>
      <c r="J1009" s="342"/>
      <c r="K1009" s="342"/>
      <c r="L1009" s="342"/>
      <c r="M1009" s="342"/>
      <c r="N1009" s="342"/>
      <c r="O1009" s="341"/>
      <c r="P1009" s="341"/>
      <c r="Q1009" s="342"/>
      <c r="R1009" s="342"/>
      <c r="S1009" s="341"/>
      <c r="T1009" s="342"/>
      <c r="U1009" s="342"/>
      <c r="V1009" s="342"/>
      <c r="W1009" s="342"/>
      <c r="X1009" s="342"/>
      <c r="Y1009" s="342"/>
      <c r="Z1009" s="342"/>
    </row>
    <row r="1010" ht="12.75" customHeight="1">
      <c r="A1010" s="534"/>
      <c r="B1010" s="534"/>
      <c r="C1010" s="575"/>
      <c r="D1010" s="585"/>
      <c r="E1010" s="586"/>
      <c r="F1010" s="342"/>
      <c r="G1010" s="342"/>
      <c r="H1010" s="342"/>
      <c r="I1010" s="342"/>
      <c r="J1010" s="342"/>
      <c r="K1010" s="342"/>
      <c r="L1010" s="342"/>
      <c r="M1010" s="342"/>
      <c r="N1010" s="342"/>
      <c r="O1010" s="341"/>
      <c r="P1010" s="341"/>
      <c r="Q1010" s="342"/>
      <c r="R1010" s="342"/>
      <c r="S1010" s="341"/>
      <c r="T1010" s="342"/>
      <c r="U1010" s="342"/>
      <c r="V1010" s="342"/>
      <c r="W1010" s="342"/>
      <c r="X1010" s="342"/>
      <c r="Y1010" s="342"/>
      <c r="Z1010" s="342"/>
    </row>
    <row r="1011" ht="12.75" customHeight="1">
      <c r="A1011" s="534"/>
      <c r="B1011" s="534"/>
      <c r="C1011" s="575"/>
      <c r="D1011" s="585"/>
      <c r="E1011" s="586"/>
      <c r="F1011" s="342"/>
      <c r="G1011" s="342"/>
      <c r="H1011" s="342"/>
      <c r="I1011" s="342"/>
      <c r="J1011" s="342"/>
      <c r="K1011" s="342"/>
      <c r="L1011" s="342"/>
      <c r="M1011" s="342"/>
      <c r="N1011" s="342"/>
      <c r="O1011" s="341"/>
      <c r="P1011" s="341"/>
      <c r="Q1011" s="342"/>
      <c r="R1011" s="342"/>
      <c r="S1011" s="341"/>
      <c r="T1011" s="342"/>
      <c r="U1011" s="342"/>
      <c r="V1011" s="342"/>
      <c r="W1011" s="342"/>
      <c r="X1011" s="342"/>
      <c r="Y1011" s="342"/>
      <c r="Z1011" s="342"/>
    </row>
    <row r="1012" ht="12.75" customHeight="1">
      <c r="A1012" s="534"/>
      <c r="B1012" s="534"/>
      <c r="C1012" s="575"/>
      <c r="D1012" s="585"/>
      <c r="E1012" s="586"/>
      <c r="F1012" s="342"/>
      <c r="G1012" s="342"/>
      <c r="H1012" s="342"/>
      <c r="I1012" s="342"/>
      <c r="J1012" s="342"/>
      <c r="K1012" s="342"/>
      <c r="L1012" s="342"/>
      <c r="M1012" s="342"/>
      <c r="N1012" s="342"/>
      <c r="O1012" s="341"/>
      <c r="P1012" s="341"/>
      <c r="Q1012" s="342"/>
      <c r="R1012" s="342"/>
      <c r="S1012" s="341"/>
      <c r="T1012" s="342"/>
      <c r="U1012" s="342"/>
      <c r="V1012" s="342"/>
      <c r="W1012" s="342"/>
      <c r="X1012" s="342"/>
      <c r="Y1012" s="342"/>
      <c r="Z1012" s="342"/>
    </row>
    <row r="1013" ht="12.75" customHeight="1">
      <c r="A1013" s="534"/>
      <c r="B1013" s="534"/>
      <c r="C1013" s="575"/>
      <c r="D1013" s="585"/>
      <c r="E1013" s="586"/>
      <c r="F1013" s="342"/>
      <c r="G1013" s="342"/>
      <c r="H1013" s="342"/>
      <c r="I1013" s="342"/>
      <c r="J1013" s="342"/>
      <c r="K1013" s="342"/>
      <c r="L1013" s="342"/>
      <c r="M1013" s="342"/>
      <c r="N1013" s="342"/>
      <c r="O1013" s="341"/>
      <c r="P1013" s="341"/>
      <c r="Q1013" s="342"/>
      <c r="R1013" s="342"/>
      <c r="S1013" s="341"/>
      <c r="T1013" s="342"/>
      <c r="U1013" s="342"/>
      <c r="V1013" s="342"/>
      <c r="W1013" s="342"/>
      <c r="X1013" s="342"/>
      <c r="Y1013" s="342"/>
      <c r="Z1013" s="342"/>
    </row>
    <row r="1014" ht="12.75" customHeight="1">
      <c r="A1014" s="534"/>
      <c r="B1014" s="534"/>
      <c r="C1014" s="575"/>
      <c r="D1014" s="585"/>
      <c r="E1014" s="586"/>
      <c r="F1014" s="342"/>
      <c r="G1014" s="342"/>
      <c r="H1014" s="342"/>
      <c r="I1014" s="342"/>
      <c r="J1014" s="342"/>
      <c r="K1014" s="342"/>
      <c r="L1014" s="342"/>
      <c r="M1014" s="342"/>
      <c r="N1014" s="342"/>
      <c r="O1014" s="341"/>
      <c r="P1014" s="341"/>
      <c r="Q1014" s="342"/>
      <c r="R1014" s="342"/>
      <c r="S1014" s="341"/>
      <c r="T1014" s="342"/>
      <c r="U1014" s="342"/>
      <c r="V1014" s="342"/>
      <c r="W1014" s="342"/>
      <c r="X1014" s="342"/>
      <c r="Y1014" s="342"/>
      <c r="Z1014" s="342"/>
    </row>
    <row r="1015" ht="12.75" customHeight="1">
      <c r="A1015" s="534"/>
      <c r="B1015" s="534"/>
      <c r="C1015" s="575"/>
      <c r="D1015" s="585"/>
      <c r="E1015" s="586"/>
      <c r="F1015" s="342"/>
      <c r="G1015" s="342"/>
      <c r="H1015" s="342"/>
      <c r="I1015" s="342"/>
      <c r="J1015" s="342"/>
      <c r="K1015" s="342"/>
      <c r="L1015" s="342"/>
      <c r="M1015" s="342"/>
      <c r="N1015" s="342"/>
      <c r="O1015" s="341"/>
      <c r="P1015" s="341"/>
      <c r="Q1015" s="342"/>
      <c r="R1015" s="342"/>
      <c r="S1015" s="341"/>
      <c r="T1015" s="342"/>
      <c r="U1015" s="342"/>
      <c r="V1015" s="342"/>
      <c r="W1015" s="342"/>
      <c r="X1015" s="342"/>
      <c r="Y1015" s="342"/>
      <c r="Z1015" s="342"/>
    </row>
    <row r="1016" ht="12.75" customHeight="1">
      <c r="A1016" s="534"/>
      <c r="B1016" s="534"/>
      <c r="C1016" s="575"/>
      <c r="D1016" s="585"/>
      <c r="E1016" s="586"/>
      <c r="F1016" s="342"/>
      <c r="G1016" s="342"/>
      <c r="H1016" s="342"/>
      <c r="I1016" s="342"/>
      <c r="J1016" s="342"/>
      <c r="K1016" s="342"/>
      <c r="L1016" s="342"/>
      <c r="M1016" s="342"/>
      <c r="N1016" s="342"/>
      <c r="O1016" s="341"/>
      <c r="P1016" s="341"/>
      <c r="Q1016" s="342"/>
      <c r="R1016" s="342"/>
      <c r="S1016" s="341"/>
      <c r="T1016" s="342"/>
      <c r="U1016" s="342"/>
      <c r="V1016" s="342"/>
      <c r="W1016" s="342"/>
      <c r="X1016" s="342"/>
      <c r="Y1016" s="342"/>
      <c r="Z1016" s="342"/>
    </row>
    <row r="1017" ht="12.75" customHeight="1">
      <c r="A1017" s="534"/>
      <c r="B1017" s="534"/>
      <c r="C1017" s="575"/>
      <c r="D1017" s="585"/>
      <c r="E1017" s="586"/>
      <c r="F1017" s="342"/>
      <c r="G1017" s="342"/>
      <c r="H1017" s="342"/>
      <c r="I1017" s="342"/>
      <c r="J1017" s="342"/>
      <c r="K1017" s="342"/>
      <c r="L1017" s="342"/>
      <c r="M1017" s="342"/>
      <c r="N1017" s="342"/>
      <c r="O1017" s="341"/>
      <c r="P1017" s="341"/>
      <c r="Q1017" s="342"/>
      <c r="R1017" s="342"/>
      <c r="S1017" s="341"/>
      <c r="T1017" s="342"/>
      <c r="U1017" s="342"/>
      <c r="V1017" s="342"/>
      <c r="W1017" s="342"/>
      <c r="X1017" s="342"/>
      <c r="Y1017" s="342"/>
      <c r="Z1017" s="342"/>
    </row>
    <row r="1018" ht="12.75" customHeight="1">
      <c r="A1018" s="534"/>
      <c r="B1018" s="534"/>
      <c r="C1018" s="575"/>
      <c r="D1018" s="585"/>
      <c r="E1018" s="586"/>
      <c r="F1018" s="342"/>
      <c r="G1018" s="342"/>
      <c r="H1018" s="342"/>
      <c r="I1018" s="342"/>
      <c r="J1018" s="342"/>
      <c r="K1018" s="342"/>
      <c r="L1018" s="342"/>
      <c r="M1018" s="342"/>
      <c r="N1018" s="342"/>
      <c r="O1018" s="341"/>
      <c r="P1018" s="341"/>
      <c r="Q1018" s="342"/>
      <c r="R1018" s="342"/>
      <c r="S1018" s="341"/>
      <c r="T1018" s="342"/>
      <c r="U1018" s="342"/>
      <c r="V1018" s="342"/>
      <c r="W1018" s="342"/>
      <c r="X1018" s="342"/>
      <c r="Y1018" s="342"/>
      <c r="Z1018" s="342"/>
    </row>
    <row r="1019" ht="12.75" customHeight="1">
      <c r="A1019" s="534"/>
      <c r="B1019" s="534"/>
      <c r="C1019" s="575"/>
      <c r="D1019" s="585"/>
      <c r="E1019" s="586"/>
      <c r="F1019" s="342"/>
      <c r="G1019" s="342"/>
      <c r="H1019" s="342"/>
      <c r="I1019" s="342"/>
      <c r="J1019" s="342"/>
      <c r="K1019" s="342"/>
      <c r="L1019" s="342"/>
      <c r="M1019" s="342"/>
      <c r="N1019" s="342"/>
      <c r="O1019" s="341"/>
      <c r="P1019" s="341"/>
      <c r="Q1019" s="342"/>
      <c r="R1019" s="342"/>
      <c r="S1019" s="341"/>
      <c r="T1019" s="342"/>
      <c r="U1019" s="342"/>
      <c r="V1019" s="342"/>
      <c r="W1019" s="342"/>
      <c r="X1019" s="342"/>
      <c r="Y1019" s="342"/>
      <c r="Z1019" s="342"/>
    </row>
    <row r="1020" ht="12.75" customHeight="1">
      <c r="A1020" s="534"/>
      <c r="B1020" s="534"/>
      <c r="C1020" s="575"/>
      <c r="D1020" s="585"/>
      <c r="E1020" s="586"/>
      <c r="F1020" s="342"/>
      <c r="G1020" s="342"/>
      <c r="H1020" s="342"/>
      <c r="I1020" s="342"/>
      <c r="J1020" s="342"/>
      <c r="K1020" s="342"/>
      <c r="L1020" s="342"/>
      <c r="M1020" s="342"/>
      <c r="N1020" s="342"/>
      <c r="O1020" s="341"/>
      <c r="P1020" s="341"/>
      <c r="Q1020" s="342"/>
      <c r="R1020" s="342"/>
      <c r="S1020" s="341"/>
      <c r="T1020" s="342"/>
      <c r="U1020" s="342"/>
      <c r="V1020" s="342"/>
      <c r="W1020" s="342"/>
      <c r="X1020" s="342"/>
      <c r="Y1020" s="342"/>
      <c r="Z1020" s="342"/>
    </row>
    <row r="1021" ht="12.75" customHeight="1">
      <c r="A1021" s="534"/>
      <c r="B1021" s="534"/>
      <c r="C1021" s="575"/>
      <c r="D1021" s="585"/>
      <c r="E1021" s="586"/>
      <c r="F1021" s="342"/>
      <c r="G1021" s="342"/>
      <c r="H1021" s="342"/>
      <c r="I1021" s="342"/>
      <c r="J1021" s="342"/>
      <c r="K1021" s="342"/>
      <c r="L1021" s="342"/>
      <c r="M1021" s="342"/>
      <c r="N1021" s="342"/>
      <c r="O1021" s="341"/>
      <c r="P1021" s="341"/>
      <c r="Q1021" s="342"/>
      <c r="R1021" s="342"/>
      <c r="S1021" s="341"/>
      <c r="T1021" s="342"/>
      <c r="U1021" s="342"/>
      <c r="V1021" s="342"/>
      <c r="W1021" s="342"/>
      <c r="X1021" s="342"/>
      <c r="Y1021" s="342"/>
      <c r="Z1021" s="342"/>
    </row>
    <row r="1022" ht="12.75" customHeight="1">
      <c r="A1022" s="534"/>
      <c r="B1022" s="534"/>
      <c r="C1022" s="575"/>
      <c r="D1022" s="585"/>
      <c r="E1022" s="586"/>
      <c r="F1022" s="342"/>
      <c r="G1022" s="342"/>
      <c r="H1022" s="342"/>
      <c r="I1022" s="342"/>
      <c r="J1022" s="342"/>
      <c r="K1022" s="342"/>
      <c r="L1022" s="342"/>
      <c r="M1022" s="342"/>
      <c r="N1022" s="342"/>
      <c r="O1022" s="341"/>
      <c r="P1022" s="341"/>
      <c r="Q1022" s="342"/>
      <c r="R1022" s="342"/>
      <c r="S1022" s="341"/>
      <c r="T1022" s="342"/>
      <c r="U1022" s="342"/>
      <c r="V1022" s="342"/>
      <c r="W1022" s="342"/>
      <c r="X1022" s="342"/>
      <c r="Y1022" s="342"/>
      <c r="Z1022" s="342"/>
    </row>
    <row r="1023" ht="12.75" customHeight="1">
      <c r="A1023" s="534"/>
      <c r="B1023" s="534"/>
      <c r="C1023" s="575"/>
      <c r="D1023" s="585"/>
      <c r="E1023" s="586"/>
      <c r="F1023" s="342"/>
      <c r="G1023" s="342"/>
      <c r="H1023" s="342"/>
      <c r="I1023" s="342"/>
      <c r="J1023" s="342"/>
      <c r="K1023" s="342"/>
      <c r="L1023" s="342"/>
      <c r="M1023" s="342"/>
      <c r="N1023" s="342"/>
      <c r="O1023" s="341"/>
      <c r="P1023" s="341"/>
      <c r="Q1023" s="342"/>
      <c r="R1023" s="342"/>
      <c r="S1023" s="341"/>
      <c r="T1023" s="342"/>
      <c r="U1023" s="342"/>
      <c r="V1023" s="342"/>
      <c r="W1023" s="342"/>
      <c r="X1023" s="342"/>
      <c r="Y1023" s="342"/>
      <c r="Z1023" s="342"/>
    </row>
    <row r="1024" ht="12.75" customHeight="1">
      <c r="A1024" s="534"/>
      <c r="B1024" s="534"/>
      <c r="C1024" s="575"/>
      <c r="D1024" s="585"/>
      <c r="E1024" s="586"/>
      <c r="F1024" s="342"/>
      <c r="G1024" s="342"/>
      <c r="H1024" s="342"/>
      <c r="I1024" s="342"/>
      <c r="J1024" s="342"/>
      <c r="K1024" s="342"/>
      <c r="L1024" s="342"/>
      <c r="M1024" s="342"/>
      <c r="N1024" s="342"/>
      <c r="O1024" s="341"/>
      <c r="P1024" s="341"/>
      <c r="Q1024" s="342"/>
      <c r="R1024" s="342"/>
      <c r="S1024" s="341"/>
      <c r="T1024" s="342"/>
      <c r="U1024" s="342"/>
      <c r="V1024" s="342"/>
      <c r="W1024" s="342"/>
      <c r="X1024" s="342"/>
      <c r="Y1024" s="342"/>
      <c r="Z1024" s="342"/>
    </row>
    <row r="1025" ht="12.75" customHeight="1">
      <c r="A1025" s="534"/>
      <c r="B1025" s="534"/>
      <c r="C1025" s="575"/>
      <c r="D1025" s="585"/>
      <c r="E1025" s="586"/>
      <c r="F1025" s="342"/>
      <c r="G1025" s="342"/>
      <c r="H1025" s="342"/>
      <c r="I1025" s="342"/>
      <c r="J1025" s="342"/>
      <c r="K1025" s="342"/>
      <c r="L1025" s="342"/>
      <c r="M1025" s="342"/>
      <c r="N1025" s="342"/>
      <c r="O1025" s="341"/>
      <c r="P1025" s="341"/>
      <c r="Q1025" s="342"/>
      <c r="R1025" s="342"/>
      <c r="S1025" s="341"/>
      <c r="T1025" s="342"/>
      <c r="U1025" s="342"/>
      <c r="V1025" s="342"/>
      <c r="W1025" s="342"/>
      <c r="X1025" s="342"/>
      <c r="Y1025" s="342"/>
      <c r="Z1025" s="342"/>
    </row>
    <row r="1026" ht="12.75" customHeight="1">
      <c r="A1026" s="534"/>
      <c r="B1026" s="534"/>
      <c r="C1026" s="575"/>
      <c r="D1026" s="585"/>
      <c r="E1026" s="586"/>
      <c r="F1026" s="342"/>
      <c r="G1026" s="342"/>
      <c r="H1026" s="342"/>
      <c r="I1026" s="342"/>
      <c r="J1026" s="342"/>
      <c r="K1026" s="342"/>
      <c r="L1026" s="342"/>
      <c r="M1026" s="342"/>
      <c r="N1026" s="342"/>
      <c r="O1026" s="341"/>
      <c r="P1026" s="341"/>
      <c r="Q1026" s="342"/>
      <c r="R1026" s="342"/>
      <c r="S1026" s="341"/>
      <c r="T1026" s="342"/>
      <c r="U1026" s="342"/>
      <c r="V1026" s="342"/>
      <c r="W1026" s="342"/>
      <c r="X1026" s="342"/>
      <c r="Y1026" s="342"/>
      <c r="Z1026" s="342"/>
    </row>
    <row r="1027" ht="12.75" customHeight="1">
      <c r="A1027" s="534"/>
      <c r="B1027" s="534"/>
      <c r="C1027" s="575"/>
      <c r="D1027" s="585"/>
      <c r="E1027" s="586"/>
      <c r="F1027" s="342"/>
      <c r="G1027" s="342"/>
      <c r="H1027" s="342"/>
      <c r="I1027" s="342"/>
      <c r="J1027" s="342"/>
      <c r="K1027" s="342"/>
      <c r="L1027" s="342"/>
      <c r="M1027" s="342"/>
      <c r="N1027" s="342"/>
      <c r="O1027" s="341"/>
      <c r="P1027" s="341"/>
      <c r="Q1027" s="342"/>
      <c r="R1027" s="342"/>
      <c r="S1027" s="341"/>
      <c r="T1027" s="342"/>
      <c r="U1027" s="342"/>
      <c r="V1027" s="342"/>
      <c r="W1027" s="342"/>
      <c r="X1027" s="342"/>
      <c r="Y1027" s="342"/>
      <c r="Z1027" s="342"/>
    </row>
    <row r="1028" ht="12.75" customHeight="1">
      <c r="A1028" s="534"/>
      <c r="B1028" s="534"/>
      <c r="C1028" s="575"/>
      <c r="D1028" s="585"/>
      <c r="E1028" s="586"/>
      <c r="F1028" s="342"/>
      <c r="G1028" s="342"/>
      <c r="H1028" s="342"/>
      <c r="I1028" s="342"/>
      <c r="J1028" s="342"/>
      <c r="K1028" s="342"/>
      <c r="L1028" s="342"/>
      <c r="M1028" s="342"/>
      <c r="N1028" s="342"/>
      <c r="O1028" s="341"/>
      <c r="P1028" s="341"/>
      <c r="Q1028" s="342"/>
      <c r="R1028" s="342"/>
      <c r="S1028" s="341"/>
      <c r="T1028" s="342"/>
      <c r="U1028" s="342"/>
      <c r="V1028" s="342"/>
      <c r="W1028" s="342"/>
      <c r="X1028" s="342"/>
      <c r="Y1028" s="342"/>
      <c r="Z1028" s="342"/>
    </row>
    <row r="1029" ht="12.75" customHeight="1">
      <c r="A1029" s="534"/>
      <c r="B1029" s="534"/>
      <c r="C1029" s="575"/>
      <c r="D1029" s="585"/>
      <c r="E1029" s="586"/>
      <c r="F1029" s="342"/>
      <c r="G1029" s="342"/>
      <c r="H1029" s="342"/>
      <c r="I1029" s="342"/>
      <c r="J1029" s="342"/>
      <c r="K1029" s="342"/>
      <c r="L1029" s="342"/>
      <c r="M1029" s="342"/>
      <c r="N1029" s="342"/>
      <c r="O1029" s="341"/>
      <c r="P1029" s="341"/>
      <c r="Q1029" s="342"/>
      <c r="R1029" s="342"/>
      <c r="S1029" s="341"/>
      <c r="T1029" s="342"/>
      <c r="U1029" s="342"/>
      <c r="V1029" s="342"/>
      <c r="W1029" s="342"/>
      <c r="X1029" s="342"/>
      <c r="Y1029" s="342"/>
      <c r="Z1029" s="342"/>
    </row>
    <row r="1030" ht="12.75" customHeight="1">
      <c r="A1030" s="534"/>
      <c r="B1030" s="534"/>
      <c r="C1030" s="575"/>
      <c r="D1030" s="585"/>
      <c r="E1030" s="586"/>
      <c r="F1030" s="342"/>
      <c r="G1030" s="342"/>
      <c r="H1030" s="342"/>
      <c r="I1030" s="342"/>
      <c r="J1030" s="342"/>
      <c r="K1030" s="342"/>
      <c r="L1030" s="342"/>
      <c r="M1030" s="342"/>
      <c r="N1030" s="342"/>
      <c r="O1030" s="341"/>
      <c r="P1030" s="341"/>
      <c r="Q1030" s="342"/>
      <c r="R1030" s="342"/>
      <c r="S1030" s="341"/>
      <c r="T1030" s="342"/>
      <c r="U1030" s="342"/>
      <c r="V1030" s="342"/>
      <c r="W1030" s="342"/>
      <c r="X1030" s="342"/>
      <c r="Y1030" s="342"/>
      <c r="Z1030" s="342"/>
    </row>
    <row r="1031" ht="12.75" customHeight="1">
      <c r="A1031" s="534"/>
      <c r="B1031" s="534"/>
      <c r="C1031" s="575"/>
      <c r="D1031" s="585"/>
      <c r="E1031" s="586"/>
      <c r="F1031" s="342"/>
      <c r="G1031" s="342"/>
      <c r="H1031" s="342"/>
      <c r="I1031" s="342"/>
      <c r="J1031" s="342"/>
      <c r="K1031" s="342"/>
      <c r="L1031" s="342"/>
      <c r="M1031" s="342"/>
      <c r="N1031" s="342"/>
      <c r="O1031" s="341"/>
      <c r="P1031" s="341"/>
      <c r="Q1031" s="342"/>
      <c r="R1031" s="342"/>
      <c r="S1031" s="341"/>
      <c r="T1031" s="342"/>
      <c r="U1031" s="342"/>
      <c r="V1031" s="342"/>
      <c r="W1031" s="342"/>
      <c r="X1031" s="342"/>
      <c r="Y1031" s="342"/>
      <c r="Z1031" s="342"/>
    </row>
    <row r="1032" ht="12.75" customHeight="1">
      <c r="A1032" s="534"/>
      <c r="B1032" s="534"/>
      <c r="C1032" s="575"/>
      <c r="D1032" s="585"/>
      <c r="E1032" s="586"/>
      <c r="F1032" s="342"/>
      <c r="G1032" s="342"/>
      <c r="H1032" s="342"/>
      <c r="I1032" s="342"/>
      <c r="J1032" s="342"/>
      <c r="K1032" s="342"/>
      <c r="L1032" s="342"/>
      <c r="M1032" s="342"/>
      <c r="N1032" s="342"/>
      <c r="O1032" s="341"/>
      <c r="P1032" s="341"/>
      <c r="Q1032" s="342"/>
      <c r="R1032" s="342"/>
      <c r="S1032" s="341"/>
      <c r="T1032" s="342"/>
      <c r="U1032" s="342"/>
      <c r="V1032" s="342"/>
      <c r="W1032" s="342"/>
      <c r="X1032" s="342"/>
      <c r="Y1032" s="342"/>
      <c r="Z1032" s="342"/>
    </row>
    <row r="1033" ht="12.75" customHeight="1">
      <c r="A1033" s="534"/>
      <c r="B1033" s="534"/>
      <c r="C1033" s="575"/>
      <c r="D1033" s="585"/>
      <c r="E1033" s="586"/>
      <c r="F1033" s="342"/>
      <c r="G1033" s="342"/>
      <c r="H1033" s="342"/>
      <c r="I1033" s="342"/>
      <c r="J1033" s="342"/>
      <c r="K1033" s="342"/>
      <c r="L1033" s="342"/>
      <c r="M1033" s="342"/>
      <c r="N1033" s="342"/>
      <c r="O1033" s="341"/>
      <c r="P1033" s="341"/>
      <c r="Q1033" s="342"/>
      <c r="R1033" s="342"/>
      <c r="S1033" s="341"/>
      <c r="T1033" s="342"/>
      <c r="U1033" s="342"/>
      <c r="V1033" s="342"/>
      <c r="W1033" s="342"/>
      <c r="X1033" s="342"/>
      <c r="Y1033" s="342"/>
      <c r="Z1033" s="342"/>
    </row>
    <row r="1034" ht="12.75" customHeight="1">
      <c r="A1034" s="534"/>
      <c r="B1034" s="534"/>
      <c r="C1034" s="575"/>
      <c r="D1034" s="585"/>
      <c r="E1034" s="586"/>
      <c r="F1034" s="342"/>
      <c r="G1034" s="342"/>
      <c r="H1034" s="342"/>
      <c r="I1034" s="342"/>
      <c r="J1034" s="342"/>
      <c r="K1034" s="342"/>
      <c r="L1034" s="342"/>
      <c r="M1034" s="342"/>
      <c r="N1034" s="342"/>
      <c r="O1034" s="341"/>
      <c r="P1034" s="341"/>
      <c r="Q1034" s="342"/>
      <c r="R1034" s="342"/>
      <c r="S1034" s="341"/>
      <c r="T1034" s="342"/>
      <c r="U1034" s="342"/>
      <c r="V1034" s="342"/>
      <c r="W1034" s="342"/>
      <c r="X1034" s="342"/>
      <c r="Y1034" s="342"/>
      <c r="Z1034" s="342"/>
    </row>
    <row r="1035" ht="12.75" customHeight="1">
      <c r="A1035" s="534"/>
      <c r="B1035" s="534"/>
      <c r="C1035" s="575"/>
      <c r="D1035" s="585"/>
      <c r="E1035" s="586"/>
      <c r="F1035" s="342"/>
      <c r="G1035" s="342"/>
      <c r="H1035" s="342"/>
      <c r="I1035" s="342"/>
      <c r="J1035" s="342"/>
      <c r="K1035" s="342"/>
      <c r="L1035" s="342"/>
      <c r="M1035" s="342"/>
      <c r="N1035" s="342"/>
      <c r="O1035" s="341"/>
      <c r="P1035" s="341"/>
      <c r="Q1035" s="342"/>
      <c r="R1035" s="342"/>
      <c r="S1035" s="341"/>
      <c r="T1035" s="342"/>
      <c r="U1035" s="342"/>
      <c r="V1035" s="342"/>
      <c r="W1035" s="342"/>
      <c r="X1035" s="342"/>
      <c r="Y1035" s="342"/>
      <c r="Z1035" s="342"/>
    </row>
    <row r="1036" ht="12.75" customHeight="1">
      <c r="A1036" s="534"/>
      <c r="B1036" s="534"/>
      <c r="C1036" s="575"/>
      <c r="D1036" s="585"/>
      <c r="E1036" s="586"/>
      <c r="F1036" s="342"/>
      <c r="G1036" s="342"/>
      <c r="H1036" s="342"/>
      <c r="I1036" s="342"/>
      <c r="J1036" s="342"/>
      <c r="K1036" s="342"/>
      <c r="L1036" s="342"/>
      <c r="M1036" s="342"/>
      <c r="N1036" s="342"/>
      <c r="O1036" s="341"/>
      <c r="P1036" s="341"/>
      <c r="Q1036" s="342"/>
      <c r="R1036" s="342"/>
      <c r="S1036" s="341"/>
      <c r="T1036" s="342"/>
      <c r="U1036" s="342"/>
      <c r="V1036" s="342"/>
      <c r="W1036" s="342"/>
      <c r="X1036" s="342"/>
      <c r="Y1036" s="342"/>
      <c r="Z1036" s="342"/>
    </row>
    <row r="1037" ht="12.75" customHeight="1">
      <c r="A1037" s="534"/>
      <c r="B1037" s="534"/>
      <c r="C1037" s="575"/>
      <c r="D1037" s="585"/>
      <c r="E1037" s="586"/>
      <c r="F1037" s="342"/>
      <c r="G1037" s="342"/>
      <c r="H1037" s="342"/>
      <c r="I1037" s="342"/>
      <c r="J1037" s="342"/>
      <c r="K1037" s="342"/>
      <c r="L1037" s="342"/>
      <c r="M1037" s="342"/>
      <c r="N1037" s="342"/>
      <c r="O1037" s="341"/>
      <c r="P1037" s="341"/>
      <c r="Q1037" s="342"/>
      <c r="R1037" s="342"/>
      <c r="S1037" s="341"/>
      <c r="T1037" s="342"/>
      <c r="U1037" s="342"/>
      <c r="V1037" s="342"/>
      <c r="W1037" s="342"/>
      <c r="X1037" s="342"/>
      <c r="Y1037" s="342"/>
      <c r="Z1037" s="342"/>
    </row>
    <row r="1038" ht="12.75" customHeight="1">
      <c r="A1038" s="534"/>
      <c r="B1038" s="534"/>
      <c r="C1038" s="575"/>
      <c r="D1038" s="585"/>
      <c r="E1038" s="586"/>
      <c r="F1038" s="342"/>
      <c r="G1038" s="342"/>
      <c r="H1038" s="342"/>
      <c r="I1038" s="342"/>
      <c r="J1038" s="342"/>
      <c r="K1038" s="342"/>
      <c r="L1038" s="342"/>
      <c r="M1038" s="342"/>
      <c r="N1038" s="342"/>
      <c r="O1038" s="341"/>
      <c r="P1038" s="341"/>
      <c r="Q1038" s="342"/>
      <c r="R1038" s="342"/>
      <c r="S1038" s="341"/>
      <c r="T1038" s="342"/>
      <c r="U1038" s="342"/>
      <c r="V1038" s="342"/>
      <c r="W1038" s="342"/>
      <c r="X1038" s="342"/>
      <c r="Y1038" s="342"/>
      <c r="Z1038" s="342"/>
    </row>
    <row r="1039" ht="12.75" customHeight="1">
      <c r="A1039" s="534"/>
      <c r="B1039" s="534"/>
      <c r="C1039" s="575"/>
      <c r="D1039" s="585"/>
      <c r="E1039" s="586"/>
      <c r="F1039" s="342"/>
      <c r="G1039" s="342"/>
      <c r="H1039" s="342"/>
      <c r="I1039" s="342"/>
      <c r="J1039" s="342"/>
      <c r="K1039" s="342"/>
      <c r="L1039" s="342"/>
      <c r="M1039" s="342"/>
      <c r="N1039" s="342"/>
      <c r="O1039" s="341"/>
      <c r="P1039" s="341"/>
      <c r="Q1039" s="342"/>
      <c r="R1039" s="342"/>
      <c r="S1039" s="341"/>
      <c r="T1039" s="342"/>
      <c r="U1039" s="342"/>
      <c r="V1039" s="342"/>
      <c r="W1039" s="342"/>
      <c r="X1039" s="342"/>
      <c r="Y1039" s="342"/>
      <c r="Z1039" s="342"/>
    </row>
    <row r="1040" ht="12.75" customHeight="1">
      <c r="A1040" s="534"/>
      <c r="B1040" s="534"/>
      <c r="C1040" s="575"/>
      <c r="D1040" s="585"/>
      <c r="E1040" s="586"/>
      <c r="F1040" s="342"/>
      <c r="G1040" s="342"/>
      <c r="H1040" s="342"/>
      <c r="I1040" s="342"/>
      <c r="J1040" s="342"/>
      <c r="K1040" s="342"/>
      <c r="L1040" s="342"/>
      <c r="M1040" s="342"/>
      <c r="N1040" s="342"/>
      <c r="O1040" s="341"/>
      <c r="P1040" s="341"/>
      <c r="Q1040" s="342"/>
      <c r="R1040" s="342"/>
      <c r="S1040" s="341"/>
      <c r="T1040" s="342"/>
      <c r="U1040" s="342"/>
      <c r="V1040" s="342"/>
      <c r="W1040" s="342"/>
      <c r="X1040" s="342"/>
      <c r="Y1040" s="342"/>
      <c r="Z1040" s="342"/>
    </row>
    <row r="1041" ht="12.75" customHeight="1">
      <c r="A1041" s="534"/>
      <c r="B1041" s="534"/>
      <c r="C1041" s="575"/>
      <c r="D1041" s="585"/>
      <c r="E1041" s="586"/>
      <c r="F1041" s="342"/>
      <c r="G1041" s="342"/>
      <c r="H1041" s="342"/>
      <c r="I1041" s="342"/>
      <c r="J1041" s="342"/>
      <c r="K1041" s="342"/>
      <c r="L1041" s="342"/>
      <c r="M1041" s="342"/>
      <c r="N1041" s="342"/>
      <c r="O1041" s="341"/>
      <c r="P1041" s="341"/>
      <c r="Q1041" s="342"/>
      <c r="R1041" s="342"/>
      <c r="S1041" s="341"/>
      <c r="T1041" s="342"/>
      <c r="U1041" s="342"/>
      <c r="V1041" s="342"/>
      <c r="W1041" s="342"/>
      <c r="X1041" s="342"/>
      <c r="Y1041" s="342"/>
      <c r="Z1041" s="342"/>
    </row>
    <row r="1042" ht="12.75" customHeight="1">
      <c r="A1042" s="534"/>
      <c r="B1042" s="534"/>
      <c r="C1042" s="575"/>
      <c r="D1042" s="585"/>
      <c r="E1042" s="586"/>
      <c r="F1042" s="342"/>
      <c r="G1042" s="342"/>
      <c r="H1042" s="342"/>
      <c r="I1042" s="342"/>
      <c r="J1042" s="342"/>
      <c r="K1042" s="342"/>
      <c r="L1042" s="342"/>
      <c r="M1042" s="342"/>
      <c r="N1042" s="342"/>
      <c r="O1042" s="341"/>
      <c r="P1042" s="341"/>
      <c r="Q1042" s="342"/>
      <c r="R1042" s="342"/>
      <c r="S1042" s="341"/>
      <c r="T1042" s="342"/>
      <c r="U1042" s="342"/>
      <c r="V1042" s="342"/>
      <c r="W1042" s="342"/>
      <c r="X1042" s="342"/>
      <c r="Y1042" s="342"/>
      <c r="Z1042" s="342"/>
    </row>
    <row r="1043" ht="12.75" customHeight="1">
      <c r="A1043" s="534"/>
      <c r="B1043" s="534"/>
      <c r="C1043" s="575"/>
      <c r="D1043" s="585"/>
      <c r="E1043" s="586"/>
      <c r="F1043" s="342"/>
      <c r="G1043" s="342"/>
      <c r="H1043" s="342"/>
      <c r="I1043" s="342"/>
      <c r="J1043" s="342"/>
      <c r="K1043" s="342"/>
      <c r="L1043" s="342"/>
      <c r="M1043" s="342"/>
      <c r="N1043" s="342"/>
      <c r="O1043" s="341"/>
      <c r="P1043" s="341"/>
      <c r="Q1043" s="342"/>
      <c r="R1043" s="342"/>
      <c r="S1043" s="341"/>
      <c r="T1043" s="342"/>
      <c r="U1043" s="342"/>
      <c r="V1043" s="342"/>
      <c r="W1043" s="342"/>
      <c r="X1043" s="342"/>
      <c r="Y1043" s="342"/>
      <c r="Z1043" s="342"/>
    </row>
    <row r="1044" ht="12.75" customHeight="1">
      <c r="A1044" s="534"/>
      <c r="B1044" s="534"/>
      <c r="C1044" s="575"/>
      <c r="D1044" s="585"/>
      <c r="E1044" s="586"/>
      <c r="F1044" s="342"/>
      <c r="G1044" s="342"/>
      <c r="H1044" s="342"/>
      <c r="I1044" s="342"/>
      <c r="J1044" s="342"/>
      <c r="K1044" s="342"/>
      <c r="L1044" s="342"/>
      <c r="M1044" s="342"/>
      <c r="N1044" s="342"/>
      <c r="O1044" s="341"/>
      <c r="P1044" s="341"/>
      <c r="Q1044" s="342"/>
      <c r="R1044" s="342"/>
      <c r="S1044" s="341"/>
      <c r="T1044" s="342"/>
      <c r="U1044" s="342"/>
      <c r="V1044" s="342"/>
      <c r="W1044" s="342"/>
      <c r="X1044" s="342"/>
      <c r="Y1044" s="342"/>
      <c r="Z1044" s="342"/>
    </row>
    <row r="1045" ht="12.75" customHeight="1">
      <c r="A1045" s="534"/>
      <c r="B1045" s="534"/>
      <c r="C1045" s="575"/>
      <c r="D1045" s="585"/>
      <c r="E1045" s="586"/>
      <c r="F1045" s="342"/>
      <c r="G1045" s="342"/>
      <c r="H1045" s="342"/>
      <c r="I1045" s="342"/>
      <c r="J1045" s="342"/>
      <c r="K1045" s="342"/>
      <c r="L1045" s="342"/>
      <c r="M1045" s="342"/>
      <c r="N1045" s="342"/>
      <c r="O1045" s="341"/>
      <c r="P1045" s="341"/>
      <c r="Q1045" s="342"/>
      <c r="R1045" s="342"/>
      <c r="S1045" s="341"/>
      <c r="T1045" s="342"/>
      <c r="U1045" s="342"/>
      <c r="V1045" s="342"/>
      <c r="W1045" s="342"/>
      <c r="X1045" s="342"/>
      <c r="Y1045" s="342"/>
      <c r="Z1045" s="342"/>
    </row>
    <row r="1046" ht="12.75" customHeight="1">
      <c r="A1046" s="534"/>
      <c r="B1046" s="534"/>
      <c r="C1046" s="575"/>
      <c r="D1046" s="585"/>
      <c r="E1046" s="586"/>
      <c r="F1046" s="342"/>
      <c r="G1046" s="342"/>
      <c r="H1046" s="342"/>
      <c r="I1046" s="342"/>
      <c r="J1046" s="342"/>
      <c r="K1046" s="342"/>
      <c r="L1046" s="342"/>
      <c r="M1046" s="342"/>
      <c r="N1046" s="342"/>
      <c r="O1046" s="341"/>
      <c r="P1046" s="341"/>
      <c r="Q1046" s="342"/>
      <c r="R1046" s="342"/>
      <c r="S1046" s="341"/>
      <c r="T1046" s="342"/>
      <c r="U1046" s="342"/>
      <c r="V1046" s="342"/>
      <c r="W1046" s="342"/>
      <c r="X1046" s="342"/>
      <c r="Y1046" s="342"/>
      <c r="Z1046" s="342"/>
    </row>
    <row r="1047" ht="12.75" customHeight="1">
      <c r="A1047" s="534"/>
      <c r="B1047" s="534"/>
      <c r="C1047" s="575"/>
      <c r="D1047" s="585"/>
      <c r="E1047" s="586"/>
      <c r="F1047" s="342"/>
      <c r="G1047" s="342"/>
      <c r="H1047" s="342"/>
      <c r="I1047" s="342"/>
      <c r="J1047" s="342"/>
      <c r="K1047" s="342"/>
      <c r="L1047" s="342"/>
      <c r="M1047" s="342"/>
      <c r="N1047" s="342"/>
      <c r="O1047" s="341"/>
      <c r="P1047" s="341"/>
      <c r="Q1047" s="342"/>
      <c r="R1047" s="342"/>
      <c r="S1047" s="341"/>
      <c r="T1047" s="342"/>
      <c r="U1047" s="342"/>
      <c r="V1047" s="342"/>
      <c r="W1047" s="342"/>
      <c r="X1047" s="342"/>
      <c r="Y1047" s="342"/>
      <c r="Z1047" s="342"/>
    </row>
    <row r="1048" ht="12.75" customHeight="1">
      <c r="A1048" s="534"/>
      <c r="B1048" s="534"/>
      <c r="C1048" s="575"/>
      <c r="D1048" s="585"/>
      <c r="E1048" s="586"/>
      <c r="F1048" s="342"/>
      <c r="G1048" s="342"/>
      <c r="H1048" s="342"/>
      <c r="I1048" s="342"/>
      <c r="J1048" s="342"/>
      <c r="K1048" s="342"/>
      <c r="L1048" s="342"/>
      <c r="M1048" s="342"/>
      <c r="N1048" s="342"/>
      <c r="O1048" s="341"/>
      <c r="P1048" s="341"/>
      <c r="Q1048" s="342"/>
      <c r="R1048" s="342"/>
      <c r="S1048" s="341"/>
      <c r="T1048" s="342"/>
      <c r="U1048" s="342"/>
      <c r="V1048" s="342"/>
      <c r="W1048" s="342"/>
      <c r="X1048" s="342"/>
      <c r="Y1048" s="342"/>
      <c r="Z1048" s="342"/>
    </row>
    <row r="1049" ht="12.75" customHeight="1">
      <c r="A1049" s="534"/>
      <c r="B1049" s="534"/>
      <c r="C1049" s="575"/>
      <c r="D1049" s="585"/>
      <c r="E1049" s="586"/>
      <c r="F1049" s="342"/>
      <c r="G1049" s="342"/>
      <c r="H1049" s="342"/>
      <c r="I1049" s="342"/>
      <c r="J1049" s="342"/>
      <c r="K1049" s="342"/>
      <c r="L1049" s="342"/>
      <c r="M1049" s="342"/>
      <c r="N1049" s="342"/>
      <c r="O1049" s="341"/>
      <c r="P1049" s="341"/>
      <c r="Q1049" s="342"/>
      <c r="R1049" s="342"/>
      <c r="S1049" s="341"/>
      <c r="T1049" s="342"/>
      <c r="U1049" s="342"/>
      <c r="V1049" s="342"/>
      <c r="W1049" s="342"/>
      <c r="X1049" s="342"/>
      <c r="Y1049" s="342"/>
      <c r="Z1049" s="342"/>
    </row>
    <row r="1050" ht="12.75" customHeight="1">
      <c r="A1050" s="534"/>
      <c r="B1050" s="534"/>
      <c r="C1050" s="575"/>
      <c r="D1050" s="585"/>
      <c r="E1050" s="586"/>
      <c r="F1050" s="342"/>
      <c r="G1050" s="342"/>
      <c r="H1050" s="342"/>
      <c r="I1050" s="342"/>
      <c r="J1050" s="342"/>
      <c r="K1050" s="342"/>
      <c r="L1050" s="342"/>
      <c r="M1050" s="342"/>
      <c r="N1050" s="342"/>
      <c r="O1050" s="341"/>
      <c r="P1050" s="341"/>
      <c r="Q1050" s="342"/>
      <c r="R1050" s="342"/>
      <c r="S1050" s="341"/>
      <c r="T1050" s="342"/>
      <c r="U1050" s="342"/>
      <c r="V1050" s="342"/>
      <c r="W1050" s="342"/>
      <c r="X1050" s="342"/>
      <c r="Y1050" s="342"/>
      <c r="Z1050" s="342"/>
    </row>
    <row r="1051" ht="12.75" customHeight="1">
      <c r="A1051" s="534"/>
      <c r="B1051" s="534"/>
      <c r="C1051" s="575"/>
      <c r="D1051" s="585"/>
      <c r="E1051" s="586"/>
      <c r="F1051" s="342"/>
      <c r="G1051" s="342"/>
      <c r="H1051" s="342"/>
      <c r="I1051" s="342"/>
      <c r="J1051" s="342"/>
      <c r="K1051" s="342"/>
      <c r="L1051" s="342"/>
      <c r="M1051" s="342"/>
      <c r="N1051" s="342"/>
      <c r="O1051" s="341"/>
      <c r="P1051" s="341"/>
      <c r="Q1051" s="342"/>
      <c r="R1051" s="342"/>
      <c r="S1051" s="341"/>
      <c r="T1051" s="342"/>
      <c r="U1051" s="342"/>
      <c r="V1051" s="342"/>
      <c r="W1051" s="342"/>
      <c r="X1051" s="342"/>
      <c r="Y1051" s="342"/>
      <c r="Z1051" s="342"/>
    </row>
    <row r="1052" ht="12.75" customHeight="1">
      <c r="A1052" s="534"/>
      <c r="B1052" s="534"/>
      <c r="C1052" s="575"/>
      <c r="D1052" s="585"/>
      <c r="E1052" s="586"/>
      <c r="F1052" s="342"/>
      <c r="G1052" s="342"/>
      <c r="H1052" s="342"/>
      <c r="I1052" s="342"/>
      <c r="J1052" s="342"/>
      <c r="K1052" s="342"/>
      <c r="L1052" s="342"/>
      <c r="M1052" s="342"/>
      <c r="N1052" s="342"/>
      <c r="O1052" s="341"/>
      <c r="P1052" s="341"/>
      <c r="Q1052" s="342"/>
      <c r="R1052" s="342"/>
      <c r="S1052" s="341"/>
      <c r="T1052" s="342"/>
      <c r="U1052" s="342"/>
      <c r="V1052" s="342"/>
      <c r="W1052" s="342"/>
      <c r="X1052" s="342"/>
      <c r="Y1052" s="342"/>
      <c r="Z1052" s="342"/>
    </row>
    <row r="1053" ht="12.75" customHeight="1">
      <c r="A1053" s="534"/>
      <c r="B1053" s="534"/>
      <c r="C1053" s="575"/>
      <c r="D1053" s="585"/>
      <c r="E1053" s="586"/>
      <c r="F1053" s="342"/>
      <c r="G1053" s="342"/>
      <c r="H1053" s="342"/>
      <c r="I1053" s="342"/>
      <c r="J1053" s="342"/>
      <c r="K1053" s="342"/>
      <c r="L1053" s="342"/>
      <c r="M1053" s="342"/>
      <c r="N1053" s="342"/>
      <c r="O1053" s="341"/>
      <c r="P1053" s="341"/>
      <c r="Q1053" s="342"/>
      <c r="R1053" s="342"/>
      <c r="S1053" s="341"/>
      <c r="T1053" s="342"/>
      <c r="U1053" s="342"/>
      <c r="V1053" s="342"/>
      <c r="W1053" s="342"/>
      <c r="X1053" s="342"/>
      <c r="Y1053" s="342"/>
      <c r="Z1053" s="342"/>
    </row>
    <row r="1054" ht="12.75" customHeight="1">
      <c r="A1054" s="534"/>
      <c r="B1054" s="534"/>
      <c r="C1054" s="575"/>
      <c r="D1054" s="585"/>
      <c r="E1054" s="586"/>
      <c r="F1054" s="342"/>
      <c r="G1054" s="342"/>
      <c r="H1054" s="342"/>
      <c r="I1054" s="342"/>
      <c r="J1054" s="342"/>
      <c r="K1054" s="342"/>
      <c r="L1054" s="342"/>
      <c r="M1054" s="342"/>
      <c r="N1054" s="342"/>
      <c r="O1054" s="341"/>
      <c r="P1054" s="341"/>
      <c r="Q1054" s="342"/>
      <c r="R1054" s="342"/>
      <c r="S1054" s="341"/>
      <c r="T1054" s="342"/>
      <c r="U1054" s="342"/>
      <c r="V1054" s="342"/>
      <c r="W1054" s="342"/>
      <c r="X1054" s="342"/>
      <c r="Y1054" s="342"/>
      <c r="Z1054" s="342"/>
    </row>
    <row r="1055" ht="12.75" customHeight="1">
      <c r="A1055" s="534"/>
      <c r="B1055" s="534"/>
      <c r="C1055" s="575"/>
      <c r="D1055" s="585"/>
      <c r="E1055" s="586"/>
      <c r="F1055" s="342"/>
      <c r="G1055" s="342"/>
      <c r="H1055" s="342"/>
      <c r="I1055" s="342"/>
      <c r="J1055" s="342"/>
      <c r="K1055" s="342"/>
      <c r="L1055" s="342"/>
      <c r="M1055" s="342"/>
      <c r="N1055" s="342"/>
      <c r="O1055" s="341"/>
      <c r="P1055" s="341"/>
      <c r="Q1055" s="342"/>
      <c r="R1055" s="342"/>
      <c r="S1055" s="341"/>
      <c r="T1055" s="342"/>
      <c r="U1055" s="342"/>
      <c r="V1055" s="342"/>
      <c r="W1055" s="342"/>
      <c r="X1055" s="342"/>
      <c r="Y1055" s="342"/>
      <c r="Z1055" s="342"/>
    </row>
    <row r="1056" ht="12.75" customHeight="1">
      <c r="A1056" s="534"/>
      <c r="B1056" s="534"/>
      <c r="C1056" s="575"/>
      <c r="D1056" s="585"/>
      <c r="E1056" s="586"/>
      <c r="F1056" s="342"/>
      <c r="G1056" s="342"/>
      <c r="H1056" s="342"/>
      <c r="I1056" s="342"/>
      <c r="J1056" s="342"/>
      <c r="K1056" s="342"/>
      <c r="L1056" s="342"/>
      <c r="M1056" s="342"/>
      <c r="N1056" s="342"/>
      <c r="O1056" s="341"/>
      <c r="P1056" s="341"/>
      <c r="Q1056" s="342"/>
      <c r="R1056" s="342"/>
      <c r="S1056" s="341"/>
      <c r="T1056" s="342"/>
      <c r="U1056" s="342"/>
      <c r="V1056" s="342"/>
      <c r="W1056" s="342"/>
      <c r="X1056" s="342"/>
      <c r="Y1056" s="342"/>
      <c r="Z1056" s="342"/>
    </row>
    <row r="1057" ht="12.75" customHeight="1">
      <c r="A1057" s="534"/>
      <c r="B1057" s="534"/>
      <c r="C1057" s="575"/>
      <c r="D1057" s="585"/>
      <c r="E1057" s="586"/>
      <c r="F1057" s="342"/>
      <c r="G1057" s="342"/>
      <c r="H1057" s="342"/>
      <c r="I1057" s="342"/>
      <c r="J1057" s="342"/>
      <c r="K1057" s="342"/>
      <c r="L1057" s="342"/>
      <c r="M1057" s="342"/>
      <c r="N1057" s="342"/>
      <c r="O1057" s="341"/>
      <c r="P1057" s="341"/>
      <c r="Q1057" s="342"/>
      <c r="R1057" s="342"/>
      <c r="S1057" s="341"/>
      <c r="T1057" s="342"/>
      <c r="U1057" s="342"/>
      <c r="V1057" s="342"/>
      <c r="W1057" s="342"/>
      <c r="X1057" s="342"/>
      <c r="Y1057" s="342"/>
      <c r="Z1057" s="342"/>
    </row>
    <row r="1058" ht="12.75" customHeight="1">
      <c r="A1058" s="534"/>
      <c r="B1058" s="534"/>
      <c r="C1058" s="575"/>
      <c r="D1058" s="585"/>
      <c r="E1058" s="586"/>
      <c r="F1058" s="342"/>
      <c r="G1058" s="342"/>
      <c r="H1058" s="342"/>
      <c r="I1058" s="342"/>
      <c r="J1058" s="342"/>
      <c r="K1058" s="342"/>
      <c r="L1058" s="342"/>
      <c r="M1058" s="342"/>
      <c r="N1058" s="342"/>
      <c r="O1058" s="341"/>
      <c r="P1058" s="341"/>
      <c r="Q1058" s="342"/>
      <c r="R1058" s="342"/>
      <c r="S1058" s="341"/>
      <c r="T1058" s="342"/>
      <c r="U1058" s="342"/>
      <c r="V1058" s="342"/>
      <c r="W1058" s="342"/>
      <c r="X1058" s="342"/>
      <c r="Y1058" s="342"/>
      <c r="Z1058" s="342"/>
    </row>
    <row r="1059" ht="12.75" customHeight="1">
      <c r="A1059" s="534"/>
      <c r="B1059" s="534"/>
      <c r="C1059" s="575"/>
      <c r="D1059" s="585"/>
      <c r="E1059" s="586"/>
      <c r="F1059" s="342"/>
      <c r="G1059" s="342"/>
      <c r="H1059" s="342"/>
      <c r="I1059" s="342"/>
      <c r="J1059" s="342"/>
      <c r="K1059" s="342"/>
      <c r="L1059" s="342"/>
      <c r="M1059" s="342"/>
      <c r="N1059" s="342"/>
      <c r="O1059" s="341"/>
      <c r="P1059" s="341"/>
      <c r="Q1059" s="342"/>
      <c r="R1059" s="342"/>
      <c r="S1059" s="341"/>
      <c r="T1059" s="342"/>
      <c r="U1059" s="342"/>
      <c r="V1059" s="342"/>
      <c r="W1059" s="342"/>
      <c r="X1059" s="342"/>
      <c r="Y1059" s="342"/>
      <c r="Z1059" s="342"/>
    </row>
    <row r="1060" ht="12.75" customHeight="1">
      <c r="A1060" s="534"/>
      <c r="B1060" s="534"/>
      <c r="C1060" s="575"/>
      <c r="D1060" s="585"/>
      <c r="E1060" s="586"/>
      <c r="F1060" s="342"/>
      <c r="G1060" s="342"/>
      <c r="H1060" s="342"/>
      <c r="I1060" s="342"/>
      <c r="J1060" s="342"/>
      <c r="K1060" s="342"/>
      <c r="L1060" s="342"/>
      <c r="M1060" s="342"/>
      <c r="N1060" s="342"/>
      <c r="O1060" s="341"/>
      <c r="P1060" s="341"/>
      <c r="Q1060" s="342"/>
      <c r="R1060" s="342"/>
      <c r="S1060" s="341"/>
      <c r="T1060" s="342"/>
      <c r="U1060" s="342"/>
      <c r="V1060" s="342"/>
      <c r="W1060" s="342"/>
      <c r="X1060" s="342"/>
      <c r="Y1060" s="342"/>
      <c r="Z1060" s="342"/>
    </row>
    <row r="1061" ht="12.75" customHeight="1">
      <c r="A1061" s="534"/>
      <c r="B1061" s="534"/>
      <c r="C1061" s="575"/>
      <c r="D1061" s="585"/>
      <c r="E1061" s="586"/>
      <c r="F1061" s="342"/>
      <c r="G1061" s="342"/>
      <c r="H1061" s="342"/>
      <c r="I1061" s="342"/>
      <c r="J1061" s="342"/>
      <c r="K1061" s="342"/>
      <c r="L1061" s="342"/>
      <c r="M1061" s="342"/>
      <c r="N1061" s="342"/>
      <c r="O1061" s="341"/>
      <c r="P1061" s="341"/>
      <c r="Q1061" s="342"/>
      <c r="R1061" s="342"/>
      <c r="S1061" s="341"/>
      <c r="T1061" s="342"/>
      <c r="U1061" s="342"/>
      <c r="V1061" s="342"/>
      <c r="W1061" s="342"/>
      <c r="X1061" s="342"/>
      <c r="Y1061" s="342"/>
      <c r="Z1061" s="342"/>
    </row>
    <row r="1062" ht="12.75" customHeight="1">
      <c r="A1062" s="534"/>
      <c r="B1062" s="534"/>
      <c r="C1062" s="575"/>
      <c r="D1062" s="585"/>
      <c r="E1062" s="586"/>
      <c r="F1062" s="342"/>
      <c r="G1062" s="342"/>
      <c r="H1062" s="342"/>
      <c r="I1062" s="342"/>
      <c r="J1062" s="342"/>
      <c r="K1062" s="342"/>
      <c r="L1062" s="342"/>
      <c r="M1062" s="342"/>
      <c r="N1062" s="342"/>
      <c r="O1062" s="341"/>
      <c r="P1062" s="341"/>
      <c r="Q1062" s="342"/>
      <c r="R1062" s="342"/>
      <c r="S1062" s="341"/>
      <c r="T1062" s="342"/>
      <c r="U1062" s="342"/>
      <c r="V1062" s="342"/>
      <c r="W1062" s="342"/>
      <c r="X1062" s="342"/>
      <c r="Y1062" s="342"/>
      <c r="Z1062" s="342"/>
    </row>
    <row r="1063" ht="12.75" customHeight="1">
      <c r="A1063" s="534"/>
      <c r="B1063" s="534"/>
      <c r="C1063" s="575"/>
      <c r="D1063" s="585"/>
      <c r="E1063" s="586"/>
      <c r="F1063" s="342"/>
      <c r="G1063" s="342"/>
      <c r="H1063" s="342"/>
      <c r="I1063" s="342"/>
      <c r="J1063" s="342"/>
      <c r="K1063" s="342"/>
      <c r="L1063" s="342"/>
      <c r="M1063" s="342"/>
      <c r="N1063" s="342"/>
      <c r="O1063" s="341"/>
      <c r="P1063" s="341"/>
      <c r="Q1063" s="342"/>
      <c r="R1063" s="342"/>
      <c r="S1063" s="341"/>
      <c r="T1063" s="342"/>
      <c r="U1063" s="342"/>
      <c r="V1063" s="342"/>
      <c r="W1063" s="342"/>
      <c r="X1063" s="342"/>
      <c r="Y1063" s="342"/>
      <c r="Z1063" s="342"/>
    </row>
    <row r="1064" ht="12.75" customHeight="1">
      <c r="A1064" s="534"/>
      <c r="B1064" s="534"/>
      <c r="C1064" s="575"/>
      <c r="D1064" s="585"/>
      <c r="E1064" s="586"/>
      <c r="F1064" s="342"/>
      <c r="G1064" s="342"/>
      <c r="H1064" s="342"/>
      <c r="I1064" s="342"/>
      <c r="J1064" s="342"/>
      <c r="K1064" s="342"/>
      <c r="L1064" s="342"/>
      <c r="M1064" s="342"/>
      <c r="N1064" s="342"/>
      <c r="O1064" s="341"/>
      <c r="P1064" s="341"/>
      <c r="Q1064" s="342"/>
      <c r="R1064" s="342"/>
      <c r="S1064" s="341"/>
      <c r="T1064" s="342"/>
      <c r="U1064" s="342"/>
      <c r="V1064" s="342"/>
      <c r="W1064" s="342"/>
      <c r="X1064" s="342"/>
      <c r="Y1064" s="342"/>
      <c r="Z1064" s="342"/>
    </row>
    <row r="1065" ht="12.75" customHeight="1">
      <c r="A1065" s="534"/>
      <c r="B1065" s="534"/>
      <c r="C1065" s="575"/>
      <c r="D1065" s="585"/>
      <c r="E1065" s="586"/>
      <c r="F1065" s="342"/>
      <c r="G1065" s="342"/>
      <c r="H1065" s="342"/>
      <c r="I1065" s="342"/>
      <c r="J1065" s="342"/>
      <c r="K1065" s="342"/>
      <c r="L1065" s="342"/>
      <c r="M1065" s="342"/>
      <c r="N1065" s="342"/>
      <c r="O1065" s="341"/>
      <c r="P1065" s="341"/>
      <c r="Q1065" s="342"/>
      <c r="R1065" s="342"/>
      <c r="S1065" s="341"/>
      <c r="T1065" s="342"/>
      <c r="U1065" s="342"/>
      <c r="V1065" s="342"/>
      <c r="W1065" s="342"/>
      <c r="X1065" s="342"/>
      <c r="Y1065" s="342"/>
      <c r="Z1065" s="342"/>
    </row>
    <row r="1066" ht="12.75" customHeight="1">
      <c r="A1066" s="534"/>
      <c r="B1066" s="534"/>
      <c r="C1066" s="575"/>
      <c r="D1066" s="585"/>
      <c r="E1066" s="586"/>
      <c r="F1066" s="342"/>
      <c r="G1066" s="342"/>
      <c r="H1066" s="342"/>
      <c r="I1066" s="342"/>
      <c r="J1066" s="342"/>
      <c r="K1066" s="342"/>
      <c r="L1066" s="342"/>
      <c r="M1066" s="342"/>
      <c r="N1066" s="342"/>
      <c r="O1066" s="341"/>
      <c r="P1066" s="341"/>
      <c r="Q1066" s="342"/>
      <c r="R1066" s="342"/>
      <c r="S1066" s="341"/>
      <c r="T1066" s="342"/>
      <c r="U1066" s="342"/>
      <c r="V1066" s="342"/>
      <c r="W1066" s="342"/>
      <c r="X1066" s="342"/>
      <c r="Y1066" s="342"/>
      <c r="Z1066" s="342"/>
    </row>
    <row r="1067" ht="12.75" customHeight="1">
      <c r="A1067" s="534"/>
      <c r="B1067" s="534"/>
      <c r="C1067" s="575"/>
      <c r="D1067" s="585"/>
      <c r="E1067" s="586"/>
      <c r="F1067" s="342"/>
      <c r="G1067" s="342"/>
      <c r="H1067" s="342"/>
      <c r="I1067" s="342"/>
      <c r="J1067" s="342"/>
      <c r="K1067" s="342"/>
      <c r="L1067" s="342"/>
      <c r="M1067" s="342"/>
      <c r="N1067" s="342"/>
      <c r="O1067" s="341"/>
      <c r="P1067" s="341"/>
      <c r="Q1067" s="342"/>
      <c r="R1067" s="342"/>
      <c r="S1067" s="341"/>
      <c r="T1067" s="342"/>
      <c r="U1067" s="342"/>
      <c r="V1067" s="342"/>
      <c r="W1067" s="342"/>
      <c r="X1067" s="342"/>
      <c r="Y1067" s="342"/>
      <c r="Z1067" s="342"/>
    </row>
    <row r="1068" ht="12.75" customHeight="1">
      <c r="A1068" s="534"/>
      <c r="B1068" s="534"/>
      <c r="C1068" s="575"/>
      <c r="D1068" s="585"/>
      <c r="E1068" s="586"/>
      <c r="F1068" s="342"/>
      <c r="G1068" s="342"/>
      <c r="H1068" s="342"/>
      <c r="I1068" s="342"/>
      <c r="J1068" s="342"/>
      <c r="K1068" s="342"/>
      <c r="L1068" s="342"/>
      <c r="M1068" s="342"/>
      <c r="N1068" s="342"/>
      <c r="O1068" s="341"/>
      <c r="P1068" s="341"/>
      <c r="Q1068" s="342"/>
      <c r="R1068" s="342"/>
      <c r="S1068" s="341"/>
      <c r="T1068" s="342"/>
      <c r="U1068" s="342"/>
      <c r="V1068" s="342"/>
      <c r="W1068" s="342"/>
      <c r="X1068" s="342"/>
      <c r="Y1068" s="342"/>
      <c r="Z1068" s="342"/>
    </row>
    <row r="1069" ht="12.75" customHeight="1">
      <c r="A1069" s="534"/>
      <c r="B1069" s="534"/>
      <c r="C1069" s="575"/>
      <c r="D1069" s="585"/>
      <c r="E1069" s="586"/>
      <c r="F1069" s="342"/>
      <c r="G1069" s="342"/>
      <c r="H1069" s="342"/>
      <c r="I1069" s="342"/>
      <c r="J1069" s="342"/>
      <c r="K1069" s="342"/>
      <c r="L1069" s="342"/>
      <c r="M1069" s="342"/>
      <c r="N1069" s="342"/>
      <c r="O1069" s="341"/>
      <c r="P1069" s="341"/>
      <c r="Q1069" s="342"/>
      <c r="R1069" s="342"/>
      <c r="S1069" s="341"/>
      <c r="T1069" s="342"/>
      <c r="U1069" s="342"/>
      <c r="V1069" s="342"/>
      <c r="W1069" s="342"/>
      <c r="X1069" s="342"/>
      <c r="Y1069" s="342"/>
      <c r="Z1069" s="342"/>
    </row>
    <row r="1070" ht="12.75" customHeight="1">
      <c r="A1070" s="534"/>
      <c r="B1070" s="534"/>
      <c r="C1070" s="575"/>
      <c r="D1070" s="585"/>
      <c r="E1070" s="586"/>
      <c r="F1070" s="342"/>
      <c r="G1070" s="342"/>
      <c r="H1070" s="342"/>
      <c r="I1070" s="342"/>
      <c r="J1070" s="342"/>
      <c r="K1070" s="342"/>
      <c r="L1070" s="342"/>
      <c r="M1070" s="342"/>
      <c r="N1070" s="342"/>
      <c r="O1070" s="341"/>
      <c r="P1070" s="341"/>
      <c r="Q1070" s="342"/>
      <c r="R1070" s="342"/>
      <c r="S1070" s="341"/>
      <c r="T1070" s="342"/>
      <c r="U1070" s="342"/>
      <c r="V1070" s="342"/>
      <c r="W1070" s="342"/>
      <c r="X1070" s="342"/>
      <c r="Y1070" s="342"/>
      <c r="Z1070" s="342"/>
    </row>
    <row r="1071" ht="12.75" customHeight="1">
      <c r="A1071" s="534"/>
      <c r="B1071" s="534"/>
      <c r="C1071" s="575"/>
      <c r="D1071" s="585"/>
      <c r="E1071" s="586"/>
      <c r="F1071" s="342"/>
      <c r="G1071" s="342"/>
      <c r="H1071" s="342"/>
      <c r="I1071" s="342"/>
      <c r="J1071" s="342"/>
      <c r="K1071" s="342"/>
      <c r="L1071" s="342"/>
      <c r="M1071" s="342"/>
      <c r="N1071" s="342"/>
      <c r="O1071" s="341"/>
      <c r="P1071" s="341"/>
      <c r="Q1071" s="342"/>
      <c r="R1071" s="342"/>
      <c r="S1071" s="341"/>
      <c r="T1071" s="342"/>
      <c r="U1071" s="342"/>
      <c r="V1071" s="342"/>
      <c r="W1071" s="342"/>
      <c r="X1071" s="342"/>
      <c r="Y1071" s="342"/>
      <c r="Z1071" s="342"/>
    </row>
    <row r="1072" ht="12.75" customHeight="1">
      <c r="A1072" s="534"/>
      <c r="B1072" s="534"/>
      <c r="C1072" s="575"/>
      <c r="D1072" s="585"/>
      <c r="E1072" s="586"/>
      <c r="F1072" s="342"/>
      <c r="G1072" s="342"/>
      <c r="H1072" s="342"/>
      <c r="I1072" s="342"/>
      <c r="J1072" s="342"/>
      <c r="K1072" s="342"/>
      <c r="L1072" s="342"/>
      <c r="M1072" s="342"/>
      <c r="N1072" s="342"/>
      <c r="O1072" s="341"/>
      <c r="P1072" s="341"/>
      <c r="Q1072" s="342"/>
      <c r="R1072" s="342"/>
      <c r="S1072" s="341"/>
      <c r="T1072" s="342"/>
      <c r="U1072" s="342"/>
      <c r="V1072" s="342"/>
      <c r="W1072" s="342"/>
      <c r="X1072" s="342"/>
      <c r="Y1072" s="342"/>
      <c r="Z1072" s="342"/>
    </row>
    <row r="1073" ht="12.75" customHeight="1">
      <c r="A1073" s="534"/>
      <c r="B1073" s="534"/>
      <c r="C1073" s="575"/>
      <c r="D1073" s="585"/>
      <c r="E1073" s="586"/>
      <c r="F1073" s="342"/>
      <c r="G1073" s="342"/>
      <c r="H1073" s="342"/>
      <c r="I1073" s="342"/>
      <c r="J1073" s="342"/>
      <c r="K1073" s="342"/>
      <c r="L1073" s="342"/>
      <c r="M1073" s="342"/>
      <c r="N1073" s="342"/>
      <c r="O1073" s="341"/>
      <c r="P1073" s="341"/>
      <c r="Q1073" s="342"/>
      <c r="R1073" s="342"/>
      <c r="S1073" s="341"/>
      <c r="T1073" s="342"/>
      <c r="U1073" s="342"/>
      <c r="V1073" s="342"/>
      <c r="W1073" s="342"/>
      <c r="X1073" s="342"/>
      <c r="Y1073" s="342"/>
      <c r="Z1073" s="342"/>
    </row>
    <row r="1074" ht="12.75" customHeight="1">
      <c r="A1074" s="534"/>
      <c r="B1074" s="534"/>
      <c r="C1074" s="575"/>
      <c r="D1074" s="585"/>
      <c r="E1074" s="586"/>
      <c r="F1074" s="342"/>
      <c r="G1074" s="342"/>
      <c r="H1074" s="342"/>
      <c r="I1074" s="342"/>
      <c r="J1074" s="342"/>
      <c r="K1074" s="342"/>
      <c r="L1074" s="342"/>
      <c r="M1074" s="342"/>
      <c r="N1074" s="342"/>
      <c r="O1074" s="341"/>
      <c r="P1074" s="341"/>
      <c r="Q1074" s="342"/>
      <c r="R1074" s="342"/>
      <c r="S1074" s="341"/>
      <c r="T1074" s="342"/>
      <c r="U1074" s="342"/>
      <c r="V1074" s="342"/>
      <c r="W1074" s="342"/>
      <c r="X1074" s="342"/>
      <c r="Y1074" s="342"/>
      <c r="Z1074" s="342"/>
    </row>
    <row r="1075" ht="12.75" customHeight="1">
      <c r="A1075" s="534"/>
      <c r="B1075" s="534"/>
      <c r="C1075" s="575"/>
      <c r="D1075" s="585"/>
      <c r="E1075" s="586"/>
      <c r="F1075" s="342"/>
      <c r="G1075" s="342"/>
      <c r="H1075" s="342"/>
      <c r="I1075" s="342"/>
      <c r="J1075" s="342"/>
      <c r="K1075" s="342"/>
      <c r="L1075" s="342"/>
      <c r="M1075" s="342"/>
      <c r="N1075" s="342"/>
      <c r="O1075" s="341"/>
      <c r="P1075" s="341"/>
      <c r="Q1075" s="342"/>
      <c r="R1075" s="342"/>
      <c r="S1075" s="341"/>
      <c r="T1075" s="342"/>
      <c r="U1075" s="342"/>
      <c r="V1075" s="342"/>
      <c r="W1075" s="342"/>
      <c r="X1075" s="342"/>
      <c r="Y1075" s="342"/>
      <c r="Z1075" s="342"/>
    </row>
    <row r="1076" ht="12.75" customHeight="1">
      <c r="A1076" s="534"/>
      <c r="B1076" s="534"/>
      <c r="C1076" s="575"/>
      <c r="D1076" s="585"/>
      <c r="E1076" s="586"/>
      <c r="F1076" s="342"/>
      <c r="G1076" s="342"/>
      <c r="H1076" s="342"/>
      <c r="I1076" s="342"/>
      <c r="J1076" s="342"/>
      <c r="K1076" s="342"/>
      <c r="L1076" s="342"/>
      <c r="M1076" s="342"/>
      <c r="N1076" s="342"/>
      <c r="O1076" s="341"/>
      <c r="P1076" s="341"/>
      <c r="Q1076" s="342"/>
      <c r="R1076" s="342"/>
      <c r="S1076" s="341"/>
      <c r="T1076" s="342"/>
      <c r="U1076" s="342"/>
      <c r="V1076" s="342"/>
      <c r="W1076" s="342"/>
      <c r="X1076" s="342"/>
      <c r="Y1076" s="342"/>
      <c r="Z1076" s="342"/>
    </row>
    <row r="1077" ht="12.75" customHeight="1">
      <c r="A1077" s="534"/>
      <c r="B1077" s="534"/>
      <c r="C1077" s="575"/>
      <c r="D1077" s="585"/>
      <c r="E1077" s="586"/>
      <c r="F1077" s="342"/>
      <c r="G1077" s="342"/>
      <c r="H1077" s="342"/>
      <c r="I1077" s="342"/>
      <c r="J1077" s="342"/>
      <c r="K1077" s="342"/>
      <c r="L1077" s="342"/>
      <c r="M1077" s="342"/>
      <c r="N1077" s="342"/>
      <c r="O1077" s="341"/>
      <c r="P1077" s="341"/>
      <c r="Q1077" s="342"/>
      <c r="R1077" s="342"/>
      <c r="S1077" s="341"/>
      <c r="T1077" s="342"/>
      <c r="U1077" s="342"/>
      <c r="V1077" s="342"/>
      <c r="W1077" s="342"/>
      <c r="X1077" s="342"/>
      <c r="Y1077" s="342"/>
      <c r="Z1077" s="342"/>
    </row>
    <row r="1078" ht="12.75" customHeight="1">
      <c r="A1078" s="534"/>
      <c r="B1078" s="534"/>
      <c r="C1078" s="575"/>
      <c r="D1078" s="585"/>
      <c r="E1078" s="586"/>
      <c r="F1078" s="342"/>
      <c r="G1078" s="342"/>
      <c r="H1078" s="342"/>
      <c r="I1078" s="342"/>
      <c r="J1078" s="342"/>
      <c r="K1078" s="342"/>
      <c r="L1078" s="342"/>
      <c r="M1078" s="342"/>
      <c r="N1078" s="342"/>
      <c r="O1078" s="341"/>
      <c r="P1078" s="341"/>
      <c r="Q1078" s="342"/>
      <c r="R1078" s="342"/>
      <c r="S1078" s="341"/>
      <c r="T1078" s="342"/>
      <c r="U1078" s="342"/>
      <c r="V1078" s="342"/>
      <c r="W1078" s="342"/>
      <c r="X1078" s="342"/>
      <c r="Y1078" s="342"/>
      <c r="Z1078" s="342"/>
    </row>
    <row r="1079" ht="12.75" customHeight="1">
      <c r="A1079" s="534"/>
      <c r="B1079" s="534"/>
      <c r="C1079" s="575"/>
      <c r="D1079" s="585"/>
      <c r="E1079" s="586"/>
      <c r="F1079" s="342"/>
      <c r="G1079" s="342"/>
      <c r="H1079" s="342"/>
      <c r="I1079" s="342"/>
      <c r="J1079" s="342"/>
      <c r="K1079" s="342"/>
      <c r="L1079" s="342"/>
      <c r="M1079" s="342"/>
      <c r="N1079" s="342"/>
      <c r="O1079" s="341"/>
      <c r="P1079" s="341"/>
      <c r="Q1079" s="342"/>
      <c r="R1079" s="342"/>
      <c r="S1079" s="341"/>
      <c r="T1079" s="342"/>
      <c r="U1079" s="342"/>
      <c r="V1079" s="342"/>
      <c r="W1079" s="342"/>
      <c r="X1079" s="342"/>
      <c r="Y1079" s="342"/>
      <c r="Z1079" s="342"/>
    </row>
    <row r="1080" ht="12.75" customHeight="1">
      <c r="A1080" s="534"/>
      <c r="B1080" s="534"/>
      <c r="C1080" s="575"/>
      <c r="D1080" s="585"/>
      <c r="E1080" s="586"/>
      <c r="F1080" s="342"/>
      <c r="G1080" s="342"/>
      <c r="H1080" s="342"/>
      <c r="I1080" s="342"/>
      <c r="J1080" s="342"/>
      <c r="K1080" s="342"/>
      <c r="L1080" s="342"/>
      <c r="M1080" s="342"/>
      <c r="N1080" s="342"/>
      <c r="O1080" s="341"/>
      <c r="P1080" s="341"/>
      <c r="Q1080" s="342"/>
      <c r="R1080" s="342"/>
      <c r="S1080" s="341"/>
      <c r="T1080" s="342"/>
      <c r="U1080" s="342"/>
      <c r="V1080" s="342"/>
      <c r="W1080" s="342"/>
      <c r="X1080" s="342"/>
      <c r="Y1080" s="342"/>
      <c r="Z1080" s="342"/>
    </row>
    <row r="1081" ht="12.75" customHeight="1">
      <c r="A1081" s="534"/>
      <c r="B1081" s="534"/>
      <c r="C1081" s="575"/>
      <c r="D1081" s="585"/>
      <c r="E1081" s="586"/>
      <c r="F1081" s="342"/>
      <c r="G1081" s="342"/>
      <c r="H1081" s="342"/>
      <c r="I1081" s="342"/>
      <c r="J1081" s="342"/>
      <c r="K1081" s="342"/>
      <c r="L1081" s="342"/>
      <c r="M1081" s="342"/>
      <c r="N1081" s="342"/>
      <c r="O1081" s="341"/>
      <c r="P1081" s="341"/>
      <c r="Q1081" s="342"/>
      <c r="R1081" s="342"/>
      <c r="S1081" s="341"/>
      <c r="T1081" s="342"/>
      <c r="U1081" s="342"/>
      <c r="V1081" s="342"/>
      <c r="W1081" s="342"/>
      <c r="X1081" s="342"/>
      <c r="Y1081" s="342"/>
      <c r="Z1081" s="342"/>
    </row>
    <row r="1082" ht="12.75" customHeight="1">
      <c r="A1082" s="534"/>
      <c r="B1082" s="534"/>
      <c r="C1082" s="575"/>
      <c r="D1082" s="585"/>
      <c r="E1082" s="586"/>
      <c r="F1082" s="342"/>
      <c r="G1082" s="342"/>
      <c r="H1082" s="342"/>
      <c r="I1082" s="342"/>
      <c r="J1082" s="342"/>
      <c r="K1082" s="342"/>
      <c r="L1082" s="342"/>
      <c r="M1082" s="342"/>
      <c r="N1082" s="342"/>
      <c r="O1082" s="341"/>
      <c r="P1082" s="341"/>
      <c r="Q1082" s="342"/>
      <c r="R1082" s="342"/>
      <c r="S1082" s="341"/>
      <c r="T1082" s="342"/>
      <c r="U1082" s="342"/>
      <c r="V1082" s="342"/>
      <c r="W1082" s="342"/>
      <c r="X1082" s="342"/>
      <c r="Y1082" s="342"/>
      <c r="Z1082" s="342"/>
    </row>
    <row r="1083" ht="12.75" customHeight="1">
      <c r="A1083" s="534"/>
      <c r="B1083" s="534"/>
      <c r="C1083" s="575"/>
      <c r="D1083" s="585"/>
      <c r="E1083" s="586"/>
      <c r="F1083" s="342"/>
      <c r="G1083" s="342"/>
      <c r="H1083" s="342"/>
      <c r="I1083" s="342"/>
      <c r="J1083" s="342"/>
      <c r="K1083" s="342"/>
      <c r="L1083" s="342"/>
      <c r="M1083" s="342"/>
      <c r="N1083" s="342"/>
      <c r="O1083" s="341"/>
      <c r="P1083" s="341"/>
      <c r="Q1083" s="342"/>
      <c r="R1083" s="342"/>
      <c r="S1083" s="341"/>
      <c r="T1083" s="342"/>
      <c r="U1083" s="342"/>
      <c r="V1083" s="342"/>
      <c r="W1083" s="342"/>
      <c r="X1083" s="342"/>
      <c r="Y1083" s="342"/>
      <c r="Z1083" s="342"/>
    </row>
    <row r="1084" ht="12.75" customHeight="1">
      <c r="A1084" s="534"/>
      <c r="B1084" s="534"/>
      <c r="C1084" s="575"/>
      <c r="D1084" s="585"/>
      <c r="E1084" s="586"/>
      <c r="F1084" s="342"/>
      <c r="G1084" s="342"/>
      <c r="H1084" s="342"/>
      <c r="I1084" s="342"/>
      <c r="J1084" s="342"/>
      <c r="K1084" s="342"/>
      <c r="L1084" s="342"/>
      <c r="M1084" s="342"/>
      <c r="N1084" s="342"/>
      <c r="O1084" s="341"/>
      <c r="P1084" s="341"/>
      <c r="Q1084" s="342"/>
      <c r="R1084" s="342"/>
      <c r="S1084" s="341"/>
      <c r="T1084" s="342"/>
      <c r="U1084" s="342"/>
      <c r="V1084" s="342"/>
      <c r="W1084" s="342"/>
      <c r="X1084" s="342"/>
      <c r="Y1084" s="342"/>
      <c r="Z1084" s="342"/>
    </row>
    <row r="1085" ht="12.75" customHeight="1">
      <c r="A1085" s="534"/>
      <c r="B1085" s="534"/>
      <c r="C1085" s="575"/>
      <c r="D1085" s="585"/>
      <c r="E1085" s="586"/>
      <c r="F1085" s="342"/>
      <c r="G1085" s="342"/>
      <c r="H1085" s="342"/>
      <c r="I1085" s="342"/>
      <c r="J1085" s="342"/>
      <c r="K1085" s="342"/>
      <c r="L1085" s="342"/>
      <c r="M1085" s="342"/>
      <c r="N1085" s="342"/>
      <c r="O1085" s="341"/>
      <c r="P1085" s="341"/>
      <c r="Q1085" s="342"/>
      <c r="R1085" s="342"/>
      <c r="S1085" s="341"/>
      <c r="T1085" s="342"/>
      <c r="U1085" s="342"/>
      <c r="V1085" s="342"/>
      <c r="W1085" s="342"/>
      <c r="X1085" s="342"/>
      <c r="Y1085" s="342"/>
      <c r="Z1085" s="342"/>
    </row>
    <row r="1086" ht="12.75" customHeight="1">
      <c r="A1086" s="534"/>
      <c r="B1086" s="534"/>
      <c r="C1086" s="575"/>
      <c r="D1086" s="585"/>
      <c r="E1086" s="586"/>
      <c r="F1086" s="342"/>
      <c r="G1086" s="342"/>
      <c r="H1086" s="342"/>
      <c r="I1086" s="342"/>
      <c r="J1086" s="342"/>
      <c r="K1086" s="342"/>
      <c r="L1086" s="342"/>
      <c r="M1086" s="342"/>
      <c r="N1086" s="342"/>
      <c r="O1086" s="341"/>
      <c r="P1086" s="341"/>
      <c r="Q1086" s="342"/>
      <c r="R1086" s="342"/>
      <c r="S1086" s="341"/>
      <c r="T1086" s="342"/>
      <c r="U1086" s="342"/>
      <c r="V1086" s="342"/>
      <c r="W1086" s="342"/>
      <c r="X1086" s="342"/>
      <c r="Y1086" s="342"/>
      <c r="Z1086" s="342"/>
    </row>
    <row r="1087" ht="12.75" customHeight="1">
      <c r="A1087" s="534"/>
      <c r="B1087" s="534"/>
      <c r="C1087" s="575"/>
      <c r="D1087" s="585"/>
      <c r="E1087" s="586"/>
      <c r="F1087" s="342"/>
      <c r="G1087" s="342"/>
      <c r="H1087" s="342"/>
      <c r="I1087" s="342"/>
      <c r="J1087" s="342"/>
      <c r="K1087" s="342"/>
      <c r="L1087" s="342"/>
      <c r="M1087" s="342"/>
      <c r="N1087" s="342"/>
      <c r="O1087" s="341"/>
      <c r="P1087" s="341"/>
      <c r="Q1087" s="342"/>
      <c r="R1087" s="342"/>
      <c r="S1087" s="341"/>
      <c r="T1087" s="342"/>
      <c r="U1087" s="342"/>
      <c r="V1087" s="342"/>
      <c r="W1087" s="342"/>
      <c r="X1087" s="342"/>
      <c r="Y1087" s="342"/>
      <c r="Z1087" s="342"/>
    </row>
    <row r="1088" ht="12.75" customHeight="1">
      <c r="A1088" s="534"/>
      <c r="B1088" s="534"/>
      <c r="C1088" s="575"/>
      <c r="D1088" s="585"/>
      <c r="E1088" s="586"/>
      <c r="F1088" s="342"/>
      <c r="G1088" s="342"/>
      <c r="H1088" s="342"/>
      <c r="I1088" s="342"/>
      <c r="J1088" s="342"/>
      <c r="K1088" s="342"/>
      <c r="L1088" s="342"/>
      <c r="M1088" s="342"/>
      <c r="N1088" s="342"/>
      <c r="O1088" s="341"/>
      <c r="P1088" s="341"/>
      <c r="Q1088" s="342"/>
      <c r="R1088" s="342"/>
      <c r="S1088" s="341"/>
      <c r="T1088" s="342"/>
      <c r="U1088" s="342"/>
      <c r="V1088" s="342"/>
      <c r="W1088" s="342"/>
      <c r="X1088" s="342"/>
      <c r="Y1088" s="342"/>
      <c r="Z1088" s="342"/>
    </row>
    <row r="1089" ht="12.75" customHeight="1">
      <c r="A1089" s="534"/>
      <c r="B1089" s="534"/>
      <c r="C1089" s="575"/>
      <c r="D1089" s="585"/>
      <c r="E1089" s="586"/>
      <c r="F1089" s="342"/>
      <c r="G1089" s="342"/>
      <c r="H1089" s="342"/>
      <c r="I1089" s="342"/>
      <c r="J1089" s="342"/>
      <c r="K1089" s="342"/>
      <c r="L1089" s="342"/>
      <c r="M1089" s="342"/>
      <c r="N1089" s="342"/>
      <c r="O1089" s="341"/>
      <c r="P1089" s="341"/>
      <c r="Q1089" s="342"/>
      <c r="R1089" s="342"/>
      <c r="S1089" s="341"/>
      <c r="T1089" s="342"/>
      <c r="U1089" s="342"/>
      <c r="V1089" s="342"/>
      <c r="W1089" s="342"/>
      <c r="X1089" s="342"/>
      <c r="Y1089" s="342"/>
      <c r="Z1089" s="342"/>
    </row>
    <row r="1090" ht="12.75" customHeight="1">
      <c r="A1090" s="534"/>
      <c r="B1090" s="534"/>
      <c r="C1090" s="575"/>
      <c r="D1090" s="585"/>
      <c r="E1090" s="586"/>
      <c r="F1090" s="342"/>
      <c r="G1090" s="342"/>
      <c r="H1090" s="342"/>
      <c r="I1090" s="342"/>
      <c r="J1090" s="342"/>
      <c r="K1090" s="342"/>
      <c r="L1090" s="342"/>
      <c r="M1090" s="342"/>
      <c r="N1090" s="342"/>
      <c r="O1090" s="341"/>
      <c r="P1090" s="341"/>
      <c r="Q1090" s="342"/>
      <c r="R1090" s="342"/>
      <c r="S1090" s="341"/>
      <c r="T1090" s="342"/>
      <c r="U1090" s="342"/>
      <c r="V1090" s="342"/>
      <c r="W1090" s="342"/>
      <c r="X1090" s="342"/>
      <c r="Y1090" s="342"/>
      <c r="Z1090" s="342"/>
    </row>
    <row r="1091" ht="12.75" customHeight="1">
      <c r="A1091" s="534"/>
      <c r="B1091" s="534"/>
      <c r="C1091" s="575"/>
      <c r="D1091" s="585"/>
      <c r="E1091" s="586"/>
      <c r="F1091" s="342"/>
      <c r="G1091" s="342"/>
      <c r="H1091" s="342"/>
      <c r="I1091" s="342"/>
      <c r="J1091" s="342"/>
      <c r="K1091" s="342"/>
      <c r="L1091" s="342"/>
      <c r="M1091" s="342"/>
      <c r="N1091" s="342"/>
      <c r="O1091" s="341"/>
      <c r="P1091" s="341"/>
      <c r="Q1091" s="342"/>
      <c r="R1091" s="342"/>
      <c r="S1091" s="341"/>
      <c r="T1091" s="342"/>
      <c r="U1091" s="342"/>
      <c r="V1091" s="342"/>
      <c r="W1091" s="342"/>
      <c r="X1091" s="342"/>
      <c r="Y1091" s="342"/>
      <c r="Z1091" s="342"/>
    </row>
    <row r="1092" ht="12.75" customHeight="1">
      <c r="A1092" s="534"/>
      <c r="B1092" s="534"/>
      <c r="C1092" s="575"/>
      <c r="D1092" s="585"/>
      <c r="E1092" s="586"/>
      <c r="F1092" s="342"/>
      <c r="G1092" s="342"/>
      <c r="H1092" s="342"/>
      <c r="I1092" s="342"/>
      <c r="J1092" s="342"/>
      <c r="K1092" s="342"/>
      <c r="L1092" s="342"/>
      <c r="M1092" s="342"/>
      <c r="N1092" s="342"/>
      <c r="O1092" s="341"/>
      <c r="P1092" s="341"/>
      <c r="Q1092" s="342"/>
      <c r="R1092" s="342"/>
      <c r="S1092" s="341"/>
      <c r="T1092" s="342"/>
      <c r="U1092" s="342"/>
      <c r="V1092" s="342"/>
      <c r="W1092" s="342"/>
      <c r="X1092" s="342"/>
      <c r="Y1092" s="342"/>
      <c r="Z1092" s="342"/>
    </row>
    <row r="1093" ht="12.75" customHeight="1">
      <c r="A1093" s="534"/>
      <c r="B1093" s="534"/>
      <c r="C1093" s="575"/>
      <c r="D1093" s="585"/>
      <c r="E1093" s="586"/>
      <c r="F1093" s="342"/>
      <c r="G1093" s="342"/>
      <c r="H1093" s="342"/>
      <c r="I1093" s="342"/>
      <c r="J1093" s="342"/>
      <c r="K1093" s="342"/>
      <c r="L1093" s="342"/>
      <c r="M1093" s="342"/>
      <c r="N1093" s="342"/>
      <c r="O1093" s="341"/>
      <c r="P1093" s="341"/>
      <c r="Q1093" s="342"/>
      <c r="R1093" s="342"/>
      <c r="S1093" s="341"/>
      <c r="T1093" s="342"/>
      <c r="U1093" s="342"/>
      <c r="V1093" s="342"/>
      <c r="W1093" s="342"/>
      <c r="X1093" s="342"/>
      <c r="Y1093" s="342"/>
      <c r="Z1093" s="342"/>
    </row>
    <row r="1094" ht="12.75" customHeight="1">
      <c r="A1094" s="534"/>
      <c r="B1094" s="534"/>
      <c r="C1094" s="575"/>
      <c r="D1094" s="585"/>
      <c r="E1094" s="586"/>
      <c r="F1094" s="342"/>
      <c r="G1094" s="342"/>
      <c r="H1094" s="342"/>
      <c r="I1094" s="342"/>
      <c r="J1094" s="342"/>
      <c r="K1094" s="342"/>
      <c r="L1094" s="342"/>
      <c r="M1094" s="342"/>
      <c r="N1094" s="342"/>
      <c r="O1094" s="341"/>
      <c r="P1094" s="341"/>
      <c r="Q1094" s="342"/>
      <c r="R1094" s="342"/>
      <c r="S1094" s="341"/>
      <c r="T1094" s="342"/>
      <c r="U1094" s="342"/>
      <c r="V1094" s="342"/>
      <c r="W1094" s="342"/>
      <c r="X1094" s="342"/>
      <c r="Y1094" s="342"/>
      <c r="Z1094" s="342"/>
    </row>
    <row r="1095" ht="12.75" customHeight="1">
      <c r="A1095" s="534"/>
      <c r="B1095" s="534"/>
      <c r="C1095" s="575"/>
      <c r="D1095" s="585"/>
      <c r="E1095" s="586"/>
      <c r="F1095" s="342"/>
      <c r="G1095" s="342"/>
      <c r="H1095" s="342"/>
      <c r="I1095" s="342"/>
      <c r="J1095" s="342"/>
      <c r="K1095" s="342"/>
      <c r="L1095" s="342"/>
      <c r="M1095" s="342"/>
      <c r="N1095" s="342"/>
      <c r="O1095" s="341"/>
      <c r="P1095" s="341"/>
      <c r="Q1095" s="342"/>
      <c r="R1095" s="342"/>
      <c r="S1095" s="341"/>
      <c r="T1095" s="342"/>
      <c r="U1095" s="342"/>
      <c r="V1095" s="342"/>
      <c r="W1095" s="342"/>
      <c r="X1095" s="342"/>
      <c r="Y1095" s="342"/>
      <c r="Z1095" s="342"/>
    </row>
    <row r="1096" ht="12.75" customHeight="1">
      <c r="A1096" s="534"/>
      <c r="B1096" s="534"/>
      <c r="C1096" s="575"/>
      <c r="D1096" s="585"/>
      <c r="E1096" s="586"/>
      <c r="F1096" s="342"/>
      <c r="G1096" s="342"/>
      <c r="H1096" s="342"/>
      <c r="I1096" s="342"/>
      <c r="J1096" s="342"/>
      <c r="K1096" s="342"/>
      <c r="L1096" s="342"/>
      <c r="M1096" s="342"/>
      <c r="N1096" s="342"/>
      <c r="O1096" s="341"/>
      <c r="P1096" s="341"/>
      <c r="Q1096" s="342"/>
      <c r="R1096" s="342"/>
      <c r="S1096" s="341"/>
      <c r="T1096" s="342"/>
      <c r="U1096" s="342"/>
      <c r="V1096" s="342"/>
      <c r="W1096" s="342"/>
      <c r="X1096" s="342"/>
      <c r="Y1096" s="342"/>
      <c r="Z1096" s="342"/>
    </row>
    <row r="1097" ht="12.75" customHeight="1">
      <c r="A1097" s="534"/>
      <c r="B1097" s="534"/>
      <c r="C1097" s="575"/>
      <c r="D1097" s="585"/>
      <c r="E1097" s="586"/>
      <c r="F1097" s="342"/>
      <c r="G1097" s="342"/>
      <c r="H1097" s="342"/>
      <c r="I1097" s="342"/>
      <c r="J1097" s="342"/>
      <c r="K1097" s="342"/>
      <c r="L1097" s="342"/>
      <c r="M1097" s="342"/>
      <c r="N1097" s="342"/>
      <c r="O1097" s="341"/>
      <c r="P1097" s="341"/>
      <c r="Q1097" s="342"/>
      <c r="R1097" s="342"/>
      <c r="S1097" s="341"/>
      <c r="T1097" s="342"/>
      <c r="U1097" s="342"/>
      <c r="V1097" s="342"/>
      <c r="W1097" s="342"/>
      <c r="X1097" s="342"/>
      <c r="Y1097" s="342"/>
      <c r="Z1097" s="342"/>
    </row>
    <row r="1098" ht="12.75" customHeight="1">
      <c r="A1098" s="534"/>
      <c r="B1098" s="534"/>
      <c r="C1098" s="575"/>
      <c r="D1098" s="585"/>
      <c r="E1098" s="586"/>
      <c r="F1098" s="342"/>
      <c r="G1098" s="342"/>
      <c r="H1098" s="342"/>
      <c r="I1098" s="342"/>
      <c r="J1098" s="342"/>
      <c r="K1098" s="342"/>
      <c r="L1098" s="342"/>
      <c r="M1098" s="342"/>
      <c r="N1098" s="342"/>
      <c r="O1098" s="341"/>
      <c r="P1098" s="341"/>
      <c r="Q1098" s="342"/>
      <c r="R1098" s="342"/>
      <c r="S1098" s="341"/>
      <c r="T1098" s="342"/>
      <c r="U1098" s="342"/>
      <c r="V1098" s="342"/>
      <c r="W1098" s="342"/>
      <c r="X1098" s="342"/>
      <c r="Y1098" s="342"/>
      <c r="Z1098" s="342"/>
    </row>
    <row r="1099" ht="12.75" customHeight="1">
      <c r="A1099" s="534"/>
      <c r="B1099" s="534"/>
      <c r="C1099" s="575"/>
      <c r="D1099" s="585"/>
      <c r="E1099" s="586"/>
      <c r="F1099" s="342"/>
      <c r="G1099" s="342"/>
      <c r="H1099" s="342"/>
      <c r="I1099" s="342"/>
      <c r="J1099" s="342"/>
      <c r="K1099" s="342"/>
      <c r="L1099" s="342"/>
      <c r="M1099" s="342"/>
      <c r="N1099" s="342"/>
      <c r="O1099" s="341"/>
      <c r="P1099" s="341"/>
      <c r="Q1099" s="342"/>
      <c r="R1099" s="342"/>
      <c r="S1099" s="341"/>
      <c r="T1099" s="342"/>
      <c r="U1099" s="342"/>
      <c r="V1099" s="342"/>
      <c r="W1099" s="342"/>
      <c r="X1099" s="342"/>
      <c r="Y1099" s="342"/>
      <c r="Z1099" s="342"/>
    </row>
    <row r="1100" ht="12.75" customHeight="1">
      <c r="A1100" s="534"/>
      <c r="B1100" s="534"/>
      <c r="C1100" s="575"/>
      <c r="D1100" s="585"/>
      <c r="E1100" s="586"/>
      <c r="F1100" s="342"/>
      <c r="G1100" s="342"/>
      <c r="H1100" s="342"/>
      <c r="I1100" s="342"/>
      <c r="J1100" s="342"/>
      <c r="K1100" s="342"/>
      <c r="L1100" s="342"/>
      <c r="M1100" s="342"/>
      <c r="N1100" s="342"/>
      <c r="O1100" s="341"/>
      <c r="P1100" s="341"/>
      <c r="Q1100" s="342"/>
      <c r="R1100" s="342"/>
      <c r="S1100" s="341"/>
      <c r="T1100" s="342"/>
      <c r="U1100" s="342"/>
      <c r="V1100" s="342"/>
      <c r="W1100" s="342"/>
      <c r="X1100" s="342"/>
      <c r="Y1100" s="342"/>
      <c r="Z1100" s="342"/>
    </row>
    <row r="1101" ht="12.75" customHeight="1">
      <c r="A1101" s="534"/>
      <c r="B1101" s="534"/>
      <c r="C1101" s="575"/>
      <c r="D1101" s="585"/>
      <c r="E1101" s="586"/>
      <c r="F1101" s="342"/>
      <c r="G1101" s="342"/>
      <c r="H1101" s="342"/>
      <c r="I1101" s="342"/>
      <c r="J1101" s="342"/>
      <c r="K1101" s="342"/>
      <c r="L1101" s="342"/>
      <c r="M1101" s="342"/>
      <c r="N1101" s="342"/>
      <c r="O1101" s="341"/>
      <c r="P1101" s="341"/>
      <c r="Q1101" s="342"/>
      <c r="R1101" s="342"/>
      <c r="S1101" s="341"/>
      <c r="T1101" s="342"/>
      <c r="U1101" s="342"/>
      <c r="V1101" s="342"/>
      <c r="W1101" s="342"/>
      <c r="X1101" s="342"/>
      <c r="Y1101" s="342"/>
      <c r="Z1101" s="342"/>
    </row>
    <row r="1102" ht="12.75" customHeight="1">
      <c r="A1102" s="534"/>
      <c r="B1102" s="534"/>
      <c r="C1102" s="575"/>
      <c r="D1102" s="585"/>
      <c r="E1102" s="586"/>
      <c r="F1102" s="342"/>
      <c r="G1102" s="342"/>
      <c r="H1102" s="342"/>
      <c r="I1102" s="342"/>
      <c r="J1102" s="342"/>
      <c r="K1102" s="342"/>
      <c r="L1102" s="342"/>
      <c r="M1102" s="342"/>
      <c r="N1102" s="342"/>
      <c r="O1102" s="341"/>
      <c r="P1102" s="341"/>
      <c r="Q1102" s="342"/>
      <c r="R1102" s="342"/>
      <c r="S1102" s="341"/>
      <c r="T1102" s="342"/>
      <c r="U1102" s="342"/>
      <c r="V1102" s="342"/>
      <c r="W1102" s="342"/>
      <c r="X1102" s="342"/>
      <c r="Y1102" s="342"/>
      <c r="Z1102" s="342"/>
    </row>
    <row r="1103" ht="12.75" customHeight="1">
      <c r="A1103" s="534"/>
      <c r="B1103" s="534"/>
      <c r="C1103" s="575"/>
      <c r="D1103" s="585"/>
      <c r="E1103" s="586"/>
      <c r="F1103" s="342"/>
      <c r="G1103" s="342"/>
      <c r="H1103" s="342"/>
      <c r="I1103" s="342"/>
      <c r="J1103" s="342"/>
      <c r="K1103" s="342"/>
      <c r="L1103" s="342"/>
      <c r="M1103" s="342"/>
      <c r="N1103" s="342"/>
      <c r="O1103" s="341"/>
      <c r="P1103" s="341"/>
      <c r="Q1103" s="342"/>
      <c r="R1103" s="342"/>
      <c r="S1103" s="341"/>
      <c r="T1103" s="342"/>
      <c r="U1103" s="342"/>
      <c r="V1103" s="342"/>
      <c r="W1103" s="342"/>
      <c r="X1103" s="342"/>
      <c r="Y1103" s="342"/>
      <c r="Z1103" s="342"/>
    </row>
    <row r="1104" ht="12.75" customHeight="1">
      <c r="A1104" s="534"/>
      <c r="B1104" s="534"/>
      <c r="C1104" s="575"/>
      <c r="D1104" s="585"/>
      <c r="E1104" s="586"/>
      <c r="F1104" s="342"/>
      <c r="G1104" s="342"/>
      <c r="H1104" s="342"/>
      <c r="I1104" s="342"/>
      <c r="J1104" s="342"/>
      <c r="K1104" s="342"/>
      <c r="L1104" s="342"/>
      <c r="M1104" s="342"/>
      <c r="N1104" s="342"/>
      <c r="O1104" s="341"/>
      <c r="P1104" s="341"/>
      <c r="Q1104" s="342"/>
      <c r="R1104" s="342"/>
      <c r="S1104" s="341"/>
      <c r="T1104" s="342"/>
      <c r="U1104" s="342"/>
      <c r="V1104" s="342"/>
      <c r="W1104" s="342"/>
      <c r="X1104" s="342"/>
      <c r="Y1104" s="342"/>
      <c r="Z1104" s="342"/>
    </row>
    <row r="1105" ht="12.75" customHeight="1">
      <c r="A1105" s="534"/>
      <c r="B1105" s="534"/>
      <c r="C1105" s="575"/>
      <c r="D1105" s="585"/>
      <c r="E1105" s="586"/>
      <c r="F1105" s="342"/>
      <c r="G1105" s="342"/>
      <c r="H1105" s="342"/>
      <c r="I1105" s="342"/>
      <c r="J1105" s="342"/>
      <c r="K1105" s="342"/>
      <c r="L1105" s="342"/>
      <c r="M1105" s="342"/>
      <c r="N1105" s="342"/>
      <c r="O1105" s="341"/>
      <c r="P1105" s="341"/>
      <c r="Q1105" s="342"/>
      <c r="R1105" s="342"/>
      <c r="S1105" s="341"/>
      <c r="T1105" s="342"/>
      <c r="U1105" s="342"/>
      <c r="V1105" s="342"/>
      <c r="W1105" s="342"/>
      <c r="X1105" s="342"/>
      <c r="Y1105" s="342"/>
      <c r="Z1105" s="342"/>
    </row>
    <row r="1106" ht="12.75" customHeight="1">
      <c r="A1106" s="534"/>
      <c r="B1106" s="534"/>
      <c r="C1106" s="575"/>
      <c r="D1106" s="585"/>
      <c r="E1106" s="586"/>
      <c r="F1106" s="342"/>
      <c r="G1106" s="342"/>
      <c r="H1106" s="342"/>
      <c r="I1106" s="342"/>
      <c r="J1106" s="342"/>
      <c r="K1106" s="342"/>
      <c r="L1106" s="342"/>
      <c r="M1106" s="342"/>
      <c r="N1106" s="342"/>
      <c r="O1106" s="341"/>
      <c r="P1106" s="341"/>
      <c r="Q1106" s="342"/>
      <c r="R1106" s="342"/>
      <c r="S1106" s="341"/>
      <c r="T1106" s="342"/>
      <c r="U1106" s="342"/>
      <c r="V1106" s="342"/>
      <c r="W1106" s="342"/>
      <c r="X1106" s="342"/>
      <c r="Y1106" s="342"/>
      <c r="Z1106" s="342"/>
    </row>
    <row r="1107" ht="12.75" customHeight="1">
      <c r="A1107" s="534"/>
      <c r="B1107" s="534"/>
      <c r="C1107" s="575"/>
      <c r="D1107" s="585"/>
      <c r="E1107" s="586"/>
      <c r="F1107" s="342"/>
      <c r="G1107" s="342"/>
      <c r="H1107" s="342"/>
      <c r="I1107" s="342"/>
      <c r="J1107" s="342"/>
      <c r="K1107" s="342"/>
      <c r="L1107" s="342"/>
      <c r="M1107" s="342"/>
      <c r="N1107" s="342"/>
      <c r="O1107" s="341"/>
      <c r="P1107" s="341"/>
      <c r="Q1107" s="342"/>
      <c r="R1107" s="342"/>
      <c r="S1107" s="341"/>
      <c r="T1107" s="342"/>
      <c r="U1107" s="342"/>
      <c r="V1107" s="342"/>
      <c r="W1107" s="342"/>
      <c r="X1107" s="342"/>
      <c r="Y1107" s="342"/>
      <c r="Z1107" s="342"/>
    </row>
    <row r="1108" ht="12.75" customHeight="1">
      <c r="A1108" s="534"/>
      <c r="B1108" s="534"/>
      <c r="C1108" s="575"/>
      <c r="D1108" s="585"/>
      <c r="E1108" s="586"/>
      <c r="F1108" s="342"/>
      <c r="G1108" s="342"/>
      <c r="H1108" s="342"/>
      <c r="I1108" s="342"/>
      <c r="J1108" s="342"/>
      <c r="K1108" s="342"/>
      <c r="L1108" s="342"/>
      <c r="M1108" s="342"/>
      <c r="N1108" s="342"/>
      <c r="O1108" s="341"/>
      <c r="P1108" s="341"/>
      <c r="Q1108" s="342"/>
      <c r="R1108" s="342"/>
      <c r="S1108" s="341"/>
      <c r="T1108" s="342"/>
      <c r="U1108" s="342"/>
      <c r="V1108" s="342"/>
      <c r="W1108" s="342"/>
      <c r="X1108" s="342"/>
      <c r="Y1108" s="342"/>
      <c r="Z1108" s="342"/>
    </row>
    <row r="1109" ht="12.75" customHeight="1">
      <c r="A1109" s="534"/>
      <c r="B1109" s="534"/>
      <c r="C1109" s="575"/>
      <c r="D1109" s="585"/>
      <c r="E1109" s="586"/>
      <c r="F1109" s="342"/>
      <c r="G1109" s="342"/>
      <c r="H1109" s="342"/>
      <c r="I1109" s="342"/>
      <c r="J1109" s="342"/>
      <c r="K1109" s="342"/>
      <c r="L1109" s="342"/>
      <c r="M1109" s="342"/>
      <c r="N1109" s="342"/>
      <c r="O1109" s="341"/>
      <c r="P1109" s="341"/>
      <c r="Q1109" s="342"/>
      <c r="R1109" s="342"/>
      <c r="S1109" s="341"/>
      <c r="T1109" s="342"/>
      <c r="U1109" s="342"/>
      <c r="V1109" s="342"/>
      <c r="W1109" s="342"/>
      <c r="X1109" s="342"/>
      <c r="Y1109" s="342"/>
      <c r="Z1109" s="342"/>
    </row>
    <row r="1110" ht="12.75" customHeight="1">
      <c r="A1110" s="534"/>
      <c r="B1110" s="534"/>
      <c r="C1110" s="575"/>
      <c r="D1110" s="585"/>
      <c r="E1110" s="586"/>
      <c r="F1110" s="342"/>
      <c r="G1110" s="342"/>
      <c r="H1110" s="342"/>
      <c r="I1110" s="342"/>
      <c r="J1110" s="342"/>
      <c r="K1110" s="342"/>
      <c r="L1110" s="342"/>
      <c r="M1110" s="342"/>
      <c r="N1110" s="342"/>
      <c r="O1110" s="341"/>
      <c r="P1110" s="341"/>
      <c r="Q1110" s="342"/>
      <c r="R1110" s="342"/>
      <c r="S1110" s="341"/>
      <c r="T1110" s="342"/>
      <c r="U1110" s="342"/>
      <c r="V1110" s="342"/>
      <c r="W1110" s="342"/>
      <c r="X1110" s="342"/>
      <c r="Y1110" s="342"/>
      <c r="Z1110" s="342"/>
    </row>
    <row r="1111" ht="12.75" customHeight="1">
      <c r="A1111" s="534"/>
      <c r="B1111" s="534"/>
      <c r="C1111" s="575"/>
      <c r="D1111" s="585"/>
      <c r="E1111" s="586"/>
      <c r="F1111" s="342"/>
      <c r="G1111" s="342"/>
      <c r="H1111" s="342"/>
      <c r="I1111" s="342"/>
      <c r="J1111" s="342"/>
      <c r="K1111" s="342"/>
      <c r="L1111" s="342"/>
      <c r="M1111" s="342"/>
      <c r="N1111" s="342"/>
      <c r="O1111" s="341"/>
      <c r="P1111" s="341"/>
      <c r="Q1111" s="342"/>
      <c r="R1111" s="342"/>
      <c r="S1111" s="341"/>
      <c r="T1111" s="342"/>
      <c r="U1111" s="342"/>
      <c r="V1111" s="342"/>
      <c r="W1111" s="342"/>
      <c r="X1111" s="342"/>
      <c r="Y1111" s="342"/>
      <c r="Z1111" s="342"/>
    </row>
    <row r="1112" ht="12.75" customHeight="1">
      <c r="A1112" s="534"/>
      <c r="B1112" s="534"/>
      <c r="C1112" s="575"/>
      <c r="D1112" s="585"/>
      <c r="E1112" s="586"/>
      <c r="F1112" s="342"/>
      <c r="G1112" s="342"/>
      <c r="H1112" s="342"/>
      <c r="I1112" s="342"/>
      <c r="J1112" s="342"/>
      <c r="K1112" s="342"/>
      <c r="L1112" s="342"/>
      <c r="M1112" s="342"/>
      <c r="N1112" s="342"/>
      <c r="O1112" s="341"/>
      <c r="P1112" s="341"/>
      <c r="Q1112" s="342"/>
      <c r="R1112" s="342"/>
      <c r="S1112" s="341"/>
      <c r="T1112" s="342"/>
      <c r="U1112" s="342"/>
      <c r="V1112" s="342"/>
      <c r="W1112" s="342"/>
      <c r="X1112" s="342"/>
      <c r="Y1112" s="342"/>
      <c r="Z1112" s="342"/>
    </row>
    <row r="1113" ht="12.75" customHeight="1">
      <c r="A1113" s="534"/>
      <c r="B1113" s="534"/>
      <c r="C1113" s="575"/>
      <c r="D1113" s="585"/>
      <c r="E1113" s="586"/>
      <c r="F1113" s="342"/>
      <c r="G1113" s="342"/>
      <c r="H1113" s="342"/>
      <c r="I1113" s="342"/>
      <c r="J1113" s="342"/>
      <c r="K1113" s="342"/>
      <c r="L1113" s="342"/>
      <c r="M1113" s="342"/>
      <c r="N1113" s="342"/>
      <c r="O1113" s="341"/>
      <c r="P1113" s="341"/>
      <c r="Q1113" s="342"/>
      <c r="R1113" s="342"/>
      <c r="S1113" s="341"/>
      <c r="T1113" s="342"/>
      <c r="U1113" s="342"/>
      <c r="V1113" s="342"/>
      <c r="W1113" s="342"/>
      <c r="X1113" s="342"/>
      <c r="Y1113" s="342"/>
      <c r="Z1113" s="342"/>
    </row>
    <row r="1114" ht="12.75" customHeight="1">
      <c r="A1114" s="534"/>
      <c r="B1114" s="534"/>
      <c r="C1114" s="575"/>
      <c r="D1114" s="585"/>
      <c r="E1114" s="586"/>
      <c r="F1114" s="342"/>
      <c r="G1114" s="342"/>
      <c r="H1114" s="342"/>
      <c r="I1114" s="342"/>
      <c r="J1114" s="342"/>
      <c r="K1114" s="342"/>
      <c r="L1114" s="342"/>
      <c r="M1114" s="342"/>
      <c r="N1114" s="342"/>
      <c r="O1114" s="341"/>
      <c r="P1114" s="341"/>
      <c r="Q1114" s="342"/>
      <c r="R1114" s="342"/>
      <c r="S1114" s="341"/>
      <c r="T1114" s="342"/>
      <c r="U1114" s="342"/>
      <c r="V1114" s="342"/>
      <c r="W1114" s="342"/>
      <c r="X1114" s="342"/>
      <c r="Y1114" s="342"/>
      <c r="Z1114" s="342"/>
    </row>
    <row r="1115" ht="12.75" customHeight="1">
      <c r="A1115" s="534"/>
      <c r="B1115" s="534"/>
      <c r="C1115" s="575"/>
      <c r="D1115" s="585"/>
      <c r="E1115" s="586"/>
      <c r="F1115" s="342"/>
      <c r="G1115" s="342"/>
      <c r="H1115" s="342"/>
      <c r="I1115" s="342"/>
      <c r="J1115" s="342"/>
      <c r="K1115" s="342"/>
      <c r="L1115" s="342"/>
      <c r="M1115" s="342"/>
      <c r="N1115" s="342"/>
      <c r="O1115" s="341"/>
      <c r="P1115" s="341"/>
      <c r="Q1115" s="342"/>
      <c r="R1115" s="342"/>
      <c r="S1115" s="341"/>
      <c r="T1115" s="342"/>
      <c r="U1115" s="342"/>
      <c r="V1115" s="342"/>
      <c r="W1115" s="342"/>
      <c r="X1115" s="342"/>
      <c r="Y1115" s="342"/>
      <c r="Z1115" s="342"/>
    </row>
    <row r="1116" ht="12.75" customHeight="1">
      <c r="A1116" s="534"/>
      <c r="B1116" s="534"/>
      <c r="C1116" s="575"/>
      <c r="D1116" s="585"/>
      <c r="E1116" s="586"/>
      <c r="F1116" s="342"/>
      <c r="G1116" s="342"/>
      <c r="H1116" s="342"/>
      <c r="I1116" s="342"/>
      <c r="J1116" s="342"/>
      <c r="K1116" s="342"/>
      <c r="L1116" s="342"/>
      <c r="M1116" s="342"/>
      <c r="N1116" s="342"/>
      <c r="O1116" s="341"/>
      <c r="P1116" s="341"/>
      <c r="Q1116" s="342"/>
      <c r="R1116" s="342"/>
      <c r="S1116" s="341"/>
      <c r="T1116" s="342"/>
      <c r="U1116" s="342"/>
      <c r="V1116" s="342"/>
      <c r="W1116" s="342"/>
      <c r="X1116" s="342"/>
      <c r="Y1116" s="342"/>
      <c r="Z1116" s="342"/>
    </row>
    <row r="1117" ht="12.75" customHeight="1">
      <c r="A1117" s="534"/>
      <c r="B1117" s="534"/>
      <c r="C1117" s="575"/>
      <c r="D1117" s="585"/>
      <c r="E1117" s="586"/>
      <c r="F1117" s="342"/>
      <c r="G1117" s="342"/>
      <c r="H1117" s="342"/>
      <c r="I1117" s="342"/>
      <c r="J1117" s="342"/>
      <c r="K1117" s="342"/>
      <c r="L1117" s="342"/>
      <c r="M1117" s="342"/>
      <c r="N1117" s="342"/>
      <c r="O1117" s="341"/>
      <c r="P1117" s="341"/>
      <c r="Q1117" s="342"/>
      <c r="R1117" s="342"/>
      <c r="S1117" s="341"/>
      <c r="T1117" s="342"/>
      <c r="U1117" s="342"/>
      <c r="V1117" s="342"/>
      <c r="W1117" s="342"/>
      <c r="X1117" s="342"/>
      <c r="Y1117" s="342"/>
      <c r="Z1117" s="342"/>
    </row>
    <row r="1118" ht="12.75" customHeight="1">
      <c r="A1118" s="534"/>
      <c r="B1118" s="534"/>
      <c r="C1118" s="575"/>
      <c r="D1118" s="585"/>
      <c r="E1118" s="586"/>
      <c r="F1118" s="342"/>
      <c r="G1118" s="342"/>
      <c r="H1118" s="342"/>
      <c r="I1118" s="342"/>
      <c r="J1118" s="342"/>
      <c r="K1118" s="342"/>
      <c r="L1118" s="342"/>
      <c r="M1118" s="342"/>
      <c r="N1118" s="342"/>
      <c r="O1118" s="341"/>
      <c r="P1118" s="341"/>
      <c r="Q1118" s="342"/>
      <c r="R1118" s="342"/>
      <c r="S1118" s="341"/>
      <c r="T1118" s="342"/>
      <c r="U1118" s="342"/>
      <c r="V1118" s="342"/>
      <c r="W1118" s="342"/>
      <c r="X1118" s="342"/>
      <c r="Y1118" s="342"/>
      <c r="Z1118" s="342"/>
    </row>
    <row r="1119" ht="12.75" customHeight="1">
      <c r="A1119" s="534"/>
      <c r="B1119" s="534"/>
      <c r="C1119" s="575"/>
      <c r="D1119" s="585"/>
      <c r="E1119" s="586"/>
      <c r="F1119" s="342"/>
      <c r="G1119" s="342"/>
      <c r="H1119" s="342"/>
      <c r="I1119" s="342"/>
      <c r="J1119" s="342"/>
      <c r="K1119" s="342"/>
      <c r="L1119" s="342"/>
      <c r="M1119" s="342"/>
      <c r="N1119" s="342"/>
      <c r="O1119" s="341"/>
      <c r="P1119" s="341"/>
      <c r="Q1119" s="342"/>
      <c r="R1119" s="342"/>
      <c r="S1119" s="341"/>
      <c r="T1119" s="342"/>
      <c r="U1119" s="342"/>
      <c r="V1119" s="342"/>
      <c r="W1119" s="342"/>
      <c r="X1119" s="342"/>
      <c r="Y1119" s="342"/>
      <c r="Z1119" s="342"/>
    </row>
    <row r="1120" ht="12.75" customHeight="1">
      <c r="A1120" s="534"/>
      <c r="B1120" s="534"/>
      <c r="C1120" s="575"/>
      <c r="D1120" s="585"/>
      <c r="E1120" s="586"/>
      <c r="F1120" s="342"/>
      <c r="G1120" s="342"/>
      <c r="H1120" s="342"/>
      <c r="I1120" s="342"/>
      <c r="J1120" s="342"/>
      <c r="K1120" s="342"/>
      <c r="L1120" s="342"/>
      <c r="M1120" s="342"/>
      <c r="N1120" s="342"/>
      <c r="O1120" s="341"/>
      <c r="P1120" s="341"/>
      <c r="Q1120" s="342"/>
      <c r="R1120" s="342"/>
      <c r="S1120" s="341"/>
      <c r="T1120" s="342"/>
      <c r="U1120" s="342"/>
      <c r="V1120" s="342"/>
      <c r="W1120" s="342"/>
      <c r="X1120" s="342"/>
      <c r="Y1120" s="342"/>
      <c r="Z1120" s="342"/>
    </row>
    <row r="1121" ht="12.75" customHeight="1">
      <c r="A1121" s="534"/>
      <c r="B1121" s="534"/>
      <c r="C1121" s="575"/>
      <c r="D1121" s="585"/>
      <c r="E1121" s="586"/>
      <c r="F1121" s="342"/>
      <c r="G1121" s="342"/>
      <c r="H1121" s="342"/>
      <c r="I1121" s="342"/>
      <c r="J1121" s="342"/>
      <c r="K1121" s="342"/>
      <c r="L1121" s="342"/>
      <c r="M1121" s="342"/>
      <c r="N1121" s="342"/>
      <c r="O1121" s="341"/>
      <c r="P1121" s="341"/>
      <c r="Q1121" s="342"/>
      <c r="R1121" s="342"/>
      <c r="S1121" s="341"/>
      <c r="T1121" s="342"/>
      <c r="U1121" s="342"/>
      <c r="V1121" s="342"/>
      <c r="W1121" s="342"/>
      <c r="X1121" s="342"/>
      <c r="Y1121" s="342"/>
      <c r="Z1121" s="342"/>
    </row>
    <row r="1122" ht="12.75" customHeight="1">
      <c r="A1122" s="534"/>
      <c r="B1122" s="534"/>
      <c r="C1122" s="575"/>
      <c r="D1122" s="585"/>
      <c r="E1122" s="586"/>
      <c r="F1122" s="342"/>
      <c r="G1122" s="342"/>
      <c r="H1122" s="342"/>
      <c r="I1122" s="342"/>
      <c r="J1122" s="342"/>
      <c r="K1122" s="342"/>
      <c r="L1122" s="342"/>
      <c r="M1122" s="342"/>
      <c r="N1122" s="342"/>
      <c r="O1122" s="341"/>
      <c r="P1122" s="341"/>
      <c r="Q1122" s="342"/>
      <c r="R1122" s="342"/>
      <c r="S1122" s="341"/>
      <c r="T1122" s="342"/>
      <c r="U1122" s="342"/>
      <c r="V1122" s="342"/>
      <c r="W1122" s="342"/>
      <c r="X1122" s="342"/>
      <c r="Y1122" s="342"/>
      <c r="Z1122" s="342"/>
    </row>
    <row r="1123" ht="12.75" customHeight="1">
      <c r="A1123" s="534"/>
      <c r="B1123" s="534"/>
      <c r="C1123" s="575"/>
      <c r="D1123" s="585"/>
      <c r="E1123" s="586"/>
      <c r="F1123" s="342"/>
      <c r="G1123" s="342"/>
      <c r="H1123" s="342"/>
      <c r="I1123" s="342"/>
      <c r="J1123" s="342"/>
      <c r="K1123" s="342"/>
      <c r="L1123" s="342"/>
      <c r="M1123" s="342"/>
      <c r="N1123" s="342"/>
      <c r="O1123" s="341"/>
      <c r="P1123" s="341"/>
      <c r="Q1123" s="342"/>
      <c r="R1123" s="342"/>
      <c r="S1123" s="341"/>
      <c r="T1123" s="342"/>
      <c r="U1123" s="342"/>
      <c r="V1123" s="342"/>
      <c r="W1123" s="342"/>
      <c r="X1123" s="342"/>
      <c r="Y1123" s="342"/>
      <c r="Z1123" s="342"/>
    </row>
    <row r="1124" ht="12.75" customHeight="1">
      <c r="A1124" s="534"/>
      <c r="B1124" s="534"/>
      <c r="C1124" s="575"/>
      <c r="D1124" s="585"/>
      <c r="E1124" s="586"/>
      <c r="F1124" s="342"/>
      <c r="G1124" s="342"/>
      <c r="H1124" s="342"/>
      <c r="I1124" s="342"/>
      <c r="J1124" s="342"/>
      <c r="K1124" s="342"/>
      <c r="L1124" s="342"/>
      <c r="M1124" s="342"/>
      <c r="N1124" s="342"/>
      <c r="O1124" s="341"/>
      <c r="P1124" s="341"/>
      <c r="Q1124" s="342"/>
      <c r="R1124" s="342"/>
      <c r="S1124" s="341"/>
      <c r="T1124" s="342"/>
      <c r="U1124" s="342"/>
      <c r="V1124" s="342"/>
      <c r="W1124" s="342"/>
      <c r="X1124" s="342"/>
      <c r="Y1124" s="342"/>
      <c r="Z1124" s="342"/>
    </row>
    <row r="1125" ht="12.75" customHeight="1">
      <c r="A1125" s="534"/>
      <c r="B1125" s="534"/>
      <c r="C1125" s="575"/>
      <c r="D1125" s="585"/>
      <c r="E1125" s="586"/>
      <c r="F1125" s="342"/>
      <c r="G1125" s="342"/>
      <c r="H1125" s="342"/>
      <c r="I1125" s="342"/>
      <c r="J1125" s="342"/>
      <c r="K1125" s="342"/>
      <c r="L1125" s="342"/>
      <c r="M1125" s="342"/>
      <c r="N1125" s="342"/>
      <c r="O1125" s="341"/>
      <c r="P1125" s="341"/>
      <c r="Q1125" s="342"/>
      <c r="R1125" s="342"/>
      <c r="S1125" s="341"/>
      <c r="T1125" s="342"/>
      <c r="U1125" s="342"/>
      <c r="V1125" s="342"/>
      <c r="W1125" s="342"/>
      <c r="X1125" s="342"/>
      <c r="Y1125" s="342"/>
      <c r="Z1125" s="342"/>
    </row>
    <row r="1126" ht="12.75" customHeight="1">
      <c r="A1126" s="534"/>
      <c r="B1126" s="534"/>
      <c r="C1126" s="575"/>
      <c r="D1126" s="585"/>
      <c r="E1126" s="586"/>
      <c r="F1126" s="342"/>
      <c r="G1126" s="342"/>
      <c r="H1126" s="342"/>
      <c r="I1126" s="342"/>
      <c r="J1126" s="342"/>
      <c r="K1126" s="342"/>
      <c r="L1126" s="342"/>
      <c r="M1126" s="342"/>
      <c r="N1126" s="342"/>
      <c r="O1126" s="341"/>
      <c r="P1126" s="341"/>
      <c r="Q1126" s="342"/>
      <c r="R1126" s="342"/>
      <c r="S1126" s="341"/>
      <c r="T1126" s="342"/>
      <c r="U1126" s="342"/>
      <c r="V1126" s="342"/>
      <c r="W1126" s="342"/>
      <c r="X1126" s="342"/>
      <c r="Y1126" s="342"/>
      <c r="Z1126" s="342"/>
    </row>
    <row r="1127" ht="12.75" customHeight="1">
      <c r="A1127" s="534"/>
      <c r="B1127" s="534"/>
      <c r="C1127" s="575"/>
      <c r="D1127" s="585"/>
      <c r="E1127" s="586"/>
      <c r="F1127" s="342"/>
      <c r="G1127" s="342"/>
      <c r="H1127" s="342"/>
      <c r="I1127" s="342"/>
      <c r="J1127" s="342"/>
      <c r="K1127" s="342"/>
      <c r="L1127" s="342"/>
      <c r="M1127" s="342"/>
      <c r="N1127" s="342"/>
      <c r="O1127" s="341"/>
      <c r="P1127" s="341"/>
      <c r="Q1127" s="342"/>
      <c r="R1127" s="342"/>
      <c r="S1127" s="341"/>
      <c r="T1127" s="342"/>
      <c r="U1127" s="342"/>
      <c r="V1127" s="342"/>
      <c r="W1127" s="342"/>
      <c r="X1127" s="342"/>
      <c r="Y1127" s="342"/>
      <c r="Z1127" s="342"/>
    </row>
    <row r="1128" ht="12.75" customHeight="1">
      <c r="A1128" s="534"/>
      <c r="B1128" s="534"/>
      <c r="C1128" s="575"/>
      <c r="D1128" s="585"/>
      <c r="E1128" s="586"/>
      <c r="F1128" s="342"/>
      <c r="G1128" s="342"/>
      <c r="H1128" s="342"/>
      <c r="I1128" s="342"/>
      <c r="J1128" s="342"/>
      <c r="K1128" s="342"/>
      <c r="L1128" s="342"/>
      <c r="M1128" s="342"/>
      <c r="N1128" s="342"/>
      <c r="O1128" s="341"/>
      <c r="P1128" s="341"/>
      <c r="Q1128" s="342"/>
      <c r="R1128" s="342"/>
      <c r="S1128" s="341"/>
      <c r="T1128" s="342"/>
      <c r="U1128" s="342"/>
      <c r="V1128" s="342"/>
      <c r="W1128" s="342"/>
      <c r="X1128" s="342"/>
      <c r="Y1128" s="342"/>
      <c r="Z1128" s="342"/>
    </row>
    <row r="1129" ht="12.75" customHeight="1">
      <c r="A1129" s="534"/>
      <c r="B1129" s="534"/>
      <c r="C1129" s="575"/>
      <c r="D1129" s="585"/>
      <c r="E1129" s="586"/>
      <c r="F1129" s="342"/>
      <c r="G1129" s="342"/>
      <c r="H1129" s="342"/>
      <c r="I1129" s="342"/>
      <c r="J1129" s="342"/>
      <c r="K1129" s="342"/>
      <c r="L1129" s="342"/>
      <c r="M1129" s="342"/>
      <c r="N1129" s="342"/>
      <c r="O1129" s="341"/>
      <c r="P1129" s="341"/>
      <c r="Q1129" s="342"/>
      <c r="R1129" s="342"/>
      <c r="S1129" s="341"/>
      <c r="T1129" s="342"/>
      <c r="U1129" s="342"/>
      <c r="V1129" s="342"/>
      <c r="W1129" s="342"/>
      <c r="X1129" s="342"/>
      <c r="Y1129" s="342"/>
      <c r="Z1129" s="342"/>
    </row>
    <row r="1130" ht="12.75" customHeight="1">
      <c r="A1130" s="534"/>
      <c r="B1130" s="534"/>
      <c r="C1130" s="575"/>
      <c r="D1130" s="585"/>
      <c r="E1130" s="586"/>
      <c r="F1130" s="342"/>
      <c r="G1130" s="342"/>
      <c r="H1130" s="342"/>
      <c r="I1130" s="342"/>
      <c r="J1130" s="342"/>
      <c r="K1130" s="342"/>
      <c r="L1130" s="342"/>
      <c r="M1130" s="342"/>
      <c r="N1130" s="342"/>
      <c r="O1130" s="341"/>
      <c r="P1130" s="341"/>
      <c r="Q1130" s="342"/>
      <c r="R1130" s="342"/>
      <c r="S1130" s="341"/>
      <c r="T1130" s="342"/>
      <c r="U1130" s="342"/>
      <c r="V1130" s="342"/>
      <c r="W1130" s="342"/>
      <c r="X1130" s="342"/>
      <c r="Y1130" s="342"/>
      <c r="Z1130" s="342"/>
    </row>
    <row r="1131" ht="12.75" customHeight="1">
      <c r="A1131" s="534"/>
      <c r="B1131" s="534"/>
      <c r="C1131" s="575"/>
      <c r="D1131" s="585"/>
      <c r="E1131" s="586"/>
      <c r="F1131" s="342"/>
      <c r="G1131" s="342"/>
      <c r="H1131" s="342"/>
      <c r="I1131" s="342"/>
      <c r="J1131" s="342"/>
      <c r="K1131" s="342"/>
      <c r="L1131" s="342"/>
      <c r="M1131" s="342"/>
      <c r="N1131" s="342"/>
      <c r="O1131" s="341"/>
      <c r="P1131" s="341"/>
      <c r="Q1131" s="342"/>
      <c r="R1131" s="342"/>
      <c r="S1131" s="341"/>
      <c r="T1131" s="342"/>
      <c r="U1131" s="342"/>
      <c r="V1131" s="342"/>
      <c r="W1131" s="342"/>
      <c r="X1131" s="342"/>
      <c r="Y1131" s="342"/>
      <c r="Z1131" s="342"/>
    </row>
    <row r="1132" ht="12.75" customHeight="1">
      <c r="A1132" s="534"/>
      <c r="B1132" s="534"/>
      <c r="C1132" s="575"/>
      <c r="D1132" s="585"/>
      <c r="E1132" s="586"/>
      <c r="F1132" s="342"/>
      <c r="G1132" s="342"/>
      <c r="H1132" s="342"/>
      <c r="I1132" s="342"/>
      <c r="J1132" s="342"/>
      <c r="K1132" s="342"/>
      <c r="L1132" s="342"/>
      <c r="M1132" s="342"/>
      <c r="N1132" s="342"/>
      <c r="O1132" s="341"/>
      <c r="P1132" s="341"/>
      <c r="Q1132" s="342"/>
      <c r="R1132" s="342"/>
      <c r="S1132" s="341"/>
      <c r="T1132" s="342"/>
      <c r="U1132" s="342"/>
      <c r="V1132" s="342"/>
      <c r="W1132" s="342"/>
      <c r="X1132" s="342"/>
      <c r="Y1132" s="342"/>
      <c r="Z1132" s="342"/>
    </row>
    <row r="1133" ht="12.75" customHeight="1">
      <c r="A1133" s="534"/>
      <c r="B1133" s="534"/>
      <c r="C1133" s="575"/>
      <c r="D1133" s="585"/>
      <c r="E1133" s="586"/>
      <c r="F1133" s="342"/>
      <c r="G1133" s="342"/>
      <c r="H1133" s="342"/>
      <c r="I1133" s="342"/>
      <c r="J1133" s="342"/>
      <c r="K1133" s="342"/>
      <c r="L1133" s="342"/>
      <c r="M1133" s="342"/>
      <c r="N1133" s="342"/>
      <c r="O1133" s="341"/>
      <c r="P1133" s="341"/>
      <c r="Q1133" s="342"/>
      <c r="R1133" s="342"/>
      <c r="S1133" s="341"/>
      <c r="T1133" s="342"/>
      <c r="U1133" s="342"/>
      <c r="V1133" s="342"/>
      <c r="W1133" s="342"/>
      <c r="X1133" s="342"/>
      <c r="Y1133" s="342"/>
      <c r="Z1133" s="342"/>
    </row>
    <row r="1134" ht="12.75" customHeight="1">
      <c r="A1134" s="534"/>
      <c r="B1134" s="534"/>
      <c r="C1134" s="575"/>
      <c r="D1134" s="585"/>
      <c r="E1134" s="586"/>
      <c r="F1134" s="342"/>
      <c r="G1134" s="342"/>
      <c r="H1134" s="342"/>
      <c r="I1134" s="342"/>
      <c r="J1134" s="342"/>
      <c r="K1134" s="342"/>
      <c r="L1134" s="342"/>
      <c r="M1134" s="342"/>
      <c r="N1134" s="342"/>
      <c r="O1134" s="341"/>
      <c r="P1134" s="341"/>
      <c r="Q1134" s="342"/>
      <c r="R1134" s="342"/>
      <c r="S1134" s="341"/>
      <c r="T1134" s="342"/>
      <c r="U1134" s="342"/>
      <c r="V1134" s="342"/>
      <c r="W1134" s="342"/>
      <c r="X1134" s="342"/>
      <c r="Y1134" s="342"/>
      <c r="Z1134" s="342"/>
    </row>
    <row r="1135" ht="12.75" customHeight="1">
      <c r="A1135" s="534"/>
      <c r="B1135" s="534"/>
      <c r="C1135" s="575"/>
      <c r="D1135" s="585"/>
      <c r="E1135" s="586"/>
      <c r="F1135" s="342"/>
      <c r="G1135" s="342"/>
      <c r="H1135" s="342"/>
      <c r="I1135" s="342"/>
      <c r="J1135" s="342"/>
      <c r="K1135" s="342"/>
      <c r="L1135" s="342"/>
      <c r="M1135" s="342"/>
      <c r="N1135" s="342"/>
      <c r="O1135" s="341"/>
      <c r="P1135" s="341"/>
      <c r="Q1135" s="342"/>
      <c r="R1135" s="342"/>
      <c r="S1135" s="341"/>
      <c r="T1135" s="342"/>
      <c r="U1135" s="342"/>
      <c r="V1135" s="342"/>
      <c r="W1135" s="342"/>
      <c r="X1135" s="342"/>
      <c r="Y1135" s="342"/>
      <c r="Z1135" s="342"/>
    </row>
    <row r="1136" ht="12.75" customHeight="1">
      <c r="A1136" s="534"/>
      <c r="B1136" s="534"/>
      <c r="C1136" s="575"/>
      <c r="D1136" s="585"/>
      <c r="E1136" s="586"/>
      <c r="F1136" s="342"/>
      <c r="G1136" s="342"/>
      <c r="H1136" s="342"/>
      <c r="I1136" s="342"/>
      <c r="J1136" s="342"/>
      <c r="K1136" s="342"/>
      <c r="L1136" s="342"/>
      <c r="M1136" s="342"/>
      <c r="N1136" s="342"/>
      <c r="O1136" s="341"/>
      <c r="P1136" s="341"/>
      <c r="Q1136" s="342"/>
      <c r="R1136" s="342"/>
      <c r="S1136" s="341"/>
      <c r="T1136" s="342"/>
      <c r="U1136" s="342"/>
      <c r="V1136" s="342"/>
      <c r="W1136" s="342"/>
      <c r="X1136" s="342"/>
      <c r="Y1136" s="342"/>
      <c r="Z1136" s="342"/>
    </row>
    <row r="1137" ht="12.75" customHeight="1">
      <c r="A1137" s="534"/>
      <c r="B1137" s="534"/>
      <c r="C1137" s="575"/>
      <c r="D1137" s="585"/>
      <c r="E1137" s="586"/>
      <c r="F1137" s="342"/>
      <c r="G1137" s="342"/>
      <c r="H1137" s="342"/>
      <c r="I1137" s="342"/>
      <c r="J1137" s="342"/>
      <c r="K1137" s="342"/>
      <c r="L1137" s="342"/>
      <c r="M1137" s="342"/>
      <c r="N1137" s="342"/>
      <c r="O1137" s="341"/>
      <c r="P1137" s="341"/>
      <c r="Q1137" s="342"/>
      <c r="R1137" s="342"/>
      <c r="S1137" s="341"/>
      <c r="T1137" s="342"/>
      <c r="U1137" s="342"/>
      <c r="V1137" s="342"/>
      <c r="W1137" s="342"/>
      <c r="X1137" s="342"/>
      <c r="Y1137" s="342"/>
      <c r="Z1137" s="342"/>
    </row>
    <row r="1138" ht="12.75" customHeight="1">
      <c r="A1138" s="534"/>
      <c r="B1138" s="534"/>
      <c r="C1138" s="575"/>
      <c r="D1138" s="585"/>
      <c r="E1138" s="586"/>
      <c r="F1138" s="342"/>
      <c r="G1138" s="342"/>
      <c r="H1138" s="342"/>
      <c r="I1138" s="342"/>
      <c r="J1138" s="342"/>
      <c r="K1138" s="342"/>
      <c r="L1138" s="342"/>
      <c r="M1138" s="342"/>
      <c r="N1138" s="342"/>
      <c r="O1138" s="341"/>
      <c r="P1138" s="341"/>
      <c r="Q1138" s="342"/>
      <c r="R1138" s="342"/>
      <c r="S1138" s="341"/>
      <c r="T1138" s="342"/>
      <c r="U1138" s="342"/>
      <c r="V1138" s="342"/>
      <c r="W1138" s="342"/>
      <c r="X1138" s="342"/>
      <c r="Y1138" s="342"/>
      <c r="Z1138" s="342"/>
    </row>
    <row r="1139" ht="12.75" customHeight="1">
      <c r="A1139" s="534"/>
      <c r="B1139" s="534"/>
      <c r="C1139" s="575"/>
      <c r="D1139" s="585"/>
      <c r="E1139" s="586"/>
      <c r="F1139" s="342"/>
      <c r="G1139" s="342"/>
      <c r="H1139" s="342"/>
      <c r="I1139" s="342"/>
      <c r="J1139" s="342"/>
      <c r="K1139" s="342"/>
      <c r="L1139" s="342"/>
      <c r="M1139" s="342"/>
      <c r="N1139" s="342"/>
      <c r="O1139" s="341"/>
      <c r="P1139" s="341"/>
      <c r="Q1139" s="342"/>
      <c r="R1139" s="342"/>
      <c r="S1139" s="341"/>
      <c r="T1139" s="342"/>
      <c r="U1139" s="342"/>
      <c r="V1139" s="342"/>
      <c r="W1139" s="342"/>
      <c r="X1139" s="342"/>
      <c r="Y1139" s="342"/>
      <c r="Z1139" s="342"/>
    </row>
    <row r="1140" ht="12.75" customHeight="1">
      <c r="A1140" s="534"/>
      <c r="B1140" s="534"/>
      <c r="C1140" s="575"/>
      <c r="D1140" s="585"/>
      <c r="E1140" s="586"/>
      <c r="F1140" s="342"/>
      <c r="G1140" s="342"/>
      <c r="H1140" s="342"/>
      <c r="I1140" s="342"/>
      <c r="J1140" s="342"/>
      <c r="K1140" s="342"/>
      <c r="L1140" s="342"/>
      <c r="M1140" s="342"/>
      <c r="N1140" s="342"/>
      <c r="O1140" s="341"/>
      <c r="P1140" s="341"/>
      <c r="Q1140" s="342"/>
      <c r="R1140" s="342"/>
      <c r="S1140" s="341"/>
      <c r="T1140" s="342"/>
      <c r="U1140" s="342"/>
      <c r="V1140" s="342"/>
      <c r="W1140" s="342"/>
      <c r="X1140" s="342"/>
      <c r="Y1140" s="342"/>
      <c r="Z1140" s="342"/>
    </row>
    <row r="1141" ht="12.75" customHeight="1">
      <c r="A1141" s="534"/>
      <c r="B1141" s="534"/>
      <c r="C1141" s="575"/>
      <c r="D1141" s="585"/>
      <c r="E1141" s="586"/>
      <c r="F1141" s="342"/>
      <c r="G1141" s="342"/>
      <c r="H1141" s="342"/>
      <c r="I1141" s="342"/>
      <c r="J1141" s="342"/>
      <c r="K1141" s="342"/>
      <c r="L1141" s="342"/>
      <c r="M1141" s="342"/>
      <c r="N1141" s="342"/>
      <c r="O1141" s="341"/>
      <c r="P1141" s="341"/>
      <c r="Q1141" s="342"/>
      <c r="R1141" s="342"/>
      <c r="S1141" s="341"/>
      <c r="T1141" s="342"/>
      <c r="U1141" s="342"/>
      <c r="V1141" s="342"/>
      <c r="W1141" s="342"/>
      <c r="X1141" s="342"/>
      <c r="Y1141" s="342"/>
      <c r="Z1141" s="342"/>
    </row>
    <row r="1142" ht="12.75" customHeight="1">
      <c r="A1142" s="534"/>
      <c r="B1142" s="534"/>
      <c r="C1142" s="575"/>
      <c r="D1142" s="585"/>
      <c r="E1142" s="586"/>
      <c r="F1142" s="342"/>
      <c r="G1142" s="342"/>
      <c r="H1142" s="342"/>
      <c r="I1142" s="342"/>
      <c r="J1142" s="342"/>
      <c r="K1142" s="342"/>
      <c r="L1142" s="342"/>
      <c r="M1142" s="342"/>
      <c r="N1142" s="342"/>
      <c r="O1142" s="341"/>
      <c r="P1142" s="341"/>
      <c r="Q1142" s="342"/>
      <c r="R1142" s="342"/>
      <c r="S1142" s="341"/>
      <c r="T1142" s="342"/>
      <c r="U1142" s="342"/>
      <c r="V1142" s="342"/>
      <c r="W1142" s="342"/>
      <c r="X1142" s="342"/>
      <c r="Y1142" s="342"/>
      <c r="Z1142" s="342"/>
    </row>
    <row r="1143" ht="12.75" customHeight="1">
      <c r="A1143" s="534"/>
      <c r="B1143" s="534"/>
      <c r="C1143" s="575"/>
      <c r="D1143" s="585"/>
      <c r="E1143" s="586"/>
      <c r="F1143" s="342"/>
      <c r="G1143" s="342"/>
      <c r="H1143" s="342"/>
      <c r="I1143" s="342"/>
      <c r="J1143" s="342"/>
      <c r="K1143" s="342"/>
      <c r="L1143" s="342"/>
      <c r="M1143" s="342"/>
      <c r="N1143" s="342"/>
      <c r="O1143" s="341"/>
      <c r="P1143" s="341"/>
      <c r="Q1143" s="342"/>
      <c r="R1143" s="342"/>
      <c r="S1143" s="341"/>
      <c r="T1143" s="342"/>
      <c r="U1143" s="342"/>
      <c r="V1143" s="342"/>
      <c r="W1143" s="342"/>
      <c r="X1143" s="342"/>
      <c r="Y1143" s="342"/>
      <c r="Z1143" s="342"/>
    </row>
    <row r="1144" ht="12.75" customHeight="1">
      <c r="A1144" s="534"/>
      <c r="B1144" s="534"/>
      <c r="C1144" s="575"/>
      <c r="D1144" s="585"/>
      <c r="E1144" s="586"/>
      <c r="F1144" s="342"/>
      <c r="G1144" s="342"/>
      <c r="H1144" s="342"/>
      <c r="I1144" s="342"/>
      <c r="J1144" s="342"/>
      <c r="K1144" s="342"/>
      <c r="L1144" s="342"/>
      <c r="M1144" s="342"/>
      <c r="N1144" s="342"/>
      <c r="O1144" s="341"/>
      <c r="P1144" s="341"/>
      <c r="Q1144" s="342"/>
      <c r="R1144" s="342"/>
      <c r="S1144" s="341"/>
      <c r="T1144" s="342"/>
      <c r="U1144" s="342"/>
      <c r="V1144" s="342"/>
      <c r="W1144" s="342"/>
      <c r="X1144" s="342"/>
      <c r="Y1144" s="342"/>
      <c r="Z1144" s="342"/>
    </row>
    <row r="1145" ht="12.75" customHeight="1">
      <c r="A1145" s="534"/>
      <c r="B1145" s="534"/>
      <c r="C1145" s="575"/>
      <c r="D1145" s="585"/>
      <c r="E1145" s="586"/>
      <c r="F1145" s="342"/>
      <c r="G1145" s="342"/>
      <c r="H1145" s="342"/>
      <c r="I1145" s="342"/>
      <c r="J1145" s="342"/>
      <c r="K1145" s="342"/>
      <c r="L1145" s="342"/>
      <c r="M1145" s="342"/>
      <c r="N1145" s="342"/>
      <c r="O1145" s="341"/>
      <c r="P1145" s="341"/>
      <c r="Q1145" s="342"/>
      <c r="R1145" s="342"/>
      <c r="S1145" s="341"/>
      <c r="T1145" s="342"/>
      <c r="U1145" s="342"/>
      <c r="V1145" s="342"/>
      <c r="W1145" s="342"/>
      <c r="X1145" s="342"/>
      <c r="Y1145" s="342"/>
      <c r="Z1145" s="342"/>
    </row>
    <row r="1146" ht="12.75" customHeight="1">
      <c r="A1146" s="534"/>
      <c r="B1146" s="534"/>
      <c r="C1146" s="575"/>
      <c r="D1146" s="585"/>
      <c r="E1146" s="586"/>
      <c r="F1146" s="342"/>
      <c r="G1146" s="342"/>
      <c r="H1146" s="342"/>
      <c r="I1146" s="342"/>
      <c r="J1146" s="342"/>
      <c r="K1146" s="342"/>
      <c r="L1146" s="342"/>
      <c r="M1146" s="342"/>
      <c r="N1146" s="342"/>
      <c r="O1146" s="341"/>
      <c r="P1146" s="341"/>
      <c r="Q1146" s="342"/>
      <c r="R1146" s="342"/>
      <c r="S1146" s="341"/>
      <c r="T1146" s="342"/>
      <c r="U1146" s="342"/>
      <c r="V1146" s="342"/>
      <c r="W1146" s="342"/>
      <c r="X1146" s="342"/>
      <c r="Y1146" s="342"/>
      <c r="Z1146" s="342"/>
    </row>
    <row r="1147" ht="12.75" customHeight="1">
      <c r="A1147" s="534"/>
      <c r="B1147" s="534"/>
      <c r="C1147" s="575"/>
      <c r="D1147" s="585"/>
      <c r="E1147" s="586"/>
      <c r="F1147" s="342"/>
      <c r="G1147" s="342"/>
      <c r="H1147" s="342"/>
      <c r="I1147" s="342"/>
      <c r="J1147" s="342"/>
      <c r="K1147" s="342"/>
      <c r="L1147" s="342"/>
      <c r="M1147" s="342"/>
      <c r="N1147" s="342"/>
      <c r="O1147" s="341"/>
      <c r="P1147" s="341"/>
      <c r="Q1147" s="342"/>
      <c r="R1147" s="342"/>
      <c r="S1147" s="341"/>
      <c r="T1147" s="342"/>
      <c r="U1147" s="342"/>
      <c r="V1147" s="342"/>
      <c r="W1147" s="342"/>
      <c r="X1147" s="342"/>
      <c r="Y1147" s="342"/>
      <c r="Z1147" s="342"/>
    </row>
    <row r="1148" ht="12.75" customHeight="1">
      <c r="A1148" s="534"/>
      <c r="B1148" s="534"/>
      <c r="C1148" s="575"/>
      <c r="D1148" s="585"/>
      <c r="E1148" s="586"/>
      <c r="F1148" s="342"/>
      <c r="G1148" s="342"/>
      <c r="H1148" s="342"/>
      <c r="I1148" s="342"/>
      <c r="J1148" s="342"/>
      <c r="K1148" s="342"/>
      <c r="L1148" s="342"/>
      <c r="M1148" s="342"/>
      <c r="N1148" s="342"/>
      <c r="O1148" s="341"/>
      <c r="P1148" s="341"/>
      <c r="Q1148" s="342"/>
      <c r="R1148" s="342"/>
      <c r="S1148" s="341"/>
      <c r="T1148" s="342"/>
      <c r="U1148" s="342"/>
      <c r="V1148" s="342"/>
      <c r="W1148" s="342"/>
      <c r="X1148" s="342"/>
      <c r="Y1148" s="342"/>
      <c r="Z1148" s="342"/>
    </row>
    <row r="1149" ht="12.75" customHeight="1">
      <c r="A1149" s="534"/>
      <c r="B1149" s="534"/>
      <c r="C1149" s="575"/>
      <c r="D1149" s="585"/>
      <c r="E1149" s="586"/>
      <c r="F1149" s="342"/>
      <c r="G1149" s="342"/>
      <c r="H1149" s="342"/>
      <c r="I1149" s="342"/>
      <c r="J1149" s="342"/>
      <c r="K1149" s="342"/>
      <c r="L1149" s="342"/>
      <c r="M1149" s="342"/>
      <c r="N1149" s="342"/>
      <c r="O1149" s="341"/>
      <c r="P1149" s="341"/>
      <c r="Q1149" s="342"/>
      <c r="R1149" s="342"/>
      <c r="S1149" s="341"/>
      <c r="T1149" s="342"/>
      <c r="U1149" s="342"/>
      <c r="V1149" s="342"/>
      <c r="W1149" s="342"/>
      <c r="X1149" s="342"/>
      <c r="Y1149" s="342"/>
      <c r="Z1149" s="342"/>
    </row>
    <row r="1150" ht="12.75" customHeight="1">
      <c r="A1150" s="534"/>
      <c r="B1150" s="534"/>
      <c r="C1150" s="575"/>
      <c r="D1150" s="585"/>
      <c r="E1150" s="586"/>
      <c r="F1150" s="342"/>
      <c r="G1150" s="342"/>
      <c r="H1150" s="342"/>
      <c r="I1150" s="342"/>
      <c r="J1150" s="342"/>
      <c r="K1150" s="342"/>
      <c r="L1150" s="342"/>
      <c r="M1150" s="342"/>
      <c r="N1150" s="342"/>
      <c r="O1150" s="341"/>
      <c r="P1150" s="341"/>
      <c r="Q1150" s="342"/>
      <c r="R1150" s="342"/>
      <c r="S1150" s="341"/>
      <c r="T1150" s="342"/>
      <c r="U1150" s="342"/>
      <c r="V1150" s="342"/>
      <c r="W1150" s="342"/>
      <c r="X1150" s="342"/>
      <c r="Y1150" s="342"/>
      <c r="Z1150" s="342"/>
    </row>
    <row r="1151" ht="12.75" customHeight="1">
      <c r="A1151" s="534"/>
      <c r="B1151" s="534"/>
      <c r="C1151" s="575"/>
      <c r="D1151" s="585"/>
      <c r="E1151" s="586"/>
      <c r="F1151" s="342"/>
      <c r="G1151" s="342"/>
      <c r="H1151" s="342"/>
      <c r="I1151" s="342"/>
      <c r="J1151" s="342"/>
      <c r="K1151" s="342"/>
      <c r="L1151" s="342"/>
      <c r="M1151" s="342"/>
      <c r="N1151" s="342"/>
      <c r="O1151" s="341"/>
      <c r="P1151" s="341"/>
      <c r="Q1151" s="342"/>
      <c r="R1151" s="342"/>
      <c r="S1151" s="341"/>
      <c r="T1151" s="342"/>
      <c r="U1151" s="342"/>
      <c r="V1151" s="342"/>
      <c r="W1151" s="342"/>
      <c r="X1151" s="342"/>
      <c r="Y1151" s="342"/>
      <c r="Z1151" s="342"/>
    </row>
    <row r="1152" ht="12.75" customHeight="1">
      <c r="A1152" s="534"/>
      <c r="B1152" s="534"/>
      <c r="C1152" s="575"/>
      <c r="D1152" s="585"/>
      <c r="E1152" s="586"/>
      <c r="F1152" s="342"/>
      <c r="G1152" s="342"/>
      <c r="H1152" s="342"/>
      <c r="I1152" s="342"/>
      <c r="J1152" s="342"/>
      <c r="K1152" s="342"/>
      <c r="L1152" s="342"/>
      <c r="M1152" s="342"/>
      <c r="N1152" s="342"/>
      <c r="O1152" s="341"/>
      <c r="P1152" s="341"/>
      <c r="Q1152" s="342"/>
      <c r="R1152" s="342"/>
      <c r="S1152" s="341"/>
      <c r="T1152" s="342"/>
      <c r="U1152" s="342"/>
      <c r="V1152" s="342"/>
      <c r="W1152" s="342"/>
      <c r="X1152" s="342"/>
      <c r="Y1152" s="342"/>
      <c r="Z1152" s="342"/>
    </row>
    <row r="1153" ht="12.75" customHeight="1">
      <c r="A1153" s="534"/>
      <c r="B1153" s="534"/>
      <c r="C1153" s="575"/>
      <c r="D1153" s="585"/>
      <c r="E1153" s="586"/>
      <c r="F1153" s="342"/>
      <c r="G1153" s="342"/>
      <c r="H1153" s="342"/>
      <c r="I1153" s="342"/>
      <c r="J1153" s="342"/>
      <c r="K1153" s="342"/>
      <c r="L1153" s="342"/>
      <c r="M1153" s="342"/>
      <c r="N1153" s="342"/>
      <c r="O1153" s="341"/>
      <c r="P1153" s="341"/>
      <c r="Q1153" s="342"/>
      <c r="R1153" s="342"/>
      <c r="S1153" s="341"/>
      <c r="T1153" s="342"/>
      <c r="U1153" s="342"/>
      <c r="V1153" s="342"/>
      <c r="W1153" s="342"/>
      <c r="X1153" s="342"/>
      <c r="Y1153" s="342"/>
      <c r="Z1153" s="342"/>
    </row>
    <row r="1154" ht="12.75" customHeight="1">
      <c r="A1154" s="534"/>
      <c r="B1154" s="534"/>
      <c r="C1154" s="575"/>
      <c r="D1154" s="585"/>
      <c r="E1154" s="586"/>
      <c r="F1154" s="342"/>
      <c r="G1154" s="342"/>
      <c r="H1154" s="342"/>
      <c r="I1154" s="342"/>
      <c r="J1154" s="342"/>
      <c r="K1154" s="342"/>
      <c r="L1154" s="342"/>
      <c r="M1154" s="342"/>
      <c r="N1154" s="342"/>
      <c r="O1154" s="341"/>
      <c r="P1154" s="341"/>
      <c r="Q1154" s="342"/>
      <c r="R1154" s="342"/>
      <c r="S1154" s="341"/>
      <c r="T1154" s="342"/>
      <c r="U1154" s="342"/>
      <c r="V1154" s="342"/>
      <c r="W1154" s="342"/>
      <c r="X1154" s="342"/>
      <c r="Y1154" s="342"/>
      <c r="Z1154" s="342"/>
    </row>
    <row r="1155" ht="12.75" customHeight="1">
      <c r="A1155" s="534"/>
      <c r="B1155" s="534"/>
      <c r="C1155" s="575"/>
      <c r="D1155" s="585"/>
      <c r="E1155" s="586"/>
      <c r="F1155" s="342"/>
      <c r="G1155" s="342"/>
      <c r="H1155" s="342"/>
      <c r="I1155" s="342"/>
      <c r="J1155" s="342"/>
      <c r="K1155" s="342"/>
      <c r="L1155" s="342"/>
      <c r="M1155" s="342"/>
      <c r="N1155" s="342"/>
      <c r="O1155" s="341"/>
      <c r="P1155" s="341"/>
      <c r="Q1155" s="342"/>
      <c r="R1155" s="342"/>
      <c r="S1155" s="341"/>
      <c r="T1155" s="342"/>
      <c r="U1155" s="342"/>
      <c r="V1155" s="342"/>
      <c r="W1155" s="342"/>
      <c r="X1155" s="342"/>
      <c r="Y1155" s="342"/>
      <c r="Z1155" s="342"/>
    </row>
    <row r="1156" ht="12.75" customHeight="1">
      <c r="A1156" s="534"/>
      <c r="B1156" s="534"/>
      <c r="C1156" s="575"/>
      <c r="D1156" s="585"/>
      <c r="E1156" s="586"/>
      <c r="F1156" s="342"/>
      <c r="G1156" s="342"/>
      <c r="H1156" s="342"/>
      <c r="I1156" s="342"/>
      <c r="J1156" s="342"/>
      <c r="K1156" s="342"/>
      <c r="L1156" s="342"/>
      <c r="M1156" s="342"/>
      <c r="N1156" s="342"/>
      <c r="O1156" s="341"/>
      <c r="P1156" s="341"/>
      <c r="Q1156" s="342"/>
      <c r="R1156" s="342"/>
      <c r="S1156" s="341"/>
      <c r="T1156" s="342"/>
      <c r="U1156" s="342"/>
      <c r="V1156" s="342"/>
      <c r="W1156" s="342"/>
      <c r="X1156" s="342"/>
      <c r="Y1156" s="342"/>
      <c r="Z1156" s="342"/>
    </row>
    <row r="1157" ht="12.75" customHeight="1">
      <c r="A1157" s="534"/>
      <c r="B1157" s="534"/>
      <c r="C1157" s="575"/>
      <c r="D1157" s="585"/>
      <c r="E1157" s="586"/>
      <c r="F1157" s="342"/>
      <c r="G1157" s="342"/>
      <c r="H1157" s="342"/>
      <c r="I1157" s="342"/>
      <c r="J1157" s="342"/>
      <c r="K1157" s="342"/>
      <c r="L1157" s="342"/>
      <c r="M1157" s="342"/>
      <c r="N1157" s="342"/>
      <c r="O1157" s="341"/>
      <c r="P1157" s="341"/>
      <c r="Q1157" s="342"/>
      <c r="R1157" s="342"/>
      <c r="S1157" s="341"/>
      <c r="T1157" s="342"/>
      <c r="U1157" s="342"/>
      <c r="V1157" s="342"/>
      <c r="W1157" s="342"/>
      <c r="X1157" s="342"/>
      <c r="Y1157" s="342"/>
      <c r="Z1157" s="342"/>
    </row>
    <row r="1158" ht="12.75" customHeight="1">
      <c r="A1158" s="534"/>
      <c r="B1158" s="534"/>
      <c r="C1158" s="575"/>
      <c r="D1158" s="585"/>
      <c r="E1158" s="586"/>
      <c r="F1158" s="342"/>
      <c r="G1158" s="342"/>
      <c r="H1158" s="342"/>
      <c r="I1158" s="342"/>
      <c r="J1158" s="342"/>
      <c r="K1158" s="342"/>
      <c r="L1158" s="342"/>
      <c r="M1158" s="342"/>
      <c r="N1158" s="342"/>
      <c r="O1158" s="341"/>
      <c r="P1158" s="341"/>
      <c r="Q1158" s="342"/>
      <c r="R1158" s="342"/>
      <c r="S1158" s="341"/>
      <c r="T1158" s="342"/>
      <c r="U1158" s="342"/>
      <c r="V1158" s="342"/>
      <c r="W1158" s="342"/>
      <c r="X1158" s="342"/>
      <c r="Y1158" s="342"/>
      <c r="Z1158" s="342"/>
    </row>
    <row r="1159" ht="12.75" customHeight="1">
      <c r="A1159" s="534"/>
      <c r="B1159" s="534"/>
      <c r="C1159" s="575"/>
      <c r="D1159" s="585"/>
      <c r="E1159" s="586"/>
      <c r="F1159" s="342"/>
      <c r="G1159" s="342"/>
      <c r="H1159" s="342"/>
      <c r="I1159" s="342"/>
      <c r="J1159" s="342"/>
      <c r="K1159" s="342"/>
      <c r="L1159" s="342"/>
      <c r="M1159" s="342"/>
      <c r="N1159" s="342"/>
      <c r="O1159" s="341"/>
      <c r="P1159" s="341"/>
      <c r="Q1159" s="342"/>
      <c r="R1159" s="342"/>
      <c r="S1159" s="341"/>
      <c r="T1159" s="342"/>
      <c r="U1159" s="342"/>
      <c r="V1159" s="342"/>
      <c r="W1159" s="342"/>
      <c r="X1159" s="342"/>
      <c r="Y1159" s="342"/>
      <c r="Z1159" s="342"/>
    </row>
    <row r="1160" ht="12.75" customHeight="1">
      <c r="A1160" s="534"/>
      <c r="B1160" s="534"/>
      <c r="C1160" s="575"/>
      <c r="D1160" s="585"/>
      <c r="E1160" s="586"/>
      <c r="F1160" s="342"/>
      <c r="G1160" s="342"/>
      <c r="H1160" s="342"/>
      <c r="I1160" s="342"/>
      <c r="J1160" s="342"/>
      <c r="K1160" s="342"/>
      <c r="L1160" s="342"/>
      <c r="M1160" s="342"/>
      <c r="N1160" s="342"/>
      <c r="O1160" s="341"/>
      <c r="P1160" s="341"/>
      <c r="Q1160" s="342"/>
      <c r="R1160" s="342"/>
      <c r="S1160" s="341"/>
      <c r="T1160" s="342"/>
      <c r="U1160" s="342"/>
      <c r="V1160" s="342"/>
      <c r="W1160" s="342"/>
      <c r="X1160" s="342"/>
      <c r="Y1160" s="342"/>
      <c r="Z1160" s="342"/>
    </row>
    <row r="1161" ht="12.75" customHeight="1">
      <c r="A1161" s="534"/>
      <c r="B1161" s="534"/>
      <c r="C1161" s="575"/>
      <c r="D1161" s="585"/>
      <c r="E1161" s="586"/>
      <c r="F1161" s="342"/>
      <c r="G1161" s="342"/>
      <c r="H1161" s="342"/>
      <c r="I1161" s="342"/>
      <c r="J1161" s="342"/>
      <c r="K1161" s="342"/>
      <c r="L1161" s="342"/>
      <c r="M1161" s="342"/>
      <c r="N1161" s="342"/>
      <c r="O1161" s="341"/>
      <c r="P1161" s="341"/>
      <c r="Q1161" s="342"/>
      <c r="R1161" s="342"/>
      <c r="S1161" s="341"/>
      <c r="T1161" s="342"/>
      <c r="U1161" s="342"/>
      <c r="V1161" s="342"/>
      <c r="W1161" s="342"/>
      <c r="X1161" s="342"/>
      <c r="Y1161" s="342"/>
      <c r="Z1161" s="342"/>
    </row>
    <row r="1162" ht="12.75" customHeight="1">
      <c r="A1162" s="534"/>
      <c r="B1162" s="534"/>
      <c r="C1162" s="575"/>
      <c r="D1162" s="585"/>
      <c r="E1162" s="586"/>
      <c r="F1162" s="342"/>
      <c r="G1162" s="342"/>
      <c r="H1162" s="342"/>
      <c r="I1162" s="342"/>
      <c r="J1162" s="342"/>
      <c r="K1162" s="342"/>
      <c r="L1162" s="342"/>
      <c r="M1162" s="342"/>
      <c r="N1162" s="342"/>
      <c r="O1162" s="341"/>
      <c r="P1162" s="341"/>
      <c r="Q1162" s="342"/>
      <c r="R1162" s="342"/>
      <c r="S1162" s="341"/>
      <c r="T1162" s="342"/>
      <c r="U1162" s="342"/>
      <c r="V1162" s="342"/>
      <c r="W1162" s="342"/>
      <c r="X1162" s="342"/>
      <c r="Y1162" s="342"/>
      <c r="Z1162" s="342"/>
    </row>
    <row r="1163" ht="12.75" customHeight="1">
      <c r="A1163" s="534"/>
      <c r="B1163" s="534"/>
      <c r="C1163" s="575"/>
      <c r="D1163" s="585"/>
      <c r="E1163" s="586"/>
      <c r="F1163" s="342"/>
      <c r="G1163" s="342"/>
      <c r="H1163" s="342"/>
      <c r="I1163" s="342"/>
      <c r="J1163" s="342"/>
      <c r="K1163" s="342"/>
      <c r="L1163" s="342"/>
      <c r="M1163" s="342"/>
      <c r="N1163" s="342"/>
      <c r="O1163" s="341"/>
      <c r="P1163" s="341"/>
      <c r="Q1163" s="342"/>
      <c r="R1163" s="342"/>
      <c r="S1163" s="341"/>
      <c r="T1163" s="342"/>
      <c r="U1163" s="342"/>
      <c r="V1163" s="342"/>
      <c r="W1163" s="342"/>
      <c r="X1163" s="342"/>
      <c r="Y1163" s="342"/>
      <c r="Z1163" s="342"/>
    </row>
    <row r="1164" ht="12.75" customHeight="1">
      <c r="A1164" s="534"/>
      <c r="B1164" s="534"/>
      <c r="C1164" s="575"/>
      <c r="D1164" s="585"/>
      <c r="E1164" s="586"/>
      <c r="F1164" s="342"/>
      <c r="G1164" s="342"/>
      <c r="H1164" s="342"/>
      <c r="I1164" s="342"/>
      <c r="J1164" s="342"/>
      <c r="K1164" s="342"/>
      <c r="L1164" s="342"/>
      <c r="M1164" s="342"/>
      <c r="N1164" s="342"/>
      <c r="O1164" s="341"/>
      <c r="P1164" s="341"/>
      <c r="Q1164" s="342"/>
      <c r="R1164" s="342"/>
      <c r="S1164" s="341"/>
      <c r="T1164" s="342"/>
      <c r="U1164" s="342"/>
      <c r="V1164" s="342"/>
      <c r="W1164" s="342"/>
      <c r="X1164" s="342"/>
      <c r="Y1164" s="342"/>
      <c r="Z1164" s="342"/>
    </row>
    <row r="1165" ht="12.75" customHeight="1">
      <c r="A1165" s="534"/>
      <c r="B1165" s="534"/>
      <c r="C1165" s="575"/>
      <c r="D1165" s="585"/>
      <c r="E1165" s="586"/>
      <c r="F1165" s="342"/>
      <c r="G1165" s="342"/>
      <c r="H1165" s="342"/>
      <c r="I1165" s="342"/>
      <c r="J1165" s="342"/>
      <c r="K1165" s="342"/>
      <c r="L1165" s="342"/>
      <c r="M1165" s="342"/>
      <c r="N1165" s="342"/>
      <c r="O1165" s="341"/>
      <c r="P1165" s="341"/>
      <c r="Q1165" s="342"/>
      <c r="R1165" s="342"/>
      <c r="S1165" s="341"/>
      <c r="T1165" s="342"/>
      <c r="U1165" s="342"/>
      <c r="V1165" s="342"/>
      <c r="W1165" s="342"/>
      <c r="X1165" s="342"/>
      <c r="Y1165" s="342"/>
      <c r="Z1165" s="342"/>
    </row>
    <row r="1166" ht="12.75" customHeight="1">
      <c r="A1166" s="534"/>
      <c r="B1166" s="534"/>
      <c r="C1166" s="575"/>
      <c r="D1166" s="585"/>
      <c r="E1166" s="586"/>
      <c r="F1166" s="342"/>
      <c r="G1166" s="342"/>
      <c r="H1166" s="342"/>
      <c r="I1166" s="342"/>
      <c r="J1166" s="342"/>
      <c r="K1166" s="342"/>
      <c r="L1166" s="342"/>
      <c r="M1166" s="342"/>
      <c r="N1166" s="342"/>
      <c r="O1166" s="341"/>
      <c r="P1166" s="341"/>
      <c r="Q1166" s="342"/>
      <c r="R1166" s="342"/>
      <c r="S1166" s="341"/>
      <c r="T1166" s="342"/>
      <c r="U1166" s="342"/>
      <c r="V1166" s="342"/>
      <c r="W1166" s="342"/>
      <c r="X1166" s="342"/>
      <c r="Y1166" s="342"/>
      <c r="Z1166" s="342"/>
    </row>
    <row r="1167" ht="12.75" customHeight="1">
      <c r="A1167" s="534"/>
      <c r="B1167" s="534"/>
      <c r="C1167" s="575"/>
      <c r="D1167" s="585"/>
      <c r="E1167" s="586"/>
      <c r="F1167" s="342"/>
      <c r="G1167" s="342"/>
      <c r="H1167" s="342"/>
      <c r="I1167" s="342"/>
      <c r="J1167" s="342"/>
      <c r="K1167" s="342"/>
      <c r="L1167" s="342"/>
      <c r="M1167" s="342"/>
      <c r="N1167" s="342"/>
      <c r="O1167" s="341"/>
      <c r="P1167" s="341"/>
      <c r="Q1167" s="342"/>
      <c r="R1167" s="342"/>
      <c r="S1167" s="341"/>
      <c r="T1167" s="342"/>
      <c r="U1167" s="342"/>
      <c r="V1167" s="342"/>
      <c r="W1167" s="342"/>
      <c r="X1167" s="342"/>
      <c r="Y1167" s="342"/>
      <c r="Z1167" s="342"/>
    </row>
  </sheetData>
  <autoFilter ref="$A$2:$P$61">
    <filterColumn colId="5">
      <filters>
        <filter val="65045 JYQL"/>
        <filter val="70746 JYQL"/>
        <filter val="JYQL"/>
        <filter val="Entalpia"/>
        <filter val="70746JYQL"/>
        <filter val="salaries"/>
        <filter val="Ishabella"/>
        <filter val="commissions"/>
        <filter val="72620 JYQL"/>
        <filter val="208141 Winterpine"/>
        <filter val="Salaries"/>
        <filter val="Jambon / Cash"/>
        <filter val="65820 JYQL"/>
        <filter val="Uniwestech"/>
        <filter val="ISHABELLA"/>
        <filter val="UNIWESTECH"/>
        <filter val="30652 JYQL"/>
        <filter val="91780 JYQL"/>
        <filter val="65427 JYQL"/>
        <filter val="94218 JYQL"/>
        <filter val="63426 JYQL"/>
        <filter val="50116 JYQL"/>
        <filter val="2BMA"/>
        <filter val="91741 JYQL"/>
        <filter val="204688 Winterpine (JS)"/>
        <filter val="Centralworld Enterprises"/>
      </filters>
    </filterColumn>
  </autoFilter>
  <mergeCells count="5">
    <mergeCell ref="A1:C1"/>
    <mergeCell ref="F3:J3"/>
    <mergeCell ref="F13:J13"/>
    <mergeCell ref="F20:J20"/>
    <mergeCell ref="H33:I33"/>
  </mergeCells>
  <conditionalFormatting sqref="G113 G118:G120 G136 G140 G152 G155:G156 G163:G164 G172:G173 G176:G179 G181:G185 G187 G189:G192 G194:G196 G200 G206:G210 G214 G221 G228:G232 G236 G238 G242:G243 G246:G248 G253:G255 G257 G260 G263 G269:G270">
    <cfRule type="containsText" dxfId="1" priority="1" operator="containsText" text="SAME VALUES">
      <formula>NOT(ISERROR(SEARCH(("SAME VALUES"),(G113))))</formula>
    </cfRule>
  </conditionalFormatting>
  <conditionalFormatting sqref="F113 F118:F120 F136 F140 F163:F164 F172 F187 F253:F255 F257 F260 F263 F269:F270">
    <cfRule type="containsText" dxfId="0" priority="2" operator="containsText" text="No Sales">
      <formula>NOT(ISERROR(SEARCH(("No Sales"),(F113))))</formula>
    </cfRule>
  </conditionalFormatting>
  <conditionalFormatting sqref="D1:D112 D114:D117 D121:D128 D130:D132 D135 D137:D139 D144:D146 D150:D151 D153:D154 D158:D162 D165:D171 D174:D175 D177:D180 D183 D186:D189 D191 D193 D195:D252 D256 D258:D259 D261:D262 D264:D268 D271:D292 D301:D1167">
    <cfRule type="expression" dxfId="1" priority="3">
      <formula>"duplicate values"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3.0" topLeftCell="F14" activePane="bottomRight" state="frozen"/>
      <selection activeCell="F1" sqref="F1" pane="topRight"/>
      <selection activeCell="A14" sqref="A14" pane="bottomLeft"/>
      <selection activeCell="F14" sqref="F14" pane="bottomRight"/>
    </sheetView>
  </sheetViews>
  <sheetFormatPr customHeight="1" defaultColWidth="14.43" defaultRowHeight="15.0"/>
  <cols>
    <col customWidth="1" min="1" max="1" width="3.71"/>
    <col customWidth="1" min="2" max="3" width="10.14"/>
    <col customWidth="1" min="4" max="4" width="10.43"/>
    <col customWidth="1" min="5" max="5" width="15.57"/>
    <col customWidth="1" min="6" max="15" width="11.14"/>
    <col customWidth="1" min="16" max="17" width="11.43"/>
    <col customWidth="1" min="18" max="19" width="11.14"/>
    <col customWidth="1" min="20" max="20" width="11.43"/>
    <col customWidth="1" min="21" max="24" width="11.14"/>
    <col customWidth="1" min="25" max="25" width="11.43"/>
    <col customWidth="1" min="26" max="27" width="11.14"/>
    <col customWidth="1" min="28" max="28" width="11.43"/>
    <col customWidth="1" min="29" max="29" width="11.14"/>
    <col customWidth="1" min="30" max="34" width="8.86"/>
  </cols>
  <sheetData>
    <row r="1" ht="12.75" customHeight="1">
      <c r="A1" s="4" t="s">
        <v>0</v>
      </c>
      <c r="B1" s="590"/>
      <c r="C1" s="591"/>
      <c r="D1" s="4"/>
      <c r="E1" s="592"/>
      <c r="F1" s="593"/>
      <c r="G1" s="8"/>
      <c r="H1" s="8"/>
      <c r="I1" s="593"/>
      <c r="J1" s="8"/>
      <c r="K1" s="8"/>
      <c r="L1" s="593"/>
      <c r="M1" s="8"/>
      <c r="N1" s="8"/>
      <c r="O1" s="593"/>
      <c r="P1" s="8"/>
      <c r="Q1" s="8"/>
      <c r="R1" s="593"/>
      <c r="S1" s="8"/>
      <c r="T1" s="8"/>
      <c r="U1" s="593"/>
      <c r="V1" s="8"/>
      <c r="W1" s="8"/>
      <c r="X1" s="593"/>
      <c r="Y1" s="8"/>
      <c r="Z1" s="8"/>
      <c r="AA1" s="593"/>
      <c r="AB1" s="8"/>
      <c r="AC1" s="8"/>
      <c r="AD1" s="8"/>
      <c r="AE1" s="8"/>
      <c r="AF1" s="8"/>
      <c r="AG1" s="8"/>
      <c r="AH1" s="8"/>
    </row>
    <row r="2" ht="16.5" customHeight="1">
      <c r="A2" s="4" t="s">
        <v>767</v>
      </c>
      <c r="B2" s="590"/>
      <c r="C2" s="591"/>
      <c r="D2" s="594"/>
      <c r="E2" s="595">
        <f>SUM(E3:E10)</f>
        <v>0</v>
      </c>
      <c r="F2" s="593"/>
      <c r="G2" s="8"/>
      <c r="H2" s="8"/>
      <c r="I2" s="593"/>
      <c r="J2" s="8"/>
      <c r="K2" s="8"/>
      <c r="L2" s="593"/>
      <c r="M2" s="8"/>
      <c r="N2" s="8"/>
      <c r="O2" s="593"/>
      <c r="P2" s="8"/>
      <c r="Q2" s="8"/>
      <c r="R2" s="593"/>
      <c r="S2" s="8"/>
      <c r="T2" s="8"/>
      <c r="U2" s="593"/>
      <c r="V2" s="8"/>
      <c r="W2" s="8"/>
      <c r="X2" s="593"/>
      <c r="Y2" s="8"/>
      <c r="Z2" s="8"/>
      <c r="AA2" s="593"/>
      <c r="AB2" s="8"/>
      <c r="AC2" s="8"/>
      <c r="AD2" s="8"/>
      <c r="AE2" s="8"/>
      <c r="AF2" s="8"/>
      <c r="AG2" s="8"/>
      <c r="AH2" s="8"/>
    </row>
    <row r="3" ht="12.75" customHeight="1">
      <c r="A3" s="596">
        <f>TODAY()</f>
        <v>46311</v>
      </c>
      <c r="D3" s="594" t="s">
        <v>369</v>
      </c>
      <c r="E3" s="597">
        <f>H11</f>
        <v>0</v>
      </c>
      <c r="F3" s="4"/>
      <c r="G3" s="8"/>
      <c r="H3" s="8"/>
      <c r="I3" s="8"/>
      <c r="J3" s="8"/>
      <c r="K3" s="59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12.75" customHeight="1">
      <c r="A4" s="4"/>
      <c r="B4" s="590"/>
      <c r="C4" s="591"/>
      <c r="D4" s="594" t="s">
        <v>97</v>
      </c>
      <c r="E4" s="597">
        <f>K11</f>
        <v>0</v>
      </c>
      <c r="F4" s="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12.75" customHeight="1">
      <c r="A5" s="4"/>
      <c r="B5" s="590"/>
      <c r="C5" s="591"/>
      <c r="D5" s="594" t="s">
        <v>768</v>
      </c>
      <c r="E5" s="597">
        <f>N11</f>
        <v>0</v>
      </c>
      <c r="F5" s="4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ht="12.75" customHeight="1">
      <c r="A6" s="4"/>
      <c r="B6" s="590"/>
      <c r="C6" s="591"/>
      <c r="D6" s="594" t="s">
        <v>405</v>
      </c>
      <c r="E6" s="597">
        <f>Q11</f>
        <v>0</v>
      </c>
      <c r="F6" s="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12.75" customHeight="1">
      <c r="A7" s="4"/>
      <c r="B7" s="590"/>
      <c r="C7" s="591"/>
      <c r="D7" s="594" t="s">
        <v>769</v>
      </c>
      <c r="E7" s="597">
        <f>T11</f>
        <v>0</v>
      </c>
      <c r="F7" s="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ht="12.75" customHeight="1">
      <c r="A8" s="4"/>
      <c r="B8" s="590"/>
      <c r="C8" s="591"/>
      <c r="D8" s="594" t="s">
        <v>353</v>
      </c>
      <c r="E8" s="597">
        <f>W11</f>
        <v>0</v>
      </c>
      <c r="F8" s="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12.75" customHeight="1">
      <c r="A9" s="4"/>
      <c r="B9" s="590"/>
      <c r="C9" s="591"/>
      <c r="D9" s="594" t="s">
        <v>770</v>
      </c>
      <c r="E9" s="597">
        <f>Z11</f>
        <v>0</v>
      </c>
      <c r="F9" s="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12.75" customHeight="1">
      <c r="A10" s="4"/>
      <c r="B10" s="590"/>
      <c r="C10" s="591"/>
      <c r="D10" s="594" t="s">
        <v>771</v>
      </c>
      <c r="E10" s="597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ht="12.75" customHeight="1">
      <c r="A11" s="4"/>
      <c r="B11" s="590"/>
      <c r="C11" s="591"/>
      <c r="D11" s="4"/>
      <c r="E11" s="592"/>
      <c r="F11" s="8">
        <f t="shared" ref="F11:G11" si="1">SUM(F15:F1048576)</f>
        <v>0</v>
      </c>
      <c r="G11" s="8">
        <f t="shared" si="1"/>
        <v>0</v>
      </c>
      <c r="H11" s="601">
        <f>H14+G11-F11</f>
        <v>0</v>
      </c>
      <c r="I11" s="8">
        <f t="shared" ref="I11:J11" si="2">SUM(I15:I1048576)</f>
        <v>0</v>
      </c>
      <c r="J11" s="8">
        <f t="shared" si="2"/>
        <v>0</v>
      </c>
      <c r="K11" s="601">
        <f>K14+J11-I11</f>
        <v>0</v>
      </c>
      <c r="L11" s="8">
        <f t="shared" ref="L11:M11" si="3">SUM(L15:L1048576)</f>
        <v>0</v>
      </c>
      <c r="M11" s="8">
        <f t="shared" si="3"/>
        <v>0</v>
      </c>
      <c r="N11" s="601">
        <f>N14+M11-L11</f>
        <v>0</v>
      </c>
      <c r="O11" s="8">
        <f t="shared" ref="O11:P11" si="4">SUM(O15:O1048576)</f>
        <v>0</v>
      </c>
      <c r="P11" s="8">
        <f t="shared" si="4"/>
        <v>0</v>
      </c>
      <c r="Q11" s="601">
        <f>Q14+P11-O11</f>
        <v>0</v>
      </c>
      <c r="R11" s="8">
        <f t="shared" ref="R11:S11" si="5">SUM(R15:R1048576)</f>
        <v>0</v>
      </c>
      <c r="S11" s="8">
        <f t="shared" si="5"/>
        <v>0</v>
      </c>
      <c r="T11" s="601">
        <f>T14+S11-R11</f>
        <v>0</v>
      </c>
      <c r="U11" s="8">
        <f t="shared" ref="U11:V11" si="6">SUM(U15:U1048576)</f>
        <v>0</v>
      </c>
      <c r="V11" s="8">
        <f t="shared" si="6"/>
        <v>0</v>
      </c>
      <c r="W11" s="601">
        <f>W14+V11-U11</f>
        <v>0</v>
      </c>
      <c r="X11" s="8">
        <f t="shared" ref="X11:Y11" si="7">SUM(X15:X1048576)</f>
        <v>0</v>
      </c>
      <c r="Y11" s="8">
        <f t="shared" si="7"/>
        <v>0</v>
      </c>
      <c r="Z11" s="601">
        <f>Z14+Y11-X11</f>
        <v>0</v>
      </c>
      <c r="AA11" s="8">
        <f t="shared" ref="AA11:AB11" si="8">SUM(AA15:AA1048576)</f>
        <v>0</v>
      </c>
      <c r="AB11" s="8">
        <f t="shared" si="8"/>
        <v>0</v>
      </c>
      <c r="AC11" s="601">
        <f>AC14+AB11-AA11</f>
        <v>0</v>
      </c>
      <c r="AD11" s="8"/>
      <c r="AE11" s="8"/>
      <c r="AF11" s="8"/>
      <c r="AG11" s="8"/>
      <c r="AH11" s="8"/>
    </row>
    <row r="12" ht="14.25" customHeight="1">
      <c r="A12" s="603"/>
      <c r="B12" s="604"/>
      <c r="C12" s="603"/>
      <c r="D12" s="603"/>
      <c r="E12" s="603"/>
      <c r="F12" s="605" t="s">
        <v>369</v>
      </c>
      <c r="I12" s="605" t="s">
        <v>551</v>
      </c>
      <c r="L12" s="605" t="s">
        <v>772</v>
      </c>
      <c r="O12" s="605" t="s">
        <v>552</v>
      </c>
      <c r="R12" s="605" t="s">
        <v>769</v>
      </c>
      <c r="U12" s="605" t="s">
        <v>353</v>
      </c>
      <c r="X12" s="605" t="s">
        <v>770</v>
      </c>
      <c r="AA12" s="605" t="s">
        <v>773</v>
      </c>
      <c r="AD12" s="606"/>
      <c r="AE12" s="606"/>
      <c r="AF12" s="606"/>
      <c r="AG12" s="606"/>
      <c r="AH12" s="606"/>
    </row>
    <row r="13" ht="12.75" customHeight="1">
      <c r="A13" s="4"/>
      <c r="B13" s="607" t="s">
        <v>1</v>
      </c>
      <c r="C13" s="4" t="s">
        <v>337</v>
      </c>
      <c r="D13" s="4" t="s">
        <v>560</v>
      </c>
      <c r="E13" s="592" t="s">
        <v>774</v>
      </c>
      <c r="F13" s="608" t="s">
        <v>564</v>
      </c>
      <c r="G13" s="20" t="s">
        <v>565</v>
      </c>
      <c r="H13" s="20" t="s">
        <v>9</v>
      </c>
      <c r="I13" s="608" t="s">
        <v>564</v>
      </c>
      <c r="J13" s="20" t="s">
        <v>565</v>
      </c>
      <c r="K13" s="20" t="s">
        <v>9</v>
      </c>
      <c r="L13" s="608" t="s">
        <v>564</v>
      </c>
      <c r="M13" s="20" t="s">
        <v>565</v>
      </c>
      <c r="N13" s="20" t="s">
        <v>9</v>
      </c>
      <c r="O13" s="608" t="s">
        <v>564</v>
      </c>
      <c r="P13" s="20" t="s">
        <v>565</v>
      </c>
      <c r="Q13" s="20" t="s">
        <v>9</v>
      </c>
      <c r="R13" s="608" t="s">
        <v>564</v>
      </c>
      <c r="S13" s="20" t="s">
        <v>565</v>
      </c>
      <c r="T13" s="20" t="s">
        <v>9</v>
      </c>
      <c r="U13" s="608" t="s">
        <v>564</v>
      </c>
      <c r="V13" s="20" t="s">
        <v>565</v>
      </c>
      <c r="W13" s="20" t="s">
        <v>9</v>
      </c>
      <c r="X13" s="608" t="s">
        <v>564</v>
      </c>
      <c r="Y13" s="20" t="s">
        <v>565</v>
      </c>
      <c r="Z13" s="20" t="s">
        <v>9</v>
      </c>
      <c r="AA13" s="608" t="s">
        <v>564</v>
      </c>
      <c r="AB13" s="20" t="s">
        <v>565</v>
      </c>
      <c r="AC13" s="20" t="s">
        <v>9</v>
      </c>
      <c r="AD13" s="8"/>
      <c r="AE13" s="8"/>
      <c r="AF13" s="8"/>
      <c r="AG13" s="8"/>
      <c r="AH13" s="8"/>
    </row>
    <row r="14" ht="12.75" customHeight="1">
      <c r="A14" s="24"/>
      <c r="B14" s="609"/>
      <c r="C14" s="24"/>
      <c r="D14" s="24"/>
      <c r="E14" s="610"/>
      <c r="F14" s="611"/>
      <c r="G14" s="26"/>
      <c r="H14" s="8"/>
      <c r="I14" s="611"/>
      <c r="J14" s="26"/>
      <c r="K14" s="8"/>
      <c r="L14" s="611"/>
      <c r="M14" s="26"/>
      <c r="N14" s="8"/>
      <c r="O14" s="611"/>
      <c r="P14" s="26"/>
      <c r="Q14" s="8">
        <v>0.0</v>
      </c>
      <c r="R14" s="611"/>
      <c r="S14" s="26"/>
      <c r="T14" s="8">
        <v>0.0</v>
      </c>
      <c r="U14" s="611"/>
      <c r="V14" s="26"/>
      <c r="W14" s="8">
        <v>0.0</v>
      </c>
      <c r="X14" s="611"/>
      <c r="Y14" s="26"/>
      <c r="Z14" s="8">
        <v>0.0</v>
      </c>
      <c r="AA14" s="611"/>
      <c r="AB14" s="26"/>
      <c r="AC14" s="8">
        <v>0.0</v>
      </c>
      <c r="AD14" s="26"/>
      <c r="AE14" s="26"/>
      <c r="AF14" s="26"/>
      <c r="AG14" s="26"/>
      <c r="AH14" s="26"/>
    </row>
    <row r="15" ht="12.75" customHeight="1">
      <c r="A15" s="24"/>
      <c r="B15" s="609"/>
      <c r="C15" s="609"/>
      <c r="D15" s="24"/>
      <c r="E15" s="610"/>
      <c r="F15" s="611"/>
      <c r="G15" s="26"/>
      <c r="H15" s="8">
        <f t="shared" ref="H15:H19" si="9">H14+G15-F15</f>
        <v>0</v>
      </c>
      <c r="I15" s="611"/>
      <c r="J15" s="26"/>
      <c r="K15" s="8">
        <f t="shared" ref="K15:K300" si="10">K14+J15-I15</f>
        <v>0</v>
      </c>
      <c r="L15" s="611"/>
      <c r="M15" s="26"/>
      <c r="N15" s="8">
        <f t="shared" ref="N15:N300" si="11">N14+M15-L15</f>
        <v>0</v>
      </c>
      <c r="O15" s="611"/>
      <c r="P15" s="26"/>
      <c r="Q15" s="8">
        <f t="shared" ref="Q15:Q300" si="12">Q14+P15-O15</f>
        <v>0</v>
      </c>
      <c r="R15" s="611"/>
      <c r="S15" s="26"/>
      <c r="T15" s="8">
        <f t="shared" ref="T15:T300" si="13">T14+S15-R15</f>
        <v>0</v>
      </c>
      <c r="U15" s="611"/>
      <c r="V15" s="26"/>
      <c r="W15" s="8">
        <f t="shared" ref="W15:W300" si="14">W14+V15-U15</f>
        <v>0</v>
      </c>
      <c r="X15" s="611"/>
      <c r="Y15" s="26"/>
      <c r="Z15" s="8">
        <f t="shared" ref="Z15:Z300" si="15">Z14+Y15-X15</f>
        <v>0</v>
      </c>
      <c r="AA15" s="611"/>
      <c r="AB15" s="26"/>
      <c r="AC15" s="8">
        <f t="shared" ref="AC15:AC300" si="16">AC14+AB15-AA15</f>
        <v>0</v>
      </c>
      <c r="AD15" s="26"/>
      <c r="AE15" s="26"/>
      <c r="AF15" s="26"/>
      <c r="AG15" s="26"/>
      <c r="AH15" s="26"/>
    </row>
    <row r="16" ht="12.75" customHeight="1">
      <c r="A16" s="24"/>
      <c r="B16" s="609"/>
      <c r="C16" s="609"/>
      <c r="D16" s="24"/>
      <c r="E16" s="610"/>
      <c r="F16" s="611"/>
      <c r="G16" s="26"/>
      <c r="H16" s="8">
        <f t="shared" si="9"/>
        <v>0</v>
      </c>
      <c r="I16" s="611"/>
      <c r="J16" s="26"/>
      <c r="K16" s="8">
        <f t="shared" si="10"/>
        <v>0</v>
      </c>
      <c r="L16" s="611"/>
      <c r="M16" s="26"/>
      <c r="N16" s="8">
        <f t="shared" si="11"/>
        <v>0</v>
      </c>
      <c r="O16" s="611"/>
      <c r="P16" s="26"/>
      <c r="Q16" s="8">
        <f t="shared" si="12"/>
        <v>0</v>
      </c>
      <c r="R16" s="611"/>
      <c r="S16" s="26"/>
      <c r="T16" s="8">
        <f t="shared" si="13"/>
        <v>0</v>
      </c>
      <c r="U16" s="611"/>
      <c r="V16" s="26"/>
      <c r="W16" s="8">
        <f t="shared" si="14"/>
        <v>0</v>
      </c>
      <c r="X16" s="611"/>
      <c r="Y16" s="26"/>
      <c r="Z16" s="8">
        <f t="shared" si="15"/>
        <v>0</v>
      </c>
      <c r="AA16" s="611"/>
      <c r="AB16" s="26"/>
      <c r="AC16" s="8">
        <f t="shared" si="16"/>
        <v>0</v>
      </c>
      <c r="AD16" s="26"/>
      <c r="AE16" s="26"/>
      <c r="AF16" s="26"/>
      <c r="AG16" s="26"/>
      <c r="AH16" s="26"/>
    </row>
    <row r="17" ht="12.75" customHeight="1">
      <c r="A17" s="24"/>
      <c r="B17" s="609"/>
      <c r="C17" s="24"/>
      <c r="D17" s="24"/>
      <c r="E17" s="610"/>
      <c r="F17" s="611"/>
      <c r="G17" s="26"/>
      <c r="H17" s="8">
        <f t="shared" si="9"/>
        <v>0</v>
      </c>
      <c r="I17" s="611"/>
      <c r="J17" s="26"/>
      <c r="K17" s="8">
        <f t="shared" si="10"/>
        <v>0</v>
      </c>
      <c r="L17" s="611"/>
      <c r="M17" s="26"/>
      <c r="N17" s="8">
        <f t="shared" si="11"/>
        <v>0</v>
      </c>
      <c r="O17" s="611"/>
      <c r="P17" s="26"/>
      <c r="Q17" s="8">
        <f t="shared" si="12"/>
        <v>0</v>
      </c>
      <c r="R17" s="611"/>
      <c r="S17" s="26"/>
      <c r="T17" s="8">
        <f t="shared" si="13"/>
        <v>0</v>
      </c>
      <c r="U17" s="611"/>
      <c r="V17" s="26"/>
      <c r="W17" s="8">
        <f t="shared" si="14"/>
        <v>0</v>
      </c>
      <c r="X17" s="611"/>
      <c r="Y17" s="26"/>
      <c r="Z17" s="8">
        <f t="shared" si="15"/>
        <v>0</v>
      </c>
      <c r="AA17" s="611"/>
      <c r="AB17" s="26"/>
      <c r="AC17" s="8">
        <f t="shared" si="16"/>
        <v>0</v>
      </c>
      <c r="AD17" s="26"/>
      <c r="AE17" s="26"/>
      <c r="AF17" s="26"/>
      <c r="AG17" s="26"/>
      <c r="AH17" s="26"/>
    </row>
    <row r="18" ht="12.75" customHeight="1">
      <c r="A18" s="24"/>
      <c r="B18" s="609"/>
      <c r="C18" s="24"/>
      <c r="D18" s="610"/>
      <c r="E18" s="610"/>
      <c r="F18" s="611"/>
      <c r="G18" s="26"/>
      <c r="H18" s="8">
        <f t="shared" si="9"/>
        <v>0</v>
      </c>
      <c r="I18" s="611"/>
      <c r="J18" s="26"/>
      <c r="K18" s="8">
        <f t="shared" si="10"/>
        <v>0</v>
      </c>
      <c r="L18" s="611"/>
      <c r="M18" s="26"/>
      <c r="N18" s="8">
        <f t="shared" si="11"/>
        <v>0</v>
      </c>
      <c r="O18" s="611"/>
      <c r="P18" s="26"/>
      <c r="Q18" s="8">
        <f t="shared" si="12"/>
        <v>0</v>
      </c>
      <c r="R18" s="611"/>
      <c r="S18" s="26"/>
      <c r="T18" s="8">
        <f t="shared" si="13"/>
        <v>0</v>
      </c>
      <c r="U18" s="611"/>
      <c r="V18" s="26"/>
      <c r="W18" s="8">
        <f t="shared" si="14"/>
        <v>0</v>
      </c>
      <c r="X18" s="611"/>
      <c r="Y18" s="26"/>
      <c r="Z18" s="8">
        <f t="shared" si="15"/>
        <v>0</v>
      </c>
      <c r="AA18" s="611"/>
      <c r="AB18" s="26"/>
      <c r="AC18" s="8">
        <f t="shared" si="16"/>
        <v>0</v>
      </c>
      <c r="AD18" s="26"/>
      <c r="AE18" s="26"/>
      <c r="AF18" s="26"/>
      <c r="AG18" s="26"/>
      <c r="AH18" s="26"/>
    </row>
    <row r="19" ht="12.75" customHeight="1">
      <c r="A19" s="24"/>
      <c r="B19" s="609"/>
      <c r="C19" s="24"/>
      <c r="D19" s="610"/>
      <c r="E19" s="610"/>
      <c r="F19" s="611"/>
      <c r="G19" s="26"/>
      <c r="H19" s="8">
        <f t="shared" si="9"/>
        <v>0</v>
      </c>
      <c r="I19" s="611"/>
      <c r="J19" s="26"/>
      <c r="K19" s="8">
        <f t="shared" si="10"/>
        <v>0</v>
      </c>
      <c r="L19" s="611"/>
      <c r="M19" s="26"/>
      <c r="N19" s="8">
        <f t="shared" si="11"/>
        <v>0</v>
      </c>
      <c r="O19" s="611"/>
      <c r="P19" s="26"/>
      <c r="Q19" s="8">
        <f t="shared" si="12"/>
        <v>0</v>
      </c>
      <c r="R19" s="611"/>
      <c r="S19" s="26"/>
      <c r="T19" s="8">
        <f t="shared" si="13"/>
        <v>0</v>
      </c>
      <c r="U19" s="611"/>
      <c r="V19" s="26"/>
      <c r="W19" s="8">
        <f t="shared" si="14"/>
        <v>0</v>
      </c>
      <c r="X19" s="611"/>
      <c r="Y19" s="26"/>
      <c r="Z19" s="8">
        <f t="shared" si="15"/>
        <v>0</v>
      </c>
      <c r="AA19" s="611"/>
      <c r="AB19" s="26"/>
      <c r="AC19" s="8">
        <f t="shared" si="16"/>
        <v>0</v>
      </c>
      <c r="AD19" s="26"/>
      <c r="AE19" s="26"/>
      <c r="AF19" s="26"/>
      <c r="AG19" s="26"/>
      <c r="AH19" s="26"/>
    </row>
    <row r="20" ht="12.75" customHeight="1">
      <c r="A20" s="24"/>
      <c r="B20" s="609"/>
      <c r="C20" s="24"/>
      <c r="D20" s="610"/>
      <c r="E20" s="610"/>
      <c r="F20" s="611"/>
      <c r="G20" s="26"/>
      <c r="H20" s="8">
        <f t="shared" ref="H20:H24" si="17">H18+G20-F20</f>
        <v>0</v>
      </c>
      <c r="I20" s="611"/>
      <c r="J20" s="26"/>
      <c r="K20" s="8">
        <f t="shared" si="10"/>
        <v>0</v>
      </c>
      <c r="L20" s="611"/>
      <c r="M20" s="26"/>
      <c r="N20" s="8">
        <f t="shared" si="11"/>
        <v>0</v>
      </c>
      <c r="O20" s="611"/>
      <c r="P20" s="26"/>
      <c r="Q20" s="8">
        <f t="shared" si="12"/>
        <v>0</v>
      </c>
      <c r="R20" s="611"/>
      <c r="S20" s="26"/>
      <c r="T20" s="8">
        <f t="shared" si="13"/>
        <v>0</v>
      </c>
      <c r="U20" s="611"/>
      <c r="V20" s="26"/>
      <c r="W20" s="8">
        <f t="shared" si="14"/>
        <v>0</v>
      </c>
      <c r="X20" s="611"/>
      <c r="Y20" s="26"/>
      <c r="Z20" s="8">
        <f t="shared" si="15"/>
        <v>0</v>
      </c>
      <c r="AA20" s="611"/>
      <c r="AB20" s="26"/>
      <c r="AC20" s="8">
        <f t="shared" si="16"/>
        <v>0</v>
      </c>
      <c r="AD20" s="26"/>
      <c r="AE20" s="26"/>
      <c r="AF20" s="26"/>
      <c r="AG20" s="26"/>
      <c r="AH20" s="26"/>
    </row>
    <row r="21" ht="12.75" customHeight="1">
      <c r="A21" s="24"/>
      <c r="B21" s="609"/>
      <c r="C21" s="24"/>
      <c r="D21" s="610"/>
      <c r="E21" s="610"/>
      <c r="F21" s="611"/>
      <c r="G21" s="26"/>
      <c r="H21" s="8">
        <f t="shared" si="17"/>
        <v>0</v>
      </c>
      <c r="I21" s="611"/>
      <c r="J21" s="26"/>
      <c r="K21" s="8">
        <f t="shared" si="10"/>
        <v>0</v>
      </c>
      <c r="L21" s="611"/>
      <c r="M21" s="26"/>
      <c r="N21" s="8">
        <f t="shared" si="11"/>
        <v>0</v>
      </c>
      <c r="O21" s="611"/>
      <c r="P21" s="26"/>
      <c r="Q21" s="8">
        <f t="shared" si="12"/>
        <v>0</v>
      </c>
      <c r="R21" s="611"/>
      <c r="S21" s="26"/>
      <c r="T21" s="8">
        <f t="shared" si="13"/>
        <v>0</v>
      </c>
      <c r="U21" s="611"/>
      <c r="V21" s="26"/>
      <c r="W21" s="8">
        <f t="shared" si="14"/>
        <v>0</v>
      </c>
      <c r="X21" s="611"/>
      <c r="Y21" s="26"/>
      <c r="Z21" s="8">
        <f t="shared" si="15"/>
        <v>0</v>
      </c>
      <c r="AA21" s="611"/>
      <c r="AB21" s="26"/>
      <c r="AC21" s="8">
        <f t="shared" si="16"/>
        <v>0</v>
      </c>
      <c r="AD21" s="26"/>
      <c r="AE21" s="26"/>
      <c r="AF21" s="26"/>
      <c r="AG21" s="26"/>
      <c r="AH21" s="26"/>
    </row>
    <row r="22" ht="12.75" customHeight="1">
      <c r="A22" s="24"/>
      <c r="B22" s="609"/>
      <c r="C22" s="24"/>
      <c r="D22" s="610"/>
      <c r="E22" s="610"/>
      <c r="F22" s="611"/>
      <c r="G22" s="26"/>
      <c r="H22" s="8">
        <f t="shared" si="17"/>
        <v>0</v>
      </c>
      <c r="I22" s="611"/>
      <c r="J22" s="26"/>
      <c r="K22" s="8">
        <f t="shared" si="10"/>
        <v>0</v>
      </c>
      <c r="L22" s="611"/>
      <c r="M22" s="26"/>
      <c r="N22" s="8">
        <f t="shared" si="11"/>
        <v>0</v>
      </c>
      <c r="O22" s="611"/>
      <c r="P22" s="26"/>
      <c r="Q22" s="8">
        <f t="shared" si="12"/>
        <v>0</v>
      </c>
      <c r="R22" s="611"/>
      <c r="S22" s="26"/>
      <c r="T22" s="8">
        <f t="shared" si="13"/>
        <v>0</v>
      </c>
      <c r="U22" s="611"/>
      <c r="V22" s="26"/>
      <c r="W22" s="8">
        <f t="shared" si="14"/>
        <v>0</v>
      </c>
      <c r="X22" s="611"/>
      <c r="Y22" s="26"/>
      <c r="Z22" s="8">
        <f t="shared" si="15"/>
        <v>0</v>
      </c>
      <c r="AA22" s="611"/>
      <c r="AB22" s="26"/>
      <c r="AC22" s="8">
        <f t="shared" si="16"/>
        <v>0</v>
      </c>
      <c r="AD22" s="26"/>
      <c r="AE22" s="26"/>
      <c r="AF22" s="26"/>
      <c r="AG22" s="26"/>
      <c r="AH22" s="26"/>
    </row>
    <row r="23" ht="12.75" customHeight="1">
      <c r="A23" s="24"/>
      <c r="B23" s="609"/>
      <c r="C23" s="24"/>
      <c r="D23" s="610"/>
      <c r="E23" s="610"/>
      <c r="F23" s="611"/>
      <c r="G23" s="26"/>
      <c r="H23" s="8">
        <f t="shared" si="17"/>
        <v>0</v>
      </c>
      <c r="I23" s="611"/>
      <c r="J23" s="26"/>
      <c r="K23" s="8">
        <f t="shared" si="10"/>
        <v>0</v>
      </c>
      <c r="L23" s="611"/>
      <c r="M23" s="26"/>
      <c r="N23" s="8">
        <f t="shared" si="11"/>
        <v>0</v>
      </c>
      <c r="O23" s="611"/>
      <c r="P23" s="26"/>
      <c r="Q23" s="8">
        <f t="shared" si="12"/>
        <v>0</v>
      </c>
      <c r="R23" s="611"/>
      <c r="S23" s="26"/>
      <c r="T23" s="8">
        <f t="shared" si="13"/>
        <v>0</v>
      </c>
      <c r="U23" s="611"/>
      <c r="V23" s="26"/>
      <c r="W23" s="8">
        <f t="shared" si="14"/>
        <v>0</v>
      </c>
      <c r="X23" s="611"/>
      <c r="Y23" s="26"/>
      <c r="Z23" s="8">
        <f t="shared" si="15"/>
        <v>0</v>
      </c>
      <c r="AA23" s="611"/>
      <c r="AB23" s="26"/>
      <c r="AC23" s="8">
        <f t="shared" si="16"/>
        <v>0</v>
      </c>
      <c r="AD23" s="26"/>
      <c r="AE23" s="26"/>
      <c r="AF23" s="26"/>
      <c r="AG23" s="26"/>
      <c r="AH23" s="26"/>
    </row>
    <row r="24" ht="12.75" customHeight="1">
      <c r="A24" s="24"/>
      <c r="B24" s="609"/>
      <c r="C24" s="24"/>
      <c r="D24" s="610"/>
      <c r="E24" s="610"/>
      <c r="F24" s="611"/>
      <c r="G24" s="26"/>
      <c r="H24" s="8">
        <f t="shared" si="17"/>
        <v>0</v>
      </c>
      <c r="I24" s="611"/>
      <c r="J24" s="26"/>
      <c r="K24" s="8">
        <f t="shared" si="10"/>
        <v>0</v>
      </c>
      <c r="L24" s="611"/>
      <c r="M24" s="26"/>
      <c r="N24" s="8">
        <f t="shared" si="11"/>
        <v>0</v>
      </c>
      <c r="O24" s="611"/>
      <c r="P24" s="26"/>
      <c r="Q24" s="8">
        <f t="shared" si="12"/>
        <v>0</v>
      </c>
      <c r="R24" s="611"/>
      <c r="S24" s="26"/>
      <c r="T24" s="8">
        <f t="shared" si="13"/>
        <v>0</v>
      </c>
      <c r="U24" s="611"/>
      <c r="V24" s="26"/>
      <c r="W24" s="8">
        <f t="shared" si="14"/>
        <v>0</v>
      </c>
      <c r="X24" s="611"/>
      <c r="Y24" s="26"/>
      <c r="Z24" s="8">
        <f t="shared" si="15"/>
        <v>0</v>
      </c>
      <c r="AA24" s="611"/>
      <c r="AB24" s="26"/>
      <c r="AC24" s="8">
        <f t="shared" si="16"/>
        <v>0</v>
      </c>
      <c r="AD24" s="26"/>
      <c r="AE24" s="26"/>
      <c r="AF24" s="26"/>
      <c r="AG24" s="26"/>
      <c r="AH24" s="26"/>
    </row>
    <row r="25" ht="12.75" customHeight="1">
      <c r="A25" s="24"/>
      <c r="B25" s="609"/>
      <c r="C25" s="610"/>
      <c r="D25" s="610"/>
      <c r="E25" s="610"/>
      <c r="F25" s="611"/>
      <c r="G25" s="26"/>
      <c r="H25" s="8">
        <f t="shared" ref="H25:H300" si="18">H24+G25-F25</f>
        <v>0</v>
      </c>
      <c r="I25" s="611"/>
      <c r="J25" s="26"/>
      <c r="K25" s="8">
        <f t="shared" si="10"/>
        <v>0</v>
      </c>
      <c r="L25" s="611"/>
      <c r="M25" s="26"/>
      <c r="N25" s="8">
        <f t="shared" si="11"/>
        <v>0</v>
      </c>
      <c r="O25" s="611"/>
      <c r="P25" s="26"/>
      <c r="Q25" s="8">
        <f t="shared" si="12"/>
        <v>0</v>
      </c>
      <c r="R25" s="611"/>
      <c r="S25" s="26"/>
      <c r="T25" s="8">
        <f t="shared" si="13"/>
        <v>0</v>
      </c>
      <c r="U25" s="611"/>
      <c r="V25" s="26"/>
      <c r="W25" s="8">
        <f t="shared" si="14"/>
        <v>0</v>
      </c>
      <c r="X25" s="611"/>
      <c r="Y25" s="26"/>
      <c r="Z25" s="8">
        <f t="shared" si="15"/>
        <v>0</v>
      </c>
      <c r="AA25" s="611"/>
      <c r="AB25" s="26"/>
      <c r="AC25" s="8">
        <f t="shared" si="16"/>
        <v>0</v>
      </c>
      <c r="AD25" s="26"/>
      <c r="AE25" s="26"/>
      <c r="AF25" s="26"/>
      <c r="AG25" s="26"/>
      <c r="AH25" s="26"/>
    </row>
    <row r="26" ht="12.75" customHeight="1">
      <c r="A26" s="24"/>
      <c r="B26" s="609"/>
      <c r="C26" s="24"/>
      <c r="D26" s="610"/>
      <c r="E26" s="610"/>
      <c r="F26" s="611"/>
      <c r="G26" s="26"/>
      <c r="H26" s="8">
        <f t="shared" si="18"/>
        <v>0</v>
      </c>
      <c r="I26" s="611"/>
      <c r="J26" s="26"/>
      <c r="K26" s="8">
        <f t="shared" si="10"/>
        <v>0</v>
      </c>
      <c r="L26" s="611"/>
      <c r="M26" s="26"/>
      <c r="N26" s="8">
        <f t="shared" si="11"/>
        <v>0</v>
      </c>
      <c r="O26" s="611"/>
      <c r="P26" s="26"/>
      <c r="Q26" s="8">
        <f t="shared" si="12"/>
        <v>0</v>
      </c>
      <c r="R26" s="611"/>
      <c r="S26" s="26"/>
      <c r="T26" s="8">
        <f t="shared" si="13"/>
        <v>0</v>
      </c>
      <c r="U26" s="611"/>
      <c r="V26" s="26"/>
      <c r="W26" s="8">
        <f t="shared" si="14"/>
        <v>0</v>
      </c>
      <c r="X26" s="611"/>
      <c r="Y26" s="26"/>
      <c r="Z26" s="8">
        <f t="shared" si="15"/>
        <v>0</v>
      </c>
      <c r="AA26" s="611"/>
      <c r="AB26" s="26"/>
      <c r="AC26" s="8">
        <f t="shared" si="16"/>
        <v>0</v>
      </c>
      <c r="AD26" s="26"/>
      <c r="AE26" s="26"/>
      <c r="AF26" s="26"/>
      <c r="AG26" s="26"/>
      <c r="AH26" s="26"/>
    </row>
    <row r="27" ht="12.75" customHeight="1">
      <c r="A27" s="24"/>
      <c r="B27" s="609"/>
      <c r="C27" s="24"/>
      <c r="D27" s="610"/>
      <c r="E27" s="610"/>
      <c r="F27" s="611"/>
      <c r="G27" s="26"/>
      <c r="H27" s="8">
        <f t="shared" si="18"/>
        <v>0</v>
      </c>
      <c r="I27" s="611"/>
      <c r="J27" s="26"/>
      <c r="K27" s="8">
        <f t="shared" si="10"/>
        <v>0</v>
      </c>
      <c r="L27" s="611"/>
      <c r="M27" s="26"/>
      <c r="N27" s="8">
        <f t="shared" si="11"/>
        <v>0</v>
      </c>
      <c r="O27" s="611"/>
      <c r="P27" s="26"/>
      <c r="Q27" s="8">
        <f t="shared" si="12"/>
        <v>0</v>
      </c>
      <c r="R27" s="611"/>
      <c r="S27" s="26"/>
      <c r="T27" s="8">
        <f t="shared" si="13"/>
        <v>0</v>
      </c>
      <c r="U27" s="611"/>
      <c r="V27" s="26"/>
      <c r="W27" s="8">
        <f t="shared" si="14"/>
        <v>0</v>
      </c>
      <c r="X27" s="611"/>
      <c r="Y27" s="26"/>
      <c r="Z27" s="8">
        <f t="shared" si="15"/>
        <v>0</v>
      </c>
      <c r="AA27" s="611"/>
      <c r="AB27" s="26"/>
      <c r="AC27" s="8">
        <f t="shared" si="16"/>
        <v>0</v>
      </c>
      <c r="AD27" s="26"/>
      <c r="AE27" s="26"/>
      <c r="AF27" s="26"/>
      <c r="AG27" s="26"/>
      <c r="AH27" s="26"/>
    </row>
    <row r="28" ht="12.75" customHeight="1">
      <c r="A28" s="24"/>
      <c r="B28" s="609"/>
      <c r="C28" s="610"/>
      <c r="D28" s="610"/>
      <c r="E28" s="610"/>
      <c r="F28" s="611"/>
      <c r="G28" s="26"/>
      <c r="H28" s="8">
        <f t="shared" si="18"/>
        <v>0</v>
      </c>
      <c r="I28" s="611"/>
      <c r="J28" s="26"/>
      <c r="K28" s="8">
        <f t="shared" si="10"/>
        <v>0</v>
      </c>
      <c r="L28" s="611"/>
      <c r="M28" s="26"/>
      <c r="N28" s="8">
        <f t="shared" si="11"/>
        <v>0</v>
      </c>
      <c r="O28" s="611"/>
      <c r="P28" s="26"/>
      <c r="Q28" s="8">
        <f t="shared" si="12"/>
        <v>0</v>
      </c>
      <c r="R28" s="611"/>
      <c r="S28" s="26"/>
      <c r="T28" s="8">
        <f t="shared" si="13"/>
        <v>0</v>
      </c>
      <c r="U28" s="611"/>
      <c r="V28" s="26"/>
      <c r="W28" s="8">
        <f t="shared" si="14"/>
        <v>0</v>
      </c>
      <c r="X28" s="611"/>
      <c r="Y28" s="26"/>
      <c r="Z28" s="8">
        <f t="shared" si="15"/>
        <v>0</v>
      </c>
      <c r="AA28" s="611"/>
      <c r="AB28" s="26"/>
      <c r="AC28" s="8">
        <f t="shared" si="16"/>
        <v>0</v>
      </c>
      <c r="AD28" s="26"/>
      <c r="AE28" s="26"/>
      <c r="AF28" s="26"/>
      <c r="AG28" s="26"/>
      <c r="AH28" s="26"/>
    </row>
    <row r="29" ht="12.75" customHeight="1">
      <c r="A29" s="24"/>
      <c r="B29" s="609"/>
      <c r="C29" s="610"/>
      <c r="D29" s="613"/>
      <c r="E29" s="610"/>
      <c r="F29" s="611"/>
      <c r="G29" s="26"/>
      <c r="H29" s="8">
        <f t="shared" si="18"/>
        <v>0</v>
      </c>
      <c r="I29" s="611"/>
      <c r="J29" s="26"/>
      <c r="K29" s="8">
        <f t="shared" si="10"/>
        <v>0</v>
      </c>
      <c r="L29" s="611"/>
      <c r="M29" s="26"/>
      <c r="N29" s="8">
        <f t="shared" si="11"/>
        <v>0</v>
      </c>
      <c r="O29" s="611"/>
      <c r="P29" s="26"/>
      <c r="Q29" s="8">
        <f t="shared" si="12"/>
        <v>0</v>
      </c>
      <c r="R29" s="611"/>
      <c r="S29" s="26"/>
      <c r="T29" s="8">
        <f t="shared" si="13"/>
        <v>0</v>
      </c>
      <c r="U29" s="611"/>
      <c r="V29" s="26"/>
      <c r="W29" s="8">
        <f t="shared" si="14"/>
        <v>0</v>
      </c>
      <c r="X29" s="611"/>
      <c r="Y29" s="26"/>
      <c r="Z29" s="8">
        <f t="shared" si="15"/>
        <v>0</v>
      </c>
      <c r="AA29" s="611"/>
      <c r="AB29" s="26"/>
      <c r="AC29" s="8">
        <f t="shared" si="16"/>
        <v>0</v>
      </c>
      <c r="AD29" s="26"/>
      <c r="AE29" s="26"/>
      <c r="AF29" s="26"/>
      <c r="AG29" s="26"/>
      <c r="AH29" s="26"/>
    </row>
    <row r="30" ht="12.75" customHeight="1">
      <c r="A30" s="24"/>
      <c r="B30" s="609"/>
      <c r="C30" s="610"/>
      <c r="D30" s="613"/>
      <c r="E30" s="610"/>
      <c r="F30" s="611"/>
      <c r="G30" s="26"/>
      <c r="H30" s="8">
        <f t="shared" si="18"/>
        <v>0</v>
      </c>
      <c r="I30" s="611"/>
      <c r="J30" s="26"/>
      <c r="K30" s="8">
        <f t="shared" si="10"/>
        <v>0</v>
      </c>
      <c r="L30" s="611"/>
      <c r="M30" s="26"/>
      <c r="N30" s="8">
        <f t="shared" si="11"/>
        <v>0</v>
      </c>
      <c r="O30" s="611"/>
      <c r="P30" s="26"/>
      <c r="Q30" s="8">
        <f t="shared" si="12"/>
        <v>0</v>
      </c>
      <c r="R30" s="611"/>
      <c r="S30" s="26"/>
      <c r="T30" s="8">
        <f t="shared" si="13"/>
        <v>0</v>
      </c>
      <c r="U30" s="611"/>
      <c r="V30" s="26"/>
      <c r="W30" s="8">
        <f t="shared" si="14"/>
        <v>0</v>
      </c>
      <c r="X30" s="611"/>
      <c r="Y30" s="26"/>
      <c r="Z30" s="8">
        <f t="shared" si="15"/>
        <v>0</v>
      </c>
      <c r="AA30" s="611"/>
      <c r="AB30" s="26"/>
      <c r="AC30" s="8">
        <f t="shared" si="16"/>
        <v>0</v>
      </c>
      <c r="AD30" s="26"/>
      <c r="AE30" s="26"/>
      <c r="AF30" s="26"/>
      <c r="AG30" s="26"/>
      <c r="AH30" s="26"/>
    </row>
    <row r="31" ht="12.75" customHeight="1">
      <c r="A31" s="24"/>
      <c r="B31" s="609"/>
      <c r="C31" s="610"/>
      <c r="D31" s="24"/>
      <c r="E31" s="610"/>
      <c r="F31" s="611"/>
      <c r="G31" s="26"/>
      <c r="H31" s="8">
        <f t="shared" si="18"/>
        <v>0</v>
      </c>
      <c r="I31" s="611"/>
      <c r="J31" s="26"/>
      <c r="K31" s="8">
        <f t="shared" si="10"/>
        <v>0</v>
      </c>
      <c r="L31" s="611"/>
      <c r="M31" s="26"/>
      <c r="N31" s="8">
        <f t="shared" si="11"/>
        <v>0</v>
      </c>
      <c r="O31" s="611"/>
      <c r="P31" s="26"/>
      <c r="Q31" s="8">
        <f t="shared" si="12"/>
        <v>0</v>
      </c>
      <c r="R31" s="611"/>
      <c r="S31" s="26"/>
      <c r="T31" s="8">
        <f t="shared" si="13"/>
        <v>0</v>
      </c>
      <c r="U31" s="611"/>
      <c r="V31" s="26"/>
      <c r="W31" s="8">
        <f t="shared" si="14"/>
        <v>0</v>
      </c>
      <c r="X31" s="611"/>
      <c r="Y31" s="26"/>
      <c r="Z31" s="8">
        <f t="shared" si="15"/>
        <v>0</v>
      </c>
      <c r="AA31" s="611"/>
      <c r="AB31" s="26"/>
      <c r="AC31" s="8">
        <f t="shared" si="16"/>
        <v>0</v>
      </c>
      <c r="AD31" s="26"/>
      <c r="AE31" s="26"/>
      <c r="AF31" s="26"/>
      <c r="AG31" s="26"/>
      <c r="AH31" s="26"/>
    </row>
    <row r="32" ht="12.75" customHeight="1">
      <c r="A32" s="24"/>
      <c r="B32" s="609"/>
      <c r="C32" s="610"/>
      <c r="D32" s="24"/>
      <c r="E32" s="610"/>
      <c r="F32" s="611"/>
      <c r="G32" s="26"/>
      <c r="H32" s="8">
        <f t="shared" si="18"/>
        <v>0</v>
      </c>
      <c r="I32" s="611"/>
      <c r="J32" s="26"/>
      <c r="K32" s="8">
        <f t="shared" si="10"/>
        <v>0</v>
      </c>
      <c r="L32" s="611"/>
      <c r="M32" s="26"/>
      <c r="N32" s="8">
        <f t="shared" si="11"/>
        <v>0</v>
      </c>
      <c r="O32" s="611"/>
      <c r="P32" s="26"/>
      <c r="Q32" s="8">
        <f t="shared" si="12"/>
        <v>0</v>
      </c>
      <c r="R32" s="611"/>
      <c r="S32" s="26"/>
      <c r="T32" s="8">
        <f t="shared" si="13"/>
        <v>0</v>
      </c>
      <c r="U32" s="611"/>
      <c r="V32" s="26"/>
      <c r="W32" s="8">
        <f t="shared" si="14"/>
        <v>0</v>
      </c>
      <c r="X32" s="611"/>
      <c r="Y32" s="26"/>
      <c r="Z32" s="8">
        <f t="shared" si="15"/>
        <v>0</v>
      </c>
      <c r="AA32" s="611"/>
      <c r="AB32" s="26"/>
      <c r="AC32" s="8">
        <f t="shared" si="16"/>
        <v>0</v>
      </c>
      <c r="AD32" s="26"/>
      <c r="AE32" s="26"/>
      <c r="AF32" s="26"/>
      <c r="AG32" s="26"/>
      <c r="AH32" s="26"/>
    </row>
    <row r="33" ht="12.75" customHeight="1">
      <c r="A33" s="24"/>
      <c r="B33" s="609"/>
      <c r="C33" s="610"/>
      <c r="D33" s="24"/>
      <c r="E33" s="610"/>
      <c r="F33" s="611"/>
      <c r="G33" s="26"/>
      <c r="H33" s="8">
        <f t="shared" si="18"/>
        <v>0</v>
      </c>
      <c r="I33" s="611"/>
      <c r="J33" s="26"/>
      <c r="K33" s="8">
        <f t="shared" si="10"/>
        <v>0</v>
      </c>
      <c r="L33" s="611"/>
      <c r="M33" s="26"/>
      <c r="N33" s="8">
        <f t="shared" si="11"/>
        <v>0</v>
      </c>
      <c r="O33" s="611"/>
      <c r="P33" s="26"/>
      <c r="Q33" s="8">
        <f t="shared" si="12"/>
        <v>0</v>
      </c>
      <c r="R33" s="611"/>
      <c r="S33" s="26"/>
      <c r="T33" s="8">
        <f t="shared" si="13"/>
        <v>0</v>
      </c>
      <c r="U33" s="611"/>
      <c r="V33" s="26"/>
      <c r="W33" s="8">
        <f t="shared" si="14"/>
        <v>0</v>
      </c>
      <c r="X33" s="611"/>
      <c r="Y33" s="26"/>
      <c r="Z33" s="8">
        <f t="shared" si="15"/>
        <v>0</v>
      </c>
      <c r="AA33" s="611"/>
      <c r="AB33" s="26"/>
      <c r="AC33" s="8">
        <f t="shared" si="16"/>
        <v>0</v>
      </c>
      <c r="AD33" s="26"/>
      <c r="AE33" s="26"/>
      <c r="AF33" s="26"/>
      <c r="AG33" s="26"/>
      <c r="AH33" s="26"/>
    </row>
    <row r="34" ht="12.75" customHeight="1">
      <c r="A34" s="24"/>
      <c r="B34" s="609"/>
      <c r="C34" s="610"/>
      <c r="D34" s="24"/>
      <c r="E34" s="610"/>
      <c r="F34" s="611"/>
      <c r="G34" s="26"/>
      <c r="H34" s="8">
        <f t="shared" si="18"/>
        <v>0</v>
      </c>
      <c r="I34" s="611"/>
      <c r="J34" s="26"/>
      <c r="K34" s="8">
        <f t="shared" si="10"/>
        <v>0</v>
      </c>
      <c r="L34" s="611"/>
      <c r="M34" s="26"/>
      <c r="N34" s="8">
        <f t="shared" si="11"/>
        <v>0</v>
      </c>
      <c r="O34" s="611"/>
      <c r="P34" s="26"/>
      <c r="Q34" s="8">
        <f t="shared" si="12"/>
        <v>0</v>
      </c>
      <c r="R34" s="611"/>
      <c r="S34" s="26"/>
      <c r="T34" s="8">
        <f t="shared" si="13"/>
        <v>0</v>
      </c>
      <c r="U34" s="611"/>
      <c r="V34" s="26"/>
      <c r="W34" s="8">
        <f t="shared" si="14"/>
        <v>0</v>
      </c>
      <c r="X34" s="611"/>
      <c r="Y34" s="26"/>
      <c r="Z34" s="8">
        <f t="shared" si="15"/>
        <v>0</v>
      </c>
      <c r="AA34" s="611"/>
      <c r="AB34" s="26"/>
      <c r="AC34" s="8">
        <f t="shared" si="16"/>
        <v>0</v>
      </c>
      <c r="AD34" s="26"/>
      <c r="AE34" s="26"/>
      <c r="AF34" s="26"/>
      <c r="AG34" s="26"/>
      <c r="AH34" s="26"/>
    </row>
    <row r="35" ht="12.75" customHeight="1">
      <c r="A35" s="24"/>
      <c r="B35" s="609"/>
      <c r="C35" s="613"/>
      <c r="D35" s="24"/>
      <c r="E35" s="610"/>
      <c r="F35" s="611"/>
      <c r="G35" s="26"/>
      <c r="H35" s="8">
        <f t="shared" si="18"/>
        <v>0</v>
      </c>
      <c r="I35" s="611"/>
      <c r="J35" s="26"/>
      <c r="K35" s="8">
        <f t="shared" si="10"/>
        <v>0</v>
      </c>
      <c r="L35" s="611"/>
      <c r="M35" s="26"/>
      <c r="N35" s="8">
        <f t="shared" si="11"/>
        <v>0</v>
      </c>
      <c r="O35" s="611"/>
      <c r="P35" s="26"/>
      <c r="Q35" s="8">
        <f t="shared" si="12"/>
        <v>0</v>
      </c>
      <c r="R35" s="611"/>
      <c r="S35" s="26"/>
      <c r="T35" s="8">
        <f t="shared" si="13"/>
        <v>0</v>
      </c>
      <c r="U35" s="611"/>
      <c r="V35" s="26"/>
      <c r="W35" s="8">
        <f t="shared" si="14"/>
        <v>0</v>
      </c>
      <c r="X35" s="611"/>
      <c r="Y35" s="26"/>
      <c r="Z35" s="8">
        <f t="shared" si="15"/>
        <v>0</v>
      </c>
      <c r="AA35" s="611"/>
      <c r="AB35" s="26"/>
      <c r="AC35" s="8">
        <f t="shared" si="16"/>
        <v>0</v>
      </c>
      <c r="AD35" s="26"/>
      <c r="AE35" s="26"/>
      <c r="AF35" s="26"/>
      <c r="AG35" s="26"/>
      <c r="AH35" s="26"/>
    </row>
    <row r="36" ht="12.75" customHeight="1">
      <c r="A36" s="24"/>
      <c r="B36" s="609"/>
      <c r="C36" s="613"/>
      <c r="D36" s="24"/>
      <c r="E36" s="610"/>
      <c r="F36" s="611"/>
      <c r="G36" s="26"/>
      <c r="H36" s="8">
        <f t="shared" si="18"/>
        <v>0</v>
      </c>
      <c r="I36" s="611"/>
      <c r="J36" s="26"/>
      <c r="K36" s="8">
        <f t="shared" si="10"/>
        <v>0</v>
      </c>
      <c r="L36" s="611"/>
      <c r="M36" s="26"/>
      <c r="N36" s="8">
        <f t="shared" si="11"/>
        <v>0</v>
      </c>
      <c r="O36" s="611"/>
      <c r="P36" s="26"/>
      <c r="Q36" s="8">
        <f t="shared" si="12"/>
        <v>0</v>
      </c>
      <c r="R36" s="611"/>
      <c r="S36" s="26"/>
      <c r="T36" s="8">
        <f t="shared" si="13"/>
        <v>0</v>
      </c>
      <c r="U36" s="611"/>
      <c r="V36" s="26"/>
      <c r="W36" s="8">
        <f t="shared" si="14"/>
        <v>0</v>
      </c>
      <c r="X36" s="611"/>
      <c r="Y36" s="26"/>
      <c r="Z36" s="8">
        <f t="shared" si="15"/>
        <v>0</v>
      </c>
      <c r="AA36" s="611"/>
      <c r="AB36" s="26"/>
      <c r="AC36" s="8">
        <f t="shared" si="16"/>
        <v>0</v>
      </c>
      <c r="AD36" s="26"/>
      <c r="AE36" s="26"/>
      <c r="AF36" s="26"/>
      <c r="AG36" s="26"/>
      <c r="AH36" s="26"/>
    </row>
    <row r="37" ht="12.75" customHeight="1">
      <c r="A37" s="24"/>
      <c r="B37" s="609"/>
      <c r="C37" s="24"/>
      <c r="D37" s="24"/>
      <c r="E37" s="610"/>
      <c r="F37" s="611"/>
      <c r="G37" s="26"/>
      <c r="H37" s="8">
        <f t="shared" si="18"/>
        <v>0</v>
      </c>
      <c r="I37" s="611"/>
      <c r="J37" s="26"/>
      <c r="K37" s="8">
        <f t="shared" si="10"/>
        <v>0</v>
      </c>
      <c r="L37" s="611"/>
      <c r="M37" s="26"/>
      <c r="N37" s="8">
        <f t="shared" si="11"/>
        <v>0</v>
      </c>
      <c r="O37" s="611"/>
      <c r="P37" s="26"/>
      <c r="Q37" s="8">
        <f t="shared" si="12"/>
        <v>0</v>
      </c>
      <c r="R37" s="611"/>
      <c r="S37" s="26"/>
      <c r="T37" s="8">
        <f t="shared" si="13"/>
        <v>0</v>
      </c>
      <c r="U37" s="611"/>
      <c r="V37" s="26"/>
      <c r="W37" s="8">
        <f t="shared" si="14"/>
        <v>0</v>
      </c>
      <c r="X37" s="611"/>
      <c r="Y37" s="26"/>
      <c r="Z37" s="8">
        <f t="shared" si="15"/>
        <v>0</v>
      </c>
      <c r="AA37" s="611"/>
      <c r="AB37" s="26"/>
      <c r="AC37" s="8">
        <f t="shared" si="16"/>
        <v>0</v>
      </c>
      <c r="AD37" s="26"/>
      <c r="AE37" s="26"/>
      <c r="AF37" s="26"/>
      <c r="AG37" s="26"/>
      <c r="AH37" s="26"/>
    </row>
    <row r="38" ht="12.75" customHeight="1">
      <c r="A38" s="24"/>
      <c r="B38" s="609"/>
      <c r="C38" s="609"/>
      <c r="D38" s="24"/>
      <c r="E38" s="610"/>
      <c r="F38" s="611"/>
      <c r="G38" s="26"/>
      <c r="H38" s="8">
        <f t="shared" si="18"/>
        <v>0</v>
      </c>
      <c r="I38" s="611"/>
      <c r="J38" s="26"/>
      <c r="K38" s="8">
        <f t="shared" si="10"/>
        <v>0</v>
      </c>
      <c r="L38" s="611"/>
      <c r="M38" s="26"/>
      <c r="N38" s="8">
        <f t="shared" si="11"/>
        <v>0</v>
      </c>
      <c r="O38" s="611"/>
      <c r="P38" s="26"/>
      <c r="Q38" s="8">
        <f t="shared" si="12"/>
        <v>0</v>
      </c>
      <c r="R38" s="611"/>
      <c r="S38" s="26"/>
      <c r="T38" s="8">
        <f t="shared" si="13"/>
        <v>0</v>
      </c>
      <c r="U38" s="611"/>
      <c r="V38" s="26"/>
      <c r="W38" s="8">
        <f t="shared" si="14"/>
        <v>0</v>
      </c>
      <c r="X38" s="611"/>
      <c r="Y38" s="26"/>
      <c r="Z38" s="8">
        <f t="shared" si="15"/>
        <v>0</v>
      </c>
      <c r="AA38" s="611"/>
      <c r="AB38" s="26"/>
      <c r="AC38" s="8">
        <f t="shared" si="16"/>
        <v>0</v>
      </c>
      <c r="AD38" s="26"/>
      <c r="AE38" s="26"/>
      <c r="AF38" s="26"/>
      <c r="AG38" s="26"/>
      <c r="AH38" s="26"/>
    </row>
    <row r="39" ht="12.75" customHeight="1">
      <c r="A39" s="24"/>
      <c r="B39" s="609"/>
      <c r="C39" s="609"/>
      <c r="D39" s="24"/>
      <c r="E39" s="610"/>
      <c r="F39" s="611"/>
      <c r="G39" s="26"/>
      <c r="H39" s="8">
        <f t="shared" si="18"/>
        <v>0</v>
      </c>
      <c r="I39" s="611"/>
      <c r="J39" s="26"/>
      <c r="K39" s="8">
        <f t="shared" si="10"/>
        <v>0</v>
      </c>
      <c r="L39" s="611"/>
      <c r="M39" s="26"/>
      <c r="N39" s="8">
        <f t="shared" si="11"/>
        <v>0</v>
      </c>
      <c r="O39" s="611"/>
      <c r="P39" s="26"/>
      <c r="Q39" s="8">
        <f t="shared" si="12"/>
        <v>0</v>
      </c>
      <c r="R39" s="611"/>
      <c r="S39" s="26"/>
      <c r="T39" s="8">
        <f t="shared" si="13"/>
        <v>0</v>
      </c>
      <c r="U39" s="611"/>
      <c r="V39" s="26"/>
      <c r="W39" s="8">
        <f t="shared" si="14"/>
        <v>0</v>
      </c>
      <c r="X39" s="611"/>
      <c r="Y39" s="26"/>
      <c r="Z39" s="8">
        <f t="shared" si="15"/>
        <v>0</v>
      </c>
      <c r="AA39" s="611"/>
      <c r="AB39" s="26"/>
      <c r="AC39" s="8">
        <f t="shared" si="16"/>
        <v>0</v>
      </c>
      <c r="AD39" s="26"/>
      <c r="AE39" s="26"/>
      <c r="AF39" s="26"/>
      <c r="AG39" s="26"/>
      <c r="AH39" s="26"/>
    </row>
    <row r="40" ht="12.75" customHeight="1">
      <c r="A40" s="24"/>
      <c r="B40" s="609"/>
      <c r="C40" s="609"/>
      <c r="D40" s="24"/>
      <c r="E40" s="610"/>
      <c r="F40" s="611"/>
      <c r="G40" s="26"/>
      <c r="H40" s="8">
        <f t="shared" si="18"/>
        <v>0</v>
      </c>
      <c r="I40" s="611"/>
      <c r="J40" s="26"/>
      <c r="K40" s="8">
        <f t="shared" si="10"/>
        <v>0</v>
      </c>
      <c r="L40" s="611"/>
      <c r="M40" s="26"/>
      <c r="N40" s="8">
        <f t="shared" si="11"/>
        <v>0</v>
      </c>
      <c r="O40" s="611"/>
      <c r="P40" s="26"/>
      <c r="Q40" s="8">
        <f t="shared" si="12"/>
        <v>0</v>
      </c>
      <c r="R40" s="611"/>
      <c r="S40" s="26"/>
      <c r="T40" s="8">
        <f t="shared" si="13"/>
        <v>0</v>
      </c>
      <c r="U40" s="611"/>
      <c r="V40" s="26"/>
      <c r="W40" s="8">
        <f t="shared" si="14"/>
        <v>0</v>
      </c>
      <c r="X40" s="611"/>
      <c r="Y40" s="26"/>
      <c r="Z40" s="8">
        <f t="shared" si="15"/>
        <v>0</v>
      </c>
      <c r="AA40" s="611"/>
      <c r="AB40" s="26"/>
      <c r="AC40" s="8">
        <f t="shared" si="16"/>
        <v>0</v>
      </c>
      <c r="AD40" s="26"/>
      <c r="AE40" s="26"/>
      <c r="AF40" s="26"/>
      <c r="AG40" s="26"/>
      <c r="AH40" s="26"/>
    </row>
    <row r="41" ht="12.75" customHeight="1">
      <c r="A41" s="24"/>
      <c r="B41" s="609"/>
      <c r="C41" s="609"/>
      <c r="D41" s="24"/>
      <c r="E41" s="610"/>
      <c r="F41" s="611"/>
      <c r="G41" s="26"/>
      <c r="H41" s="8">
        <f t="shared" si="18"/>
        <v>0</v>
      </c>
      <c r="I41" s="611"/>
      <c r="J41" s="26"/>
      <c r="K41" s="8">
        <f t="shared" si="10"/>
        <v>0</v>
      </c>
      <c r="L41" s="611"/>
      <c r="M41" s="26"/>
      <c r="N41" s="8">
        <f t="shared" si="11"/>
        <v>0</v>
      </c>
      <c r="O41" s="611"/>
      <c r="P41" s="26"/>
      <c r="Q41" s="8">
        <f t="shared" si="12"/>
        <v>0</v>
      </c>
      <c r="R41" s="611"/>
      <c r="S41" s="26"/>
      <c r="T41" s="8">
        <f t="shared" si="13"/>
        <v>0</v>
      </c>
      <c r="U41" s="611"/>
      <c r="V41" s="26"/>
      <c r="W41" s="8">
        <f t="shared" si="14"/>
        <v>0</v>
      </c>
      <c r="X41" s="611"/>
      <c r="Y41" s="26"/>
      <c r="Z41" s="8">
        <f t="shared" si="15"/>
        <v>0</v>
      </c>
      <c r="AA41" s="611"/>
      <c r="AB41" s="26"/>
      <c r="AC41" s="8">
        <f t="shared" si="16"/>
        <v>0</v>
      </c>
      <c r="AD41" s="26"/>
      <c r="AE41" s="26"/>
      <c r="AF41" s="26"/>
      <c r="AG41" s="26"/>
      <c r="AH41" s="26"/>
    </row>
    <row r="42" ht="12.75" customHeight="1">
      <c r="A42" s="24"/>
      <c r="B42" s="609"/>
      <c r="C42" s="609"/>
      <c r="D42" s="24"/>
      <c r="E42" s="610"/>
      <c r="F42" s="611"/>
      <c r="G42" s="26"/>
      <c r="H42" s="8">
        <f t="shared" si="18"/>
        <v>0</v>
      </c>
      <c r="I42" s="611"/>
      <c r="J42" s="26"/>
      <c r="K42" s="8">
        <f t="shared" si="10"/>
        <v>0</v>
      </c>
      <c r="L42" s="611"/>
      <c r="M42" s="26"/>
      <c r="N42" s="8">
        <f t="shared" si="11"/>
        <v>0</v>
      </c>
      <c r="O42" s="611"/>
      <c r="P42" s="26"/>
      <c r="Q42" s="8">
        <f t="shared" si="12"/>
        <v>0</v>
      </c>
      <c r="R42" s="611"/>
      <c r="S42" s="26"/>
      <c r="T42" s="8">
        <f t="shared" si="13"/>
        <v>0</v>
      </c>
      <c r="U42" s="611"/>
      <c r="V42" s="26"/>
      <c r="W42" s="8">
        <f t="shared" si="14"/>
        <v>0</v>
      </c>
      <c r="X42" s="611"/>
      <c r="Y42" s="26"/>
      <c r="Z42" s="8">
        <f t="shared" si="15"/>
        <v>0</v>
      </c>
      <c r="AA42" s="611"/>
      <c r="AB42" s="26"/>
      <c r="AC42" s="8">
        <f t="shared" si="16"/>
        <v>0</v>
      </c>
      <c r="AD42" s="26"/>
      <c r="AE42" s="26"/>
      <c r="AF42" s="26"/>
      <c r="AG42" s="26"/>
      <c r="AH42" s="26"/>
    </row>
    <row r="43" ht="12.75" customHeight="1">
      <c r="A43" s="24"/>
      <c r="B43" s="609"/>
      <c r="C43" s="609"/>
      <c r="D43" s="24"/>
      <c r="E43" s="610"/>
      <c r="F43" s="611"/>
      <c r="G43" s="26"/>
      <c r="H43" s="8">
        <f t="shared" si="18"/>
        <v>0</v>
      </c>
      <c r="I43" s="611"/>
      <c r="J43" s="26"/>
      <c r="K43" s="8">
        <f t="shared" si="10"/>
        <v>0</v>
      </c>
      <c r="L43" s="611"/>
      <c r="M43" s="26"/>
      <c r="N43" s="8">
        <f t="shared" si="11"/>
        <v>0</v>
      </c>
      <c r="O43" s="611"/>
      <c r="P43" s="26"/>
      <c r="Q43" s="8">
        <f t="shared" si="12"/>
        <v>0</v>
      </c>
      <c r="R43" s="611"/>
      <c r="S43" s="26"/>
      <c r="T43" s="8">
        <f t="shared" si="13"/>
        <v>0</v>
      </c>
      <c r="U43" s="611"/>
      <c r="V43" s="26"/>
      <c r="W43" s="8">
        <f t="shared" si="14"/>
        <v>0</v>
      </c>
      <c r="X43" s="611"/>
      <c r="Y43" s="26"/>
      <c r="Z43" s="8">
        <f t="shared" si="15"/>
        <v>0</v>
      </c>
      <c r="AA43" s="611"/>
      <c r="AB43" s="26"/>
      <c r="AC43" s="8">
        <f t="shared" si="16"/>
        <v>0</v>
      </c>
      <c r="AD43" s="26"/>
      <c r="AE43" s="26"/>
      <c r="AF43" s="26"/>
      <c r="AG43" s="26"/>
      <c r="AH43" s="26"/>
    </row>
    <row r="44" ht="12.75" customHeight="1">
      <c r="A44" s="24"/>
      <c r="B44" s="609"/>
      <c r="C44" s="609"/>
      <c r="D44" s="24"/>
      <c r="E44" s="610"/>
      <c r="F44" s="611"/>
      <c r="G44" s="26"/>
      <c r="H44" s="8">
        <f t="shared" si="18"/>
        <v>0</v>
      </c>
      <c r="I44" s="611"/>
      <c r="J44" s="26"/>
      <c r="K44" s="8">
        <f t="shared" si="10"/>
        <v>0</v>
      </c>
      <c r="L44" s="611"/>
      <c r="M44" s="26"/>
      <c r="N44" s="8">
        <f t="shared" si="11"/>
        <v>0</v>
      </c>
      <c r="O44" s="611"/>
      <c r="P44" s="26"/>
      <c r="Q44" s="8">
        <f t="shared" si="12"/>
        <v>0</v>
      </c>
      <c r="R44" s="611"/>
      <c r="S44" s="26"/>
      <c r="T44" s="8">
        <f t="shared" si="13"/>
        <v>0</v>
      </c>
      <c r="U44" s="611"/>
      <c r="V44" s="26"/>
      <c r="W44" s="8">
        <f t="shared" si="14"/>
        <v>0</v>
      </c>
      <c r="X44" s="611"/>
      <c r="Y44" s="26"/>
      <c r="Z44" s="8">
        <f t="shared" si="15"/>
        <v>0</v>
      </c>
      <c r="AA44" s="611"/>
      <c r="AB44" s="26"/>
      <c r="AC44" s="8">
        <f t="shared" si="16"/>
        <v>0</v>
      </c>
      <c r="AD44" s="26"/>
      <c r="AE44" s="26"/>
      <c r="AF44" s="26"/>
      <c r="AG44" s="26"/>
      <c r="AH44" s="26"/>
    </row>
    <row r="45" ht="12.75" customHeight="1">
      <c r="A45" s="24"/>
      <c r="B45" s="609"/>
      <c r="C45" s="609"/>
      <c r="D45" s="24"/>
      <c r="E45" s="610"/>
      <c r="F45" s="611"/>
      <c r="G45" s="26"/>
      <c r="H45" s="8">
        <f t="shared" si="18"/>
        <v>0</v>
      </c>
      <c r="I45" s="611"/>
      <c r="J45" s="26"/>
      <c r="K45" s="8">
        <f t="shared" si="10"/>
        <v>0</v>
      </c>
      <c r="L45" s="611"/>
      <c r="M45" s="26"/>
      <c r="N45" s="8">
        <f t="shared" si="11"/>
        <v>0</v>
      </c>
      <c r="O45" s="611"/>
      <c r="P45" s="26"/>
      <c r="Q45" s="8">
        <f t="shared" si="12"/>
        <v>0</v>
      </c>
      <c r="R45" s="611"/>
      <c r="S45" s="26"/>
      <c r="T45" s="8">
        <f t="shared" si="13"/>
        <v>0</v>
      </c>
      <c r="U45" s="611"/>
      <c r="V45" s="26"/>
      <c r="W45" s="8">
        <f t="shared" si="14"/>
        <v>0</v>
      </c>
      <c r="X45" s="611"/>
      <c r="Y45" s="26"/>
      <c r="Z45" s="8">
        <f t="shared" si="15"/>
        <v>0</v>
      </c>
      <c r="AA45" s="611"/>
      <c r="AB45" s="26"/>
      <c r="AC45" s="8">
        <f t="shared" si="16"/>
        <v>0</v>
      </c>
      <c r="AD45" s="26"/>
      <c r="AE45" s="26"/>
      <c r="AF45" s="26"/>
      <c r="AG45" s="26"/>
      <c r="AH45" s="26"/>
    </row>
    <row r="46" ht="12.75" customHeight="1">
      <c r="A46" s="24"/>
      <c r="B46" s="609"/>
      <c r="C46" s="609"/>
      <c r="D46" s="24"/>
      <c r="E46" s="610"/>
      <c r="F46" s="611"/>
      <c r="G46" s="26"/>
      <c r="H46" s="8">
        <f t="shared" si="18"/>
        <v>0</v>
      </c>
      <c r="I46" s="611"/>
      <c r="J46" s="26"/>
      <c r="K46" s="8">
        <f t="shared" si="10"/>
        <v>0</v>
      </c>
      <c r="L46" s="611"/>
      <c r="M46" s="26"/>
      <c r="N46" s="8">
        <f t="shared" si="11"/>
        <v>0</v>
      </c>
      <c r="O46" s="611"/>
      <c r="P46" s="26"/>
      <c r="Q46" s="8">
        <f t="shared" si="12"/>
        <v>0</v>
      </c>
      <c r="R46" s="611"/>
      <c r="S46" s="26"/>
      <c r="T46" s="8">
        <f t="shared" si="13"/>
        <v>0</v>
      </c>
      <c r="U46" s="611"/>
      <c r="V46" s="26"/>
      <c r="W46" s="8">
        <f t="shared" si="14"/>
        <v>0</v>
      </c>
      <c r="X46" s="611"/>
      <c r="Y46" s="26"/>
      <c r="Z46" s="8">
        <f t="shared" si="15"/>
        <v>0</v>
      </c>
      <c r="AA46" s="611"/>
      <c r="AB46" s="26"/>
      <c r="AC46" s="8">
        <f t="shared" si="16"/>
        <v>0</v>
      </c>
      <c r="AD46" s="26"/>
      <c r="AE46" s="26"/>
      <c r="AF46" s="26"/>
      <c r="AG46" s="26"/>
      <c r="AH46" s="26"/>
    </row>
    <row r="47" ht="12.75" customHeight="1">
      <c r="A47" s="24"/>
      <c r="B47" s="609"/>
      <c r="C47" s="609"/>
      <c r="D47" s="24"/>
      <c r="E47" s="610"/>
      <c r="F47" s="611"/>
      <c r="G47" s="26"/>
      <c r="H47" s="8">
        <f t="shared" si="18"/>
        <v>0</v>
      </c>
      <c r="I47" s="611"/>
      <c r="J47" s="26"/>
      <c r="K47" s="8">
        <f t="shared" si="10"/>
        <v>0</v>
      </c>
      <c r="L47" s="611"/>
      <c r="M47" s="26"/>
      <c r="N47" s="8">
        <f t="shared" si="11"/>
        <v>0</v>
      </c>
      <c r="O47" s="611"/>
      <c r="P47" s="26"/>
      <c r="Q47" s="8">
        <f t="shared" si="12"/>
        <v>0</v>
      </c>
      <c r="R47" s="611"/>
      <c r="S47" s="26"/>
      <c r="T47" s="8">
        <f t="shared" si="13"/>
        <v>0</v>
      </c>
      <c r="U47" s="611"/>
      <c r="V47" s="26"/>
      <c r="W47" s="8">
        <f t="shared" si="14"/>
        <v>0</v>
      </c>
      <c r="X47" s="611"/>
      <c r="Y47" s="26"/>
      <c r="Z47" s="8">
        <f t="shared" si="15"/>
        <v>0</v>
      </c>
      <c r="AA47" s="611"/>
      <c r="AB47" s="26"/>
      <c r="AC47" s="8">
        <f t="shared" si="16"/>
        <v>0</v>
      </c>
      <c r="AD47" s="26"/>
      <c r="AE47" s="26"/>
      <c r="AF47" s="26"/>
      <c r="AG47" s="26"/>
      <c r="AH47" s="26"/>
    </row>
    <row r="48" ht="12.75" customHeight="1">
      <c r="A48" s="24"/>
      <c r="B48" s="609"/>
      <c r="C48" s="609"/>
      <c r="D48" s="24"/>
      <c r="E48" s="610"/>
      <c r="F48" s="611"/>
      <c r="G48" s="26"/>
      <c r="H48" s="8">
        <f t="shared" si="18"/>
        <v>0</v>
      </c>
      <c r="I48" s="611"/>
      <c r="J48" s="26"/>
      <c r="K48" s="8">
        <f t="shared" si="10"/>
        <v>0</v>
      </c>
      <c r="L48" s="611"/>
      <c r="M48" s="26"/>
      <c r="N48" s="8">
        <f t="shared" si="11"/>
        <v>0</v>
      </c>
      <c r="O48" s="611"/>
      <c r="P48" s="26"/>
      <c r="Q48" s="8">
        <f t="shared" si="12"/>
        <v>0</v>
      </c>
      <c r="R48" s="611"/>
      <c r="S48" s="26"/>
      <c r="T48" s="8">
        <f t="shared" si="13"/>
        <v>0</v>
      </c>
      <c r="U48" s="611"/>
      <c r="V48" s="26"/>
      <c r="W48" s="8">
        <f t="shared" si="14"/>
        <v>0</v>
      </c>
      <c r="X48" s="611"/>
      <c r="Y48" s="26"/>
      <c r="Z48" s="8">
        <f t="shared" si="15"/>
        <v>0</v>
      </c>
      <c r="AA48" s="611"/>
      <c r="AB48" s="26"/>
      <c r="AC48" s="8">
        <f t="shared" si="16"/>
        <v>0</v>
      </c>
      <c r="AD48" s="26"/>
      <c r="AE48" s="26"/>
      <c r="AF48" s="26"/>
      <c r="AG48" s="26"/>
      <c r="AH48" s="26"/>
    </row>
    <row r="49" ht="12.75" customHeight="1">
      <c r="A49" s="24"/>
      <c r="B49" s="609"/>
      <c r="C49" s="609"/>
      <c r="D49" s="24"/>
      <c r="E49" s="610"/>
      <c r="F49" s="611"/>
      <c r="G49" s="26"/>
      <c r="H49" s="8">
        <f t="shared" si="18"/>
        <v>0</v>
      </c>
      <c r="I49" s="611"/>
      <c r="J49" s="26"/>
      <c r="K49" s="8">
        <f t="shared" si="10"/>
        <v>0</v>
      </c>
      <c r="L49" s="611"/>
      <c r="M49" s="26"/>
      <c r="N49" s="8">
        <f t="shared" si="11"/>
        <v>0</v>
      </c>
      <c r="O49" s="611"/>
      <c r="P49" s="26"/>
      <c r="Q49" s="8">
        <f t="shared" si="12"/>
        <v>0</v>
      </c>
      <c r="R49" s="611"/>
      <c r="S49" s="26"/>
      <c r="T49" s="8">
        <f t="shared" si="13"/>
        <v>0</v>
      </c>
      <c r="U49" s="611"/>
      <c r="V49" s="26"/>
      <c r="W49" s="8">
        <f t="shared" si="14"/>
        <v>0</v>
      </c>
      <c r="X49" s="611"/>
      <c r="Y49" s="26"/>
      <c r="Z49" s="8">
        <f t="shared" si="15"/>
        <v>0</v>
      </c>
      <c r="AA49" s="611"/>
      <c r="AB49" s="26"/>
      <c r="AC49" s="8">
        <f t="shared" si="16"/>
        <v>0</v>
      </c>
      <c r="AD49" s="26"/>
      <c r="AE49" s="26"/>
      <c r="AF49" s="26"/>
      <c r="AG49" s="26"/>
      <c r="AH49" s="26"/>
    </row>
    <row r="50" ht="12.75" customHeight="1">
      <c r="A50" s="24"/>
      <c r="B50" s="609"/>
      <c r="C50" s="609"/>
      <c r="D50" s="24"/>
      <c r="E50" s="610"/>
      <c r="F50" s="611"/>
      <c r="G50" s="26"/>
      <c r="H50" s="8">
        <f t="shared" si="18"/>
        <v>0</v>
      </c>
      <c r="I50" s="611"/>
      <c r="J50" s="26"/>
      <c r="K50" s="8">
        <f t="shared" si="10"/>
        <v>0</v>
      </c>
      <c r="L50" s="611"/>
      <c r="M50" s="26"/>
      <c r="N50" s="8">
        <f t="shared" si="11"/>
        <v>0</v>
      </c>
      <c r="O50" s="611"/>
      <c r="P50" s="26"/>
      <c r="Q50" s="8">
        <f t="shared" si="12"/>
        <v>0</v>
      </c>
      <c r="R50" s="611"/>
      <c r="S50" s="26"/>
      <c r="T50" s="8">
        <f t="shared" si="13"/>
        <v>0</v>
      </c>
      <c r="U50" s="611"/>
      <c r="V50" s="26"/>
      <c r="W50" s="8">
        <f t="shared" si="14"/>
        <v>0</v>
      </c>
      <c r="X50" s="611"/>
      <c r="Y50" s="26"/>
      <c r="Z50" s="8">
        <f t="shared" si="15"/>
        <v>0</v>
      </c>
      <c r="AA50" s="611"/>
      <c r="AB50" s="26"/>
      <c r="AC50" s="8">
        <f t="shared" si="16"/>
        <v>0</v>
      </c>
      <c r="AD50" s="26"/>
      <c r="AE50" s="26"/>
      <c r="AF50" s="26"/>
      <c r="AG50" s="26"/>
      <c r="AH50" s="26"/>
    </row>
    <row r="51" ht="12.75" customHeight="1">
      <c r="A51" s="24"/>
      <c r="B51" s="609"/>
      <c r="C51" s="609"/>
      <c r="D51" s="24"/>
      <c r="E51" s="610"/>
      <c r="F51" s="611"/>
      <c r="G51" s="26"/>
      <c r="H51" s="8">
        <f t="shared" si="18"/>
        <v>0</v>
      </c>
      <c r="I51" s="611"/>
      <c r="J51" s="26"/>
      <c r="K51" s="8">
        <f t="shared" si="10"/>
        <v>0</v>
      </c>
      <c r="L51" s="611"/>
      <c r="M51" s="26"/>
      <c r="N51" s="8">
        <f t="shared" si="11"/>
        <v>0</v>
      </c>
      <c r="O51" s="611"/>
      <c r="P51" s="26"/>
      <c r="Q51" s="8">
        <f t="shared" si="12"/>
        <v>0</v>
      </c>
      <c r="R51" s="611"/>
      <c r="S51" s="26"/>
      <c r="T51" s="8">
        <f t="shared" si="13"/>
        <v>0</v>
      </c>
      <c r="U51" s="611"/>
      <c r="V51" s="26"/>
      <c r="W51" s="8">
        <f t="shared" si="14"/>
        <v>0</v>
      </c>
      <c r="X51" s="611"/>
      <c r="Y51" s="26"/>
      <c r="Z51" s="8">
        <f t="shared" si="15"/>
        <v>0</v>
      </c>
      <c r="AA51" s="611"/>
      <c r="AB51" s="26"/>
      <c r="AC51" s="8">
        <f t="shared" si="16"/>
        <v>0</v>
      </c>
      <c r="AD51" s="26"/>
      <c r="AE51" s="26"/>
      <c r="AF51" s="26"/>
      <c r="AG51" s="26"/>
      <c r="AH51" s="26"/>
    </row>
    <row r="52" ht="12.75" customHeight="1">
      <c r="A52" s="24"/>
      <c r="B52" s="609"/>
      <c r="C52" s="609"/>
      <c r="D52" s="24"/>
      <c r="E52" s="610"/>
      <c r="F52" s="611"/>
      <c r="G52" s="26"/>
      <c r="H52" s="8">
        <f t="shared" si="18"/>
        <v>0</v>
      </c>
      <c r="I52" s="611"/>
      <c r="J52" s="26"/>
      <c r="K52" s="8">
        <f t="shared" si="10"/>
        <v>0</v>
      </c>
      <c r="L52" s="611"/>
      <c r="M52" s="26"/>
      <c r="N52" s="8">
        <f t="shared" si="11"/>
        <v>0</v>
      </c>
      <c r="O52" s="611"/>
      <c r="P52" s="26"/>
      <c r="Q52" s="8">
        <f t="shared" si="12"/>
        <v>0</v>
      </c>
      <c r="R52" s="611"/>
      <c r="S52" s="26"/>
      <c r="T52" s="8">
        <f t="shared" si="13"/>
        <v>0</v>
      </c>
      <c r="U52" s="611"/>
      <c r="V52" s="26"/>
      <c r="W52" s="8">
        <f t="shared" si="14"/>
        <v>0</v>
      </c>
      <c r="X52" s="611"/>
      <c r="Y52" s="26"/>
      <c r="Z52" s="8">
        <f t="shared" si="15"/>
        <v>0</v>
      </c>
      <c r="AA52" s="611"/>
      <c r="AB52" s="26"/>
      <c r="AC52" s="8">
        <f t="shared" si="16"/>
        <v>0</v>
      </c>
      <c r="AD52" s="26"/>
      <c r="AE52" s="26"/>
      <c r="AF52" s="26"/>
      <c r="AG52" s="26"/>
      <c r="AH52" s="26"/>
    </row>
    <row r="53" ht="12.75" customHeight="1">
      <c r="A53" s="24"/>
      <c r="B53" s="609"/>
      <c r="C53" s="609"/>
      <c r="D53" s="24"/>
      <c r="E53" s="610"/>
      <c r="F53" s="611"/>
      <c r="G53" s="26"/>
      <c r="H53" s="8">
        <f t="shared" si="18"/>
        <v>0</v>
      </c>
      <c r="I53" s="611"/>
      <c r="J53" s="26"/>
      <c r="K53" s="8">
        <f t="shared" si="10"/>
        <v>0</v>
      </c>
      <c r="L53" s="611"/>
      <c r="M53" s="26"/>
      <c r="N53" s="8">
        <f t="shared" si="11"/>
        <v>0</v>
      </c>
      <c r="O53" s="611"/>
      <c r="P53" s="26"/>
      <c r="Q53" s="8">
        <f t="shared" si="12"/>
        <v>0</v>
      </c>
      <c r="R53" s="611"/>
      <c r="S53" s="26"/>
      <c r="T53" s="8">
        <f t="shared" si="13"/>
        <v>0</v>
      </c>
      <c r="U53" s="611"/>
      <c r="V53" s="26"/>
      <c r="W53" s="8">
        <f t="shared" si="14"/>
        <v>0</v>
      </c>
      <c r="X53" s="611"/>
      <c r="Y53" s="26"/>
      <c r="Z53" s="8">
        <f t="shared" si="15"/>
        <v>0</v>
      </c>
      <c r="AA53" s="611"/>
      <c r="AB53" s="26"/>
      <c r="AC53" s="8">
        <f t="shared" si="16"/>
        <v>0</v>
      </c>
      <c r="AD53" s="26"/>
      <c r="AE53" s="26"/>
      <c r="AF53" s="26"/>
      <c r="AG53" s="26"/>
      <c r="AH53" s="26"/>
    </row>
    <row r="54" ht="12.75" customHeight="1">
      <c r="A54" s="24"/>
      <c r="B54" s="609"/>
      <c r="C54" s="609"/>
      <c r="D54" s="24"/>
      <c r="E54" s="610"/>
      <c r="F54" s="611"/>
      <c r="G54" s="26"/>
      <c r="H54" s="8">
        <f t="shared" si="18"/>
        <v>0</v>
      </c>
      <c r="I54" s="611"/>
      <c r="J54" s="26"/>
      <c r="K54" s="8">
        <f t="shared" si="10"/>
        <v>0</v>
      </c>
      <c r="L54" s="611"/>
      <c r="M54" s="26"/>
      <c r="N54" s="8">
        <f t="shared" si="11"/>
        <v>0</v>
      </c>
      <c r="O54" s="611"/>
      <c r="P54" s="26"/>
      <c r="Q54" s="8">
        <f t="shared" si="12"/>
        <v>0</v>
      </c>
      <c r="R54" s="611"/>
      <c r="S54" s="26"/>
      <c r="T54" s="8">
        <f t="shared" si="13"/>
        <v>0</v>
      </c>
      <c r="U54" s="611"/>
      <c r="V54" s="26"/>
      <c r="W54" s="8">
        <f t="shared" si="14"/>
        <v>0</v>
      </c>
      <c r="X54" s="611"/>
      <c r="Y54" s="26"/>
      <c r="Z54" s="8">
        <f t="shared" si="15"/>
        <v>0</v>
      </c>
      <c r="AA54" s="611"/>
      <c r="AB54" s="26"/>
      <c r="AC54" s="8">
        <f t="shared" si="16"/>
        <v>0</v>
      </c>
      <c r="AD54" s="26"/>
      <c r="AE54" s="26"/>
      <c r="AF54" s="26"/>
      <c r="AG54" s="26"/>
      <c r="AH54" s="26"/>
    </row>
    <row r="55" ht="12.75" customHeight="1">
      <c r="A55" s="24"/>
      <c r="B55" s="609"/>
      <c r="C55" s="24"/>
      <c r="D55" s="24"/>
      <c r="E55" s="610"/>
      <c r="F55" s="611"/>
      <c r="G55" s="26"/>
      <c r="H55" s="8">
        <f t="shared" si="18"/>
        <v>0</v>
      </c>
      <c r="I55" s="611"/>
      <c r="J55" s="26"/>
      <c r="K55" s="8">
        <f t="shared" si="10"/>
        <v>0</v>
      </c>
      <c r="L55" s="611"/>
      <c r="M55" s="26"/>
      <c r="N55" s="8">
        <f t="shared" si="11"/>
        <v>0</v>
      </c>
      <c r="O55" s="611"/>
      <c r="P55" s="26"/>
      <c r="Q55" s="8">
        <f t="shared" si="12"/>
        <v>0</v>
      </c>
      <c r="R55" s="611"/>
      <c r="S55" s="26"/>
      <c r="T55" s="8">
        <f t="shared" si="13"/>
        <v>0</v>
      </c>
      <c r="U55" s="611"/>
      <c r="V55" s="26"/>
      <c r="W55" s="8">
        <f t="shared" si="14"/>
        <v>0</v>
      </c>
      <c r="X55" s="611"/>
      <c r="Y55" s="26"/>
      <c r="Z55" s="8">
        <f t="shared" si="15"/>
        <v>0</v>
      </c>
      <c r="AA55" s="611"/>
      <c r="AB55" s="26"/>
      <c r="AC55" s="8">
        <f t="shared" si="16"/>
        <v>0</v>
      </c>
      <c r="AD55" s="26"/>
      <c r="AE55" s="26"/>
      <c r="AF55" s="26"/>
      <c r="AG55" s="26"/>
      <c r="AH55" s="26"/>
    </row>
    <row r="56" ht="12.75" customHeight="1">
      <c r="A56" s="24"/>
      <c r="B56" s="609"/>
      <c r="C56" s="24"/>
      <c r="D56" s="24"/>
      <c r="E56" s="610"/>
      <c r="F56" s="611"/>
      <c r="G56" s="26"/>
      <c r="H56" s="8">
        <f t="shared" si="18"/>
        <v>0</v>
      </c>
      <c r="I56" s="611"/>
      <c r="J56" s="26"/>
      <c r="K56" s="8">
        <f t="shared" si="10"/>
        <v>0</v>
      </c>
      <c r="L56" s="611"/>
      <c r="M56" s="26"/>
      <c r="N56" s="8">
        <f t="shared" si="11"/>
        <v>0</v>
      </c>
      <c r="O56" s="611"/>
      <c r="P56" s="26"/>
      <c r="Q56" s="8">
        <f t="shared" si="12"/>
        <v>0</v>
      </c>
      <c r="R56" s="611"/>
      <c r="S56" s="26"/>
      <c r="T56" s="8">
        <f t="shared" si="13"/>
        <v>0</v>
      </c>
      <c r="U56" s="611"/>
      <c r="V56" s="26"/>
      <c r="W56" s="8">
        <f t="shared" si="14"/>
        <v>0</v>
      </c>
      <c r="X56" s="611"/>
      <c r="Y56" s="26"/>
      <c r="Z56" s="8">
        <f t="shared" si="15"/>
        <v>0</v>
      </c>
      <c r="AA56" s="611"/>
      <c r="AB56" s="26"/>
      <c r="AC56" s="8">
        <f t="shared" si="16"/>
        <v>0</v>
      </c>
      <c r="AD56" s="26"/>
      <c r="AE56" s="26"/>
      <c r="AF56" s="26"/>
      <c r="AG56" s="26"/>
      <c r="AH56" s="26"/>
    </row>
    <row r="57" ht="12.75" customHeight="1">
      <c r="A57" s="24"/>
      <c r="B57" s="609"/>
      <c r="C57" s="24"/>
      <c r="D57" s="24"/>
      <c r="E57" s="610"/>
      <c r="F57" s="611"/>
      <c r="G57" s="26"/>
      <c r="H57" s="8">
        <f t="shared" si="18"/>
        <v>0</v>
      </c>
      <c r="I57" s="611"/>
      <c r="J57" s="26"/>
      <c r="K57" s="8">
        <f t="shared" si="10"/>
        <v>0</v>
      </c>
      <c r="L57" s="611"/>
      <c r="M57" s="26"/>
      <c r="N57" s="8">
        <f t="shared" si="11"/>
        <v>0</v>
      </c>
      <c r="O57" s="611"/>
      <c r="P57" s="26"/>
      <c r="Q57" s="8">
        <f t="shared" si="12"/>
        <v>0</v>
      </c>
      <c r="R57" s="611"/>
      <c r="S57" s="26"/>
      <c r="T57" s="8">
        <f t="shared" si="13"/>
        <v>0</v>
      </c>
      <c r="U57" s="611"/>
      <c r="V57" s="26"/>
      <c r="W57" s="8">
        <f t="shared" si="14"/>
        <v>0</v>
      </c>
      <c r="X57" s="611"/>
      <c r="Y57" s="26"/>
      <c r="Z57" s="8">
        <f t="shared" si="15"/>
        <v>0</v>
      </c>
      <c r="AA57" s="611"/>
      <c r="AB57" s="26"/>
      <c r="AC57" s="8">
        <f t="shared" si="16"/>
        <v>0</v>
      </c>
      <c r="AD57" s="26"/>
      <c r="AE57" s="26"/>
      <c r="AF57" s="26"/>
      <c r="AG57" s="26"/>
      <c r="AH57" s="26"/>
    </row>
    <row r="58" ht="12.75" customHeight="1">
      <c r="A58" s="24"/>
      <c r="B58" s="609"/>
      <c r="C58" s="24"/>
      <c r="D58" s="24"/>
      <c r="E58" s="610"/>
      <c r="F58" s="611"/>
      <c r="G58" s="26"/>
      <c r="H58" s="8">
        <f t="shared" si="18"/>
        <v>0</v>
      </c>
      <c r="I58" s="611"/>
      <c r="J58" s="26"/>
      <c r="K58" s="8">
        <f t="shared" si="10"/>
        <v>0</v>
      </c>
      <c r="L58" s="611"/>
      <c r="M58" s="26"/>
      <c r="N58" s="8">
        <f t="shared" si="11"/>
        <v>0</v>
      </c>
      <c r="O58" s="611"/>
      <c r="P58" s="26"/>
      <c r="Q58" s="8">
        <f t="shared" si="12"/>
        <v>0</v>
      </c>
      <c r="R58" s="611"/>
      <c r="S58" s="26"/>
      <c r="T58" s="8">
        <f t="shared" si="13"/>
        <v>0</v>
      </c>
      <c r="U58" s="611"/>
      <c r="V58" s="26"/>
      <c r="W58" s="8">
        <f t="shared" si="14"/>
        <v>0</v>
      </c>
      <c r="X58" s="611"/>
      <c r="Y58" s="26"/>
      <c r="Z58" s="8">
        <f t="shared" si="15"/>
        <v>0</v>
      </c>
      <c r="AA58" s="611"/>
      <c r="AB58" s="26"/>
      <c r="AC58" s="8">
        <f t="shared" si="16"/>
        <v>0</v>
      </c>
      <c r="AD58" s="26"/>
      <c r="AE58" s="26"/>
      <c r="AF58" s="26"/>
      <c r="AG58" s="26"/>
      <c r="AH58" s="26"/>
    </row>
    <row r="59" ht="12.75" customHeight="1">
      <c r="A59" s="24"/>
      <c r="B59" s="609"/>
      <c r="C59" s="609"/>
      <c r="D59" s="24"/>
      <c r="E59" s="610"/>
      <c r="F59" s="611"/>
      <c r="G59" s="26"/>
      <c r="H59" s="8">
        <f t="shared" si="18"/>
        <v>0</v>
      </c>
      <c r="I59" s="611"/>
      <c r="J59" s="26"/>
      <c r="K59" s="8">
        <f t="shared" si="10"/>
        <v>0</v>
      </c>
      <c r="L59" s="611"/>
      <c r="M59" s="26"/>
      <c r="N59" s="8">
        <f t="shared" si="11"/>
        <v>0</v>
      </c>
      <c r="O59" s="611"/>
      <c r="P59" s="26"/>
      <c r="Q59" s="8">
        <f t="shared" si="12"/>
        <v>0</v>
      </c>
      <c r="R59" s="611"/>
      <c r="S59" s="26"/>
      <c r="T59" s="8">
        <f t="shared" si="13"/>
        <v>0</v>
      </c>
      <c r="U59" s="611"/>
      <c r="V59" s="26"/>
      <c r="W59" s="8">
        <f t="shared" si="14"/>
        <v>0</v>
      </c>
      <c r="X59" s="611"/>
      <c r="Y59" s="26"/>
      <c r="Z59" s="8">
        <f t="shared" si="15"/>
        <v>0</v>
      </c>
      <c r="AA59" s="611"/>
      <c r="AB59" s="26"/>
      <c r="AC59" s="8">
        <f t="shared" si="16"/>
        <v>0</v>
      </c>
      <c r="AD59" s="26"/>
      <c r="AE59" s="26"/>
      <c r="AF59" s="26"/>
      <c r="AG59" s="26"/>
      <c r="AH59" s="26"/>
    </row>
    <row r="60" ht="12.75" customHeight="1">
      <c r="A60" s="24"/>
      <c r="B60" s="609"/>
      <c r="C60" s="609"/>
      <c r="D60" s="24"/>
      <c r="E60" s="610"/>
      <c r="F60" s="611"/>
      <c r="G60" s="26"/>
      <c r="H60" s="8">
        <f t="shared" si="18"/>
        <v>0</v>
      </c>
      <c r="I60" s="611"/>
      <c r="J60" s="26"/>
      <c r="K60" s="8">
        <f t="shared" si="10"/>
        <v>0</v>
      </c>
      <c r="L60" s="611"/>
      <c r="M60" s="26"/>
      <c r="N60" s="8">
        <f t="shared" si="11"/>
        <v>0</v>
      </c>
      <c r="O60" s="611"/>
      <c r="P60" s="26"/>
      <c r="Q60" s="8">
        <f t="shared" si="12"/>
        <v>0</v>
      </c>
      <c r="R60" s="611"/>
      <c r="S60" s="26"/>
      <c r="T60" s="8">
        <f t="shared" si="13"/>
        <v>0</v>
      </c>
      <c r="U60" s="611"/>
      <c r="V60" s="26"/>
      <c r="W60" s="8">
        <f t="shared" si="14"/>
        <v>0</v>
      </c>
      <c r="X60" s="611"/>
      <c r="Y60" s="26"/>
      <c r="Z60" s="8">
        <f t="shared" si="15"/>
        <v>0</v>
      </c>
      <c r="AA60" s="611"/>
      <c r="AB60" s="26"/>
      <c r="AC60" s="8">
        <f t="shared" si="16"/>
        <v>0</v>
      </c>
      <c r="AD60" s="26"/>
      <c r="AE60" s="26"/>
      <c r="AF60" s="26"/>
      <c r="AG60" s="26"/>
      <c r="AH60" s="26"/>
    </row>
    <row r="61" ht="12.75" customHeight="1">
      <c r="A61" s="24"/>
      <c r="B61" s="609"/>
      <c r="C61" s="24"/>
      <c r="D61" s="24"/>
      <c r="E61" s="610"/>
      <c r="F61" s="611"/>
      <c r="G61" s="26"/>
      <c r="H61" s="8">
        <f t="shared" si="18"/>
        <v>0</v>
      </c>
      <c r="I61" s="611"/>
      <c r="J61" s="26"/>
      <c r="K61" s="8">
        <f t="shared" si="10"/>
        <v>0</v>
      </c>
      <c r="L61" s="611"/>
      <c r="M61" s="26"/>
      <c r="N61" s="8">
        <f t="shared" si="11"/>
        <v>0</v>
      </c>
      <c r="O61" s="611"/>
      <c r="P61" s="26"/>
      <c r="Q61" s="8">
        <f t="shared" si="12"/>
        <v>0</v>
      </c>
      <c r="R61" s="611"/>
      <c r="S61" s="26"/>
      <c r="T61" s="8">
        <f t="shared" si="13"/>
        <v>0</v>
      </c>
      <c r="U61" s="611"/>
      <c r="V61" s="26"/>
      <c r="W61" s="8">
        <f t="shared" si="14"/>
        <v>0</v>
      </c>
      <c r="X61" s="611"/>
      <c r="Y61" s="26"/>
      <c r="Z61" s="8">
        <f t="shared" si="15"/>
        <v>0</v>
      </c>
      <c r="AA61" s="611"/>
      <c r="AB61" s="26"/>
      <c r="AC61" s="8">
        <f t="shared" si="16"/>
        <v>0</v>
      </c>
      <c r="AD61" s="26"/>
      <c r="AE61" s="26"/>
      <c r="AF61" s="26"/>
      <c r="AG61" s="26"/>
      <c r="AH61" s="26"/>
    </row>
    <row r="62" ht="12.75" customHeight="1">
      <c r="A62" s="24"/>
      <c r="B62" s="609"/>
      <c r="C62" s="24"/>
      <c r="D62" s="24"/>
      <c r="E62" s="610"/>
      <c r="F62" s="611"/>
      <c r="G62" s="26"/>
      <c r="H62" s="8">
        <f t="shared" si="18"/>
        <v>0</v>
      </c>
      <c r="I62" s="611"/>
      <c r="J62" s="26"/>
      <c r="K62" s="8">
        <f t="shared" si="10"/>
        <v>0</v>
      </c>
      <c r="L62" s="611"/>
      <c r="M62" s="26"/>
      <c r="N62" s="8">
        <f t="shared" si="11"/>
        <v>0</v>
      </c>
      <c r="O62" s="611"/>
      <c r="P62" s="26"/>
      <c r="Q62" s="8">
        <f t="shared" si="12"/>
        <v>0</v>
      </c>
      <c r="R62" s="611"/>
      <c r="S62" s="26"/>
      <c r="T62" s="8">
        <f t="shared" si="13"/>
        <v>0</v>
      </c>
      <c r="U62" s="611"/>
      <c r="V62" s="26"/>
      <c r="W62" s="8">
        <f t="shared" si="14"/>
        <v>0</v>
      </c>
      <c r="X62" s="611"/>
      <c r="Y62" s="26"/>
      <c r="Z62" s="8">
        <f t="shared" si="15"/>
        <v>0</v>
      </c>
      <c r="AA62" s="611"/>
      <c r="AB62" s="26"/>
      <c r="AC62" s="8">
        <f t="shared" si="16"/>
        <v>0</v>
      </c>
      <c r="AD62" s="26"/>
      <c r="AE62" s="26"/>
      <c r="AF62" s="26"/>
      <c r="AG62" s="26"/>
      <c r="AH62" s="26"/>
    </row>
    <row r="63" ht="12.75" customHeight="1">
      <c r="A63" s="24"/>
      <c r="B63" s="609"/>
      <c r="C63" s="24"/>
      <c r="D63" s="24"/>
      <c r="E63" s="610"/>
      <c r="F63" s="611"/>
      <c r="G63" s="26"/>
      <c r="H63" s="8">
        <f t="shared" si="18"/>
        <v>0</v>
      </c>
      <c r="I63" s="611"/>
      <c r="J63" s="26"/>
      <c r="K63" s="8">
        <f t="shared" si="10"/>
        <v>0</v>
      </c>
      <c r="L63" s="611"/>
      <c r="M63" s="26"/>
      <c r="N63" s="8">
        <f t="shared" si="11"/>
        <v>0</v>
      </c>
      <c r="O63" s="611"/>
      <c r="P63" s="26"/>
      <c r="Q63" s="8">
        <f t="shared" si="12"/>
        <v>0</v>
      </c>
      <c r="R63" s="611"/>
      <c r="S63" s="26"/>
      <c r="T63" s="8">
        <f t="shared" si="13"/>
        <v>0</v>
      </c>
      <c r="U63" s="611"/>
      <c r="V63" s="26"/>
      <c r="W63" s="8">
        <f t="shared" si="14"/>
        <v>0</v>
      </c>
      <c r="X63" s="611"/>
      <c r="Y63" s="26"/>
      <c r="Z63" s="8">
        <f t="shared" si="15"/>
        <v>0</v>
      </c>
      <c r="AA63" s="611"/>
      <c r="AB63" s="26"/>
      <c r="AC63" s="8">
        <f t="shared" si="16"/>
        <v>0</v>
      </c>
      <c r="AD63" s="26"/>
      <c r="AE63" s="26"/>
      <c r="AF63" s="26"/>
      <c r="AG63" s="26"/>
      <c r="AH63" s="26"/>
    </row>
    <row r="64" ht="12.75" customHeight="1">
      <c r="A64" s="24"/>
      <c r="B64" s="609"/>
      <c r="C64" s="24"/>
      <c r="D64" s="24"/>
      <c r="E64" s="610"/>
      <c r="F64" s="611"/>
      <c r="G64" s="26"/>
      <c r="H64" s="8">
        <f t="shared" si="18"/>
        <v>0</v>
      </c>
      <c r="I64" s="611"/>
      <c r="J64" s="26"/>
      <c r="K64" s="8">
        <f t="shared" si="10"/>
        <v>0</v>
      </c>
      <c r="L64" s="611"/>
      <c r="M64" s="26"/>
      <c r="N64" s="8">
        <f t="shared" si="11"/>
        <v>0</v>
      </c>
      <c r="O64" s="611"/>
      <c r="P64" s="26"/>
      <c r="Q64" s="8">
        <f t="shared" si="12"/>
        <v>0</v>
      </c>
      <c r="R64" s="611"/>
      <c r="S64" s="26"/>
      <c r="T64" s="8">
        <f t="shared" si="13"/>
        <v>0</v>
      </c>
      <c r="U64" s="611"/>
      <c r="V64" s="26"/>
      <c r="W64" s="8">
        <f t="shared" si="14"/>
        <v>0</v>
      </c>
      <c r="X64" s="611"/>
      <c r="Y64" s="26"/>
      <c r="Z64" s="8">
        <f t="shared" si="15"/>
        <v>0</v>
      </c>
      <c r="AA64" s="611"/>
      <c r="AB64" s="26"/>
      <c r="AC64" s="8">
        <f t="shared" si="16"/>
        <v>0</v>
      </c>
      <c r="AD64" s="26"/>
      <c r="AE64" s="26"/>
      <c r="AF64" s="26"/>
      <c r="AG64" s="26"/>
      <c r="AH64" s="26"/>
    </row>
    <row r="65" ht="12.75" customHeight="1">
      <c r="A65" s="24"/>
      <c r="B65" s="609"/>
      <c r="C65" s="24"/>
      <c r="D65" s="24"/>
      <c r="E65" s="610"/>
      <c r="F65" s="611"/>
      <c r="G65" s="26"/>
      <c r="H65" s="8">
        <f t="shared" si="18"/>
        <v>0</v>
      </c>
      <c r="I65" s="611"/>
      <c r="J65" s="26"/>
      <c r="K65" s="8">
        <f t="shared" si="10"/>
        <v>0</v>
      </c>
      <c r="L65" s="611"/>
      <c r="M65" s="26"/>
      <c r="N65" s="8">
        <f t="shared" si="11"/>
        <v>0</v>
      </c>
      <c r="O65" s="611"/>
      <c r="P65" s="26"/>
      <c r="Q65" s="8">
        <f t="shared" si="12"/>
        <v>0</v>
      </c>
      <c r="R65" s="611"/>
      <c r="S65" s="26"/>
      <c r="T65" s="8">
        <f t="shared" si="13"/>
        <v>0</v>
      </c>
      <c r="U65" s="611"/>
      <c r="V65" s="26"/>
      <c r="W65" s="8">
        <f t="shared" si="14"/>
        <v>0</v>
      </c>
      <c r="X65" s="611"/>
      <c r="Y65" s="26"/>
      <c r="Z65" s="8">
        <f t="shared" si="15"/>
        <v>0</v>
      </c>
      <c r="AA65" s="611"/>
      <c r="AB65" s="26"/>
      <c r="AC65" s="8">
        <f t="shared" si="16"/>
        <v>0</v>
      </c>
      <c r="AD65" s="26"/>
      <c r="AE65" s="26"/>
      <c r="AF65" s="26"/>
      <c r="AG65" s="26"/>
      <c r="AH65" s="26"/>
    </row>
    <row r="66" ht="12.75" customHeight="1">
      <c r="A66" s="24"/>
      <c r="B66" s="609"/>
      <c r="C66" s="24"/>
      <c r="D66" s="24"/>
      <c r="E66" s="610"/>
      <c r="F66" s="611"/>
      <c r="G66" s="26"/>
      <c r="H66" s="8">
        <f t="shared" si="18"/>
        <v>0</v>
      </c>
      <c r="I66" s="611"/>
      <c r="J66" s="26"/>
      <c r="K66" s="8">
        <f t="shared" si="10"/>
        <v>0</v>
      </c>
      <c r="L66" s="611"/>
      <c r="M66" s="26"/>
      <c r="N66" s="8">
        <f t="shared" si="11"/>
        <v>0</v>
      </c>
      <c r="O66" s="611"/>
      <c r="P66" s="26"/>
      <c r="Q66" s="8">
        <f t="shared" si="12"/>
        <v>0</v>
      </c>
      <c r="R66" s="611"/>
      <c r="S66" s="26"/>
      <c r="T66" s="8">
        <f t="shared" si="13"/>
        <v>0</v>
      </c>
      <c r="U66" s="611"/>
      <c r="V66" s="26"/>
      <c r="W66" s="8">
        <f t="shared" si="14"/>
        <v>0</v>
      </c>
      <c r="X66" s="611"/>
      <c r="Y66" s="26"/>
      <c r="Z66" s="8">
        <f t="shared" si="15"/>
        <v>0</v>
      </c>
      <c r="AA66" s="611"/>
      <c r="AB66" s="26"/>
      <c r="AC66" s="8">
        <f t="shared" si="16"/>
        <v>0</v>
      </c>
      <c r="AD66" s="26"/>
      <c r="AE66" s="26"/>
      <c r="AF66" s="26"/>
      <c r="AG66" s="26"/>
      <c r="AH66" s="26"/>
    </row>
    <row r="67" ht="12.75" customHeight="1">
      <c r="A67" s="24"/>
      <c r="B67" s="609"/>
      <c r="C67" s="24"/>
      <c r="D67" s="24"/>
      <c r="E67" s="610"/>
      <c r="F67" s="611"/>
      <c r="G67" s="26"/>
      <c r="H67" s="8">
        <f t="shared" si="18"/>
        <v>0</v>
      </c>
      <c r="I67" s="611"/>
      <c r="J67" s="26"/>
      <c r="K67" s="8">
        <f t="shared" si="10"/>
        <v>0</v>
      </c>
      <c r="L67" s="611"/>
      <c r="M67" s="26"/>
      <c r="N67" s="8">
        <f t="shared" si="11"/>
        <v>0</v>
      </c>
      <c r="O67" s="611"/>
      <c r="P67" s="26"/>
      <c r="Q67" s="8">
        <f t="shared" si="12"/>
        <v>0</v>
      </c>
      <c r="R67" s="611"/>
      <c r="S67" s="26"/>
      <c r="T67" s="8">
        <f t="shared" si="13"/>
        <v>0</v>
      </c>
      <c r="U67" s="611"/>
      <c r="V67" s="26"/>
      <c r="W67" s="8">
        <f t="shared" si="14"/>
        <v>0</v>
      </c>
      <c r="X67" s="611"/>
      <c r="Y67" s="26"/>
      <c r="Z67" s="8">
        <f t="shared" si="15"/>
        <v>0</v>
      </c>
      <c r="AA67" s="611"/>
      <c r="AB67" s="26"/>
      <c r="AC67" s="8">
        <f t="shared" si="16"/>
        <v>0</v>
      </c>
      <c r="AD67" s="26"/>
      <c r="AE67" s="26"/>
      <c r="AF67" s="26"/>
      <c r="AG67" s="26"/>
      <c r="AH67" s="26"/>
    </row>
    <row r="68" ht="12.75" customHeight="1">
      <c r="A68" s="24"/>
      <c r="B68" s="609"/>
      <c r="C68" s="24"/>
      <c r="D68" s="24"/>
      <c r="E68" s="610"/>
      <c r="F68" s="611"/>
      <c r="G68" s="26"/>
      <c r="H68" s="8">
        <f t="shared" si="18"/>
        <v>0</v>
      </c>
      <c r="I68" s="611"/>
      <c r="J68" s="26"/>
      <c r="K68" s="8">
        <f t="shared" si="10"/>
        <v>0</v>
      </c>
      <c r="L68" s="611"/>
      <c r="M68" s="26"/>
      <c r="N68" s="8">
        <f t="shared" si="11"/>
        <v>0</v>
      </c>
      <c r="O68" s="611"/>
      <c r="P68" s="26"/>
      <c r="Q68" s="8">
        <f t="shared" si="12"/>
        <v>0</v>
      </c>
      <c r="R68" s="611"/>
      <c r="S68" s="26"/>
      <c r="T68" s="8">
        <f t="shared" si="13"/>
        <v>0</v>
      </c>
      <c r="U68" s="611"/>
      <c r="V68" s="26"/>
      <c r="W68" s="8">
        <f t="shared" si="14"/>
        <v>0</v>
      </c>
      <c r="X68" s="611"/>
      <c r="Y68" s="26"/>
      <c r="Z68" s="8">
        <f t="shared" si="15"/>
        <v>0</v>
      </c>
      <c r="AA68" s="611"/>
      <c r="AB68" s="26"/>
      <c r="AC68" s="8">
        <f t="shared" si="16"/>
        <v>0</v>
      </c>
      <c r="AD68" s="26"/>
      <c r="AE68" s="26"/>
      <c r="AF68" s="26"/>
      <c r="AG68" s="26"/>
      <c r="AH68" s="26"/>
    </row>
    <row r="69" ht="12.75" customHeight="1">
      <c r="A69" s="24"/>
      <c r="B69" s="609"/>
      <c r="C69" s="24"/>
      <c r="D69" s="24"/>
      <c r="E69" s="610"/>
      <c r="F69" s="611"/>
      <c r="G69" s="26"/>
      <c r="H69" s="8">
        <f t="shared" si="18"/>
        <v>0</v>
      </c>
      <c r="I69" s="611"/>
      <c r="J69" s="26"/>
      <c r="K69" s="8">
        <f t="shared" si="10"/>
        <v>0</v>
      </c>
      <c r="L69" s="611"/>
      <c r="M69" s="26"/>
      <c r="N69" s="8">
        <f t="shared" si="11"/>
        <v>0</v>
      </c>
      <c r="O69" s="611"/>
      <c r="P69" s="26"/>
      <c r="Q69" s="8">
        <f t="shared" si="12"/>
        <v>0</v>
      </c>
      <c r="R69" s="611"/>
      <c r="S69" s="26"/>
      <c r="T69" s="8">
        <f t="shared" si="13"/>
        <v>0</v>
      </c>
      <c r="U69" s="611"/>
      <c r="V69" s="26"/>
      <c r="W69" s="8">
        <f t="shared" si="14"/>
        <v>0</v>
      </c>
      <c r="X69" s="611"/>
      <c r="Y69" s="26"/>
      <c r="Z69" s="8">
        <f t="shared" si="15"/>
        <v>0</v>
      </c>
      <c r="AA69" s="611"/>
      <c r="AB69" s="26"/>
      <c r="AC69" s="8">
        <f t="shared" si="16"/>
        <v>0</v>
      </c>
      <c r="AD69" s="26"/>
      <c r="AE69" s="26"/>
      <c r="AF69" s="26"/>
      <c r="AG69" s="26"/>
      <c r="AH69" s="26"/>
    </row>
    <row r="70" ht="12.75" customHeight="1">
      <c r="A70" s="24"/>
      <c r="B70" s="609"/>
      <c r="C70" s="24"/>
      <c r="D70" s="24"/>
      <c r="E70" s="610"/>
      <c r="F70" s="611"/>
      <c r="G70" s="26"/>
      <c r="H70" s="8">
        <f t="shared" si="18"/>
        <v>0</v>
      </c>
      <c r="I70" s="611"/>
      <c r="J70" s="26"/>
      <c r="K70" s="8">
        <f t="shared" si="10"/>
        <v>0</v>
      </c>
      <c r="L70" s="611"/>
      <c r="M70" s="26"/>
      <c r="N70" s="8">
        <f t="shared" si="11"/>
        <v>0</v>
      </c>
      <c r="O70" s="611"/>
      <c r="P70" s="26"/>
      <c r="Q70" s="8">
        <f t="shared" si="12"/>
        <v>0</v>
      </c>
      <c r="R70" s="611"/>
      <c r="S70" s="26"/>
      <c r="T70" s="8">
        <f t="shared" si="13"/>
        <v>0</v>
      </c>
      <c r="U70" s="611"/>
      <c r="V70" s="26"/>
      <c r="W70" s="8">
        <f t="shared" si="14"/>
        <v>0</v>
      </c>
      <c r="X70" s="611"/>
      <c r="Y70" s="26"/>
      <c r="Z70" s="8">
        <f t="shared" si="15"/>
        <v>0</v>
      </c>
      <c r="AA70" s="611"/>
      <c r="AB70" s="26"/>
      <c r="AC70" s="8">
        <f t="shared" si="16"/>
        <v>0</v>
      </c>
      <c r="AD70" s="26"/>
      <c r="AE70" s="26"/>
      <c r="AF70" s="26"/>
      <c r="AG70" s="26"/>
      <c r="AH70" s="26"/>
    </row>
    <row r="71" ht="12.75" customHeight="1">
      <c r="A71" s="24"/>
      <c r="B71" s="609"/>
      <c r="C71" s="24"/>
      <c r="D71" s="24"/>
      <c r="E71" s="610"/>
      <c r="F71" s="611"/>
      <c r="G71" s="26"/>
      <c r="H71" s="8">
        <f t="shared" si="18"/>
        <v>0</v>
      </c>
      <c r="I71" s="611"/>
      <c r="J71" s="26"/>
      <c r="K71" s="8">
        <f t="shared" si="10"/>
        <v>0</v>
      </c>
      <c r="L71" s="611"/>
      <c r="M71" s="26"/>
      <c r="N71" s="8">
        <f t="shared" si="11"/>
        <v>0</v>
      </c>
      <c r="O71" s="611"/>
      <c r="P71" s="26"/>
      <c r="Q71" s="8">
        <f t="shared" si="12"/>
        <v>0</v>
      </c>
      <c r="R71" s="611"/>
      <c r="S71" s="26"/>
      <c r="T71" s="8">
        <f t="shared" si="13"/>
        <v>0</v>
      </c>
      <c r="U71" s="611"/>
      <c r="V71" s="26"/>
      <c r="W71" s="8">
        <f t="shared" si="14"/>
        <v>0</v>
      </c>
      <c r="X71" s="611"/>
      <c r="Y71" s="26"/>
      <c r="Z71" s="8">
        <f t="shared" si="15"/>
        <v>0</v>
      </c>
      <c r="AA71" s="611"/>
      <c r="AB71" s="26"/>
      <c r="AC71" s="8">
        <f t="shared" si="16"/>
        <v>0</v>
      </c>
      <c r="AD71" s="26"/>
      <c r="AE71" s="26"/>
      <c r="AF71" s="26"/>
      <c r="AG71" s="26"/>
      <c r="AH71" s="26"/>
    </row>
    <row r="72" ht="12.75" customHeight="1">
      <c r="A72" s="24"/>
      <c r="B72" s="609"/>
      <c r="C72" s="24"/>
      <c r="D72" s="24"/>
      <c r="E72" s="610"/>
      <c r="F72" s="611"/>
      <c r="G72" s="26"/>
      <c r="H72" s="8">
        <f t="shared" si="18"/>
        <v>0</v>
      </c>
      <c r="I72" s="611"/>
      <c r="J72" s="26"/>
      <c r="K72" s="8">
        <f t="shared" si="10"/>
        <v>0</v>
      </c>
      <c r="L72" s="611"/>
      <c r="M72" s="26"/>
      <c r="N72" s="8">
        <f t="shared" si="11"/>
        <v>0</v>
      </c>
      <c r="O72" s="611"/>
      <c r="P72" s="26"/>
      <c r="Q72" s="8">
        <f t="shared" si="12"/>
        <v>0</v>
      </c>
      <c r="R72" s="611"/>
      <c r="S72" s="26"/>
      <c r="T72" s="8">
        <f t="shared" si="13"/>
        <v>0</v>
      </c>
      <c r="U72" s="611"/>
      <c r="V72" s="26"/>
      <c r="W72" s="8">
        <f t="shared" si="14"/>
        <v>0</v>
      </c>
      <c r="X72" s="611"/>
      <c r="Y72" s="26"/>
      <c r="Z72" s="8">
        <f t="shared" si="15"/>
        <v>0</v>
      </c>
      <c r="AA72" s="611"/>
      <c r="AB72" s="26"/>
      <c r="AC72" s="8">
        <f t="shared" si="16"/>
        <v>0</v>
      </c>
      <c r="AD72" s="26"/>
      <c r="AE72" s="26"/>
      <c r="AF72" s="26"/>
      <c r="AG72" s="26"/>
      <c r="AH72" s="26"/>
    </row>
    <row r="73" ht="12.75" customHeight="1">
      <c r="A73" s="24"/>
      <c r="B73" s="609"/>
      <c r="C73" s="24"/>
      <c r="D73" s="24"/>
      <c r="E73" s="610"/>
      <c r="F73" s="611"/>
      <c r="G73" s="26"/>
      <c r="H73" s="8">
        <f t="shared" si="18"/>
        <v>0</v>
      </c>
      <c r="I73" s="611"/>
      <c r="J73" s="26"/>
      <c r="K73" s="8">
        <f t="shared" si="10"/>
        <v>0</v>
      </c>
      <c r="L73" s="611"/>
      <c r="M73" s="26"/>
      <c r="N73" s="8">
        <f t="shared" si="11"/>
        <v>0</v>
      </c>
      <c r="O73" s="611"/>
      <c r="P73" s="26"/>
      <c r="Q73" s="8">
        <f t="shared" si="12"/>
        <v>0</v>
      </c>
      <c r="R73" s="611"/>
      <c r="S73" s="26"/>
      <c r="T73" s="8">
        <f t="shared" si="13"/>
        <v>0</v>
      </c>
      <c r="U73" s="611"/>
      <c r="V73" s="26"/>
      <c r="W73" s="8">
        <f t="shared" si="14"/>
        <v>0</v>
      </c>
      <c r="X73" s="611"/>
      <c r="Y73" s="26"/>
      <c r="Z73" s="8">
        <f t="shared" si="15"/>
        <v>0</v>
      </c>
      <c r="AA73" s="611"/>
      <c r="AB73" s="26"/>
      <c r="AC73" s="8">
        <f t="shared" si="16"/>
        <v>0</v>
      </c>
      <c r="AD73" s="26"/>
      <c r="AE73" s="26"/>
      <c r="AF73" s="26"/>
      <c r="AG73" s="26"/>
      <c r="AH73" s="26"/>
    </row>
    <row r="74" ht="12.75" customHeight="1">
      <c r="A74" s="24"/>
      <c r="B74" s="609"/>
      <c r="C74" s="24"/>
      <c r="D74" s="24"/>
      <c r="E74" s="610"/>
      <c r="F74" s="611"/>
      <c r="G74" s="26"/>
      <c r="H74" s="8">
        <f t="shared" si="18"/>
        <v>0</v>
      </c>
      <c r="I74" s="611"/>
      <c r="J74" s="26"/>
      <c r="K74" s="8">
        <f t="shared" si="10"/>
        <v>0</v>
      </c>
      <c r="L74" s="611"/>
      <c r="M74" s="26"/>
      <c r="N74" s="8">
        <f t="shared" si="11"/>
        <v>0</v>
      </c>
      <c r="O74" s="611"/>
      <c r="P74" s="26"/>
      <c r="Q74" s="8">
        <f t="shared" si="12"/>
        <v>0</v>
      </c>
      <c r="R74" s="611"/>
      <c r="S74" s="26"/>
      <c r="T74" s="8">
        <f t="shared" si="13"/>
        <v>0</v>
      </c>
      <c r="U74" s="611"/>
      <c r="V74" s="26"/>
      <c r="W74" s="8">
        <f t="shared" si="14"/>
        <v>0</v>
      </c>
      <c r="X74" s="611"/>
      <c r="Y74" s="26"/>
      <c r="Z74" s="8">
        <f t="shared" si="15"/>
        <v>0</v>
      </c>
      <c r="AA74" s="611"/>
      <c r="AB74" s="26"/>
      <c r="AC74" s="8">
        <f t="shared" si="16"/>
        <v>0</v>
      </c>
      <c r="AD74" s="26"/>
      <c r="AE74" s="26"/>
      <c r="AF74" s="26"/>
      <c r="AG74" s="26"/>
      <c r="AH74" s="26"/>
    </row>
    <row r="75" ht="12.75" customHeight="1">
      <c r="A75" s="24"/>
      <c r="B75" s="609"/>
      <c r="C75" s="24"/>
      <c r="D75" s="24"/>
      <c r="E75" s="610"/>
      <c r="F75" s="611"/>
      <c r="G75" s="26"/>
      <c r="H75" s="8">
        <f t="shared" si="18"/>
        <v>0</v>
      </c>
      <c r="I75" s="611"/>
      <c r="J75" s="26"/>
      <c r="K75" s="8">
        <f t="shared" si="10"/>
        <v>0</v>
      </c>
      <c r="L75" s="611"/>
      <c r="M75" s="26"/>
      <c r="N75" s="8">
        <f t="shared" si="11"/>
        <v>0</v>
      </c>
      <c r="O75" s="611"/>
      <c r="P75" s="26"/>
      <c r="Q75" s="8">
        <f t="shared" si="12"/>
        <v>0</v>
      </c>
      <c r="R75" s="611"/>
      <c r="S75" s="26"/>
      <c r="T75" s="8">
        <f t="shared" si="13"/>
        <v>0</v>
      </c>
      <c r="U75" s="611"/>
      <c r="V75" s="26"/>
      <c r="W75" s="8">
        <f t="shared" si="14"/>
        <v>0</v>
      </c>
      <c r="X75" s="611"/>
      <c r="Y75" s="26"/>
      <c r="Z75" s="8">
        <f t="shared" si="15"/>
        <v>0</v>
      </c>
      <c r="AA75" s="611"/>
      <c r="AB75" s="26"/>
      <c r="AC75" s="8">
        <f t="shared" si="16"/>
        <v>0</v>
      </c>
      <c r="AD75" s="26"/>
      <c r="AE75" s="26"/>
      <c r="AF75" s="26"/>
      <c r="AG75" s="26"/>
      <c r="AH75" s="26"/>
    </row>
    <row r="76" ht="12.75" customHeight="1">
      <c r="A76" s="24"/>
      <c r="B76" s="609"/>
      <c r="C76" s="24"/>
      <c r="D76" s="24"/>
      <c r="E76" s="610"/>
      <c r="F76" s="611"/>
      <c r="G76" s="26"/>
      <c r="H76" s="8">
        <f t="shared" si="18"/>
        <v>0</v>
      </c>
      <c r="I76" s="611"/>
      <c r="J76" s="26"/>
      <c r="K76" s="8">
        <f t="shared" si="10"/>
        <v>0</v>
      </c>
      <c r="L76" s="611"/>
      <c r="M76" s="26"/>
      <c r="N76" s="8">
        <f t="shared" si="11"/>
        <v>0</v>
      </c>
      <c r="O76" s="611"/>
      <c r="P76" s="26"/>
      <c r="Q76" s="8">
        <f t="shared" si="12"/>
        <v>0</v>
      </c>
      <c r="R76" s="611"/>
      <c r="S76" s="26"/>
      <c r="T76" s="8">
        <f t="shared" si="13"/>
        <v>0</v>
      </c>
      <c r="U76" s="611"/>
      <c r="V76" s="26"/>
      <c r="W76" s="8">
        <f t="shared" si="14"/>
        <v>0</v>
      </c>
      <c r="X76" s="611"/>
      <c r="Y76" s="26"/>
      <c r="Z76" s="8">
        <f t="shared" si="15"/>
        <v>0</v>
      </c>
      <c r="AA76" s="611"/>
      <c r="AB76" s="26"/>
      <c r="AC76" s="8">
        <f t="shared" si="16"/>
        <v>0</v>
      </c>
      <c r="AD76" s="26"/>
      <c r="AE76" s="26"/>
      <c r="AF76" s="26"/>
      <c r="AG76" s="26"/>
      <c r="AH76" s="26"/>
    </row>
    <row r="77" ht="12.75" customHeight="1">
      <c r="A77" s="24"/>
      <c r="B77" s="609"/>
      <c r="C77" s="24"/>
      <c r="D77" s="24"/>
      <c r="E77" s="610"/>
      <c r="F77" s="611"/>
      <c r="G77" s="26"/>
      <c r="H77" s="8">
        <f t="shared" si="18"/>
        <v>0</v>
      </c>
      <c r="I77" s="611"/>
      <c r="J77" s="26"/>
      <c r="K77" s="8">
        <f t="shared" si="10"/>
        <v>0</v>
      </c>
      <c r="L77" s="611"/>
      <c r="M77" s="26"/>
      <c r="N77" s="8">
        <f t="shared" si="11"/>
        <v>0</v>
      </c>
      <c r="O77" s="611"/>
      <c r="P77" s="26"/>
      <c r="Q77" s="8">
        <f t="shared" si="12"/>
        <v>0</v>
      </c>
      <c r="R77" s="611"/>
      <c r="S77" s="26"/>
      <c r="T77" s="8">
        <f t="shared" si="13"/>
        <v>0</v>
      </c>
      <c r="U77" s="611"/>
      <c r="V77" s="26"/>
      <c r="W77" s="8">
        <f t="shared" si="14"/>
        <v>0</v>
      </c>
      <c r="X77" s="611"/>
      <c r="Y77" s="26"/>
      <c r="Z77" s="8">
        <f t="shared" si="15"/>
        <v>0</v>
      </c>
      <c r="AA77" s="611"/>
      <c r="AB77" s="26"/>
      <c r="AC77" s="8">
        <f t="shared" si="16"/>
        <v>0</v>
      </c>
      <c r="AD77" s="26"/>
      <c r="AE77" s="26"/>
      <c r="AF77" s="26"/>
      <c r="AG77" s="26"/>
      <c r="AH77" s="26"/>
    </row>
    <row r="78" ht="12.75" customHeight="1">
      <c r="A78" s="24"/>
      <c r="B78" s="609"/>
      <c r="C78" s="24"/>
      <c r="D78" s="24"/>
      <c r="E78" s="610"/>
      <c r="F78" s="611"/>
      <c r="G78" s="26"/>
      <c r="H78" s="8">
        <f t="shared" si="18"/>
        <v>0</v>
      </c>
      <c r="I78" s="611"/>
      <c r="J78" s="26"/>
      <c r="K78" s="8">
        <f t="shared" si="10"/>
        <v>0</v>
      </c>
      <c r="L78" s="611"/>
      <c r="M78" s="26"/>
      <c r="N78" s="8">
        <f t="shared" si="11"/>
        <v>0</v>
      </c>
      <c r="O78" s="611"/>
      <c r="P78" s="26"/>
      <c r="Q78" s="8">
        <f t="shared" si="12"/>
        <v>0</v>
      </c>
      <c r="R78" s="611"/>
      <c r="S78" s="26"/>
      <c r="T78" s="8">
        <f t="shared" si="13"/>
        <v>0</v>
      </c>
      <c r="U78" s="611"/>
      <c r="V78" s="26"/>
      <c r="W78" s="8">
        <f t="shared" si="14"/>
        <v>0</v>
      </c>
      <c r="X78" s="611"/>
      <c r="Y78" s="26"/>
      <c r="Z78" s="8">
        <f t="shared" si="15"/>
        <v>0</v>
      </c>
      <c r="AA78" s="611"/>
      <c r="AB78" s="26"/>
      <c r="AC78" s="8">
        <f t="shared" si="16"/>
        <v>0</v>
      </c>
      <c r="AD78" s="26"/>
      <c r="AE78" s="26"/>
      <c r="AF78" s="26"/>
      <c r="AG78" s="26"/>
      <c r="AH78" s="26"/>
    </row>
    <row r="79" ht="12.75" customHeight="1">
      <c r="A79" s="24"/>
      <c r="B79" s="609"/>
      <c r="C79" s="24"/>
      <c r="D79" s="24"/>
      <c r="E79" s="610"/>
      <c r="F79" s="611"/>
      <c r="G79" s="26"/>
      <c r="H79" s="8">
        <f t="shared" si="18"/>
        <v>0</v>
      </c>
      <c r="I79" s="611"/>
      <c r="J79" s="26"/>
      <c r="K79" s="8">
        <f t="shared" si="10"/>
        <v>0</v>
      </c>
      <c r="L79" s="611"/>
      <c r="M79" s="26"/>
      <c r="N79" s="8">
        <f t="shared" si="11"/>
        <v>0</v>
      </c>
      <c r="O79" s="611"/>
      <c r="P79" s="26"/>
      <c r="Q79" s="8">
        <f t="shared" si="12"/>
        <v>0</v>
      </c>
      <c r="R79" s="611"/>
      <c r="S79" s="26"/>
      <c r="T79" s="8">
        <f t="shared" si="13"/>
        <v>0</v>
      </c>
      <c r="U79" s="611"/>
      <c r="V79" s="26"/>
      <c r="W79" s="8">
        <f t="shared" si="14"/>
        <v>0</v>
      </c>
      <c r="X79" s="611"/>
      <c r="Y79" s="26"/>
      <c r="Z79" s="8">
        <f t="shared" si="15"/>
        <v>0</v>
      </c>
      <c r="AA79" s="611"/>
      <c r="AB79" s="26"/>
      <c r="AC79" s="8">
        <f t="shared" si="16"/>
        <v>0</v>
      </c>
      <c r="AD79" s="26"/>
      <c r="AE79" s="26"/>
      <c r="AF79" s="26"/>
      <c r="AG79" s="26"/>
      <c r="AH79" s="26"/>
    </row>
    <row r="80" ht="12.75" customHeight="1">
      <c r="A80" s="24"/>
      <c r="B80" s="609"/>
      <c r="C80" s="24"/>
      <c r="D80" s="24"/>
      <c r="E80" s="610"/>
      <c r="F80" s="611"/>
      <c r="G80" s="26"/>
      <c r="H80" s="8">
        <f t="shared" si="18"/>
        <v>0</v>
      </c>
      <c r="I80" s="611"/>
      <c r="J80" s="26"/>
      <c r="K80" s="8">
        <f t="shared" si="10"/>
        <v>0</v>
      </c>
      <c r="L80" s="611"/>
      <c r="M80" s="26"/>
      <c r="N80" s="8">
        <f t="shared" si="11"/>
        <v>0</v>
      </c>
      <c r="O80" s="611"/>
      <c r="P80" s="26"/>
      <c r="Q80" s="8">
        <f t="shared" si="12"/>
        <v>0</v>
      </c>
      <c r="R80" s="611"/>
      <c r="S80" s="26"/>
      <c r="T80" s="8">
        <f t="shared" si="13"/>
        <v>0</v>
      </c>
      <c r="U80" s="611"/>
      <c r="V80" s="26"/>
      <c r="W80" s="8">
        <f t="shared" si="14"/>
        <v>0</v>
      </c>
      <c r="X80" s="611"/>
      <c r="Y80" s="26"/>
      <c r="Z80" s="8">
        <f t="shared" si="15"/>
        <v>0</v>
      </c>
      <c r="AA80" s="611"/>
      <c r="AB80" s="26"/>
      <c r="AC80" s="8">
        <f t="shared" si="16"/>
        <v>0</v>
      </c>
      <c r="AD80" s="26"/>
      <c r="AE80" s="26"/>
      <c r="AF80" s="26"/>
      <c r="AG80" s="26"/>
      <c r="AH80" s="26"/>
    </row>
    <row r="81" ht="12.75" customHeight="1">
      <c r="A81" s="24"/>
      <c r="B81" s="609"/>
      <c r="C81" s="24"/>
      <c r="D81" s="24"/>
      <c r="E81" s="610"/>
      <c r="F81" s="611"/>
      <c r="G81" s="26"/>
      <c r="H81" s="8">
        <f t="shared" si="18"/>
        <v>0</v>
      </c>
      <c r="I81" s="611"/>
      <c r="J81" s="26"/>
      <c r="K81" s="8">
        <f t="shared" si="10"/>
        <v>0</v>
      </c>
      <c r="L81" s="611"/>
      <c r="M81" s="26"/>
      <c r="N81" s="8">
        <f t="shared" si="11"/>
        <v>0</v>
      </c>
      <c r="O81" s="611"/>
      <c r="P81" s="26"/>
      <c r="Q81" s="8">
        <f t="shared" si="12"/>
        <v>0</v>
      </c>
      <c r="R81" s="611"/>
      <c r="S81" s="26"/>
      <c r="T81" s="8">
        <f t="shared" si="13"/>
        <v>0</v>
      </c>
      <c r="U81" s="611"/>
      <c r="V81" s="26"/>
      <c r="W81" s="8">
        <f t="shared" si="14"/>
        <v>0</v>
      </c>
      <c r="X81" s="611"/>
      <c r="Y81" s="26"/>
      <c r="Z81" s="8">
        <f t="shared" si="15"/>
        <v>0</v>
      </c>
      <c r="AA81" s="611"/>
      <c r="AB81" s="26"/>
      <c r="AC81" s="8">
        <f t="shared" si="16"/>
        <v>0</v>
      </c>
      <c r="AD81" s="26"/>
      <c r="AE81" s="26"/>
      <c r="AF81" s="26"/>
      <c r="AG81" s="26"/>
      <c r="AH81" s="26"/>
    </row>
    <row r="82" ht="12.75" customHeight="1">
      <c r="A82" s="24"/>
      <c r="B82" s="609"/>
      <c r="C82" s="24"/>
      <c r="D82" s="24"/>
      <c r="E82" s="610"/>
      <c r="F82" s="611"/>
      <c r="G82" s="26"/>
      <c r="H82" s="8">
        <f t="shared" si="18"/>
        <v>0</v>
      </c>
      <c r="I82" s="611"/>
      <c r="J82" s="26"/>
      <c r="K82" s="8">
        <f t="shared" si="10"/>
        <v>0</v>
      </c>
      <c r="L82" s="611"/>
      <c r="M82" s="26"/>
      <c r="N82" s="8">
        <f t="shared" si="11"/>
        <v>0</v>
      </c>
      <c r="O82" s="611"/>
      <c r="P82" s="26"/>
      <c r="Q82" s="8">
        <f t="shared" si="12"/>
        <v>0</v>
      </c>
      <c r="R82" s="611"/>
      <c r="S82" s="26"/>
      <c r="T82" s="8">
        <f t="shared" si="13"/>
        <v>0</v>
      </c>
      <c r="U82" s="611"/>
      <c r="V82" s="26"/>
      <c r="W82" s="8">
        <f t="shared" si="14"/>
        <v>0</v>
      </c>
      <c r="X82" s="611"/>
      <c r="Y82" s="26"/>
      <c r="Z82" s="8">
        <f t="shared" si="15"/>
        <v>0</v>
      </c>
      <c r="AA82" s="611"/>
      <c r="AB82" s="26"/>
      <c r="AC82" s="8">
        <f t="shared" si="16"/>
        <v>0</v>
      </c>
      <c r="AD82" s="26"/>
      <c r="AE82" s="26"/>
      <c r="AF82" s="26"/>
      <c r="AG82" s="26"/>
      <c r="AH82" s="26"/>
    </row>
    <row r="83" ht="12.75" customHeight="1">
      <c r="A83" s="24"/>
      <c r="B83" s="609"/>
      <c r="C83" s="24"/>
      <c r="D83" s="24"/>
      <c r="E83" s="610"/>
      <c r="F83" s="611"/>
      <c r="G83" s="26"/>
      <c r="H83" s="8">
        <f t="shared" si="18"/>
        <v>0</v>
      </c>
      <c r="I83" s="611"/>
      <c r="J83" s="26"/>
      <c r="K83" s="8">
        <f t="shared" si="10"/>
        <v>0</v>
      </c>
      <c r="L83" s="611"/>
      <c r="M83" s="26"/>
      <c r="N83" s="8">
        <f t="shared" si="11"/>
        <v>0</v>
      </c>
      <c r="O83" s="611"/>
      <c r="P83" s="26"/>
      <c r="Q83" s="8">
        <f t="shared" si="12"/>
        <v>0</v>
      </c>
      <c r="R83" s="611"/>
      <c r="S83" s="26"/>
      <c r="T83" s="8">
        <f t="shared" si="13"/>
        <v>0</v>
      </c>
      <c r="U83" s="611"/>
      <c r="V83" s="26"/>
      <c r="W83" s="8">
        <f t="shared" si="14"/>
        <v>0</v>
      </c>
      <c r="X83" s="611"/>
      <c r="Y83" s="26"/>
      <c r="Z83" s="8">
        <f t="shared" si="15"/>
        <v>0</v>
      </c>
      <c r="AA83" s="611"/>
      <c r="AB83" s="26"/>
      <c r="AC83" s="8">
        <f t="shared" si="16"/>
        <v>0</v>
      </c>
      <c r="AD83" s="26"/>
      <c r="AE83" s="26"/>
      <c r="AF83" s="26"/>
      <c r="AG83" s="26"/>
      <c r="AH83" s="26"/>
    </row>
    <row r="84" ht="12.75" customHeight="1">
      <c r="A84" s="24"/>
      <c r="B84" s="609"/>
      <c r="C84" s="24"/>
      <c r="D84" s="24"/>
      <c r="E84" s="610"/>
      <c r="F84" s="611"/>
      <c r="G84" s="26"/>
      <c r="H84" s="8">
        <f t="shared" si="18"/>
        <v>0</v>
      </c>
      <c r="I84" s="611"/>
      <c r="J84" s="26"/>
      <c r="K84" s="8">
        <f t="shared" si="10"/>
        <v>0</v>
      </c>
      <c r="L84" s="611"/>
      <c r="M84" s="26"/>
      <c r="N84" s="8">
        <f t="shared" si="11"/>
        <v>0</v>
      </c>
      <c r="O84" s="611"/>
      <c r="P84" s="26"/>
      <c r="Q84" s="8">
        <f t="shared" si="12"/>
        <v>0</v>
      </c>
      <c r="R84" s="611"/>
      <c r="S84" s="26"/>
      <c r="T84" s="8">
        <f t="shared" si="13"/>
        <v>0</v>
      </c>
      <c r="U84" s="611"/>
      <c r="V84" s="26"/>
      <c r="W84" s="8">
        <f t="shared" si="14"/>
        <v>0</v>
      </c>
      <c r="X84" s="611"/>
      <c r="Y84" s="26"/>
      <c r="Z84" s="8">
        <f t="shared" si="15"/>
        <v>0</v>
      </c>
      <c r="AA84" s="611"/>
      <c r="AB84" s="26"/>
      <c r="AC84" s="8">
        <f t="shared" si="16"/>
        <v>0</v>
      </c>
      <c r="AD84" s="26"/>
      <c r="AE84" s="26"/>
      <c r="AF84" s="26"/>
      <c r="AG84" s="26"/>
      <c r="AH84" s="26"/>
    </row>
    <row r="85" ht="12.75" customHeight="1">
      <c r="A85" s="24"/>
      <c r="B85" s="609"/>
      <c r="C85" s="24"/>
      <c r="D85" s="24"/>
      <c r="E85" s="610"/>
      <c r="F85" s="611"/>
      <c r="G85" s="26"/>
      <c r="H85" s="8">
        <f t="shared" si="18"/>
        <v>0</v>
      </c>
      <c r="I85" s="611"/>
      <c r="J85" s="26"/>
      <c r="K85" s="8">
        <f t="shared" si="10"/>
        <v>0</v>
      </c>
      <c r="L85" s="611"/>
      <c r="M85" s="26"/>
      <c r="N85" s="8">
        <f t="shared" si="11"/>
        <v>0</v>
      </c>
      <c r="O85" s="611"/>
      <c r="P85" s="26"/>
      <c r="Q85" s="8">
        <f t="shared" si="12"/>
        <v>0</v>
      </c>
      <c r="R85" s="611"/>
      <c r="S85" s="26"/>
      <c r="T85" s="8">
        <f t="shared" si="13"/>
        <v>0</v>
      </c>
      <c r="U85" s="611"/>
      <c r="V85" s="26"/>
      <c r="W85" s="8">
        <f t="shared" si="14"/>
        <v>0</v>
      </c>
      <c r="X85" s="611"/>
      <c r="Y85" s="26"/>
      <c r="Z85" s="8">
        <f t="shared" si="15"/>
        <v>0</v>
      </c>
      <c r="AA85" s="611"/>
      <c r="AB85" s="26"/>
      <c r="AC85" s="8">
        <f t="shared" si="16"/>
        <v>0</v>
      </c>
      <c r="AD85" s="26"/>
      <c r="AE85" s="26"/>
      <c r="AF85" s="26"/>
      <c r="AG85" s="26"/>
      <c r="AH85" s="26"/>
    </row>
    <row r="86" ht="12.75" customHeight="1">
      <c r="A86" s="24"/>
      <c r="B86" s="609"/>
      <c r="C86" s="24"/>
      <c r="D86" s="24"/>
      <c r="E86" s="610"/>
      <c r="F86" s="611"/>
      <c r="G86" s="26"/>
      <c r="H86" s="8">
        <f t="shared" si="18"/>
        <v>0</v>
      </c>
      <c r="I86" s="611"/>
      <c r="J86" s="26"/>
      <c r="K86" s="8">
        <f t="shared" si="10"/>
        <v>0</v>
      </c>
      <c r="L86" s="611"/>
      <c r="M86" s="26"/>
      <c r="N86" s="8">
        <f t="shared" si="11"/>
        <v>0</v>
      </c>
      <c r="O86" s="611"/>
      <c r="P86" s="26"/>
      <c r="Q86" s="8">
        <f t="shared" si="12"/>
        <v>0</v>
      </c>
      <c r="R86" s="611"/>
      <c r="S86" s="26"/>
      <c r="T86" s="8">
        <f t="shared" si="13"/>
        <v>0</v>
      </c>
      <c r="U86" s="611"/>
      <c r="V86" s="26"/>
      <c r="W86" s="8">
        <f t="shared" si="14"/>
        <v>0</v>
      </c>
      <c r="X86" s="611"/>
      <c r="Y86" s="26"/>
      <c r="Z86" s="8">
        <f t="shared" si="15"/>
        <v>0</v>
      </c>
      <c r="AA86" s="611"/>
      <c r="AB86" s="26"/>
      <c r="AC86" s="8">
        <f t="shared" si="16"/>
        <v>0</v>
      </c>
      <c r="AD86" s="26"/>
      <c r="AE86" s="26"/>
      <c r="AF86" s="26"/>
      <c r="AG86" s="26"/>
      <c r="AH86" s="26"/>
    </row>
    <row r="87" ht="12.75" customHeight="1">
      <c r="A87" s="24"/>
      <c r="B87" s="609"/>
      <c r="C87" s="24"/>
      <c r="D87" s="24"/>
      <c r="E87" s="610"/>
      <c r="F87" s="611"/>
      <c r="G87" s="26"/>
      <c r="H87" s="8">
        <f t="shared" si="18"/>
        <v>0</v>
      </c>
      <c r="I87" s="611"/>
      <c r="J87" s="26"/>
      <c r="K87" s="8">
        <f t="shared" si="10"/>
        <v>0</v>
      </c>
      <c r="L87" s="611"/>
      <c r="M87" s="26"/>
      <c r="N87" s="8">
        <f t="shared" si="11"/>
        <v>0</v>
      </c>
      <c r="O87" s="611"/>
      <c r="P87" s="26"/>
      <c r="Q87" s="8">
        <f t="shared" si="12"/>
        <v>0</v>
      </c>
      <c r="R87" s="611"/>
      <c r="S87" s="26"/>
      <c r="T87" s="8">
        <f t="shared" si="13"/>
        <v>0</v>
      </c>
      <c r="U87" s="611"/>
      <c r="V87" s="26"/>
      <c r="W87" s="8">
        <f t="shared" si="14"/>
        <v>0</v>
      </c>
      <c r="X87" s="611"/>
      <c r="Y87" s="26"/>
      <c r="Z87" s="8">
        <f t="shared" si="15"/>
        <v>0</v>
      </c>
      <c r="AA87" s="611"/>
      <c r="AB87" s="26"/>
      <c r="AC87" s="8">
        <f t="shared" si="16"/>
        <v>0</v>
      </c>
      <c r="AD87" s="26"/>
      <c r="AE87" s="26"/>
      <c r="AF87" s="26"/>
      <c r="AG87" s="26"/>
      <c r="AH87" s="26"/>
    </row>
    <row r="88" ht="12.75" customHeight="1">
      <c r="A88" s="24"/>
      <c r="B88" s="609"/>
      <c r="C88" s="24"/>
      <c r="D88" s="24"/>
      <c r="E88" s="610"/>
      <c r="F88" s="611"/>
      <c r="G88" s="26"/>
      <c r="H88" s="8">
        <f t="shared" si="18"/>
        <v>0</v>
      </c>
      <c r="I88" s="611"/>
      <c r="J88" s="26"/>
      <c r="K88" s="8">
        <f t="shared" si="10"/>
        <v>0</v>
      </c>
      <c r="L88" s="611"/>
      <c r="M88" s="26"/>
      <c r="N88" s="8">
        <f t="shared" si="11"/>
        <v>0</v>
      </c>
      <c r="O88" s="611"/>
      <c r="P88" s="26"/>
      <c r="Q88" s="8">
        <f t="shared" si="12"/>
        <v>0</v>
      </c>
      <c r="R88" s="611"/>
      <c r="S88" s="26"/>
      <c r="T88" s="8">
        <f t="shared" si="13"/>
        <v>0</v>
      </c>
      <c r="U88" s="611"/>
      <c r="V88" s="26"/>
      <c r="W88" s="8">
        <f t="shared" si="14"/>
        <v>0</v>
      </c>
      <c r="X88" s="611"/>
      <c r="Y88" s="26"/>
      <c r="Z88" s="8">
        <f t="shared" si="15"/>
        <v>0</v>
      </c>
      <c r="AA88" s="611"/>
      <c r="AB88" s="26"/>
      <c r="AC88" s="8">
        <f t="shared" si="16"/>
        <v>0</v>
      </c>
      <c r="AD88" s="26"/>
      <c r="AE88" s="26"/>
      <c r="AF88" s="26"/>
      <c r="AG88" s="26"/>
      <c r="AH88" s="26"/>
    </row>
    <row r="89" ht="12.75" customHeight="1">
      <c r="A89" s="24"/>
      <c r="B89" s="609"/>
      <c r="C89" s="24"/>
      <c r="D89" s="24"/>
      <c r="E89" s="610"/>
      <c r="F89" s="611"/>
      <c r="G89" s="26"/>
      <c r="H89" s="8">
        <f t="shared" si="18"/>
        <v>0</v>
      </c>
      <c r="I89" s="611"/>
      <c r="J89" s="26"/>
      <c r="K89" s="8">
        <f t="shared" si="10"/>
        <v>0</v>
      </c>
      <c r="L89" s="611"/>
      <c r="M89" s="26"/>
      <c r="N89" s="8">
        <f t="shared" si="11"/>
        <v>0</v>
      </c>
      <c r="O89" s="611"/>
      <c r="P89" s="26"/>
      <c r="Q89" s="8">
        <f t="shared" si="12"/>
        <v>0</v>
      </c>
      <c r="R89" s="611"/>
      <c r="S89" s="26"/>
      <c r="T89" s="8">
        <f t="shared" si="13"/>
        <v>0</v>
      </c>
      <c r="U89" s="611"/>
      <c r="V89" s="26"/>
      <c r="W89" s="8">
        <f t="shared" si="14"/>
        <v>0</v>
      </c>
      <c r="X89" s="611"/>
      <c r="Y89" s="26"/>
      <c r="Z89" s="8">
        <f t="shared" si="15"/>
        <v>0</v>
      </c>
      <c r="AA89" s="611"/>
      <c r="AB89" s="26"/>
      <c r="AC89" s="8">
        <f t="shared" si="16"/>
        <v>0</v>
      </c>
      <c r="AD89" s="26"/>
      <c r="AE89" s="26"/>
      <c r="AF89" s="26"/>
      <c r="AG89" s="26"/>
      <c r="AH89" s="26"/>
    </row>
    <row r="90" ht="12.75" customHeight="1">
      <c r="A90" s="24"/>
      <c r="B90" s="609"/>
      <c r="C90" s="24"/>
      <c r="D90" s="24"/>
      <c r="E90" s="610"/>
      <c r="F90" s="611"/>
      <c r="G90" s="26"/>
      <c r="H90" s="8">
        <f t="shared" si="18"/>
        <v>0</v>
      </c>
      <c r="I90" s="611"/>
      <c r="J90" s="26"/>
      <c r="K90" s="8">
        <f t="shared" si="10"/>
        <v>0</v>
      </c>
      <c r="L90" s="611"/>
      <c r="M90" s="26"/>
      <c r="N90" s="8">
        <f t="shared" si="11"/>
        <v>0</v>
      </c>
      <c r="O90" s="611"/>
      <c r="P90" s="26"/>
      <c r="Q90" s="8">
        <f t="shared" si="12"/>
        <v>0</v>
      </c>
      <c r="R90" s="611"/>
      <c r="S90" s="26"/>
      <c r="T90" s="8">
        <f t="shared" si="13"/>
        <v>0</v>
      </c>
      <c r="U90" s="611"/>
      <c r="V90" s="26"/>
      <c r="W90" s="8">
        <f t="shared" si="14"/>
        <v>0</v>
      </c>
      <c r="X90" s="611"/>
      <c r="Y90" s="26"/>
      <c r="Z90" s="8">
        <f t="shared" si="15"/>
        <v>0</v>
      </c>
      <c r="AA90" s="611"/>
      <c r="AB90" s="26"/>
      <c r="AC90" s="8">
        <f t="shared" si="16"/>
        <v>0</v>
      </c>
      <c r="AD90" s="26"/>
      <c r="AE90" s="26"/>
      <c r="AF90" s="26"/>
      <c r="AG90" s="26"/>
      <c r="AH90" s="26"/>
    </row>
    <row r="91" ht="12.75" customHeight="1">
      <c r="A91" s="24"/>
      <c r="B91" s="609"/>
      <c r="C91" s="24"/>
      <c r="D91" s="24"/>
      <c r="E91" s="610"/>
      <c r="F91" s="611"/>
      <c r="G91" s="26"/>
      <c r="H91" s="8">
        <f t="shared" si="18"/>
        <v>0</v>
      </c>
      <c r="I91" s="611"/>
      <c r="J91" s="26"/>
      <c r="K91" s="8">
        <f t="shared" si="10"/>
        <v>0</v>
      </c>
      <c r="L91" s="611"/>
      <c r="M91" s="26"/>
      <c r="N91" s="8">
        <f t="shared" si="11"/>
        <v>0</v>
      </c>
      <c r="O91" s="611"/>
      <c r="P91" s="26"/>
      <c r="Q91" s="8">
        <f t="shared" si="12"/>
        <v>0</v>
      </c>
      <c r="R91" s="611"/>
      <c r="S91" s="26"/>
      <c r="T91" s="8">
        <f t="shared" si="13"/>
        <v>0</v>
      </c>
      <c r="U91" s="611"/>
      <c r="V91" s="26"/>
      <c r="W91" s="8">
        <f t="shared" si="14"/>
        <v>0</v>
      </c>
      <c r="X91" s="611"/>
      <c r="Y91" s="26"/>
      <c r="Z91" s="8">
        <f t="shared" si="15"/>
        <v>0</v>
      </c>
      <c r="AA91" s="611"/>
      <c r="AB91" s="26"/>
      <c r="AC91" s="8">
        <f t="shared" si="16"/>
        <v>0</v>
      </c>
      <c r="AD91" s="26"/>
      <c r="AE91" s="26"/>
      <c r="AF91" s="26"/>
      <c r="AG91" s="26"/>
      <c r="AH91" s="26"/>
    </row>
    <row r="92" ht="12.75" customHeight="1">
      <c r="A92" s="24"/>
      <c r="B92" s="609"/>
      <c r="C92" s="24"/>
      <c r="D92" s="24"/>
      <c r="E92" s="610"/>
      <c r="F92" s="611"/>
      <c r="G92" s="26"/>
      <c r="H92" s="8">
        <f t="shared" si="18"/>
        <v>0</v>
      </c>
      <c r="I92" s="611"/>
      <c r="J92" s="26"/>
      <c r="K92" s="8">
        <f t="shared" si="10"/>
        <v>0</v>
      </c>
      <c r="L92" s="611"/>
      <c r="M92" s="26"/>
      <c r="N92" s="8">
        <f t="shared" si="11"/>
        <v>0</v>
      </c>
      <c r="O92" s="611"/>
      <c r="P92" s="26"/>
      <c r="Q92" s="8">
        <f t="shared" si="12"/>
        <v>0</v>
      </c>
      <c r="R92" s="611"/>
      <c r="S92" s="26"/>
      <c r="T92" s="8">
        <f t="shared" si="13"/>
        <v>0</v>
      </c>
      <c r="U92" s="611"/>
      <c r="V92" s="26"/>
      <c r="W92" s="8">
        <f t="shared" si="14"/>
        <v>0</v>
      </c>
      <c r="X92" s="611"/>
      <c r="Y92" s="26"/>
      <c r="Z92" s="8">
        <f t="shared" si="15"/>
        <v>0</v>
      </c>
      <c r="AA92" s="611"/>
      <c r="AB92" s="26"/>
      <c r="AC92" s="8">
        <f t="shared" si="16"/>
        <v>0</v>
      </c>
      <c r="AD92" s="26"/>
      <c r="AE92" s="26"/>
      <c r="AF92" s="26"/>
      <c r="AG92" s="26"/>
      <c r="AH92" s="26"/>
    </row>
    <row r="93" ht="12.75" customHeight="1">
      <c r="A93" s="24"/>
      <c r="B93" s="609"/>
      <c r="C93" s="24"/>
      <c r="D93" s="24"/>
      <c r="E93" s="610"/>
      <c r="F93" s="611"/>
      <c r="G93" s="26"/>
      <c r="H93" s="8">
        <f t="shared" si="18"/>
        <v>0</v>
      </c>
      <c r="I93" s="611"/>
      <c r="J93" s="26"/>
      <c r="K93" s="8">
        <f t="shared" si="10"/>
        <v>0</v>
      </c>
      <c r="L93" s="611"/>
      <c r="M93" s="26"/>
      <c r="N93" s="8">
        <f t="shared" si="11"/>
        <v>0</v>
      </c>
      <c r="O93" s="611"/>
      <c r="P93" s="26"/>
      <c r="Q93" s="8">
        <f t="shared" si="12"/>
        <v>0</v>
      </c>
      <c r="R93" s="611"/>
      <c r="S93" s="26"/>
      <c r="T93" s="8">
        <f t="shared" si="13"/>
        <v>0</v>
      </c>
      <c r="U93" s="611"/>
      <c r="V93" s="26"/>
      <c r="W93" s="8">
        <f t="shared" si="14"/>
        <v>0</v>
      </c>
      <c r="X93" s="611"/>
      <c r="Y93" s="26"/>
      <c r="Z93" s="8">
        <f t="shared" si="15"/>
        <v>0</v>
      </c>
      <c r="AA93" s="611"/>
      <c r="AB93" s="26"/>
      <c r="AC93" s="8">
        <f t="shared" si="16"/>
        <v>0</v>
      </c>
      <c r="AD93" s="26"/>
      <c r="AE93" s="26"/>
      <c r="AF93" s="26"/>
      <c r="AG93" s="26"/>
      <c r="AH93" s="26"/>
    </row>
    <row r="94" ht="12.75" customHeight="1">
      <c r="A94" s="24"/>
      <c r="B94" s="609"/>
      <c r="C94" s="24"/>
      <c r="D94" s="24"/>
      <c r="E94" s="610"/>
      <c r="F94" s="611"/>
      <c r="G94" s="26"/>
      <c r="H94" s="8">
        <f t="shared" si="18"/>
        <v>0</v>
      </c>
      <c r="I94" s="611"/>
      <c r="J94" s="26"/>
      <c r="K94" s="8">
        <f t="shared" si="10"/>
        <v>0</v>
      </c>
      <c r="L94" s="611"/>
      <c r="M94" s="26"/>
      <c r="N94" s="8">
        <f t="shared" si="11"/>
        <v>0</v>
      </c>
      <c r="O94" s="611"/>
      <c r="P94" s="26"/>
      <c r="Q94" s="8">
        <f t="shared" si="12"/>
        <v>0</v>
      </c>
      <c r="R94" s="611"/>
      <c r="S94" s="26"/>
      <c r="T94" s="8">
        <f t="shared" si="13"/>
        <v>0</v>
      </c>
      <c r="U94" s="611"/>
      <c r="V94" s="26"/>
      <c r="W94" s="8">
        <f t="shared" si="14"/>
        <v>0</v>
      </c>
      <c r="X94" s="611"/>
      <c r="Y94" s="26"/>
      <c r="Z94" s="8">
        <f t="shared" si="15"/>
        <v>0</v>
      </c>
      <c r="AA94" s="611"/>
      <c r="AB94" s="26"/>
      <c r="AC94" s="8">
        <f t="shared" si="16"/>
        <v>0</v>
      </c>
      <c r="AD94" s="26"/>
      <c r="AE94" s="26"/>
      <c r="AF94" s="26"/>
      <c r="AG94" s="26"/>
      <c r="AH94" s="26"/>
    </row>
    <row r="95" ht="12.75" customHeight="1">
      <c r="A95" s="24"/>
      <c r="B95" s="609"/>
      <c r="C95" s="24"/>
      <c r="D95" s="24"/>
      <c r="E95" s="610"/>
      <c r="F95" s="611"/>
      <c r="G95" s="26"/>
      <c r="H95" s="8">
        <f t="shared" si="18"/>
        <v>0</v>
      </c>
      <c r="I95" s="611"/>
      <c r="J95" s="26"/>
      <c r="K95" s="8">
        <f t="shared" si="10"/>
        <v>0</v>
      </c>
      <c r="L95" s="611"/>
      <c r="M95" s="26"/>
      <c r="N95" s="8">
        <f t="shared" si="11"/>
        <v>0</v>
      </c>
      <c r="O95" s="611"/>
      <c r="P95" s="26"/>
      <c r="Q95" s="8">
        <f t="shared" si="12"/>
        <v>0</v>
      </c>
      <c r="R95" s="611"/>
      <c r="S95" s="26"/>
      <c r="T95" s="8">
        <f t="shared" si="13"/>
        <v>0</v>
      </c>
      <c r="U95" s="611"/>
      <c r="V95" s="26"/>
      <c r="W95" s="8">
        <f t="shared" si="14"/>
        <v>0</v>
      </c>
      <c r="X95" s="611"/>
      <c r="Y95" s="26"/>
      <c r="Z95" s="8">
        <f t="shared" si="15"/>
        <v>0</v>
      </c>
      <c r="AA95" s="611"/>
      <c r="AB95" s="26"/>
      <c r="AC95" s="8">
        <f t="shared" si="16"/>
        <v>0</v>
      </c>
      <c r="AD95" s="26"/>
      <c r="AE95" s="26"/>
      <c r="AF95" s="26"/>
      <c r="AG95" s="26"/>
      <c r="AH95" s="26"/>
    </row>
    <row r="96" ht="12.75" customHeight="1">
      <c r="A96" s="24"/>
      <c r="B96" s="609"/>
      <c r="C96" s="24"/>
      <c r="D96" s="24"/>
      <c r="E96" s="610"/>
      <c r="F96" s="611"/>
      <c r="G96" s="26"/>
      <c r="H96" s="8">
        <f t="shared" si="18"/>
        <v>0</v>
      </c>
      <c r="I96" s="611"/>
      <c r="J96" s="26"/>
      <c r="K96" s="8">
        <f t="shared" si="10"/>
        <v>0</v>
      </c>
      <c r="L96" s="611"/>
      <c r="M96" s="26"/>
      <c r="N96" s="8">
        <f t="shared" si="11"/>
        <v>0</v>
      </c>
      <c r="O96" s="611"/>
      <c r="P96" s="26"/>
      <c r="Q96" s="8">
        <f t="shared" si="12"/>
        <v>0</v>
      </c>
      <c r="R96" s="611"/>
      <c r="S96" s="26"/>
      <c r="T96" s="8">
        <f t="shared" si="13"/>
        <v>0</v>
      </c>
      <c r="U96" s="611"/>
      <c r="V96" s="26"/>
      <c r="W96" s="8">
        <f t="shared" si="14"/>
        <v>0</v>
      </c>
      <c r="X96" s="611"/>
      <c r="Y96" s="26"/>
      <c r="Z96" s="8">
        <f t="shared" si="15"/>
        <v>0</v>
      </c>
      <c r="AA96" s="611"/>
      <c r="AB96" s="26"/>
      <c r="AC96" s="8">
        <f t="shared" si="16"/>
        <v>0</v>
      </c>
      <c r="AD96" s="26"/>
      <c r="AE96" s="26"/>
      <c r="AF96" s="26"/>
      <c r="AG96" s="26"/>
      <c r="AH96" s="26"/>
    </row>
    <row r="97" ht="12.75" customHeight="1">
      <c r="A97" s="24"/>
      <c r="B97" s="609"/>
      <c r="C97" s="24"/>
      <c r="D97" s="24"/>
      <c r="E97" s="610"/>
      <c r="F97" s="611"/>
      <c r="G97" s="26"/>
      <c r="H97" s="8">
        <f t="shared" si="18"/>
        <v>0</v>
      </c>
      <c r="I97" s="611"/>
      <c r="J97" s="26"/>
      <c r="K97" s="8">
        <f t="shared" si="10"/>
        <v>0</v>
      </c>
      <c r="L97" s="611"/>
      <c r="M97" s="26"/>
      <c r="N97" s="8">
        <f t="shared" si="11"/>
        <v>0</v>
      </c>
      <c r="O97" s="611"/>
      <c r="P97" s="26"/>
      <c r="Q97" s="8">
        <f t="shared" si="12"/>
        <v>0</v>
      </c>
      <c r="R97" s="611"/>
      <c r="S97" s="26"/>
      <c r="T97" s="8">
        <f t="shared" si="13"/>
        <v>0</v>
      </c>
      <c r="U97" s="611"/>
      <c r="V97" s="26"/>
      <c r="W97" s="8">
        <f t="shared" si="14"/>
        <v>0</v>
      </c>
      <c r="X97" s="611"/>
      <c r="Y97" s="26"/>
      <c r="Z97" s="8">
        <f t="shared" si="15"/>
        <v>0</v>
      </c>
      <c r="AA97" s="611"/>
      <c r="AB97" s="26"/>
      <c r="AC97" s="8">
        <f t="shared" si="16"/>
        <v>0</v>
      </c>
      <c r="AD97" s="26"/>
      <c r="AE97" s="26"/>
      <c r="AF97" s="26"/>
      <c r="AG97" s="26"/>
      <c r="AH97" s="26"/>
    </row>
    <row r="98" ht="12.75" customHeight="1">
      <c r="A98" s="24"/>
      <c r="B98" s="609"/>
      <c r="C98" s="24"/>
      <c r="D98" s="24"/>
      <c r="E98" s="610"/>
      <c r="F98" s="611"/>
      <c r="G98" s="26"/>
      <c r="H98" s="8">
        <f t="shared" si="18"/>
        <v>0</v>
      </c>
      <c r="I98" s="611"/>
      <c r="J98" s="26"/>
      <c r="K98" s="8">
        <f t="shared" si="10"/>
        <v>0</v>
      </c>
      <c r="L98" s="611"/>
      <c r="M98" s="26"/>
      <c r="N98" s="8">
        <f t="shared" si="11"/>
        <v>0</v>
      </c>
      <c r="O98" s="611"/>
      <c r="P98" s="26"/>
      <c r="Q98" s="8">
        <f t="shared" si="12"/>
        <v>0</v>
      </c>
      <c r="R98" s="611"/>
      <c r="S98" s="26"/>
      <c r="T98" s="8">
        <f t="shared" si="13"/>
        <v>0</v>
      </c>
      <c r="U98" s="611"/>
      <c r="V98" s="26"/>
      <c r="W98" s="8">
        <f t="shared" si="14"/>
        <v>0</v>
      </c>
      <c r="X98" s="611"/>
      <c r="Y98" s="26"/>
      <c r="Z98" s="8">
        <f t="shared" si="15"/>
        <v>0</v>
      </c>
      <c r="AA98" s="611"/>
      <c r="AB98" s="26"/>
      <c r="AC98" s="8">
        <f t="shared" si="16"/>
        <v>0</v>
      </c>
      <c r="AD98" s="26"/>
      <c r="AE98" s="26"/>
      <c r="AF98" s="26"/>
      <c r="AG98" s="26"/>
      <c r="AH98" s="26"/>
    </row>
    <row r="99" ht="12.75" customHeight="1">
      <c r="A99" s="24"/>
      <c r="B99" s="609"/>
      <c r="C99" s="24"/>
      <c r="D99" s="24"/>
      <c r="E99" s="610"/>
      <c r="F99" s="611"/>
      <c r="G99" s="26"/>
      <c r="H99" s="8">
        <f t="shared" si="18"/>
        <v>0</v>
      </c>
      <c r="I99" s="611"/>
      <c r="J99" s="26"/>
      <c r="K99" s="8">
        <f t="shared" si="10"/>
        <v>0</v>
      </c>
      <c r="L99" s="611"/>
      <c r="M99" s="26"/>
      <c r="N99" s="8">
        <f t="shared" si="11"/>
        <v>0</v>
      </c>
      <c r="O99" s="611"/>
      <c r="P99" s="26"/>
      <c r="Q99" s="8">
        <f t="shared" si="12"/>
        <v>0</v>
      </c>
      <c r="R99" s="611"/>
      <c r="S99" s="26"/>
      <c r="T99" s="8">
        <f t="shared" si="13"/>
        <v>0</v>
      </c>
      <c r="U99" s="611"/>
      <c r="V99" s="26"/>
      <c r="W99" s="8">
        <f t="shared" si="14"/>
        <v>0</v>
      </c>
      <c r="X99" s="611"/>
      <c r="Y99" s="26"/>
      <c r="Z99" s="8">
        <f t="shared" si="15"/>
        <v>0</v>
      </c>
      <c r="AA99" s="611"/>
      <c r="AB99" s="26"/>
      <c r="AC99" s="8">
        <f t="shared" si="16"/>
        <v>0</v>
      </c>
      <c r="AD99" s="26"/>
      <c r="AE99" s="26"/>
      <c r="AF99" s="26"/>
      <c r="AG99" s="26"/>
      <c r="AH99" s="26"/>
    </row>
    <row r="100" ht="12.75" customHeight="1">
      <c r="A100" s="24"/>
      <c r="B100" s="609"/>
      <c r="C100" s="24"/>
      <c r="D100" s="24"/>
      <c r="E100" s="610"/>
      <c r="F100" s="611"/>
      <c r="G100" s="26"/>
      <c r="H100" s="8">
        <f t="shared" si="18"/>
        <v>0</v>
      </c>
      <c r="I100" s="611"/>
      <c r="J100" s="26"/>
      <c r="K100" s="8">
        <f t="shared" si="10"/>
        <v>0</v>
      </c>
      <c r="L100" s="611"/>
      <c r="M100" s="26"/>
      <c r="N100" s="8">
        <f t="shared" si="11"/>
        <v>0</v>
      </c>
      <c r="O100" s="611"/>
      <c r="P100" s="26"/>
      <c r="Q100" s="8">
        <f t="shared" si="12"/>
        <v>0</v>
      </c>
      <c r="R100" s="611"/>
      <c r="S100" s="26"/>
      <c r="T100" s="8">
        <f t="shared" si="13"/>
        <v>0</v>
      </c>
      <c r="U100" s="611"/>
      <c r="V100" s="26"/>
      <c r="W100" s="8">
        <f t="shared" si="14"/>
        <v>0</v>
      </c>
      <c r="X100" s="611"/>
      <c r="Y100" s="26"/>
      <c r="Z100" s="8">
        <f t="shared" si="15"/>
        <v>0</v>
      </c>
      <c r="AA100" s="611"/>
      <c r="AB100" s="26"/>
      <c r="AC100" s="8">
        <f t="shared" si="16"/>
        <v>0</v>
      </c>
      <c r="AD100" s="26"/>
      <c r="AE100" s="26"/>
      <c r="AF100" s="26"/>
      <c r="AG100" s="26"/>
      <c r="AH100" s="26"/>
    </row>
    <row r="101" ht="12.75" customHeight="1">
      <c r="A101" s="24"/>
      <c r="B101" s="609"/>
      <c r="C101" s="24"/>
      <c r="D101" s="24"/>
      <c r="E101" s="610"/>
      <c r="F101" s="611"/>
      <c r="G101" s="26"/>
      <c r="H101" s="8">
        <f t="shared" si="18"/>
        <v>0</v>
      </c>
      <c r="I101" s="611"/>
      <c r="J101" s="26"/>
      <c r="K101" s="8">
        <f t="shared" si="10"/>
        <v>0</v>
      </c>
      <c r="L101" s="611"/>
      <c r="M101" s="26"/>
      <c r="N101" s="8">
        <f t="shared" si="11"/>
        <v>0</v>
      </c>
      <c r="O101" s="611"/>
      <c r="P101" s="26"/>
      <c r="Q101" s="8">
        <f t="shared" si="12"/>
        <v>0</v>
      </c>
      <c r="R101" s="611"/>
      <c r="S101" s="26"/>
      <c r="T101" s="8">
        <f t="shared" si="13"/>
        <v>0</v>
      </c>
      <c r="U101" s="611"/>
      <c r="V101" s="26"/>
      <c r="W101" s="8">
        <f t="shared" si="14"/>
        <v>0</v>
      </c>
      <c r="X101" s="611"/>
      <c r="Y101" s="26"/>
      <c r="Z101" s="8">
        <f t="shared" si="15"/>
        <v>0</v>
      </c>
      <c r="AA101" s="611"/>
      <c r="AB101" s="26"/>
      <c r="AC101" s="8">
        <f t="shared" si="16"/>
        <v>0</v>
      </c>
      <c r="AD101" s="26"/>
      <c r="AE101" s="26"/>
      <c r="AF101" s="26"/>
      <c r="AG101" s="26"/>
      <c r="AH101" s="26"/>
    </row>
    <row r="102" ht="12.75" customHeight="1">
      <c r="A102" s="24"/>
      <c r="B102" s="609"/>
      <c r="C102" s="24"/>
      <c r="D102" s="24"/>
      <c r="E102" s="610"/>
      <c r="F102" s="611"/>
      <c r="G102" s="26"/>
      <c r="H102" s="8">
        <f t="shared" si="18"/>
        <v>0</v>
      </c>
      <c r="I102" s="611"/>
      <c r="J102" s="26"/>
      <c r="K102" s="8">
        <f t="shared" si="10"/>
        <v>0</v>
      </c>
      <c r="L102" s="611"/>
      <c r="M102" s="26"/>
      <c r="N102" s="8">
        <f t="shared" si="11"/>
        <v>0</v>
      </c>
      <c r="O102" s="611"/>
      <c r="P102" s="26"/>
      <c r="Q102" s="8">
        <f t="shared" si="12"/>
        <v>0</v>
      </c>
      <c r="R102" s="611"/>
      <c r="S102" s="26"/>
      <c r="T102" s="8">
        <f t="shared" si="13"/>
        <v>0</v>
      </c>
      <c r="U102" s="611"/>
      <c r="V102" s="26"/>
      <c r="W102" s="8">
        <f t="shared" si="14"/>
        <v>0</v>
      </c>
      <c r="X102" s="611"/>
      <c r="Y102" s="26"/>
      <c r="Z102" s="8">
        <f t="shared" si="15"/>
        <v>0</v>
      </c>
      <c r="AA102" s="611"/>
      <c r="AB102" s="26"/>
      <c r="AC102" s="8">
        <f t="shared" si="16"/>
        <v>0</v>
      </c>
      <c r="AD102" s="26"/>
      <c r="AE102" s="26"/>
      <c r="AF102" s="26"/>
      <c r="AG102" s="26"/>
      <c r="AH102" s="26"/>
    </row>
    <row r="103" ht="12.75" customHeight="1">
      <c r="A103" s="24"/>
      <c r="B103" s="609"/>
      <c r="C103" s="24"/>
      <c r="D103" s="24"/>
      <c r="E103" s="610"/>
      <c r="F103" s="611"/>
      <c r="G103" s="26"/>
      <c r="H103" s="8">
        <f t="shared" si="18"/>
        <v>0</v>
      </c>
      <c r="I103" s="611"/>
      <c r="J103" s="26"/>
      <c r="K103" s="8">
        <f t="shared" si="10"/>
        <v>0</v>
      </c>
      <c r="L103" s="611"/>
      <c r="M103" s="26"/>
      <c r="N103" s="8">
        <f t="shared" si="11"/>
        <v>0</v>
      </c>
      <c r="O103" s="611"/>
      <c r="P103" s="26"/>
      <c r="Q103" s="8">
        <f t="shared" si="12"/>
        <v>0</v>
      </c>
      <c r="R103" s="611"/>
      <c r="S103" s="26"/>
      <c r="T103" s="8">
        <f t="shared" si="13"/>
        <v>0</v>
      </c>
      <c r="U103" s="611"/>
      <c r="V103" s="26"/>
      <c r="W103" s="8">
        <f t="shared" si="14"/>
        <v>0</v>
      </c>
      <c r="X103" s="611"/>
      <c r="Y103" s="26"/>
      <c r="Z103" s="8">
        <f t="shared" si="15"/>
        <v>0</v>
      </c>
      <c r="AA103" s="611"/>
      <c r="AB103" s="26"/>
      <c r="AC103" s="8">
        <f t="shared" si="16"/>
        <v>0</v>
      </c>
      <c r="AD103" s="26"/>
      <c r="AE103" s="26"/>
      <c r="AF103" s="26"/>
      <c r="AG103" s="26"/>
      <c r="AH103" s="26"/>
    </row>
    <row r="104" ht="12.75" customHeight="1">
      <c r="A104" s="24"/>
      <c r="B104" s="609"/>
      <c r="C104" s="24"/>
      <c r="D104" s="24"/>
      <c r="E104" s="610"/>
      <c r="F104" s="611"/>
      <c r="G104" s="26"/>
      <c r="H104" s="8">
        <f t="shared" si="18"/>
        <v>0</v>
      </c>
      <c r="I104" s="611"/>
      <c r="J104" s="26"/>
      <c r="K104" s="8">
        <f t="shared" si="10"/>
        <v>0</v>
      </c>
      <c r="L104" s="611"/>
      <c r="M104" s="26"/>
      <c r="N104" s="8">
        <f t="shared" si="11"/>
        <v>0</v>
      </c>
      <c r="O104" s="611"/>
      <c r="P104" s="26"/>
      <c r="Q104" s="8">
        <f t="shared" si="12"/>
        <v>0</v>
      </c>
      <c r="R104" s="611"/>
      <c r="S104" s="26"/>
      <c r="T104" s="8">
        <f t="shared" si="13"/>
        <v>0</v>
      </c>
      <c r="U104" s="611"/>
      <c r="V104" s="26"/>
      <c r="W104" s="8">
        <f t="shared" si="14"/>
        <v>0</v>
      </c>
      <c r="X104" s="611"/>
      <c r="Y104" s="26"/>
      <c r="Z104" s="8">
        <f t="shared" si="15"/>
        <v>0</v>
      </c>
      <c r="AA104" s="611"/>
      <c r="AB104" s="26"/>
      <c r="AC104" s="8">
        <f t="shared" si="16"/>
        <v>0</v>
      </c>
      <c r="AD104" s="26"/>
      <c r="AE104" s="26"/>
      <c r="AF104" s="26"/>
      <c r="AG104" s="26"/>
      <c r="AH104" s="26"/>
    </row>
    <row r="105" ht="12.75" customHeight="1">
      <c r="A105" s="24"/>
      <c r="B105" s="609"/>
      <c r="C105" s="24"/>
      <c r="D105" s="24"/>
      <c r="E105" s="610"/>
      <c r="F105" s="611"/>
      <c r="G105" s="26"/>
      <c r="H105" s="8">
        <f t="shared" si="18"/>
        <v>0</v>
      </c>
      <c r="I105" s="611"/>
      <c r="J105" s="26"/>
      <c r="K105" s="8">
        <f t="shared" si="10"/>
        <v>0</v>
      </c>
      <c r="L105" s="611"/>
      <c r="M105" s="26"/>
      <c r="N105" s="8">
        <f t="shared" si="11"/>
        <v>0</v>
      </c>
      <c r="O105" s="611"/>
      <c r="P105" s="26"/>
      <c r="Q105" s="8">
        <f t="shared" si="12"/>
        <v>0</v>
      </c>
      <c r="R105" s="611"/>
      <c r="S105" s="26"/>
      <c r="T105" s="8">
        <f t="shared" si="13"/>
        <v>0</v>
      </c>
      <c r="U105" s="611"/>
      <c r="V105" s="26"/>
      <c r="W105" s="8">
        <f t="shared" si="14"/>
        <v>0</v>
      </c>
      <c r="X105" s="611"/>
      <c r="Y105" s="26"/>
      <c r="Z105" s="8">
        <f t="shared" si="15"/>
        <v>0</v>
      </c>
      <c r="AA105" s="611"/>
      <c r="AB105" s="26"/>
      <c r="AC105" s="8">
        <f t="shared" si="16"/>
        <v>0</v>
      </c>
      <c r="AD105" s="26"/>
      <c r="AE105" s="26"/>
      <c r="AF105" s="26"/>
      <c r="AG105" s="26"/>
      <c r="AH105" s="26"/>
    </row>
    <row r="106" ht="12.75" customHeight="1">
      <c r="A106" s="24"/>
      <c r="B106" s="609"/>
      <c r="C106" s="24"/>
      <c r="D106" s="24"/>
      <c r="E106" s="610"/>
      <c r="F106" s="611"/>
      <c r="G106" s="26"/>
      <c r="H106" s="8">
        <f t="shared" si="18"/>
        <v>0</v>
      </c>
      <c r="I106" s="611"/>
      <c r="J106" s="26"/>
      <c r="K106" s="8">
        <f t="shared" si="10"/>
        <v>0</v>
      </c>
      <c r="L106" s="611"/>
      <c r="M106" s="26"/>
      <c r="N106" s="8">
        <f t="shared" si="11"/>
        <v>0</v>
      </c>
      <c r="O106" s="611"/>
      <c r="P106" s="26"/>
      <c r="Q106" s="8">
        <f t="shared" si="12"/>
        <v>0</v>
      </c>
      <c r="R106" s="611"/>
      <c r="S106" s="26"/>
      <c r="T106" s="8">
        <f t="shared" si="13"/>
        <v>0</v>
      </c>
      <c r="U106" s="611"/>
      <c r="V106" s="26"/>
      <c r="W106" s="8">
        <f t="shared" si="14"/>
        <v>0</v>
      </c>
      <c r="X106" s="611"/>
      <c r="Y106" s="26"/>
      <c r="Z106" s="8">
        <f t="shared" si="15"/>
        <v>0</v>
      </c>
      <c r="AA106" s="611"/>
      <c r="AB106" s="26"/>
      <c r="AC106" s="8">
        <f t="shared" si="16"/>
        <v>0</v>
      </c>
      <c r="AD106" s="26"/>
      <c r="AE106" s="26"/>
      <c r="AF106" s="26"/>
      <c r="AG106" s="26"/>
      <c r="AH106" s="26"/>
    </row>
    <row r="107" ht="12.75" customHeight="1">
      <c r="A107" s="24"/>
      <c r="B107" s="609"/>
      <c r="C107" s="24"/>
      <c r="D107" s="24"/>
      <c r="E107" s="610"/>
      <c r="F107" s="611"/>
      <c r="G107" s="26"/>
      <c r="H107" s="8">
        <f t="shared" si="18"/>
        <v>0</v>
      </c>
      <c r="I107" s="611"/>
      <c r="J107" s="26"/>
      <c r="K107" s="8">
        <f t="shared" si="10"/>
        <v>0</v>
      </c>
      <c r="L107" s="611"/>
      <c r="M107" s="26"/>
      <c r="N107" s="8">
        <f t="shared" si="11"/>
        <v>0</v>
      </c>
      <c r="O107" s="611"/>
      <c r="P107" s="26"/>
      <c r="Q107" s="8">
        <f t="shared" si="12"/>
        <v>0</v>
      </c>
      <c r="R107" s="611"/>
      <c r="S107" s="26"/>
      <c r="T107" s="8">
        <f t="shared" si="13"/>
        <v>0</v>
      </c>
      <c r="U107" s="611"/>
      <c r="V107" s="26"/>
      <c r="W107" s="8">
        <f t="shared" si="14"/>
        <v>0</v>
      </c>
      <c r="X107" s="611"/>
      <c r="Y107" s="26"/>
      <c r="Z107" s="8">
        <f t="shared" si="15"/>
        <v>0</v>
      </c>
      <c r="AA107" s="611"/>
      <c r="AB107" s="26"/>
      <c r="AC107" s="8">
        <f t="shared" si="16"/>
        <v>0</v>
      </c>
      <c r="AD107" s="26"/>
      <c r="AE107" s="26"/>
      <c r="AF107" s="26"/>
      <c r="AG107" s="26"/>
      <c r="AH107" s="26"/>
    </row>
    <row r="108" ht="12.75" customHeight="1">
      <c r="A108" s="24"/>
      <c r="B108" s="609"/>
      <c r="C108" s="24"/>
      <c r="D108" s="24"/>
      <c r="E108" s="610"/>
      <c r="F108" s="611"/>
      <c r="G108" s="26"/>
      <c r="H108" s="8">
        <f t="shared" si="18"/>
        <v>0</v>
      </c>
      <c r="I108" s="611"/>
      <c r="J108" s="26"/>
      <c r="K108" s="8">
        <f t="shared" si="10"/>
        <v>0</v>
      </c>
      <c r="L108" s="611"/>
      <c r="M108" s="26"/>
      <c r="N108" s="8">
        <f t="shared" si="11"/>
        <v>0</v>
      </c>
      <c r="O108" s="611"/>
      <c r="P108" s="26"/>
      <c r="Q108" s="8">
        <f t="shared" si="12"/>
        <v>0</v>
      </c>
      <c r="R108" s="611"/>
      <c r="S108" s="26"/>
      <c r="T108" s="8">
        <f t="shared" si="13"/>
        <v>0</v>
      </c>
      <c r="U108" s="611"/>
      <c r="V108" s="26"/>
      <c r="W108" s="8">
        <f t="shared" si="14"/>
        <v>0</v>
      </c>
      <c r="X108" s="611"/>
      <c r="Y108" s="26"/>
      <c r="Z108" s="8">
        <f t="shared" si="15"/>
        <v>0</v>
      </c>
      <c r="AA108" s="611"/>
      <c r="AB108" s="26"/>
      <c r="AC108" s="8">
        <f t="shared" si="16"/>
        <v>0</v>
      </c>
      <c r="AD108" s="26"/>
      <c r="AE108" s="26"/>
      <c r="AF108" s="26"/>
      <c r="AG108" s="26"/>
      <c r="AH108" s="26"/>
    </row>
    <row r="109" ht="12.75" customHeight="1">
      <c r="A109" s="24"/>
      <c r="B109" s="609"/>
      <c r="C109" s="24"/>
      <c r="D109" s="24"/>
      <c r="E109" s="610"/>
      <c r="F109" s="611"/>
      <c r="G109" s="26"/>
      <c r="H109" s="8">
        <f t="shared" si="18"/>
        <v>0</v>
      </c>
      <c r="I109" s="611"/>
      <c r="J109" s="26"/>
      <c r="K109" s="8">
        <f t="shared" si="10"/>
        <v>0</v>
      </c>
      <c r="L109" s="611"/>
      <c r="M109" s="26"/>
      <c r="N109" s="8">
        <f t="shared" si="11"/>
        <v>0</v>
      </c>
      <c r="O109" s="611"/>
      <c r="P109" s="26"/>
      <c r="Q109" s="8">
        <f t="shared" si="12"/>
        <v>0</v>
      </c>
      <c r="R109" s="611"/>
      <c r="S109" s="26"/>
      <c r="T109" s="8">
        <f t="shared" si="13"/>
        <v>0</v>
      </c>
      <c r="U109" s="611"/>
      <c r="V109" s="26"/>
      <c r="W109" s="8">
        <f t="shared" si="14"/>
        <v>0</v>
      </c>
      <c r="X109" s="611"/>
      <c r="Y109" s="26"/>
      <c r="Z109" s="8">
        <f t="shared" si="15"/>
        <v>0</v>
      </c>
      <c r="AA109" s="611"/>
      <c r="AB109" s="26"/>
      <c r="AC109" s="8">
        <f t="shared" si="16"/>
        <v>0</v>
      </c>
      <c r="AD109" s="26"/>
      <c r="AE109" s="26"/>
      <c r="AF109" s="26"/>
      <c r="AG109" s="26"/>
      <c r="AH109" s="26"/>
    </row>
    <row r="110" ht="12.75" customHeight="1">
      <c r="A110" s="24"/>
      <c r="B110" s="609"/>
      <c r="C110" s="24"/>
      <c r="D110" s="24"/>
      <c r="E110" s="610"/>
      <c r="F110" s="611"/>
      <c r="G110" s="26"/>
      <c r="H110" s="8">
        <f t="shared" si="18"/>
        <v>0</v>
      </c>
      <c r="I110" s="611"/>
      <c r="J110" s="26"/>
      <c r="K110" s="8">
        <f t="shared" si="10"/>
        <v>0</v>
      </c>
      <c r="L110" s="611"/>
      <c r="M110" s="26"/>
      <c r="N110" s="8">
        <f t="shared" si="11"/>
        <v>0</v>
      </c>
      <c r="O110" s="611"/>
      <c r="P110" s="26"/>
      <c r="Q110" s="8">
        <f t="shared" si="12"/>
        <v>0</v>
      </c>
      <c r="R110" s="611"/>
      <c r="S110" s="26"/>
      <c r="T110" s="8">
        <f t="shared" si="13"/>
        <v>0</v>
      </c>
      <c r="U110" s="611"/>
      <c r="V110" s="26"/>
      <c r="W110" s="8">
        <f t="shared" si="14"/>
        <v>0</v>
      </c>
      <c r="X110" s="611"/>
      <c r="Y110" s="26"/>
      <c r="Z110" s="8">
        <f t="shared" si="15"/>
        <v>0</v>
      </c>
      <c r="AA110" s="611"/>
      <c r="AB110" s="26"/>
      <c r="AC110" s="8">
        <f t="shared" si="16"/>
        <v>0</v>
      </c>
      <c r="AD110" s="26"/>
      <c r="AE110" s="26"/>
      <c r="AF110" s="26"/>
      <c r="AG110" s="26"/>
      <c r="AH110" s="26"/>
    </row>
    <row r="111" ht="12.75" customHeight="1">
      <c r="A111" s="24"/>
      <c r="B111" s="609"/>
      <c r="C111" s="24"/>
      <c r="D111" s="24"/>
      <c r="E111" s="610"/>
      <c r="F111" s="611"/>
      <c r="G111" s="26"/>
      <c r="H111" s="8">
        <f t="shared" si="18"/>
        <v>0</v>
      </c>
      <c r="I111" s="611"/>
      <c r="J111" s="26"/>
      <c r="K111" s="8">
        <f t="shared" si="10"/>
        <v>0</v>
      </c>
      <c r="L111" s="611"/>
      <c r="M111" s="26"/>
      <c r="N111" s="8">
        <f t="shared" si="11"/>
        <v>0</v>
      </c>
      <c r="O111" s="611"/>
      <c r="P111" s="26"/>
      <c r="Q111" s="8">
        <f t="shared" si="12"/>
        <v>0</v>
      </c>
      <c r="R111" s="611"/>
      <c r="S111" s="26"/>
      <c r="T111" s="8">
        <f t="shared" si="13"/>
        <v>0</v>
      </c>
      <c r="U111" s="611"/>
      <c r="V111" s="26"/>
      <c r="W111" s="8">
        <f t="shared" si="14"/>
        <v>0</v>
      </c>
      <c r="X111" s="611"/>
      <c r="Y111" s="26"/>
      <c r="Z111" s="8">
        <f t="shared" si="15"/>
        <v>0</v>
      </c>
      <c r="AA111" s="611"/>
      <c r="AB111" s="26"/>
      <c r="AC111" s="8">
        <f t="shared" si="16"/>
        <v>0</v>
      </c>
      <c r="AD111" s="26"/>
      <c r="AE111" s="26"/>
      <c r="AF111" s="26"/>
      <c r="AG111" s="26"/>
      <c r="AH111" s="26"/>
    </row>
    <row r="112" ht="12.75" customHeight="1">
      <c r="A112" s="24"/>
      <c r="B112" s="609"/>
      <c r="C112" s="24"/>
      <c r="D112" s="24"/>
      <c r="E112" s="610"/>
      <c r="F112" s="611"/>
      <c r="G112" s="26"/>
      <c r="H112" s="8">
        <f t="shared" si="18"/>
        <v>0</v>
      </c>
      <c r="I112" s="611"/>
      <c r="J112" s="26"/>
      <c r="K112" s="8">
        <f t="shared" si="10"/>
        <v>0</v>
      </c>
      <c r="L112" s="611"/>
      <c r="M112" s="26"/>
      <c r="N112" s="8">
        <f t="shared" si="11"/>
        <v>0</v>
      </c>
      <c r="O112" s="611"/>
      <c r="P112" s="26"/>
      <c r="Q112" s="8">
        <f t="shared" si="12"/>
        <v>0</v>
      </c>
      <c r="R112" s="611"/>
      <c r="S112" s="26"/>
      <c r="T112" s="8">
        <f t="shared" si="13"/>
        <v>0</v>
      </c>
      <c r="U112" s="611"/>
      <c r="V112" s="26"/>
      <c r="W112" s="8">
        <f t="shared" si="14"/>
        <v>0</v>
      </c>
      <c r="X112" s="611"/>
      <c r="Y112" s="26"/>
      <c r="Z112" s="8">
        <f t="shared" si="15"/>
        <v>0</v>
      </c>
      <c r="AA112" s="611"/>
      <c r="AB112" s="26"/>
      <c r="AC112" s="8">
        <f t="shared" si="16"/>
        <v>0</v>
      </c>
      <c r="AD112" s="26"/>
      <c r="AE112" s="26"/>
      <c r="AF112" s="26"/>
      <c r="AG112" s="26"/>
      <c r="AH112" s="26"/>
    </row>
    <row r="113" ht="12.75" customHeight="1">
      <c r="A113" s="24"/>
      <c r="B113" s="609"/>
      <c r="C113" s="24"/>
      <c r="D113" s="24"/>
      <c r="E113" s="610"/>
      <c r="F113" s="611"/>
      <c r="G113" s="26"/>
      <c r="H113" s="8">
        <f t="shared" si="18"/>
        <v>0</v>
      </c>
      <c r="I113" s="611"/>
      <c r="J113" s="26"/>
      <c r="K113" s="8">
        <f t="shared" si="10"/>
        <v>0</v>
      </c>
      <c r="L113" s="611"/>
      <c r="M113" s="26"/>
      <c r="N113" s="8">
        <f t="shared" si="11"/>
        <v>0</v>
      </c>
      <c r="O113" s="611"/>
      <c r="P113" s="26"/>
      <c r="Q113" s="8">
        <f t="shared" si="12"/>
        <v>0</v>
      </c>
      <c r="R113" s="611"/>
      <c r="S113" s="26"/>
      <c r="T113" s="8">
        <f t="shared" si="13"/>
        <v>0</v>
      </c>
      <c r="U113" s="611"/>
      <c r="V113" s="26"/>
      <c r="W113" s="8">
        <f t="shared" si="14"/>
        <v>0</v>
      </c>
      <c r="X113" s="611"/>
      <c r="Y113" s="26"/>
      <c r="Z113" s="8">
        <f t="shared" si="15"/>
        <v>0</v>
      </c>
      <c r="AA113" s="611"/>
      <c r="AB113" s="26"/>
      <c r="AC113" s="8">
        <f t="shared" si="16"/>
        <v>0</v>
      </c>
      <c r="AD113" s="26"/>
      <c r="AE113" s="26"/>
      <c r="AF113" s="26"/>
      <c r="AG113" s="26"/>
      <c r="AH113" s="26"/>
    </row>
    <row r="114" ht="12.75" customHeight="1">
      <c r="A114" s="24"/>
      <c r="B114" s="609"/>
      <c r="C114" s="24"/>
      <c r="D114" s="24"/>
      <c r="E114" s="610"/>
      <c r="F114" s="611"/>
      <c r="G114" s="26"/>
      <c r="H114" s="8">
        <f t="shared" si="18"/>
        <v>0</v>
      </c>
      <c r="I114" s="611"/>
      <c r="J114" s="26"/>
      <c r="K114" s="8">
        <f t="shared" si="10"/>
        <v>0</v>
      </c>
      <c r="L114" s="611"/>
      <c r="M114" s="26"/>
      <c r="N114" s="8">
        <f t="shared" si="11"/>
        <v>0</v>
      </c>
      <c r="O114" s="611"/>
      <c r="P114" s="26"/>
      <c r="Q114" s="8">
        <f t="shared" si="12"/>
        <v>0</v>
      </c>
      <c r="R114" s="611"/>
      <c r="S114" s="26"/>
      <c r="T114" s="8">
        <f t="shared" si="13"/>
        <v>0</v>
      </c>
      <c r="U114" s="611"/>
      <c r="V114" s="26"/>
      <c r="W114" s="8">
        <f t="shared" si="14"/>
        <v>0</v>
      </c>
      <c r="X114" s="611"/>
      <c r="Y114" s="26"/>
      <c r="Z114" s="8">
        <f t="shared" si="15"/>
        <v>0</v>
      </c>
      <c r="AA114" s="611"/>
      <c r="AB114" s="26"/>
      <c r="AC114" s="8">
        <f t="shared" si="16"/>
        <v>0</v>
      </c>
      <c r="AD114" s="26"/>
      <c r="AE114" s="26"/>
      <c r="AF114" s="26"/>
      <c r="AG114" s="26"/>
      <c r="AH114" s="26"/>
    </row>
    <row r="115" ht="12.75" customHeight="1">
      <c r="A115" s="24"/>
      <c r="B115" s="609"/>
      <c r="C115" s="24"/>
      <c r="D115" s="24"/>
      <c r="E115" s="610"/>
      <c r="F115" s="611"/>
      <c r="G115" s="26"/>
      <c r="H115" s="8">
        <f t="shared" si="18"/>
        <v>0</v>
      </c>
      <c r="I115" s="611"/>
      <c r="J115" s="26"/>
      <c r="K115" s="8">
        <f t="shared" si="10"/>
        <v>0</v>
      </c>
      <c r="L115" s="611"/>
      <c r="M115" s="26"/>
      <c r="N115" s="8">
        <f t="shared" si="11"/>
        <v>0</v>
      </c>
      <c r="O115" s="611"/>
      <c r="P115" s="26"/>
      <c r="Q115" s="8">
        <f t="shared" si="12"/>
        <v>0</v>
      </c>
      <c r="R115" s="611"/>
      <c r="S115" s="26"/>
      <c r="T115" s="8">
        <f t="shared" si="13"/>
        <v>0</v>
      </c>
      <c r="U115" s="611"/>
      <c r="V115" s="26"/>
      <c r="W115" s="8">
        <f t="shared" si="14"/>
        <v>0</v>
      </c>
      <c r="X115" s="611"/>
      <c r="Y115" s="26"/>
      <c r="Z115" s="8">
        <f t="shared" si="15"/>
        <v>0</v>
      </c>
      <c r="AA115" s="611"/>
      <c r="AB115" s="26"/>
      <c r="AC115" s="8">
        <f t="shared" si="16"/>
        <v>0</v>
      </c>
      <c r="AD115" s="26"/>
      <c r="AE115" s="26"/>
      <c r="AF115" s="26"/>
      <c r="AG115" s="26"/>
      <c r="AH115" s="26"/>
    </row>
    <row r="116" ht="12.75" customHeight="1">
      <c r="A116" s="24"/>
      <c r="B116" s="609"/>
      <c r="C116" s="24"/>
      <c r="D116" s="24"/>
      <c r="E116" s="610"/>
      <c r="F116" s="611"/>
      <c r="G116" s="26"/>
      <c r="H116" s="8">
        <f t="shared" si="18"/>
        <v>0</v>
      </c>
      <c r="I116" s="611"/>
      <c r="J116" s="26"/>
      <c r="K116" s="8">
        <f t="shared" si="10"/>
        <v>0</v>
      </c>
      <c r="L116" s="611"/>
      <c r="M116" s="26"/>
      <c r="N116" s="8">
        <f t="shared" si="11"/>
        <v>0</v>
      </c>
      <c r="O116" s="611"/>
      <c r="P116" s="26"/>
      <c r="Q116" s="8">
        <f t="shared" si="12"/>
        <v>0</v>
      </c>
      <c r="R116" s="611"/>
      <c r="S116" s="26"/>
      <c r="T116" s="8">
        <f t="shared" si="13"/>
        <v>0</v>
      </c>
      <c r="U116" s="611"/>
      <c r="V116" s="26"/>
      <c r="W116" s="8">
        <f t="shared" si="14"/>
        <v>0</v>
      </c>
      <c r="X116" s="611"/>
      <c r="Y116" s="26"/>
      <c r="Z116" s="8">
        <f t="shared" si="15"/>
        <v>0</v>
      </c>
      <c r="AA116" s="611"/>
      <c r="AB116" s="26"/>
      <c r="AC116" s="8">
        <f t="shared" si="16"/>
        <v>0</v>
      </c>
      <c r="AD116" s="26"/>
      <c r="AE116" s="26"/>
      <c r="AF116" s="26"/>
      <c r="AG116" s="26"/>
      <c r="AH116" s="26"/>
    </row>
    <row r="117" ht="12.75" customHeight="1">
      <c r="A117" s="24"/>
      <c r="B117" s="609"/>
      <c r="C117" s="24"/>
      <c r="D117" s="24"/>
      <c r="E117" s="610"/>
      <c r="F117" s="611"/>
      <c r="G117" s="26"/>
      <c r="H117" s="8">
        <f t="shared" si="18"/>
        <v>0</v>
      </c>
      <c r="I117" s="611"/>
      <c r="J117" s="26"/>
      <c r="K117" s="8">
        <f t="shared" si="10"/>
        <v>0</v>
      </c>
      <c r="L117" s="611"/>
      <c r="M117" s="26"/>
      <c r="N117" s="8">
        <f t="shared" si="11"/>
        <v>0</v>
      </c>
      <c r="O117" s="611"/>
      <c r="P117" s="26"/>
      <c r="Q117" s="8">
        <f t="shared" si="12"/>
        <v>0</v>
      </c>
      <c r="R117" s="611"/>
      <c r="S117" s="26"/>
      <c r="T117" s="8">
        <f t="shared" si="13"/>
        <v>0</v>
      </c>
      <c r="U117" s="611"/>
      <c r="V117" s="26"/>
      <c r="W117" s="8">
        <f t="shared" si="14"/>
        <v>0</v>
      </c>
      <c r="X117" s="611"/>
      <c r="Y117" s="26"/>
      <c r="Z117" s="8">
        <f t="shared" si="15"/>
        <v>0</v>
      </c>
      <c r="AA117" s="611"/>
      <c r="AB117" s="26"/>
      <c r="AC117" s="8">
        <f t="shared" si="16"/>
        <v>0</v>
      </c>
      <c r="AD117" s="26"/>
      <c r="AE117" s="26"/>
      <c r="AF117" s="26"/>
      <c r="AG117" s="26"/>
      <c r="AH117" s="26"/>
    </row>
    <row r="118" ht="12.75" customHeight="1">
      <c r="A118" s="24"/>
      <c r="B118" s="609"/>
      <c r="C118" s="24"/>
      <c r="D118" s="24"/>
      <c r="E118" s="610"/>
      <c r="F118" s="611"/>
      <c r="G118" s="26"/>
      <c r="H118" s="8">
        <f t="shared" si="18"/>
        <v>0</v>
      </c>
      <c r="I118" s="611"/>
      <c r="J118" s="26"/>
      <c r="K118" s="8">
        <f t="shared" si="10"/>
        <v>0</v>
      </c>
      <c r="L118" s="611"/>
      <c r="M118" s="26"/>
      <c r="N118" s="8">
        <f t="shared" si="11"/>
        <v>0</v>
      </c>
      <c r="O118" s="611"/>
      <c r="P118" s="26"/>
      <c r="Q118" s="8">
        <f t="shared" si="12"/>
        <v>0</v>
      </c>
      <c r="R118" s="611"/>
      <c r="S118" s="26"/>
      <c r="T118" s="8">
        <f t="shared" si="13"/>
        <v>0</v>
      </c>
      <c r="U118" s="611"/>
      <c r="V118" s="26"/>
      <c r="W118" s="8">
        <f t="shared" si="14"/>
        <v>0</v>
      </c>
      <c r="X118" s="611"/>
      <c r="Y118" s="26"/>
      <c r="Z118" s="8">
        <f t="shared" si="15"/>
        <v>0</v>
      </c>
      <c r="AA118" s="611"/>
      <c r="AB118" s="26"/>
      <c r="AC118" s="8">
        <f t="shared" si="16"/>
        <v>0</v>
      </c>
      <c r="AD118" s="26"/>
      <c r="AE118" s="26"/>
      <c r="AF118" s="26"/>
      <c r="AG118" s="26"/>
      <c r="AH118" s="26"/>
    </row>
    <row r="119" ht="12.75" customHeight="1">
      <c r="A119" s="24"/>
      <c r="B119" s="609"/>
      <c r="C119" s="24"/>
      <c r="D119" s="24"/>
      <c r="E119" s="610"/>
      <c r="F119" s="611"/>
      <c r="G119" s="26"/>
      <c r="H119" s="8">
        <f t="shared" si="18"/>
        <v>0</v>
      </c>
      <c r="I119" s="611"/>
      <c r="J119" s="26"/>
      <c r="K119" s="8">
        <f t="shared" si="10"/>
        <v>0</v>
      </c>
      <c r="L119" s="611"/>
      <c r="M119" s="26"/>
      <c r="N119" s="8">
        <f t="shared" si="11"/>
        <v>0</v>
      </c>
      <c r="O119" s="611"/>
      <c r="P119" s="26"/>
      <c r="Q119" s="8">
        <f t="shared" si="12"/>
        <v>0</v>
      </c>
      <c r="R119" s="611"/>
      <c r="S119" s="26"/>
      <c r="T119" s="8">
        <f t="shared" si="13"/>
        <v>0</v>
      </c>
      <c r="U119" s="611"/>
      <c r="V119" s="26"/>
      <c r="W119" s="8">
        <f t="shared" si="14"/>
        <v>0</v>
      </c>
      <c r="X119" s="611"/>
      <c r="Y119" s="26"/>
      <c r="Z119" s="8">
        <f t="shared" si="15"/>
        <v>0</v>
      </c>
      <c r="AA119" s="611"/>
      <c r="AB119" s="26"/>
      <c r="AC119" s="8">
        <f t="shared" si="16"/>
        <v>0</v>
      </c>
      <c r="AD119" s="26"/>
      <c r="AE119" s="26"/>
      <c r="AF119" s="26"/>
      <c r="AG119" s="26"/>
      <c r="AH119" s="26"/>
    </row>
    <row r="120" ht="12.75" customHeight="1">
      <c r="A120" s="24"/>
      <c r="B120" s="609"/>
      <c r="C120" s="24"/>
      <c r="D120" s="24"/>
      <c r="E120" s="610"/>
      <c r="F120" s="611"/>
      <c r="G120" s="26"/>
      <c r="H120" s="8">
        <f t="shared" si="18"/>
        <v>0</v>
      </c>
      <c r="I120" s="611"/>
      <c r="J120" s="26"/>
      <c r="K120" s="8">
        <f t="shared" si="10"/>
        <v>0</v>
      </c>
      <c r="L120" s="611"/>
      <c r="M120" s="26"/>
      <c r="N120" s="8">
        <f t="shared" si="11"/>
        <v>0</v>
      </c>
      <c r="O120" s="611"/>
      <c r="P120" s="26"/>
      <c r="Q120" s="8">
        <f t="shared" si="12"/>
        <v>0</v>
      </c>
      <c r="R120" s="611"/>
      <c r="S120" s="26"/>
      <c r="T120" s="8">
        <f t="shared" si="13"/>
        <v>0</v>
      </c>
      <c r="U120" s="611"/>
      <c r="V120" s="26"/>
      <c r="W120" s="8">
        <f t="shared" si="14"/>
        <v>0</v>
      </c>
      <c r="X120" s="611"/>
      <c r="Y120" s="26"/>
      <c r="Z120" s="8">
        <f t="shared" si="15"/>
        <v>0</v>
      </c>
      <c r="AA120" s="611"/>
      <c r="AB120" s="26"/>
      <c r="AC120" s="8">
        <f t="shared" si="16"/>
        <v>0</v>
      </c>
      <c r="AD120" s="26"/>
      <c r="AE120" s="26"/>
      <c r="AF120" s="26"/>
      <c r="AG120" s="26"/>
      <c r="AH120" s="26"/>
    </row>
    <row r="121" ht="12.75" customHeight="1">
      <c r="A121" s="24"/>
      <c r="B121" s="609"/>
      <c r="C121" s="24"/>
      <c r="D121" s="24"/>
      <c r="E121" s="610"/>
      <c r="F121" s="611"/>
      <c r="G121" s="26"/>
      <c r="H121" s="8">
        <f t="shared" si="18"/>
        <v>0</v>
      </c>
      <c r="I121" s="611"/>
      <c r="J121" s="26"/>
      <c r="K121" s="8">
        <f t="shared" si="10"/>
        <v>0</v>
      </c>
      <c r="L121" s="611"/>
      <c r="M121" s="26"/>
      <c r="N121" s="8">
        <f t="shared" si="11"/>
        <v>0</v>
      </c>
      <c r="O121" s="611"/>
      <c r="P121" s="26"/>
      <c r="Q121" s="8">
        <f t="shared" si="12"/>
        <v>0</v>
      </c>
      <c r="R121" s="611"/>
      <c r="S121" s="26"/>
      <c r="T121" s="8">
        <f t="shared" si="13"/>
        <v>0</v>
      </c>
      <c r="U121" s="611"/>
      <c r="V121" s="26"/>
      <c r="W121" s="8">
        <f t="shared" si="14"/>
        <v>0</v>
      </c>
      <c r="X121" s="611"/>
      <c r="Y121" s="26"/>
      <c r="Z121" s="8">
        <f t="shared" si="15"/>
        <v>0</v>
      </c>
      <c r="AA121" s="611"/>
      <c r="AB121" s="26"/>
      <c r="AC121" s="8">
        <f t="shared" si="16"/>
        <v>0</v>
      </c>
      <c r="AD121" s="26"/>
      <c r="AE121" s="26"/>
      <c r="AF121" s="26"/>
      <c r="AG121" s="26"/>
      <c r="AH121" s="26"/>
    </row>
    <row r="122" ht="12.75" customHeight="1">
      <c r="A122" s="24"/>
      <c r="B122" s="609"/>
      <c r="C122" s="24"/>
      <c r="D122" s="24"/>
      <c r="E122" s="610"/>
      <c r="F122" s="611"/>
      <c r="G122" s="26"/>
      <c r="H122" s="8">
        <f t="shared" si="18"/>
        <v>0</v>
      </c>
      <c r="I122" s="611"/>
      <c r="J122" s="26"/>
      <c r="K122" s="8">
        <f t="shared" si="10"/>
        <v>0</v>
      </c>
      <c r="L122" s="611"/>
      <c r="M122" s="26"/>
      <c r="N122" s="8">
        <f t="shared" si="11"/>
        <v>0</v>
      </c>
      <c r="O122" s="611"/>
      <c r="P122" s="26"/>
      <c r="Q122" s="8">
        <f t="shared" si="12"/>
        <v>0</v>
      </c>
      <c r="R122" s="611"/>
      <c r="S122" s="26"/>
      <c r="T122" s="8">
        <f t="shared" si="13"/>
        <v>0</v>
      </c>
      <c r="U122" s="611"/>
      <c r="V122" s="26"/>
      <c r="W122" s="8">
        <f t="shared" si="14"/>
        <v>0</v>
      </c>
      <c r="X122" s="611"/>
      <c r="Y122" s="26"/>
      <c r="Z122" s="8">
        <f t="shared" si="15"/>
        <v>0</v>
      </c>
      <c r="AA122" s="611"/>
      <c r="AB122" s="26"/>
      <c r="AC122" s="8">
        <f t="shared" si="16"/>
        <v>0</v>
      </c>
      <c r="AD122" s="26"/>
      <c r="AE122" s="26"/>
      <c r="AF122" s="26"/>
      <c r="AG122" s="26"/>
      <c r="AH122" s="26"/>
    </row>
    <row r="123" ht="12.75" customHeight="1">
      <c r="A123" s="24"/>
      <c r="B123" s="609"/>
      <c r="C123" s="24"/>
      <c r="D123" s="24"/>
      <c r="E123" s="610"/>
      <c r="F123" s="611"/>
      <c r="G123" s="26"/>
      <c r="H123" s="8">
        <f t="shared" si="18"/>
        <v>0</v>
      </c>
      <c r="I123" s="611"/>
      <c r="J123" s="26"/>
      <c r="K123" s="8">
        <f t="shared" si="10"/>
        <v>0</v>
      </c>
      <c r="L123" s="611"/>
      <c r="M123" s="26"/>
      <c r="N123" s="8">
        <f t="shared" si="11"/>
        <v>0</v>
      </c>
      <c r="O123" s="611"/>
      <c r="P123" s="26"/>
      <c r="Q123" s="8">
        <f t="shared" si="12"/>
        <v>0</v>
      </c>
      <c r="R123" s="611"/>
      <c r="S123" s="26"/>
      <c r="T123" s="8">
        <f t="shared" si="13"/>
        <v>0</v>
      </c>
      <c r="U123" s="611"/>
      <c r="V123" s="26"/>
      <c r="W123" s="8">
        <f t="shared" si="14"/>
        <v>0</v>
      </c>
      <c r="X123" s="611"/>
      <c r="Y123" s="26"/>
      <c r="Z123" s="8">
        <f t="shared" si="15"/>
        <v>0</v>
      </c>
      <c r="AA123" s="611"/>
      <c r="AB123" s="26"/>
      <c r="AC123" s="8">
        <f t="shared" si="16"/>
        <v>0</v>
      </c>
      <c r="AD123" s="26"/>
      <c r="AE123" s="26"/>
      <c r="AF123" s="26"/>
      <c r="AG123" s="26"/>
      <c r="AH123" s="26"/>
    </row>
    <row r="124" ht="12.75" customHeight="1">
      <c r="A124" s="24"/>
      <c r="B124" s="609"/>
      <c r="C124" s="24"/>
      <c r="D124" s="24"/>
      <c r="E124" s="610"/>
      <c r="F124" s="611"/>
      <c r="G124" s="26"/>
      <c r="H124" s="8">
        <f t="shared" si="18"/>
        <v>0</v>
      </c>
      <c r="I124" s="611"/>
      <c r="J124" s="26"/>
      <c r="K124" s="8">
        <f t="shared" si="10"/>
        <v>0</v>
      </c>
      <c r="L124" s="611"/>
      <c r="M124" s="26"/>
      <c r="N124" s="8">
        <f t="shared" si="11"/>
        <v>0</v>
      </c>
      <c r="O124" s="611"/>
      <c r="P124" s="26"/>
      <c r="Q124" s="8">
        <f t="shared" si="12"/>
        <v>0</v>
      </c>
      <c r="R124" s="611"/>
      <c r="S124" s="26"/>
      <c r="T124" s="8">
        <f t="shared" si="13"/>
        <v>0</v>
      </c>
      <c r="U124" s="611"/>
      <c r="V124" s="26"/>
      <c r="W124" s="8">
        <f t="shared" si="14"/>
        <v>0</v>
      </c>
      <c r="X124" s="611"/>
      <c r="Y124" s="26"/>
      <c r="Z124" s="8">
        <f t="shared" si="15"/>
        <v>0</v>
      </c>
      <c r="AA124" s="611"/>
      <c r="AB124" s="26"/>
      <c r="AC124" s="8">
        <f t="shared" si="16"/>
        <v>0</v>
      </c>
      <c r="AD124" s="26"/>
      <c r="AE124" s="26"/>
      <c r="AF124" s="26"/>
      <c r="AG124" s="26"/>
      <c r="AH124" s="26"/>
    </row>
    <row r="125" ht="12.75" customHeight="1">
      <c r="A125" s="24"/>
      <c r="B125" s="609"/>
      <c r="C125" s="24"/>
      <c r="D125" s="24"/>
      <c r="E125" s="610"/>
      <c r="F125" s="611"/>
      <c r="G125" s="26"/>
      <c r="H125" s="8">
        <f t="shared" si="18"/>
        <v>0</v>
      </c>
      <c r="I125" s="611"/>
      <c r="J125" s="26"/>
      <c r="K125" s="8">
        <f t="shared" si="10"/>
        <v>0</v>
      </c>
      <c r="L125" s="611"/>
      <c r="M125" s="26"/>
      <c r="N125" s="8">
        <f t="shared" si="11"/>
        <v>0</v>
      </c>
      <c r="O125" s="611"/>
      <c r="P125" s="26"/>
      <c r="Q125" s="8">
        <f t="shared" si="12"/>
        <v>0</v>
      </c>
      <c r="R125" s="611"/>
      <c r="S125" s="26"/>
      <c r="T125" s="8">
        <f t="shared" si="13"/>
        <v>0</v>
      </c>
      <c r="U125" s="611"/>
      <c r="V125" s="26"/>
      <c r="W125" s="8">
        <f t="shared" si="14"/>
        <v>0</v>
      </c>
      <c r="X125" s="611"/>
      <c r="Y125" s="26"/>
      <c r="Z125" s="8">
        <f t="shared" si="15"/>
        <v>0</v>
      </c>
      <c r="AA125" s="611"/>
      <c r="AB125" s="26"/>
      <c r="AC125" s="8">
        <f t="shared" si="16"/>
        <v>0</v>
      </c>
      <c r="AD125" s="26"/>
      <c r="AE125" s="26"/>
      <c r="AF125" s="26"/>
      <c r="AG125" s="26"/>
      <c r="AH125" s="26"/>
    </row>
    <row r="126" ht="12.75" customHeight="1">
      <c r="A126" s="24"/>
      <c r="B126" s="609"/>
      <c r="C126" s="24"/>
      <c r="D126" s="24"/>
      <c r="E126" s="610"/>
      <c r="F126" s="611"/>
      <c r="G126" s="26"/>
      <c r="H126" s="8">
        <f t="shared" si="18"/>
        <v>0</v>
      </c>
      <c r="I126" s="611"/>
      <c r="J126" s="26"/>
      <c r="K126" s="8">
        <f t="shared" si="10"/>
        <v>0</v>
      </c>
      <c r="L126" s="611"/>
      <c r="M126" s="26"/>
      <c r="N126" s="8">
        <f t="shared" si="11"/>
        <v>0</v>
      </c>
      <c r="O126" s="611"/>
      <c r="P126" s="26"/>
      <c r="Q126" s="8">
        <f t="shared" si="12"/>
        <v>0</v>
      </c>
      <c r="R126" s="611"/>
      <c r="S126" s="26"/>
      <c r="T126" s="8">
        <f t="shared" si="13"/>
        <v>0</v>
      </c>
      <c r="U126" s="611"/>
      <c r="V126" s="26"/>
      <c r="W126" s="8">
        <f t="shared" si="14"/>
        <v>0</v>
      </c>
      <c r="X126" s="611"/>
      <c r="Y126" s="26"/>
      <c r="Z126" s="8">
        <f t="shared" si="15"/>
        <v>0</v>
      </c>
      <c r="AA126" s="611"/>
      <c r="AB126" s="26"/>
      <c r="AC126" s="8">
        <f t="shared" si="16"/>
        <v>0</v>
      </c>
      <c r="AD126" s="26"/>
      <c r="AE126" s="26"/>
      <c r="AF126" s="26"/>
      <c r="AG126" s="26"/>
      <c r="AH126" s="26"/>
    </row>
    <row r="127" ht="12.75" customHeight="1">
      <c r="A127" s="24"/>
      <c r="B127" s="609"/>
      <c r="C127" s="24"/>
      <c r="D127" s="24"/>
      <c r="E127" s="610"/>
      <c r="F127" s="611"/>
      <c r="G127" s="26"/>
      <c r="H127" s="8">
        <f t="shared" si="18"/>
        <v>0</v>
      </c>
      <c r="I127" s="611"/>
      <c r="J127" s="26"/>
      <c r="K127" s="8">
        <f t="shared" si="10"/>
        <v>0</v>
      </c>
      <c r="L127" s="611"/>
      <c r="M127" s="26"/>
      <c r="N127" s="8">
        <f t="shared" si="11"/>
        <v>0</v>
      </c>
      <c r="O127" s="611"/>
      <c r="P127" s="26"/>
      <c r="Q127" s="8">
        <f t="shared" si="12"/>
        <v>0</v>
      </c>
      <c r="R127" s="611"/>
      <c r="S127" s="26"/>
      <c r="T127" s="8">
        <f t="shared" si="13"/>
        <v>0</v>
      </c>
      <c r="U127" s="611"/>
      <c r="V127" s="26"/>
      <c r="W127" s="8">
        <f t="shared" si="14"/>
        <v>0</v>
      </c>
      <c r="X127" s="611"/>
      <c r="Y127" s="26"/>
      <c r="Z127" s="8">
        <f t="shared" si="15"/>
        <v>0</v>
      </c>
      <c r="AA127" s="611"/>
      <c r="AB127" s="26"/>
      <c r="AC127" s="8">
        <f t="shared" si="16"/>
        <v>0</v>
      </c>
      <c r="AD127" s="26"/>
      <c r="AE127" s="26"/>
      <c r="AF127" s="26"/>
      <c r="AG127" s="26"/>
      <c r="AH127" s="26"/>
    </row>
    <row r="128" ht="12.75" customHeight="1">
      <c r="A128" s="24"/>
      <c r="B128" s="609"/>
      <c r="C128" s="24"/>
      <c r="D128" s="24"/>
      <c r="E128" s="610"/>
      <c r="F128" s="611"/>
      <c r="G128" s="26"/>
      <c r="H128" s="8">
        <f t="shared" si="18"/>
        <v>0</v>
      </c>
      <c r="I128" s="611"/>
      <c r="J128" s="26"/>
      <c r="K128" s="8">
        <f t="shared" si="10"/>
        <v>0</v>
      </c>
      <c r="L128" s="611"/>
      <c r="M128" s="26"/>
      <c r="N128" s="8">
        <f t="shared" si="11"/>
        <v>0</v>
      </c>
      <c r="O128" s="611"/>
      <c r="P128" s="26"/>
      <c r="Q128" s="8">
        <f t="shared" si="12"/>
        <v>0</v>
      </c>
      <c r="R128" s="611"/>
      <c r="S128" s="26"/>
      <c r="T128" s="8">
        <f t="shared" si="13"/>
        <v>0</v>
      </c>
      <c r="U128" s="611"/>
      <c r="V128" s="26"/>
      <c r="W128" s="8">
        <f t="shared" si="14"/>
        <v>0</v>
      </c>
      <c r="X128" s="611"/>
      <c r="Y128" s="26"/>
      <c r="Z128" s="8">
        <f t="shared" si="15"/>
        <v>0</v>
      </c>
      <c r="AA128" s="611"/>
      <c r="AB128" s="26"/>
      <c r="AC128" s="8">
        <f t="shared" si="16"/>
        <v>0</v>
      </c>
      <c r="AD128" s="26"/>
      <c r="AE128" s="26"/>
      <c r="AF128" s="26"/>
      <c r="AG128" s="26"/>
      <c r="AH128" s="26"/>
    </row>
    <row r="129" ht="12.75" customHeight="1">
      <c r="A129" s="24"/>
      <c r="B129" s="609"/>
      <c r="C129" s="24"/>
      <c r="D129" s="24"/>
      <c r="E129" s="610"/>
      <c r="F129" s="611"/>
      <c r="G129" s="26"/>
      <c r="H129" s="8">
        <f t="shared" si="18"/>
        <v>0</v>
      </c>
      <c r="I129" s="611"/>
      <c r="J129" s="26"/>
      <c r="K129" s="8">
        <f t="shared" si="10"/>
        <v>0</v>
      </c>
      <c r="L129" s="611"/>
      <c r="M129" s="26"/>
      <c r="N129" s="8">
        <f t="shared" si="11"/>
        <v>0</v>
      </c>
      <c r="O129" s="611"/>
      <c r="P129" s="26"/>
      <c r="Q129" s="8">
        <f t="shared" si="12"/>
        <v>0</v>
      </c>
      <c r="R129" s="611"/>
      <c r="S129" s="26"/>
      <c r="T129" s="8">
        <f t="shared" si="13"/>
        <v>0</v>
      </c>
      <c r="U129" s="611"/>
      <c r="V129" s="26"/>
      <c r="W129" s="8">
        <f t="shared" si="14"/>
        <v>0</v>
      </c>
      <c r="X129" s="611"/>
      <c r="Y129" s="26"/>
      <c r="Z129" s="8">
        <f t="shared" si="15"/>
        <v>0</v>
      </c>
      <c r="AA129" s="611"/>
      <c r="AB129" s="26"/>
      <c r="AC129" s="8">
        <f t="shared" si="16"/>
        <v>0</v>
      </c>
      <c r="AD129" s="26"/>
      <c r="AE129" s="26"/>
      <c r="AF129" s="26"/>
      <c r="AG129" s="26"/>
      <c r="AH129" s="26"/>
    </row>
    <row r="130" ht="12.75" customHeight="1">
      <c r="A130" s="24"/>
      <c r="B130" s="609"/>
      <c r="C130" s="24"/>
      <c r="D130" s="24"/>
      <c r="E130" s="610"/>
      <c r="F130" s="611"/>
      <c r="G130" s="26"/>
      <c r="H130" s="8">
        <f t="shared" si="18"/>
        <v>0</v>
      </c>
      <c r="I130" s="611"/>
      <c r="J130" s="26"/>
      <c r="K130" s="8">
        <f t="shared" si="10"/>
        <v>0</v>
      </c>
      <c r="L130" s="611"/>
      <c r="M130" s="26"/>
      <c r="N130" s="8">
        <f t="shared" si="11"/>
        <v>0</v>
      </c>
      <c r="O130" s="611"/>
      <c r="P130" s="26"/>
      <c r="Q130" s="8">
        <f t="shared" si="12"/>
        <v>0</v>
      </c>
      <c r="R130" s="611"/>
      <c r="S130" s="26"/>
      <c r="T130" s="8">
        <f t="shared" si="13"/>
        <v>0</v>
      </c>
      <c r="U130" s="611"/>
      <c r="V130" s="26"/>
      <c r="W130" s="8">
        <f t="shared" si="14"/>
        <v>0</v>
      </c>
      <c r="X130" s="611"/>
      <c r="Y130" s="26"/>
      <c r="Z130" s="8">
        <f t="shared" si="15"/>
        <v>0</v>
      </c>
      <c r="AA130" s="611"/>
      <c r="AB130" s="26"/>
      <c r="AC130" s="8">
        <f t="shared" si="16"/>
        <v>0</v>
      </c>
      <c r="AD130" s="26"/>
      <c r="AE130" s="26"/>
      <c r="AF130" s="26"/>
      <c r="AG130" s="26"/>
      <c r="AH130" s="26"/>
    </row>
    <row r="131" ht="12.75" customHeight="1">
      <c r="A131" s="24"/>
      <c r="B131" s="609"/>
      <c r="C131" s="24"/>
      <c r="D131" s="24"/>
      <c r="E131" s="610"/>
      <c r="F131" s="611"/>
      <c r="G131" s="26"/>
      <c r="H131" s="8">
        <f t="shared" si="18"/>
        <v>0</v>
      </c>
      <c r="I131" s="611"/>
      <c r="J131" s="26"/>
      <c r="K131" s="8">
        <f t="shared" si="10"/>
        <v>0</v>
      </c>
      <c r="L131" s="611"/>
      <c r="M131" s="26"/>
      <c r="N131" s="8">
        <f t="shared" si="11"/>
        <v>0</v>
      </c>
      <c r="O131" s="611"/>
      <c r="P131" s="26"/>
      <c r="Q131" s="8">
        <f t="shared" si="12"/>
        <v>0</v>
      </c>
      <c r="R131" s="611"/>
      <c r="S131" s="26"/>
      <c r="T131" s="8">
        <f t="shared" si="13"/>
        <v>0</v>
      </c>
      <c r="U131" s="611"/>
      <c r="V131" s="26"/>
      <c r="W131" s="8">
        <f t="shared" si="14"/>
        <v>0</v>
      </c>
      <c r="X131" s="611"/>
      <c r="Y131" s="26"/>
      <c r="Z131" s="8">
        <f t="shared" si="15"/>
        <v>0</v>
      </c>
      <c r="AA131" s="611"/>
      <c r="AB131" s="26"/>
      <c r="AC131" s="8">
        <f t="shared" si="16"/>
        <v>0</v>
      </c>
      <c r="AD131" s="26"/>
      <c r="AE131" s="26"/>
      <c r="AF131" s="26"/>
      <c r="AG131" s="26"/>
      <c r="AH131" s="26"/>
    </row>
    <row r="132" ht="12.75" customHeight="1">
      <c r="A132" s="24"/>
      <c r="B132" s="609"/>
      <c r="C132" s="24"/>
      <c r="D132" s="24"/>
      <c r="E132" s="610"/>
      <c r="F132" s="611"/>
      <c r="G132" s="26"/>
      <c r="H132" s="8">
        <f t="shared" si="18"/>
        <v>0</v>
      </c>
      <c r="I132" s="611"/>
      <c r="J132" s="26"/>
      <c r="K132" s="8">
        <f t="shared" si="10"/>
        <v>0</v>
      </c>
      <c r="L132" s="611"/>
      <c r="M132" s="26"/>
      <c r="N132" s="8">
        <f t="shared" si="11"/>
        <v>0</v>
      </c>
      <c r="O132" s="611"/>
      <c r="P132" s="26"/>
      <c r="Q132" s="8">
        <f t="shared" si="12"/>
        <v>0</v>
      </c>
      <c r="R132" s="611"/>
      <c r="S132" s="26"/>
      <c r="T132" s="8">
        <f t="shared" si="13"/>
        <v>0</v>
      </c>
      <c r="U132" s="611"/>
      <c r="V132" s="26"/>
      <c r="W132" s="8">
        <f t="shared" si="14"/>
        <v>0</v>
      </c>
      <c r="X132" s="611"/>
      <c r="Y132" s="26"/>
      <c r="Z132" s="8">
        <f t="shared" si="15"/>
        <v>0</v>
      </c>
      <c r="AA132" s="611"/>
      <c r="AB132" s="26"/>
      <c r="AC132" s="8">
        <f t="shared" si="16"/>
        <v>0</v>
      </c>
      <c r="AD132" s="26"/>
      <c r="AE132" s="26"/>
      <c r="AF132" s="26"/>
      <c r="AG132" s="26"/>
      <c r="AH132" s="26"/>
    </row>
    <row r="133" ht="12.75" customHeight="1">
      <c r="A133" s="24"/>
      <c r="B133" s="609"/>
      <c r="C133" s="24"/>
      <c r="D133" s="24"/>
      <c r="E133" s="610"/>
      <c r="F133" s="611"/>
      <c r="G133" s="26"/>
      <c r="H133" s="8">
        <f t="shared" si="18"/>
        <v>0</v>
      </c>
      <c r="I133" s="611"/>
      <c r="J133" s="26"/>
      <c r="K133" s="8">
        <f t="shared" si="10"/>
        <v>0</v>
      </c>
      <c r="L133" s="611"/>
      <c r="M133" s="26"/>
      <c r="N133" s="8">
        <f t="shared" si="11"/>
        <v>0</v>
      </c>
      <c r="O133" s="611"/>
      <c r="P133" s="26"/>
      <c r="Q133" s="8">
        <f t="shared" si="12"/>
        <v>0</v>
      </c>
      <c r="R133" s="611"/>
      <c r="S133" s="26"/>
      <c r="T133" s="8">
        <f t="shared" si="13"/>
        <v>0</v>
      </c>
      <c r="U133" s="611"/>
      <c r="V133" s="26"/>
      <c r="W133" s="8">
        <f t="shared" si="14"/>
        <v>0</v>
      </c>
      <c r="X133" s="611"/>
      <c r="Y133" s="26"/>
      <c r="Z133" s="8">
        <f t="shared" si="15"/>
        <v>0</v>
      </c>
      <c r="AA133" s="611"/>
      <c r="AB133" s="26"/>
      <c r="AC133" s="8">
        <f t="shared" si="16"/>
        <v>0</v>
      </c>
      <c r="AD133" s="26"/>
      <c r="AE133" s="26"/>
      <c r="AF133" s="26"/>
      <c r="AG133" s="26"/>
      <c r="AH133" s="26"/>
    </row>
    <row r="134" ht="12.75" customHeight="1">
      <c r="A134" s="24"/>
      <c r="B134" s="609"/>
      <c r="C134" s="24"/>
      <c r="D134" s="24"/>
      <c r="E134" s="610"/>
      <c r="F134" s="611"/>
      <c r="G134" s="26"/>
      <c r="H134" s="8">
        <f t="shared" si="18"/>
        <v>0</v>
      </c>
      <c r="I134" s="611"/>
      <c r="J134" s="26"/>
      <c r="K134" s="8">
        <f t="shared" si="10"/>
        <v>0</v>
      </c>
      <c r="L134" s="611"/>
      <c r="M134" s="26"/>
      <c r="N134" s="8">
        <f t="shared" si="11"/>
        <v>0</v>
      </c>
      <c r="O134" s="611"/>
      <c r="P134" s="26"/>
      <c r="Q134" s="8">
        <f t="shared" si="12"/>
        <v>0</v>
      </c>
      <c r="R134" s="611"/>
      <c r="S134" s="26"/>
      <c r="T134" s="8">
        <f t="shared" si="13"/>
        <v>0</v>
      </c>
      <c r="U134" s="611"/>
      <c r="V134" s="26"/>
      <c r="W134" s="8">
        <f t="shared" si="14"/>
        <v>0</v>
      </c>
      <c r="X134" s="611"/>
      <c r="Y134" s="26"/>
      <c r="Z134" s="8">
        <f t="shared" si="15"/>
        <v>0</v>
      </c>
      <c r="AA134" s="611"/>
      <c r="AB134" s="26"/>
      <c r="AC134" s="8">
        <f t="shared" si="16"/>
        <v>0</v>
      </c>
      <c r="AD134" s="26"/>
      <c r="AE134" s="26"/>
      <c r="AF134" s="26"/>
      <c r="AG134" s="26"/>
      <c r="AH134" s="26"/>
    </row>
    <row r="135" ht="12.75" customHeight="1">
      <c r="A135" s="24"/>
      <c r="B135" s="609"/>
      <c r="C135" s="24"/>
      <c r="D135" s="24"/>
      <c r="E135" s="610"/>
      <c r="F135" s="611"/>
      <c r="G135" s="26"/>
      <c r="H135" s="8">
        <f t="shared" si="18"/>
        <v>0</v>
      </c>
      <c r="I135" s="611"/>
      <c r="J135" s="26"/>
      <c r="K135" s="8">
        <f t="shared" si="10"/>
        <v>0</v>
      </c>
      <c r="L135" s="611"/>
      <c r="M135" s="26"/>
      <c r="N135" s="8">
        <f t="shared" si="11"/>
        <v>0</v>
      </c>
      <c r="O135" s="611"/>
      <c r="P135" s="26"/>
      <c r="Q135" s="8">
        <f t="shared" si="12"/>
        <v>0</v>
      </c>
      <c r="R135" s="611"/>
      <c r="S135" s="26"/>
      <c r="T135" s="8">
        <f t="shared" si="13"/>
        <v>0</v>
      </c>
      <c r="U135" s="611"/>
      <c r="V135" s="26"/>
      <c r="W135" s="8">
        <f t="shared" si="14"/>
        <v>0</v>
      </c>
      <c r="X135" s="611"/>
      <c r="Y135" s="26"/>
      <c r="Z135" s="8">
        <f t="shared" si="15"/>
        <v>0</v>
      </c>
      <c r="AA135" s="611"/>
      <c r="AB135" s="26"/>
      <c r="AC135" s="8">
        <f t="shared" si="16"/>
        <v>0</v>
      </c>
      <c r="AD135" s="26"/>
      <c r="AE135" s="26"/>
      <c r="AF135" s="26"/>
      <c r="AG135" s="26"/>
      <c r="AH135" s="26"/>
    </row>
    <row r="136" ht="12.75" customHeight="1">
      <c r="A136" s="24"/>
      <c r="B136" s="609"/>
      <c r="C136" s="24"/>
      <c r="D136" s="24"/>
      <c r="E136" s="610"/>
      <c r="F136" s="611"/>
      <c r="G136" s="26"/>
      <c r="H136" s="8">
        <f t="shared" si="18"/>
        <v>0</v>
      </c>
      <c r="I136" s="611"/>
      <c r="J136" s="26"/>
      <c r="K136" s="8">
        <f t="shared" si="10"/>
        <v>0</v>
      </c>
      <c r="L136" s="611"/>
      <c r="M136" s="26"/>
      <c r="N136" s="8">
        <f t="shared" si="11"/>
        <v>0</v>
      </c>
      <c r="O136" s="611"/>
      <c r="P136" s="26"/>
      <c r="Q136" s="8">
        <f t="shared" si="12"/>
        <v>0</v>
      </c>
      <c r="R136" s="611"/>
      <c r="S136" s="26"/>
      <c r="T136" s="8">
        <f t="shared" si="13"/>
        <v>0</v>
      </c>
      <c r="U136" s="611"/>
      <c r="V136" s="26"/>
      <c r="W136" s="8">
        <f t="shared" si="14"/>
        <v>0</v>
      </c>
      <c r="X136" s="611"/>
      <c r="Y136" s="26"/>
      <c r="Z136" s="8">
        <f t="shared" si="15"/>
        <v>0</v>
      </c>
      <c r="AA136" s="611"/>
      <c r="AB136" s="26"/>
      <c r="AC136" s="8">
        <f t="shared" si="16"/>
        <v>0</v>
      </c>
      <c r="AD136" s="26"/>
      <c r="AE136" s="26"/>
      <c r="AF136" s="26"/>
      <c r="AG136" s="26"/>
      <c r="AH136" s="26"/>
    </row>
    <row r="137" ht="12.75" customHeight="1">
      <c r="A137" s="24"/>
      <c r="B137" s="609"/>
      <c r="C137" s="24"/>
      <c r="D137" s="24"/>
      <c r="E137" s="610"/>
      <c r="F137" s="611"/>
      <c r="G137" s="26"/>
      <c r="H137" s="8">
        <f t="shared" si="18"/>
        <v>0</v>
      </c>
      <c r="I137" s="611"/>
      <c r="J137" s="26"/>
      <c r="K137" s="8">
        <f t="shared" si="10"/>
        <v>0</v>
      </c>
      <c r="L137" s="611"/>
      <c r="M137" s="26"/>
      <c r="N137" s="8">
        <f t="shared" si="11"/>
        <v>0</v>
      </c>
      <c r="O137" s="611"/>
      <c r="P137" s="26"/>
      <c r="Q137" s="8">
        <f t="shared" si="12"/>
        <v>0</v>
      </c>
      <c r="R137" s="611"/>
      <c r="S137" s="26"/>
      <c r="T137" s="8">
        <f t="shared" si="13"/>
        <v>0</v>
      </c>
      <c r="U137" s="611"/>
      <c r="V137" s="26"/>
      <c r="W137" s="8">
        <f t="shared" si="14"/>
        <v>0</v>
      </c>
      <c r="X137" s="611"/>
      <c r="Y137" s="26"/>
      <c r="Z137" s="8">
        <f t="shared" si="15"/>
        <v>0</v>
      </c>
      <c r="AA137" s="611"/>
      <c r="AB137" s="26"/>
      <c r="AC137" s="8">
        <f t="shared" si="16"/>
        <v>0</v>
      </c>
      <c r="AD137" s="26"/>
      <c r="AE137" s="26"/>
      <c r="AF137" s="26"/>
      <c r="AG137" s="26"/>
      <c r="AH137" s="26"/>
    </row>
    <row r="138" ht="12.75" customHeight="1">
      <c r="A138" s="24"/>
      <c r="B138" s="609"/>
      <c r="C138" s="24"/>
      <c r="D138" s="24"/>
      <c r="E138" s="610"/>
      <c r="F138" s="611"/>
      <c r="G138" s="26"/>
      <c r="H138" s="8">
        <f t="shared" si="18"/>
        <v>0</v>
      </c>
      <c r="I138" s="611"/>
      <c r="J138" s="26"/>
      <c r="K138" s="8">
        <f t="shared" si="10"/>
        <v>0</v>
      </c>
      <c r="L138" s="611"/>
      <c r="M138" s="26"/>
      <c r="N138" s="8">
        <f t="shared" si="11"/>
        <v>0</v>
      </c>
      <c r="O138" s="611"/>
      <c r="P138" s="26"/>
      <c r="Q138" s="8">
        <f t="shared" si="12"/>
        <v>0</v>
      </c>
      <c r="R138" s="611"/>
      <c r="S138" s="26"/>
      <c r="T138" s="8">
        <f t="shared" si="13"/>
        <v>0</v>
      </c>
      <c r="U138" s="611"/>
      <c r="V138" s="26"/>
      <c r="W138" s="8">
        <f t="shared" si="14"/>
        <v>0</v>
      </c>
      <c r="X138" s="611"/>
      <c r="Y138" s="26"/>
      <c r="Z138" s="8">
        <f t="shared" si="15"/>
        <v>0</v>
      </c>
      <c r="AA138" s="611"/>
      <c r="AB138" s="26"/>
      <c r="AC138" s="8">
        <f t="shared" si="16"/>
        <v>0</v>
      </c>
      <c r="AD138" s="26"/>
      <c r="AE138" s="26"/>
      <c r="AF138" s="26"/>
      <c r="AG138" s="26"/>
      <c r="AH138" s="26"/>
    </row>
    <row r="139" ht="12.75" customHeight="1">
      <c r="A139" s="24"/>
      <c r="B139" s="609"/>
      <c r="C139" s="24"/>
      <c r="D139" s="24"/>
      <c r="E139" s="610"/>
      <c r="F139" s="611"/>
      <c r="G139" s="26"/>
      <c r="H139" s="8">
        <f t="shared" si="18"/>
        <v>0</v>
      </c>
      <c r="I139" s="611"/>
      <c r="J139" s="26"/>
      <c r="K139" s="8">
        <f t="shared" si="10"/>
        <v>0</v>
      </c>
      <c r="L139" s="611"/>
      <c r="M139" s="26"/>
      <c r="N139" s="8">
        <f t="shared" si="11"/>
        <v>0</v>
      </c>
      <c r="O139" s="611"/>
      <c r="P139" s="26"/>
      <c r="Q139" s="8">
        <f t="shared" si="12"/>
        <v>0</v>
      </c>
      <c r="R139" s="611"/>
      <c r="S139" s="26"/>
      <c r="T139" s="8">
        <f t="shared" si="13"/>
        <v>0</v>
      </c>
      <c r="U139" s="611"/>
      <c r="V139" s="26"/>
      <c r="W139" s="8">
        <f t="shared" si="14"/>
        <v>0</v>
      </c>
      <c r="X139" s="611"/>
      <c r="Y139" s="26"/>
      <c r="Z139" s="8">
        <f t="shared" si="15"/>
        <v>0</v>
      </c>
      <c r="AA139" s="611"/>
      <c r="AB139" s="26"/>
      <c r="AC139" s="8">
        <f t="shared" si="16"/>
        <v>0</v>
      </c>
      <c r="AD139" s="26"/>
      <c r="AE139" s="26"/>
      <c r="AF139" s="26"/>
      <c r="AG139" s="26"/>
      <c r="AH139" s="26"/>
    </row>
    <row r="140" ht="12.75" customHeight="1">
      <c r="A140" s="24"/>
      <c r="B140" s="609"/>
      <c r="C140" s="24"/>
      <c r="D140" s="24"/>
      <c r="E140" s="610"/>
      <c r="F140" s="611"/>
      <c r="G140" s="26"/>
      <c r="H140" s="8">
        <f t="shared" si="18"/>
        <v>0</v>
      </c>
      <c r="I140" s="611"/>
      <c r="J140" s="26"/>
      <c r="K140" s="8">
        <f t="shared" si="10"/>
        <v>0</v>
      </c>
      <c r="L140" s="611"/>
      <c r="M140" s="26"/>
      <c r="N140" s="8">
        <f t="shared" si="11"/>
        <v>0</v>
      </c>
      <c r="O140" s="611"/>
      <c r="P140" s="26"/>
      <c r="Q140" s="8">
        <f t="shared" si="12"/>
        <v>0</v>
      </c>
      <c r="R140" s="611"/>
      <c r="S140" s="26"/>
      <c r="T140" s="8">
        <f t="shared" si="13"/>
        <v>0</v>
      </c>
      <c r="U140" s="611"/>
      <c r="V140" s="26"/>
      <c r="W140" s="8">
        <f t="shared" si="14"/>
        <v>0</v>
      </c>
      <c r="X140" s="611"/>
      <c r="Y140" s="26"/>
      <c r="Z140" s="8">
        <f t="shared" si="15"/>
        <v>0</v>
      </c>
      <c r="AA140" s="611"/>
      <c r="AB140" s="26"/>
      <c r="AC140" s="8">
        <f t="shared" si="16"/>
        <v>0</v>
      </c>
      <c r="AD140" s="26"/>
      <c r="AE140" s="26"/>
      <c r="AF140" s="26"/>
      <c r="AG140" s="26"/>
      <c r="AH140" s="26"/>
    </row>
    <row r="141" ht="12.75" customHeight="1">
      <c r="A141" s="24"/>
      <c r="B141" s="609"/>
      <c r="C141" s="24"/>
      <c r="D141" s="24"/>
      <c r="E141" s="610"/>
      <c r="F141" s="611"/>
      <c r="G141" s="26"/>
      <c r="H141" s="8">
        <f t="shared" si="18"/>
        <v>0</v>
      </c>
      <c r="I141" s="611"/>
      <c r="J141" s="26"/>
      <c r="K141" s="8">
        <f t="shared" si="10"/>
        <v>0</v>
      </c>
      <c r="L141" s="611"/>
      <c r="M141" s="26"/>
      <c r="N141" s="8">
        <f t="shared" si="11"/>
        <v>0</v>
      </c>
      <c r="O141" s="611"/>
      <c r="P141" s="26"/>
      <c r="Q141" s="8">
        <f t="shared" si="12"/>
        <v>0</v>
      </c>
      <c r="R141" s="611"/>
      <c r="S141" s="26"/>
      <c r="T141" s="8">
        <f t="shared" si="13"/>
        <v>0</v>
      </c>
      <c r="U141" s="611"/>
      <c r="V141" s="26"/>
      <c r="W141" s="8">
        <f t="shared" si="14"/>
        <v>0</v>
      </c>
      <c r="X141" s="611"/>
      <c r="Y141" s="26"/>
      <c r="Z141" s="8">
        <f t="shared" si="15"/>
        <v>0</v>
      </c>
      <c r="AA141" s="611"/>
      <c r="AB141" s="26"/>
      <c r="AC141" s="8">
        <f t="shared" si="16"/>
        <v>0</v>
      </c>
      <c r="AD141" s="26"/>
      <c r="AE141" s="26"/>
      <c r="AF141" s="26"/>
      <c r="AG141" s="26"/>
      <c r="AH141" s="26"/>
    </row>
    <row r="142" ht="12.75" customHeight="1">
      <c r="A142" s="24"/>
      <c r="B142" s="609"/>
      <c r="C142" s="24"/>
      <c r="D142" s="24"/>
      <c r="E142" s="610"/>
      <c r="F142" s="611"/>
      <c r="G142" s="26"/>
      <c r="H142" s="8">
        <f t="shared" si="18"/>
        <v>0</v>
      </c>
      <c r="I142" s="611"/>
      <c r="J142" s="26"/>
      <c r="K142" s="8">
        <f t="shared" si="10"/>
        <v>0</v>
      </c>
      <c r="L142" s="611"/>
      <c r="M142" s="26"/>
      <c r="N142" s="8">
        <f t="shared" si="11"/>
        <v>0</v>
      </c>
      <c r="O142" s="611"/>
      <c r="P142" s="26"/>
      <c r="Q142" s="8">
        <f t="shared" si="12"/>
        <v>0</v>
      </c>
      <c r="R142" s="611"/>
      <c r="S142" s="26"/>
      <c r="T142" s="8">
        <f t="shared" si="13"/>
        <v>0</v>
      </c>
      <c r="U142" s="611"/>
      <c r="V142" s="26"/>
      <c r="W142" s="8">
        <f t="shared" si="14"/>
        <v>0</v>
      </c>
      <c r="X142" s="611"/>
      <c r="Y142" s="26"/>
      <c r="Z142" s="8">
        <f t="shared" si="15"/>
        <v>0</v>
      </c>
      <c r="AA142" s="611"/>
      <c r="AB142" s="26"/>
      <c r="AC142" s="8">
        <f t="shared" si="16"/>
        <v>0</v>
      </c>
      <c r="AD142" s="26"/>
      <c r="AE142" s="26"/>
      <c r="AF142" s="26"/>
      <c r="AG142" s="26"/>
      <c r="AH142" s="26"/>
    </row>
    <row r="143" ht="12.75" customHeight="1">
      <c r="A143" s="24"/>
      <c r="B143" s="609"/>
      <c r="C143" s="24"/>
      <c r="D143" s="24"/>
      <c r="E143" s="610"/>
      <c r="F143" s="611"/>
      <c r="G143" s="26"/>
      <c r="H143" s="8">
        <f t="shared" si="18"/>
        <v>0</v>
      </c>
      <c r="I143" s="611"/>
      <c r="J143" s="26"/>
      <c r="K143" s="8">
        <f t="shared" si="10"/>
        <v>0</v>
      </c>
      <c r="L143" s="611"/>
      <c r="M143" s="26"/>
      <c r="N143" s="8">
        <f t="shared" si="11"/>
        <v>0</v>
      </c>
      <c r="O143" s="611"/>
      <c r="P143" s="26"/>
      <c r="Q143" s="8">
        <f t="shared" si="12"/>
        <v>0</v>
      </c>
      <c r="R143" s="611"/>
      <c r="S143" s="26"/>
      <c r="T143" s="8">
        <f t="shared" si="13"/>
        <v>0</v>
      </c>
      <c r="U143" s="611"/>
      <c r="V143" s="26"/>
      <c r="W143" s="8">
        <f t="shared" si="14"/>
        <v>0</v>
      </c>
      <c r="X143" s="611"/>
      <c r="Y143" s="26"/>
      <c r="Z143" s="8">
        <f t="shared" si="15"/>
        <v>0</v>
      </c>
      <c r="AA143" s="611"/>
      <c r="AB143" s="26"/>
      <c r="AC143" s="8">
        <f t="shared" si="16"/>
        <v>0</v>
      </c>
      <c r="AD143" s="26"/>
      <c r="AE143" s="26"/>
      <c r="AF143" s="26"/>
      <c r="AG143" s="26"/>
      <c r="AH143" s="26"/>
    </row>
    <row r="144" ht="12.75" customHeight="1">
      <c r="A144" s="24"/>
      <c r="B144" s="609"/>
      <c r="C144" s="24"/>
      <c r="D144" s="24"/>
      <c r="E144" s="610"/>
      <c r="F144" s="611"/>
      <c r="G144" s="26"/>
      <c r="H144" s="8">
        <f t="shared" si="18"/>
        <v>0</v>
      </c>
      <c r="I144" s="611"/>
      <c r="J144" s="26"/>
      <c r="K144" s="8">
        <f t="shared" si="10"/>
        <v>0</v>
      </c>
      <c r="L144" s="611"/>
      <c r="M144" s="26"/>
      <c r="N144" s="8">
        <f t="shared" si="11"/>
        <v>0</v>
      </c>
      <c r="O144" s="611"/>
      <c r="P144" s="26"/>
      <c r="Q144" s="8">
        <f t="shared" si="12"/>
        <v>0</v>
      </c>
      <c r="R144" s="611"/>
      <c r="S144" s="26"/>
      <c r="T144" s="8">
        <f t="shared" si="13"/>
        <v>0</v>
      </c>
      <c r="U144" s="611"/>
      <c r="V144" s="26"/>
      <c r="W144" s="8">
        <f t="shared" si="14"/>
        <v>0</v>
      </c>
      <c r="X144" s="611"/>
      <c r="Y144" s="26"/>
      <c r="Z144" s="8">
        <f t="shared" si="15"/>
        <v>0</v>
      </c>
      <c r="AA144" s="611"/>
      <c r="AB144" s="26"/>
      <c r="AC144" s="8">
        <f t="shared" si="16"/>
        <v>0</v>
      </c>
      <c r="AD144" s="26"/>
      <c r="AE144" s="26"/>
      <c r="AF144" s="26"/>
      <c r="AG144" s="26"/>
      <c r="AH144" s="26"/>
    </row>
    <row r="145" ht="12.75" customHeight="1">
      <c r="A145" s="24"/>
      <c r="B145" s="609"/>
      <c r="C145" s="24"/>
      <c r="D145" s="24"/>
      <c r="E145" s="610"/>
      <c r="F145" s="611"/>
      <c r="G145" s="26"/>
      <c r="H145" s="8">
        <f t="shared" si="18"/>
        <v>0</v>
      </c>
      <c r="I145" s="611"/>
      <c r="J145" s="26"/>
      <c r="K145" s="8">
        <f t="shared" si="10"/>
        <v>0</v>
      </c>
      <c r="L145" s="611"/>
      <c r="M145" s="26"/>
      <c r="N145" s="8">
        <f t="shared" si="11"/>
        <v>0</v>
      </c>
      <c r="O145" s="611"/>
      <c r="P145" s="26"/>
      <c r="Q145" s="8">
        <f t="shared" si="12"/>
        <v>0</v>
      </c>
      <c r="R145" s="611"/>
      <c r="S145" s="26"/>
      <c r="T145" s="8">
        <f t="shared" si="13"/>
        <v>0</v>
      </c>
      <c r="U145" s="611"/>
      <c r="V145" s="26"/>
      <c r="W145" s="8">
        <f t="shared" si="14"/>
        <v>0</v>
      </c>
      <c r="X145" s="611"/>
      <c r="Y145" s="26"/>
      <c r="Z145" s="8">
        <f t="shared" si="15"/>
        <v>0</v>
      </c>
      <c r="AA145" s="611"/>
      <c r="AB145" s="26"/>
      <c r="AC145" s="8">
        <f t="shared" si="16"/>
        <v>0</v>
      </c>
      <c r="AD145" s="26"/>
      <c r="AE145" s="26"/>
      <c r="AF145" s="26"/>
      <c r="AG145" s="26"/>
      <c r="AH145" s="26"/>
    </row>
    <row r="146" ht="12.75" customHeight="1">
      <c r="A146" s="24"/>
      <c r="B146" s="609"/>
      <c r="C146" s="24"/>
      <c r="D146" s="24"/>
      <c r="E146" s="610"/>
      <c r="F146" s="611"/>
      <c r="G146" s="26"/>
      <c r="H146" s="8">
        <f t="shared" si="18"/>
        <v>0</v>
      </c>
      <c r="I146" s="611"/>
      <c r="J146" s="26"/>
      <c r="K146" s="8">
        <f t="shared" si="10"/>
        <v>0</v>
      </c>
      <c r="L146" s="611"/>
      <c r="M146" s="26"/>
      <c r="N146" s="8">
        <f t="shared" si="11"/>
        <v>0</v>
      </c>
      <c r="O146" s="611"/>
      <c r="P146" s="26"/>
      <c r="Q146" s="8">
        <f t="shared" si="12"/>
        <v>0</v>
      </c>
      <c r="R146" s="611"/>
      <c r="S146" s="26"/>
      <c r="T146" s="8">
        <f t="shared" si="13"/>
        <v>0</v>
      </c>
      <c r="U146" s="611"/>
      <c r="V146" s="26"/>
      <c r="W146" s="8">
        <f t="shared" si="14"/>
        <v>0</v>
      </c>
      <c r="X146" s="611"/>
      <c r="Y146" s="26"/>
      <c r="Z146" s="8">
        <f t="shared" si="15"/>
        <v>0</v>
      </c>
      <c r="AA146" s="611"/>
      <c r="AB146" s="26"/>
      <c r="AC146" s="8">
        <f t="shared" si="16"/>
        <v>0</v>
      </c>
      <c r="AD146" s="26"/>
      <c r="AE146" s="26"/>
      <c r="AF146" s="26"/>
      <c r="AG146" s="26"/>
      <c r="AH146" s="26"/>
    </row>
    <row r="147" ht="12.75" customHeight="1">
      <c r="A147" s="24"/>
      <c r="B147" s="609"/>
      <c r="C147" s="24"/>
      <c r="D147" s="24"/>
      <c r="E147" s="610"/>
      <c r="F147" s="611"/>
      <c r="G147" s="26"/>
      <c r="H147" s="8">
        <f t="shared" si="18"/>
        <v>0</v>
      </c>
      <c r="I147" s="611"/>
      <c r="J147" s="26"/>
      <c r="K147" s="8">
        <f t="shared" si="10"/>
        <v>0</v>
      </c>
      <c r="L147" s="611"/>
      <c r="M147" s="26"/>
      <c r="N147" s="8">
        <f t="shared" si="11"/>
        <v>0</v>
      </c>
      <c r="O147" s="611"/>
      <c r="P147" s="26"/>
      <c r="Q147" s="8">
        <f t="shared" si="12"/>
        <v>0</v>
      </c>
      <c r="R147" s="611"/>
      <c r="S147" s="26"/>
      <c r="T147" s="8">
        <f t="shared" si="13"/>
        <v>0</v>
      </c>
      <c r="U147" s="611"/>
      <c r="V147" s="26"/>
      <c r="W147" s="8">
        <f t="shared" si="14"/>
        <v>0</v>
      </c>
      <c r="X147" s="611"/>
      <c r="Y147" s="26"/>
      <c r="Z147" s="8">
        <f t="shared" si="15"/>
        <v>0</v>
      </c>
      <c r="AA147" s="611"/>
      <c r="AB147" s="26"/>
      <c r="AC147" s="8">
        <f t="shared" si="16"/>
        <v>0</v>
      </c>
      <c r="AD147" s="26"/>
      <c r="AE147" s="26"/>
      <c r="AF147" s="26"/>
      <c r="AG147" s="26"/>
      <c r="AH147" s="26"/>
    </row>
    <row r="148" ht="12.75" customHeight="1">
      <c r="A148" s="24"/>
      <c r="B148" s="609"/>
      <c r="C148" s="24"/>
      <c r="D148" s="24"/>
      <c r="E148" s="610"/>
      <c r="F148" s="611"/>
      <c r="G148" s="26"/>
      <c r="H148" s="8">
        <f t="shared" si="18"/>
        <v>0</v>
      </c>
      <c r="I148" s="611"/>
      <c r="J148" s="26"/>
      <c r="K148" s="8">
        <f t="shared" si="10"/>
        <v>0</v>
      </c>
      <c r="L148" s="611"/>
      <c r="M148" s="26"/>
      <c r="N148" s="8">
        <f t="shared" si="11"/>
        <v>0</v>
      </c>
      <c r="O148" s="611"/>
      <c r="P148" s="26"/>
      <c r="Q148" s="8">
        <f t="shared" si="12"/>
        <v>0</v>
      </c>
      <c r="R148" s="611"/>
      <c r="S148" s="26"/>
      <c r="T148" s="8">
        <f t="shared" si="13"/>
        <v>0</v>
      </c>
      <c r="U148" s="611"/>
      <c r="V148" s="26"/>
      <c r="W148" s="8">
        <f t="shared" si="14"/>
        <v>0</v>
      </c>
      <c r="X148" s="611"/>
      <c r="Y148" s="26"/>
      <c r="Z148" s="8">
        <f t="shared" si="15"/>
        <v>0</v>
      </c>
      <c r="AA148" s="611"/>
      <c r="AB148" s="26"/>
      <c r="AC148" s="8">
        <f t="shared" si="16"/>
        <v>0</v>
      </c>
      <c r="AD148" s="26"/>
      <c r="AE148" s="26"/>
      <c r="AF148" s="26"/>
      <c r="AG148" s="26"/>
      <c r="AH148" s="26"/>
    </row>
    <row r="149" ht="12.75" customHeight="1">
      <c r="A149" s="24"/>
      <c r="B149" s="609"/>
      <c r="C149" s="24"/>
      <c r="D149" s="24"/>
      <c r="E149" s="610"/>
      <c r="F149" s="611"/>
      <c r="G149" s="26"/>
      <c r="H149" s="8">
        <f t="shared" si="18"/>
        <v>0</v>
      </c>
      <c r="I149" s="611"/>
      <c r="J149" s="26"/>
      <c r="K149" s="8">
        <f t="shared" si="10"/>
        <v>0</v>
      </c>
      <c r="L149" s="611"/>
      <c r="M149" s="26"/>
      <c r="N149" s="8">
        <f t="shared" si="11"/>
        <v>0</v>
      </c>
      <c r="O149" s="611"/>
      <c r="P149" s="26"/>
      <c r="Q149" s="8">
        <f t="shared" si="12"/>
        <v>0</v>
      </c>
      <c r="R149" s="611"/>
      <c r="S149" s="26"/>
      <c r="T149" s="8">
        <f t="shared" si="13"/>
        <v>0</v>
      </c>
      <c r="U149" s="611"/>
      <c r="V149" s="26"/>
      <c r="W149" s="8">
        <f t="shared" si="14"/>
        <v>0</v>
      </c>
      <c r="X149" s="611"/>
      <c r="Y149" s="26"/>
      <c r="Z149" s="8">
        <f t="shared" si="15"/>
        <v>0</v>
      </c>
      <c r="AA149" s="611"/>
      <c r="AB149" s="26"/>
      <c r="AC149" s="8">
        <f t="shared" si="16"/>
        <v>0</v>
      </c>
      <c r="AD149" s="26"/>
      <c r="AE149" s="26"/>
      <c r="AF149" s="26"/>
      <c r="AG149" s="26"/>
      <c r="AH149" s="26"/>
    </row>
    <row r="150" ht="12.75" customHeight="1">
      <c r="A150" s="24"/>
      <c r="B150" s="609"/>
      <c r="C150" s="24"/>
      <c r="D150" s="24"/>
      <c r="E150" s="610"/>
      <c r="F150" s="611"/>
      <c r="G150" s="26"/>
      <c r="H150" s="8">
        <f t="shared" si="18"/>
        <v>0</v>
      </c>
      <c r="I150" s="611"/>
      <c r="J150" s="26"/>
      <c r="K150" s="8">
        <f t="shared" si="10"/>
        <v>0</v>
      </c>
      <c r="L150" s="611"/>
      <c r="M150" s="26"/>
      <c r="N150" s="8">
        <f t="shared" si="11"/>
        <v>0</v>
      </c>
      <c r="O150" s="611"/>
      <c r="P150" s="26"/>
      <c r="Q150" s="8">
        <f t="shared" si="12"/>
        <v>0</v>
      </c>
      <c r="R150" s="611"/>
      <c r="S150" s="26"/>
      <c r="T150" s="8">
        <f t="shared" si="13"/>
        <v>0</v>
      </c>
      <c r="U150" s="611"/>
      <c r="V150" s="26"/>
      <c r="W150" s="8">
        <f t="shared" si="14"/>
        <v>0</v>
      </c>
      <c r="X150" s="611"/>
      <c r="Y150" s="26"/>
      <c r="Z150" s="8">
        <f t="shared" si="15"/>
        <v>0</v>
      </c>
      <c r="AA150" s="611"/>
      <c r="AB150" s="26"/>
      <c r="AC150" s="8">
        <f t="shared" si="16"/>
        <v>0</v>
      </c>
      <c r="AD150" s="26"/>
      <c r="AE150" s="26"/>
      <c r="AF150" s="26"/>
      <c r="AG150" s="26"/>
      <c r="AH150" s="26"/>
    </row>
    <row r="151" ht="12.75" customHeight="1">
      <c r="A151" s="24"/>
      <c r="B151" s="609"/>
      <c r="C151" s="24"/>
      <c r="D151" s="24"/>
      <c r="E151" s="610"/>
      <c r="F151" s="611"/>
      <c r="G151" s="26"/>
      <c r="H151" s="8">
        <f t="shared" si="18"/>
        <v>0</v>
      </c>
      <c r="I151" s="611"/>
      <c r="J151" s="26"/>
      <c r="K151" s="8">
        <f t="shared" si="10"/>
        <v>0</v>
      </c>
      <c r="L151" s="611"/>
      <c r="M151" s="26"/>
      <c r="N151" s="8">
        <f t="shared" si="11"/>
        <v>0</v>
      </c>
      <c r="O151" s="611"/>
      <c r="P151" s="26"/>
      <c r="Q151" s="8">
        <f t="shared" si="12"/>
        <v>0</v>
      </c>
      <c r="R151" s="611"/>
      <c r="S151" s="26"/>
      <c r="T151" s="8">
        <f t="shared" si="13"/>
        <v>0</v>
      </c>
      <c r="U151" s="611"/>
      <c r="V151" s="26"/>
      <c r="W151" s="8">
        <f t="shared" si="14"/>
        <v>0</v>
      </c>
      <c r="X151" s="611"/>
      <c r="Y151" s="26"/>
      <c r="Z151" s="8">
        <f t="shared" si="15"/>
        <v>0</v>
      </c>
      <c r="AA151" s="611"/>
      <c r="AB151" s="26"/>
      <c r="AC151" s="8">
        <f t="shared" si="16"/>
        <v>0</v>
      </c>
      <c r="AD151" s="26"/>
      <c r="AE151" s="26"/>
      <c r="AF151" s="26"/>
      <c r="AG151" s="26"/>
      <c r="AH151" s="26"/>
    </row>
    <row r="152" ht="12.75" customHeight="1">
      <c r="A152" s="24"/>
      <c r="B152" s="609"/>
      <c r="C152" s="24"/>
      <c r="D152" s="24"/>
      <c r="E152" s="610"/>
      <c r="F152" s="611"/>
      <c r="G152" s="26"/>
      <c r="H152" s="8">
        <f t="shared" si="18"/>
        <v>0</v>
      </c>
      <c r="I152" s="611"/>
      <c r="J152" s="26"/>
      <c r="K152" s="8">
        <f t="shared" si="10"/>
        <v>0</v>
      </c>
      <c r="L152" s="611"/>
      <c r="M152" s="26"/>
      <c r="N152" s="8">
        <f t="shared" si="11"/>
        <v>0</v>
      </c>
      <c r="O152" s="611"/>
      <c r="P152" s="26"/>
      <c r="Q152" s="8">
        <f t="shared" si="12"/>
        <v>0</v>
      </c>
      <c r="R152" s="611"/>
      <c r="S152" s="26"/>
      <c r="T152" s="8">
        <f t="shared" si="13"/>
        <v>0</v>
      </c>
      <c r="U152" s="611"/>
      <c r="V152" s="26"/>
      <c r="W152" s="8">
        <f t="shared" si="14"/>
        <v>0</v>
      </c>
      <c r="X152" s="611"/>
      <c r="Y152" s="26"/>
      <c r="Z152" s="8">
        <f t="shared" si="15"/>
        <v>0</v>
      </c>
      <c r="AA152" s="611"/>
      <c r="AB152" s="26"/>
      <c r="AC152" s="8">
        <f t="shared" si="16"/>
        <v>0</v>
      </c>
      <c r="AD152" s="26"/>
      <c r="AE152" s="26"/>
      <c r="AF152" s="26"/>
      <c r="AG152" s="26"/>
      <c r="AH152" s="26"/>
    </row>
    <row r="153" ht="12.75" customHeight="1">
      <c r="A153" s="24"/>
      <c r="B153" s="609"/>
      <c r="C153" s="24"/>
      <c r="D153" s="24"/>
      <c r="E153" s="610"/>
      <c r="F153" s="611"/>
      <c r="G153" s="26"/>
      <c r="H153" s="8">
        <f t="shared" si="18"/>
        <v>0</v>
      </c>
      <c r="I153" s="611"/>
      <c r="J153" s="26"/>
      <c r="K153" s="8">
        <f t="shared" si="10"/>
        <v>0</v>
      </c>
      <c r="L153" s="611"/>
      <c r="M153" s="26"/>
      <c r="N153" s="8">
        <f t="shared" si="11"/>
        <v>0</v>
      </c>
      <c r="O153" s="611"/>
      <c r="P153" s="26"/>
      <c r="Q153" s="8">
        <f t="shared" si="12"/>
        <v>0</v>
      </c>
      <c r="R153" s="611"/>
      <c r="S153" s="26"/>
      <c r="T153" s="8">
        <f t="shared" si="13"/>
        <v>0</v>
      </c>
      <c r="U153" s="611"/>
      <c r="V153" s="26"/>
      <c r="W153" s="8">
        <f t="shared" si="14"/>
        <v>0</v>
      </c>
      <c r="X153" s="611"/>
      <c r="Y153" s="26"/>
      <c r="Z153" s="8">
        <f t="shared" si="15"/>
        <v>0</v>
      </c>
      <c r="AA153" s="611"/>
      <c r="AB153" s="26"/>
      <c r="AC153" s="8">
        <f t="shared" si="16"/>
        <v>0</v>
      </c>
      <c r="AD153" s="26"/>
      <c r="AE153" s="26"/>
      <c r="AF153" s="26"/>
      <c r="AG153" s="26"/>
      <c r="AH153" s="26"/>
    </row>
    <row r="154" ht="12.75" customHeight="1">
      <c r="A154" s="24"/>
      <c r="B154" s="609"/>
      <c r="C154" s="24"/>
      <c r="D154" s="24"/>
      <c r="E154" s="610"/>
      <c r="F154" s="611"/>
      <c r="G154" s="26"/>
      <c r="H154" s="8">
        <f t="shared" si="18"/>
        <v>0</v>
      </c>
      <c r="I154" s="611"/>
      <c r="J154" s="26"/>
      <c r="K154" s="8">
        <f t="shared" si="10"/>
        <v>0</v>
      </c>
      <c r="L154" s="611"/>
      <c r="M154" s="26"/>
      <c r="N154" s="8">
        <f t="shared" si="11"/>
        <v>0</v>
      </c>
      <c r="O154" s="611"/>
      <c r="P154" s="26"/>
      <c r="Q154" s="8">
        <f t="shared" si="12"/>
        <v>0</v>
      </c>
      <c r="R154" s="611"/>
      <c r="S154" s="26"/>
      <c r="T154" s="8">
        <f t="shared" si="13"/>
        <v>0</v>
      </c>
      <c r="U154" s="611"/>
      <c r="V154" s="26"/>
      <c r="W154" s="8">
        <f t="shared" si="14"/>
        <v>0</v>
      </c>
      <c r="X154" s="611"/>
      <c r="Y154" s="26"/>
      <c r="Z154" s="8">
        <f t="shared" si="15"/>
        <v>0</v>
      </c>
      <c r="AA154" s="611"/>
      <c r="AB154" s="26"/>
      <c r="AC154" s="8">
        <f t="shared" si="16"/>
        <v>0</v>
      </c>
      <c r="AD154" s="26"/>
      <c r="AE154" s="26"/>
      <c r="AF154" s="26"/>
      <c r="AG154" s="26"/>
      <c r="AH154" s="26"/>
    </row>
    <row r="155" ht="12.75" customHeight="1">
      <c r="A155" s="24"/>
      <c r="B155" s="609"/>
      <c r="C155" s="24"/>
      <c r="D155" s="24"/>
      <c r="E155" s="610"/>
      <c r="F155" s="611"/>
      <c r="G155" s="26"/>
      <c r="H155" s="8">
        <f t="shared" si="18"/>
        <v>0</v>
      </c>
      <c r="I155" s="611"/>
      <c r="J155" s="26"/>
      <c r="K155" s="8">
        <f t="shared" si="10"/>
        <v>0</v>
      </c>
      <c r="L155" s="611"/>
      <c r="M155" s="26"/>
      <c r="N155" s="8">
        <f t="shared" si="11"/>
        <v>0</v>
      </c>
      <c r="O155" s="611"/>
      <c r="P155" s="26"/>
      <c r="Q155" s="8">
        <f t="shared" si="12"/>
        <v>0</v>
      </c>
      <c r="R155" s="611"/>
      <c r="S155" s="26"/>
      <c r="T155" s="8">
        <f t="shared" si="13"/>
        <v>0</v>
      </c>
      <c r="U155" s="611"/>
      <c r="V155" s="26"/>
      <c r="W155" s="8">
        <f t="shared" si="14"/>
        <v>0</v>
      </c>
      <c r="X155" s="611"/>
      <c r="Y155" s="26"/>
      <c r="Z155" s="8">
        <f t="shared" si="15"/>
        <v>0</v>
      </c>
      <c r="AA155" s="611"/>
      <c r="AB155" s="26"/>
      <c r="AC155" s="8">
        <f t="shared" si="16"/>
        <v>0</v>
      </c>
      <c r="AD155" s="26"/>
      <c r="AE155" s="26"/>
      <c r="AF155" s="26"/>
      <c r="AG155" s="26"/>
      <c r="AH155" s="26"/>
    </row>
    <row r="156" ht="12.75" customHeight="1">
      <c r="A156" s="24"/>
      <c r="B156" s="609"/>
      <c r="C156" s="24"/>
      <c r="D156" s="24"/>
      <c r="E156" s="610"/>
      <c r="F156" s="611"/>
      <c r="G156" s="26"/>
      <c r="H156" s="8">
        <f t="shared" si="18"/>
        <v>0</v>
      </c>
      <c r="I156" s="611"/>
      <c r="J156" s="26"/>
      <c r="K156" s="8">
        <f t="shared" si="10"/>
        <v>0</v>
      </c>
      <c r="L156" s="611"/>
      <c r="M156" s="26"/>
      <c r="N156" s="8">
        <f t="shared" si="11"/>
        <v>0</v>
      </c>
      <c r="O156" s="611"/>
      <c r="P156" s="26"/>
      <c r="Q156" s="8">
        <f t="shared" si="12"/>
        <v>0</v>
      </c>
      <c r="R156" s="611"/>
      <c r="S156" s="26"/>
      <c r="T156" s="8">
        <f t="shared" si="13"/>
        <v>0</v>
      </c>
      <c r="U156" s="611"/>
      <c r="V156" s="26"/>
      <c r="W156" s="8">
        <f t="shared" si="14"/>
        <v>0</v>
      </c>
      <c r="X156" s="611"/>
      <c r="Y156" s="26"/>
      <c r="Z156" s="8">
        <f t="shared" si="15"/>
        <v>0</v>
      </c>
      <c r="AA156" s="611"/>
      <c r="AB156" s="26"/>
      <c r="AC156" s="8">
        <f t="shared" si="16"/>
        <v>0</v>
      </c>
      <c r="AD156" s="26"/>
      <c r="AE156" s="26"/>
      <c r="AF156" s="26"/>
      <c r="AG156" s="26"/>
      <c r="AH156" s="26"/>
    </row>
    <row r="157" ht="12.75" customHeight="1">
      <c r="A157" s="24"/>
      <c r="B157" s="609"/>
      <c r="C157" s="24"/>
      <c r="D157" s="24"/>
      <c r="E157" s="610"/>
      <c r="F157" s="611"/>
      <c r="G157" s="26"/>
      <c r="H157" s="8">
        <f t="shared" si="18"/>
        <v>0</v>
      </c>
      <c r="I157" s="611"/>
      <c r="J157" s="26"/>
      <c r="K157" s="8">
        <f t="shared" si="10"/>
        <v>0</v>
      </c>
      <c r="L157" s="611"/>
      <c r="M157" s="26"/>
      <c r="N157" s="8">
        <f t="shared" si="11"/>
        <v>0</v>
      </c>
      <c r="O157" s="611"/>
      <c r="P157" s="26"/>
      <c r="Q157" s="8">
        <f t="shared" si="12"/>
        <v>0</v>
      </c>
      <c r="R157" s="611"/>
      <c r="S157" s="26"/>
      <c r="T157" s="8">
        <f t="shared" si="13"/>
        <v>0</v>
      </c>
      <c r="U157" s="611"/>
      <c r="V157" s="26"/>
      <c r="W157" s="8">
        <f t="shared" si="14"/>
        <v>0</v>
      </c>
      <c r="X157" s="611"/>
      <c r="Y157" s="26"/>
      <c r="Z157" s="8">
        <f t="shared" si="15"/>
        <v>0</v>
      </c>
      <c r="AA157" s="611"/>
      <c r="AB157" s="26"/>
      <c r="AC157" s="8">
        <f t="shared" si="16"/>
        <v>0</v>
      </c>
      <c r="AD157" s="26"/>
      <c r="AE157" s="26"/>
      <c r="AF157" s="26"/>
      <c r="AG157" s="26"/>
      <c r="AH157" s="26"/>
    </row>
    <row r="158" ht="12.75" customHeight="1">
      <c r="A158" s="24"/>
      <c r="B158" s="609"/>
      <c r="C158" s="24"/>
      <c r="D158" s="24"/>
      <c r="E158" s="610"/>
      <c r="F158" s="611"/>
      <c r="G158" s="26"/>
      <c r="H158" s="8">
        <f t="shared" si="18"/>
        <v>0</v>
      </c>
      <c r="I158" s="611"/>
      <c r="J158" s="26"/>
      <c r="K158" s="8">
        <f t="shared" si="10"/>
        <v>0</v>
      </c>
      <c r="L158" s="611"/>
      <c r="M158" s="26"/>
      <c r="N158" s="8">
        <f t="shared" si="11"/>
        <v>0</v>
      </c>
      <c r="O158" s="611"/>
      <c r="P158" s="26"/>
      <c r="Q158" s="8">
        <f t="shared" si="12"/>
        <v>0</v>
      </c>
      <c r="R158" s="611"/>
      <c r="S158" s="26"/>
      <c r="T158" s="8">
        <f t="shared" si="13"/>
        <v>0</v>
      </c>
      <c r="U158" s="611"/>
      <c r="V158" s="26"/>
      <c r="W158" s="8">
        <f t="shared" si="14"/>
        <v>0</v>
      </c>
      <c r="X158" s="611"/>
      <c r="Y158" s="26"/>
      <c r="Z158" s="8">
        <f t="shared" si="15"/>
        <v>0</v>
      </c>
      <c r="AA158" s="611"/>
      <c r="AB158" s="26"/>
      <c r="AC158" s="8">
        <f t="shared" si="16"/>
        <v>0</v>
      </c>
      <c r="AD158" s="26"/>
      <c r="AE158" s="26"/>
      <c r="AF158" s="26"/>
      <c r="AG158" s="26"/>
      <c r="AH158" s="26"/>
    </row>
    <row r="159" ht="12.75" customHeight="1">
      <c r="A159" s="24"/>
      <c r="B159" s="609"/>
      <c r="C159" s="24"/>
      <c r="D159" s="24"/>
      <c r="E159" s="610"/>
      <c r="F159" s="611"/>
      <c r="G159" s="26"/>
      <c r="H159" s="8">
        <f t="shared" si="18"/>
        <v>0</v>
      </c>
      <c r="I159" s="611"/>
      <c r="J159" s="26"/>
      <c r="K159" s="8">
        <f t="shared" si="10"/>
        <v>0</v>
      </c>
      <c r="L159" s="611"/>
      <c r="M159" s="26"/>
      <c r="N159" s="8">
        <f t="shared" si="11"/>
        <v>0</v>
      </c>
      <c r="O159" s="611"/>
      <c r="P159" s="26"/>
      <c r="Q159" s="8">
        <f t="shared" si="12"/>
        <v>0</v>
      </c>
      <c r="R159" s="611"/>
      <c r="S159" s="26"/>
      <c r="T159" s="8">
        <f t="shared" si="13"/>
        <v>0</v>
      </c>
      <c r="U159" s="611"/>
      <c r="V159" s="26"/>
      <c r="W159" s="8">
        <f t="shared" si="14"/>
        <v>0</v>
      </c>
      <c r="X159" s="611"/>
      <c r="Y159" s="26"/>
      <c r="Z159" s="8">
        <f t="shared" si="15"/>
        <v>0</v>
      </c>
      <c r="AA159" s="611"/>
      <c r="AB159" s="26"/>
      <c r="AC159" s="8">
        <f t="shared" si="16"/>
        <v>0</v>
      </c>
      <c r="AD159" s="26"/>
      <c r="AE159" s="26"/>
      <c r="AF159" s="26"/>
      <c r="AG159" s="26"/>
      <c r="AH159" s="26"/>
    </row>
    <row r="160" ht="12.75" customHeight="1">
      <c r="A160" s="24"/>
      <c r="B160" s="609"/>
      <c r="C160" s="24"/>
      <c r="D160" s="24"/>
      <c r="E160" s="610"/>
      <c r="F160" s="611"/>
      <c r="G160" s="26"/>
      <c r="H160" s="8">
        <f t="shared" si="18"/>
        <v>0</v>
      </c>
      <c r="I160" s="611"/>
      <c r="J160" s="26"/>
      <c r="K160" s="8">
        <f t="shared" si="10"/>
        <v>0</v>
      </c>
      <c r="L160" s="611"/>
      <c r="M160" s="26"/>
      <c r="N160" s="8">
        <f t="shared" si="11"/>
        <v>0</v>
      </c>
      <c r="O160" s="611"/>
      <c r="P160" s="26"/>
      <c r="Q160" s="8">
        <f t="shared" si="12"/>
        <v>0</v>
      </c>
      <c r="R160" s="611"/>
      <c r="S160" s="26"/>
      <c r="T160" s="8">
        <f t="shared" si="13"/>
        <v>0</v>
      </c>
      <c r="U160" s="611"/>
      <c r="V160" s="26"/>
      <c r="W160" s="8">
        <f t="shared" si="14"/>
        <v>0</v>
      </c>
      <c r="X160" s="611"/>
      <c r="Y160" s="26"/>
      <c r="Z160" s="8">
        <f t="shared" si="15"/>
        <v>0</v>
      </c>
      <c r="AA160" s="611"/>
      <c r="AB160" s="26"/>
      <c r="AC160" s="8">
        <f t="shared" si="16"/>
        <v>0</v>
      </c>
      <c r="AD160" s="26"/>
      <c r="AE160" s="26"/>
      <c r="AF160" s="26"/>
      <c r="AG160" s="26"/>
      <c r="AH160" s="26"/>
    </row>
    <row r="161" ht="12.75" customHeight="1">
      <c r="A161" s="24"/>
      <c r="B161" s="609"/>
      <c r="C161" s="24"/>
      <c r="D161" s="24"/>
      <c r="E161" s="610"/>
      <c r="F161" s="611"/>
      <c r="G161" s="26"/>
      <c r="H161" s="8">
        <f t="shared" si="18"/>
        <v>0</v>
      </c>
      <c r="I161" s="611"/>
      <c r="J161" s="26"/>
      <c r="K161" s="8">
        <f t="shared" si="10"/>
        <v>0</v>
      </c>
      <c r="L161" s="611"/>
      <c r="M161" s="26"/>
      <c r="N161" s="8">
        <f t="shared" si="11"/>
        <v>0</v>
      </c>
      <c r="O161" s="611"/>
      <c r="P161" s="26"/>
      <c r="Q161" s="8">
        <f t="shared" si="12"/>
        <v>0</v>
      </c>
      <c r="R161" s="611"/>
      <c r="S161" s="26"/>
      <c r="T161" s="8">
        <f t="shared" si="13"/>
        <v>0</v>
      </c>
      <c r="U161" s="611"/>
      <c r="V161" s="26"/>
      <c r="W161" s="8">
        <f t="shared" si="14"/>
        <v>0</v>
      </c>
      <c r="X161" s="611"/>
      <c r="Y161" s="26"/>
      <c r="Z161" s="8">
        <f t="shared" si="15"/>
        <v>0</v>
      </c>
      <c r="AA161" s="611"/>
      <c r="AB161" s="26"/>
      <c r="AC161" s="8">
        <f t="shared" si="16"/>
        <v>0</v>
      </c>
      <c r="AD161" s="26"/>
      <c r="AE161" s="26"/>
      <c r="AF161" s="26"/>
      <c r="AG161" s="26"/>
      <c r="AH161" s="26"/>
    </row>
    <row r="162" ht="12.75" customHeight="1">
      <c r="A162" s="24"/>
      <c r="B162" s="609"/>
      <c r="C162" s="24"/>
      <c r="D162" s="24"/>
      <c r="E162" s="610"/>
      <c r="F162" s="611"/>
      <c r="G162" s="26"/>
      <c r="H162" s="8">
        <f t="shared" si="18"/>
        <v>0</v>
      </c>
      <c r="I162" s="611"/>
      <c r="J162" s="26"/>
      <c r="K162" s="8">
        <f t="shared" si="10"/>
        <v>0</v>
      </c>
      <c r="L162" s="611"/>
      <c r="M162" s="26"/>
      <c r="N162" s="8">
        <f t="shared" si="11"/>
        <v>0</v>
      </c>
      <c r="O162" s="611"/>
      <c r="P162" s="26"/>
      <c r="Q162" s="8">
        <f t="shared" si="12"/>
        <v>0</v>
      </c>
      <c r="R162" s="611"/>
      <c r="S162" s="26"/>
      <c r="T162" s="8">
        <f t="shared" si="13"/>
        <v>0</v>
      </c>
      <c r="U162" s="611"/>
      <c r="V162" s="26"/>
      <c r="W162" s="8">
        <f t="shared" si="14"/>
        <v>0</v>
      </c>
      <c r="X162" s="611"/>
      <c r="Y162" s="26"/>
      <c r="Z162" s="8">
        <f t="shared" si="15"/>
        <v>0</v>
      </c>
      <c r="AA162" s="611"/>
      <c r="AB162" s="26"/>
      <c r="AC162" s="8">
        <f t="shared" si="16"/>
        <v>0</v>
      </c>
      <c r="AD162" s="26"/>
      <c r="AE162" s="26"/>
      <c r="AF162" s="26"/>
      <c r="AG162" s="26"/>
      <c r="AH162" s="26"/>
    </row>
    <row r="163" ht="12.75" customHeight="1">
      <c r="A163" s="24"/>
      <c r="B163" s="609"/>
      <c r="C163" s="24"/>
      <c r="D163" s="24"/>
      <c r="E163" s="610"/>
      <c r="F163" s="611"/>
      <c r="G163" s="26"/>
      <c r="H163" s="8">
        <f t="shared" si="18"/>
        <v>0</v>
      </c>
      <c r="I163" s="611"/>
      <c r="J163" s="26"/>
      <c r="K163" s="8">
        <f t="shared" si="10"/>
        <v>0</v>
      </c>
      <c r="L163" s="611"/>
      <c r="M163" s="26"/>
      <c r="N163" s="8">
        <f t="shared" si="11"/>
        <v>0</v>
      </c>
      <c r="O163" s="611"/>
      <c r="P163" s="26"/>
      <c r="Q163" s="8">
        <f t="shared" si="12"/>
        <v>0</v>
      </c>
      <c r="R163" s="611"/>
      <c r="S163" s="26"/>
      <c r="T163" s="8">
        <f t="shared" si="13"/>
        <v>0</v>
      </c>
      <c r="U163" s="611"/>
      <c r="V163" s="26"/>
      <c r="W163" s="8">
        <f t="shared" si="14"/>
        <v>0</v>
      </c>
      <c r="X163" s="611"/>
      <c r="Y163" s="26"/>
      <c r="Z163" s="8">
        <f t="shared" si="15"/>
        <v>0</v>
      </c>
      <c r="AA163" s="611"/>
      <c r="AB163" s="26"/>
      <c r="AC163" s="8">
        <f t="shared" si="16"/>
        <v>0</v>
      </c>
      <c r="AD163" s="26"/>
      <c r="AE163" s="26"/>
      <c r="AF163" s="26"/>
      <c r="AG163" s="26"/>
      <c r="AH163" s="26"/>
    </row>
    <row r="164" ht="12.75" customHeight="1">
      <c r="A164" s="24"/>
      <c r="B164" s="609"/>
      <c r="C164" s="24"/>
      <c r="D164" s="24"/>
      <c r="E164" s="610"/>
      <c r="F164" s="611"/>
      <c r="G164" s="26"/>
      <c r="H164" s="8">
        <f t="shared" si="18"/>
        <v>0</v>
      </c>
      <c r="I164" s="611"/>
      <c r="J164" s="26"/>
      <c r="K164" s="8">
        <f t="shared" si="10"/>
        <v>0</v>
      </c>
      <c r="L164" s="611"/>
      <c r="M164" s="26"/>
      <c r="N164" s="8">
        <f t="shared" si="11"/>
        <v>0</v>
      </c>
      <c r="O164" s="611"/>
      <c r="P164" s="26"/>
      <c r="Q164" s="8">
        <f t="shared" si="12"/>
        <v>0</v>
      </c>
      <c r="R164" s="611"/>
      <c r="S164" s="26"/>
      <c r="T164" s="8">
        <f t="shared" si="13"/>
        <v>0</v>
      </c>
      <c r="U164" s="611"/>
      <c r="V164" s="26"/>
      <c r="W164" s="8">
        <f t="shared" si="14"/>
        <v>0</v>
      </c>
      <c r="X164" s="611"/>
      <c r="Y164" s="26"/>
      <c r="Z164" s="8">
        <f t="shared" si="15"/>
        <v>0</v>
      </c>
      <c r="AA164" s="611"/>
      <c r="AB164" s="26"/>
      <c r="AC164" s="8">
        <f t="shared" si="16"/>
        <v>0</v>
      </c>
      <c r="AD164" s="26"/>
      <c r="AE164" s="26"/>
      <c r="AF164" s="26"/>
      <c r="AG164" s="26"/>
      <c r="AH164" s="26"/>
    </row>
    <row r="165" ht="12.75" customHeight="1">
      <c r="A165" s="24"/>
      <c r="B165" s="609"/>
      <c r="C165" s="24"/>
      <c r="D165" s="24"/>
      <c r="E165" s="610"/>
      <c r="F165" s="611"/>
      <c r="G165" s="26"/>
      <c r="H165" s="8">
        <f t="shared" si="18"/>
        <v>0</v>
      </c>
      <c r="I165" s="611"/>
      <c r="J165" s="26"/>
      <c r="K165" s="8">
        <f t="shared" si="10"/>
        <v>0</v>
      </c>
      <c r="L165" s="611"/>
      <c r="M165" s="26"/>
      <c r="N165" s="8">
        <f t="shared" si="11"/>
        <v>0</v>
      </c>
      <c r="O165" s="611"/>
      <c r="P165" s="26"/>
      <c r="Q165" s="8">
        <f t="shared" si="12"/>
        <v>0</v>
      </c>
      <c r="R165" s="611"/>
      <c r="S165" s="26"/>
      <c r="T165" s="8">
        <f t="shared" si="13"/>
        <v>0</v>
      </c>
      <c r="U165" s="611"/>
      <c r="V165" s="26"/>
      <c r="W165" s="8">
        <f t="shared" si="14"/>
        <v>0</v>
      </c>
      <c r="X165" s="611"/>
      <c r="Y165" s="26"/>
      <c r="Z165" s="8">
        <f t="shared" si="15"/>
        <v>0</v>
      </c>
      <c r="AA165" s="611"/>
      <c r="AB165" s="26"/>
      <c r="AC165" s="8">
        <f t="shared" si="16"/>
        <v>0</v>
      </c>
      <c r="AD165" s="26"/>
      <c r="AE165" s="26"/>
      <c r="AF165" s="26"/>
      <c r="AG165" s="26"/>
      <c r="AH165" s="26"/>
    </row>
    <row r="166" ht="12.75" customHeight="1">
      <c r="A166" s="24"/>
      <c r="B166" s="609"/>
      <c r="C166" s="24"/>
      <c r="D166" s="24"/>
      <c r="E166" s="610"/>
      <c r="F166" s="611"/>
      <c r="G166" s="26"/>
      <c r="H166" s="8">
        <f t="shared" si="18"/>
        <v>0</v>
      </c>
      <c r="I166" s="611"/>
      <c r="J166" s="26"/>
      <c r="K166" s="8">
        <f t="shared" si="10"/>
        <v>0</v>
      </c>
      <c r="L166" s="611"/>
      <c r="M166" s="26"/>
      <c r="N166" s="8">
        <f t="shared" si="11"/>
        <v>0</v>
      </c>
      <c r="O166" s="611"/>
      <c r="P166" s="26"/>
      <c r="Q166" s="8">
        <f t="shared" si="12"/>
        <v>0</v>
      </c>
      <c r="R166" s="611"/>
      <c r="S166" s="26"/>
      <c r="T166" s="8">
        <f t="shared" si="13"/>
        <v>0</v>
      </c>
      <c r="U166" s="611"/>
      <c r="V166" s="26"/>
      <c r="W166" s="8">
        <f t="shared" si="14"/>
        <v>0</v>
      </c>
      <c r="X166" s="611"/>
      <c r="Y166" s="26"/>
      <c r="Z166" s="8">
        <f t="shared" si="15"/>
        <v>0</v>
      </c>
      <c r="AA166" s="611"/>
      <c r="AB166" s="26"/>
      <c r="AC166" s="8">
        <f t="shared" si="16"/>
        <v>0</v>
      </c>
      <c r="AD166" s="26"/>
      <c r="AE166" s="26"/>
      <c r="AF166" s="26"/>
      <c r="AG166" s="26"/>
      <c r="AH166" s="26"/>
    </row>
    <row r="167" ht="12.75" customHeight="1">
      <c r="A167" s="24"/>
      <c r="B167" s="609"/>
      <c r="C167" s="24"/>
      <c r="D167" s="24"/>
      <c r="E167" s="610"/>
      <c r="F167" s="611"/>
      <c r="G167" s="26"/>
      <c r="H167" s="8">
        <f t="shared" si="18"/>
        <v>0</v>
      </c>
      <c r="I167" s="611"/>
      <c r="J167" s="26"/>
      <c r="K167" s="8">
        <f t="shared" si="10"/>
        <v>0</v>
      </c>
      <c r="L167" s="611"/>
      <c r="M167" s="26"/>
      <c r="N167" s="8">
        <f t="shared" si="11"/>
        <v>0</v>
      </c>
      <c r="O167" s="611"/>
      <c r="P167" s="26"/>
      <c r="Q167" s="8">
        <f t="shared" si="12"/>
        <v>0</v>
      </c>
      <c r="R167" s="611"/>
      <c r="S167" s="26"/>
      <c r="T167" s="8">
        <f t="shared" si="13"/>
        <v>0</v>
      </c>
      <c r="U167" s="611"/>
      <c r="V167" s="26"/>
      <c r="W167" s="8">
        <f t="shared" si="14"/>
        <v>0</v>
      </c>
      <c r="X167" s="611"/>
      <c r="Y167" s="26"/>
      <c r="Z167" s="8">
        <f t="shared" si="15"/>
        <v>0</v>
      </c>
      <c r="AA167" s="611"/>
      <c r="AB167" s="26"/>
      <c r="AC167" s="8">
        <f t="shared" si="16"/>
        <v>0</v>
      </c>
      <c r="AD167" s="26"/>
      <c r="AE167" s="26"/>
      <c r="AF167" s="26"/>
      <c r="AG167" s="26"/>
      <c r="AH167" s="26"/>
    </row>
    <row r="168" ht="12.75" customHeight="1">
      <c r="A168" s="24"/>
      <c r="B168" s="609"/>
      <c r="C168" s="24"/>
      <c r="D168" s="24"/>
      <c r="E168" s="610"/>
      <c r="F168" s="611"/>
      <c r="G168" s="26"/>
      <c r="H168" s="8">
        <f t="shared" si="18"/>
        <v>0</v>
      </c>
      <c r="I168" s="611"/>
      <c r="J168" s="26"/>
      <c r="K168" s="8">
        <f t="shared" si="10"/>
        <v>0</v>
      </c>
      <c r="L168" s="611"/>
      <c r="M168" s="26"/>
      <c r="N168" s="8">
        <f t="shared" si="11"/>
        <v>0</v>
      </c>
      <c r="O168" s="611"/>
      <c r="P168" s="26"/>
      <c r="Q168" s="8">
        <f t="shared" si="12"/>
        <v>0</v>
      </c>
      <c r="R168" s="611"/>
      <c r="S168" s="26"/>
      <c r="T168" s="8">
        <f t="shared" si="13"/>
        <v>0</v>
      </c>
      <c r="U168" s="611"/>
      <c r="V168" s="26"/>
      <c r="W168" s="8">
        <f t="shared" si="14"/>
        <v>0</v>
      </c>
      <c r="X168" s="611"/>
      <c r="Y168" s="26"/>
      <c r="Z168" s="8">
        <f t="shared" si="15"/>
        <v>0</v>
      </c>
      <c r="AA168" s="611"/>
      <c r="AB168" s="26"/>
      <c r="AC168" s="8">
        <f t="shared" si="16"/>
        <v>0</v>
      </c>
      <c r="AD168" s="26"/>
      <c r="AE168" s="26"/>
      <c r="AF168" s="26"/>
      <c r="AG168" s="26"/>
      <c r="AH168" s="26"/>
    </row>
    <row r="169" ht="12.75" customHeight="1">
      <c r="A169" s="24"/>
      <c r="B169" s="609"/>
      <c r="C169" s="24"/>
      <c r="D169" s="24"/>
      <c r="E169" s="610"/>
      <c r="F169" s="611"/>
      <c r="G169" s="26"/>
      <c r="H169" s="8">
        <f t="shared" si="18"/>
        <v>0</v>
      </c>
      <c r="I169" s="611"/>
      <c r="J169" s="26"/>
      <c r="K169" s="8">
        <f t="shared" si="10"/>
        <v>0</v>
      </c>
      <c r="L169" s="611"/>
      <c r="M169" s="26"/>
      <c r="N169" s="8">
        <f t="shared" si="11"/>
        <v>0</v>
      </c>
      <c r="O169" s="611"/>
      <c r="P169" s="26"/>
      <c r="Q169" s="8">
        <f t="shared" si="12"/>
        <v>0</v>
      </c>
      <c r="R169" s="611"/>
      <c r="S169" s="26"/>
      <c r="T169" s="8">
        <f t="shared" si="13"/>
        <v>0</v>
      </c>
      <c r="U169" s="611"/>
      <c r="V169" s="26"/>
      <c r="W169" s="8">
        <f t="shared" si="14"/>
        <v>0</v>
      </c>
      <c r="X169" s="611"/>
      <c r="Y169" s="26"/>
      <c r="Z169" s="8">
        <f t="shared" si="15"/>
        <v>0</v>
      </c>
      <c r="AA169" s="611"/>
      <c r="AB169" s="26"/>
      <c r="AC169" s="8">
        <f t="shared" si="16"/>
        <v>0</v>
      </c>
      <c r="AD169" s="26"/>
      <c r="AE169" s="26"/>
      <c r="AF169" s="26"/>
      <c r="AG169" s="26"/>
      <c r="AH169" s="26"/>
    </row>
    <row r="170" ht="12.75" customHeight="1">
      <c r="A170" s="24"/>
      <c r="B170" s="609"/>
      <c r="C170" s="24"/>
      <c r="D170" s="24"/>
      <c r="E170" s="610"/>
      <c r="F170" s="611"/>
      <c r="G170" s="26"/>
      <c r="H170" s="8">
        <f t="shared" si="18"/>
        <v>0</v>
      </c>
      <c r="I170" s="611"/>
      <c r="J170" s="26"/>
      <c r="K170" s="8">
        <f t="shared" si="10"/>
        <v>0</v>
      </c>
      <c r="L170" s="611"/>
      <c r="M170" s="26"/>
      <c r="N170" s="8">
        <f t="shared" si="11"/>
        <v>0</v>
      </c>
      <c r="O170" s="611"/>
      <c r="P170" s="26"/>
      <c r="Q170" s="8">
        <f t="shared" si="12"/>
        <v>0</v>
      </c>
      <c r="R170" s="611"/>
      <c r="S170" s="26"/>
      <c r="T170" s="8">
        <f t="shared" si="13"/>
        <v>0</v>
      </c>
      <c r="U170" s="611"/>
      <c r="V170" s="26"/>
      <c r="W170" s="8">
        <f t="shared" si="14"/>
        <v>0</v>
      </c>
      <c r="X170" s="611"/>
      <c r="Y170" s="26"/>
      <c r="Z170" s="8">
        <f t="shared" si="15"/>
        <v>0</v>
      </c>
      <c r="AA170" s="611"/>
      <c r="AB170" s="26"/>
      <c r="AC170" s="8">
        <f t="shared" si="16"/>
        <v>0</v>
      </c>
      <c r="AD170" s="26"/>
      <c r="AE170" s="26"/>
      <c r="AF170" s="26"/>
      <c r="AG170" s="26"/>
      <c r="AH170" s="26"/>
    </row>
    <row r="171" ht="12.75" customHeight="1">
      <c r="A171" s="24"/>
      <c r="B171" s="609"/>
      <c r="C171" s="24"/>
      <c r="D171" s="24"/>
      <c r="E171" s="610"/>
      <c r="F171" s="611"/>
      <c r="G171" s="26"/>
      <c r="H171" s="8">
        <f t="shared" si="18"/>
        <v>0</v>
      </c>
      <c r="I171" s="611"/>
      <c r="J171" s="26"/>
      <c r="K171" s="8">
        <f t="shared" si="10"/>
        <v>0</v>
      </c>
      <c r="L171" s="611"/>
      <c r="M171" s="26"/>
      <c r="N171" s="8">
        <f t="shared" si="11"/>
        <v>0</v>
      </c>
      <c r="O171" s="611"/>
      <c r="P171" s="26"/>
      <c r="Q171" s="8">
        <f t="shared" si="12"/>
        <v>0</v>
      </c>
      <c r="R171" s="611"/>
      <c r="S171" s="26"/>
      <c r="T171" s="8">
        <f t="shared" si="13"/>
        <v>0</v>
      </c>
      <c r="U171" s="611"/>
      <c r="V171" s="26"/>
      <c r="W171" s="8">
        <f t="shared" si="14"/>
        <v>0</v>
      </c>
      <c r="X171" s="611"/>
      <c r="Y171" s="26"/>
      <c r="Z171" s="8">
        <f t="shared" si="15"/>
        <v>0</v>
      </c>
      <c r="AA171" s="611"/>
      <c r="AB171" s="26"/>
      <c r="AC171" s="8">
        <f t="shared" si="16"/>
        <v>0</v>
      </c>
      <c r="AD171" s="26"/>
      <c r="AE171" s="26"/>
      <c r="AF171" s="26"/>
      <c r="AG171" s="26"/>
      <c r="AH171" s="26"/>
    </row>
    <row r="172" ht="12.75" customHeight="1">
      <c r="A172" s="24"/>
      <c r="B172" s="609"/>
      <c r="C172" s="24"/>
      <c r="D172" s="24"/>
      <c r="E172" s="610"/>
      <c r="F172" s="611"/>
      <c r="G172" s="26"/>
      <c r="H172" s="8">
        <f t="shared" si="18"/>
        <v>0</v>
      </c>
      <c r="I172" s="611"/>
      <c r="J172" s="26"/>
      <c r="K172" s="8">
        <f t="shared" si="10"/>
        <v>0</v>
      </c>
      <c r="L172" s="611"/>
      <c r="M172" s="26"/>
      <c r="N172" s="8">
        <f t="shared" si="11"/>
        <v>0</v>
      </c>
      <c r="O172" s="611"/>
      <c r="P172" s="26"/>
      <c r="Q172" s="8">
        <f t="shared" si="12"/>
        <v>0</v>
      </c>
      <c r="R172" s="611"/>
      <c r="S172" s="26"/>
      <c r="T172" s="8">
        <f t="shared" si="13"/>
        <v>0</v>
      </c>
      <c r="U172" s="611"/>
      <c r="V172" s="26"/>
      <c r="W172" s="8">
        <f t="shared" si="14"/>
        <v>0</v>
      </c>
      <c r="X172" s="611"/>
      <c r="Y172" s="26"/>
      <c r="Z172" s="8">
        <f t="shared" si="15"/>
        <v>0</v>
      </c>
      <c r="AA172" s="611"/>
      <c r="AB172" s="26"/>
      <c r="AC172" s="8">
        <f t="shared" si="16"/>
        <v>0</v>
      </c>
      <c r="AD172" s="26"/>
      <c r="AE172" s="26"/>
      <c r="AF172" s="26"/>
      <c r="AG172" s="26"/>
      <c r="AH172" s="26"/>
    </row>
    <row r="173" ht="12.75" customHeight="1">
      <c r="A173" s="24"/>
      <c r="B173" s="609"/>
      <c r="C173" s="24"/>
      <c r="D173" s="24"/>
      <c r="E173" s="610"/>
      <c r="F173" s="611"/>
      <c r="G173" s="26"/>
      <c r="H173" s="8">
        <f t="shared" si="18"/>
        <v>0</v>
      </c>
      <c r="I173" s="611"/>
      <c r="J173" s="26"/>
      <c r="K173" s="8">
        <f t="shared" si="10"/>
        <v>0</v>
      </c>
      <c r="L173" s="611"/>
      <c r="M173" s="26"/>
      <c r="N173" s="8">
        <f t="shared" si="11"/>
        <v>0</v>
      </c>
      <c r="O173" s="611"/>
      <c r="P173" s="26"/>
      <c r="Q173" s="8">
        <f t="shared" si="12"/>
        <v>0</v>
      </c>
      <c r="R173" s="611"/>
      <c r="S173" s="26"/>
      <c r="T173" s="8">
        <f t="shared" si="13"/>
        <v>0</v>
      </c>
      <c r="U173" s="611"/>
      <c r="V173" s="26"/>
      <c r="W173" s="8">
        <f t="shared" si="14"/>
        <v>0</v>
      </c>
      <c r="X173" s="611"/>
      <c r="Y173" s="26"/>
      <c r="Z173" s="8">
        <f t="shared" si="15"/>
        <v>0</v>
      </c>
      <c r="AA173" s="611"/>
      <c r="AB173" s="26"/>
      <c r="AC173" s="8">
        <f t="shared" si="16"/>
        <v>0</v>
      </c>
      <c r="AD173" s="26"/>
      <c r="AE173" s="26"/>
      <c r="AF173" s="26"/>
      <c r="AG173" s="26"/>
      <c r="AH173" s="26"/>
    </row>
    <row r="174" ht="12.75" customHeight="1">
      <c r="A174" s="24"/>
      <c r="B174" s="609"/>
      <c r="C174" s="24"/>
      <c r="D174" s="24"/>
      <c r="E174" s="610"/>
      <c r="F174" s="611"/>
      <c r="G174" s="26"/>
      <c r="H174" s="8">
        <f t="shared" si="18"/>
        <v>0</v>
      </c>
      <c r="I174" s="611"/>
      <c r="J174" s="26"/>
      <c r="K174" s="8">
        <f t="shared" si="10"/>
        <v>0</v>
      </c>
      <c r="L174" s="611"/>
      <c r="M174" s="26"/>
      <c r="N174" s="8">
        <f t="shared" si="11"/>
        <v>0</v>
      </c>
      <c r="O174" s="611"/>
      <c r="P174" s="26"/>
      <c r="Q174" s="8">
        <f t="shared" si="12"/>
        <v>0</v>
      </c>
      <c r="R174" s="611"/>
      <c r="S174" s="26"/>
      <c r="T174" s="8">
        <f t="shared" si="13"/>
        <v>0</v>
      </c>
      <c r="U174" s="611"/>
      <c r="V174" s="26"/>
      <c r="W174" s="8">
        <f t="shared" si="14"/>
        <v>0</v>
      </c>
      <c r="X174" s="611"/>
      <c r="Y174" s="26"/>
      <c r="Z174" s="8">
        <f t="shared" si="15"/>
        <v>0</v>
      </c>
      <c r="AA174" s="611"/>
      <c r="AB174" s="26"/>
      <c r="AC174" s="8">
        <f t="shared" si="16"/>
        <v>0</v>
      </c>
      <c r="AD174" s="26"/>
      <c r="AE174" s="26"/>
      <c r="AF174" s="26"/>
      <c r="AG174" s="26"/>
      <c r="AH174" s="26"/>
    </row>
    <row r="175" ht="12.75" customHeight="1">
      <c r="A175" s="24"/>
      <c r="B175" s="609"/>
      <c r="C175" s="24"/>
      <c r="D175" s="24"/>
      <c r="E175" s="610"/>
      <c r="F175" s="611"/>
      <c r="G175" s="26"/>
      <c r="H175" s="8">
        <f t="shared" si="18"/>
        <v>0</v>
      </c>
      <c r="I175" s="611"/>
      <c r="J175" s="26"/>
      <c r="K175" s="8">
        <f t="shared" si="10"/>
        <v>0</v>
      </c>
      <c r="L175" s="611"/>
      <c r="M175" s="26"/>
      <c r="N175" s="8">
        <f t="shared" si="11"/>
        <v>0</v>
      </c>
      <c r="O175" s="611"/>
      <c r="P175" s="26"/>
      <c r="Q175" s="8">
        <f t="shared" si="12"/>
        <v>0</v>
      </c>
      <c r="R175" s="611"/>
      <c r="S175" s="26"/>
      <c r="T175" s="8">
        <f t="shared" si="13"/>
        <v>0</v>
      </c>
      <c r="U175" s="611"/>
      <c r="V175" s="26"/>
      <c r="W175" s="8">
        <f t="shared" si="14"/>
        <v>0</v>
      </c>
      <c r="X175" s="611"/>
      <c r="Y175" s="26"/>
      <c r="Z175" s="8">
        <f t="shared" si="15"/>
        <v>0</v>
      </c>
      <c r="AA175" s="611"/>
      <c r="AB175" s="26"/>
      <c r="AC175" s="8">
        <f t="shared" si="16"/>
        <v>0</v>
      </c>
      <c r="AD175" s="26"/>
      <c r="AE175" s="26"/>
      <c r="AF175" s="26"/>
      <c r="AG175" s="26"/>
      <c r="AH175" s="26"/>
    </row>
    <row r="176" ht="12.75" customHeight="1">
      <c r="A176" s="24"/>
      <c r="B176" s="609"/>
      <c r="C176" s="24"/>
      <c r="D176" s="24"/>
      <c r="E176" s="610"/>
      <c r="F176" s="611"/>
      <c r="G176" s="26"/>
      <c r="H176" s="8">
        <f t="shared" si="18"/>
        <v>0</v>
      </c>
      <c r="I176" s="611"/>
      <c r="J176" s="26"/>
      <c r="K176" s="8">
        <f t="shared" si="10"/>
        <v>0</v>
      </c>
      <c r="L176" s="611"/>
      <c r="M176" s="26"/>
      <c r="N176" s="8">
        <f t="shared" si="11"/>
        <v>0</v>
      </c>
      <c r="O176" s="611"/>
      <c r="P176" s="26"/>
      <c r="Q176" s="8">
        <f t="shared" si="12"/>
        <v>0</v>
      </c>
      <c r="R176" s="611"/>
      <c r="S176" s="26"/>
      <c r="T176" s="8">
        <f t="shared" si="13"/>
        <v>0</v>
      </c>
      <c r="U176" s="611"/>
      <c r="V176" s="26"/>
      <c r="W176" s="8">
        <f t="shared" si="14"/>
        <v>0</v>
      </c>
      <c r="X176" s="611"/>
      <c r="Y176" s="26"/>
      <c r="Z176" s="8">
        <f t="shared" si="15"/>
        <v>0</v>
      </c>
      <c r="AA176" s="611"/>
      <c r="AB176" s="26"/>
      <c r="AC176" s="8">
        <f t="shared" si="16"/>
        <v>0</v>
      </c>
      <c r="AD176" s="26"/>
      <c r="AE176" s="26"/>
      <c r="AF176" s="26"/>
      <c r="AG176" s="26"/>
      <c r="AH176" s="26"/>
    </row>
    <row r="177" ht="12.75" customHeight="1">
      <c r="A177" s="24"/>
      <c r="B177" s="609"/>
      <c r="C177" s="24"/>
      <c r="D177" s="24"/>
      <c r="E177" s="610"/>
      <c r="F177" s="611"/>
      <c r="G177" s="26"/>
      <c r="H177" s="8">
        <f t="shared" si="18"/>
        <v>0</v>
      </c>
      <c r="I177" s="611"/>
      <c r="J177" s="26"/>
      <c r="K177" s="8">
        <f t="shared" si="10"/>
        <v>0</v>
      </c>
      <c r="L177" s="611"/>
      <c r="M177" s="26"/>
      <c r="N177" s="8">
        <f t="shared" si="11"/>
        <v>0</v>
      </c>
      <c r="O177" s="611"/>
      <c r="P177" s="26"/>
      <c r="Q177" s="8">
        <f t="shared" si="12"/>
        <v>0</v>
      </c>
      <c r="R177" s="611"/>
      <c r="S177" s="26"/>
      <c r="T177" s="8">
        <f t="shared" si="13"/>
        <v>0</v>
      </c>
      <c r="U177" s="611"/>
      <c r="V177" s="26"/>
      <c r="W177" s="8">
        <f t="shared" si="14"/>
        <v>0</v>
      </c>
      <c r="X177" s="611"/>
      <c r="Y177" s="26"/>
      <c r="Z177" s="8">
        <f t="shared" si="15"/>
        <v>0</v>
      </c>
      <c r="AA177" s="611"/>
      <c r="AB177" s="26"/>
      <c r="AC177" s="8">
        <f t="shared" si="16"/>
        <v>0</v>
      </c>
      <c r="AD177" s="26"/>
      <c r="AE177" s="26"/>
      <c r="AF177" s="26"/>
      <c r="AG177" s="26"/>
      <c r="AH177" s="26"/>
    </row>
    <row r="178" ht="12.75" customHeight="1">
      <c r="A178" s="24"/>
      <c r="B178" s="609"/>
      <c r="C178" s="24"/>
      <c r="D178" s="24"/>
      <c r="E178" s="610"/>
      <c r="F178" s="611"/>
      <c r="G178" s="26"/>
      <c r="H178" s="8">
        <f t="shared" si="18"/>
        <v>0</v>
      </c>
      <c r="I178" s="611"/>
      <c r="J178" s="26"/>
      <c r="K178" s="8">
        <f t="shared" si="10"/>
        <v>0</v>
      </c>
      <c r="L178" s="611"/>
      <c r="M178" s="26"/>
      <c r="N178" s="8">
        <f t="shared" si="11"/>
        <v>0</v>
      </c>
      <c r="O178" s="611"/>
      <c r="P178" s="26"/>
      <c r="Q178" s="8">
        <f t="shared" si="12"/>
        <v>0</v>
      </c>
      <c r="R178" s="611"/>
      <c r="S178" s="26"/>
      <c r="T178" s="8">
        <f t="shared" si="13"/>
        <v>0</v>
      </c>
      <c r="U178" s="611"/>
      <c r="V178" s="26"/>
      <c r="W178" s="8">
        <f t="shared" si="14"/>
        <v>0</v>
      </c>
      <c r="X178" s="611"/>
      <c r="Y178" s="26"/>
      <c r="Z178" s="8">
        <f t="shared" si="15"/>
        <v>0</v>
      </c>
      <c r="AA178" s="611"/>
      <c r="AB178" s="26"/>
      <c r="AC178" s="8">
        <f t="shared" si="16"/>
        <v>0</v>
      </c>
      <c r="AD178" s="26"/>
      <c r="AE178" s="26"/>
      <c r="AF178" s="26"/>
      <c r="AG178" s="26"/>
      <c r="AH178" s="26"/>
    </row>
    <row r="179" ht="12.75" customHeight="1">
      <c r="A179" s="24"/>
      <c r="B179" s="609"/>
      <c r="C179" s="24"/>
      <c r="D179" s="24"/>
      <c r="E179" s="610"/>
      <c r="F179" s="611"/>
      <c r="G179" s="26"/>
      <c r="H179" s="8">
        <f t="shared" si="18"/>
        <v>0</v>
      </c>
      <c r="I179" s="611"/>
      <c r="J179" s="26"/>
      <c r="K179" s="8">
        <f t="shared" si="10"/>
        <v>0</v>
      </c>
      <c r="L179" s="611"/>
      <c r="M179" s="26"/>
      <c r="N179" s="8">
        <f t="shared" si="11"/>
        <v>0</v>
      </c>
      <c r="O179" s="611"/>
      <c r="P179" s="26"/>
      <c r="Q179" s="8">
        <f t="shared" si="12"/>
        <v>0</v>
      </c>
      <c r="R179" s="611"/>
      <c r="S179" s="26"/>
      <c r="T179" s="8">
        <f t="shared" si="13"/>
        <v>0</v>
      </c>
      <c r="U179" s="611"/>
      <c r="V179" s="26"/>
      <c r="W179" s="8">
        <f t="shared" si="14"/>
        <v>0</v>
      </c>
      <c r="X179" s="611"/>
      <c r="Y179" s="26"/>
      <c r="Z179" s="8">
        <f t="shared" si="15"/>
        <v>0</v>
      </c>
      <c r="AA179" s="611"/>
      <c r="AB179" s="26"/>
      <c r="AC179" s="8">
        <f t="shared" si="16"/>
        <v>0</v>
      </c>
      <c r="AD179" s="26"/>
      <c r="AE179" s="26"/>
      <c r="AF179" s="26"/>
      <c r="AG179" s="26"/>
      <c r="AH179" s="26"/>
    </row>
    <row r="180" ht="12.75" customHeight="1">
      <c r="A180" s="24"/>
      <c r="B180" s="609"/>
      <c r="C180" s="24"/>
      <c r="D180" s="24"/>
      <c r="E180" s="610"/>
      <c r="F180" s="611"/>
      <c r="G180" s="26"/>
      <c r="H180" s="8">
        <f t="shared" si="18"/>
        <v>0</v>
      </c>
      <c r="I180" s="611"/>
      <c r="J180" s="26"/>
      <c r="K180" s="8">
        <f t="shared" si="10"/>
        <v>0</v>
      </c>
      <c r="L180" s="611"/>
      <c r="M180" s="26"/>
      <c r="N180" s="8">
        <f t="shared" si="11"/>
        <v>0</v>
      </c>
      <c r="O180" s="611"/>
      <c r="P180" s="26"/>
      <c r="Q180" s="8">
        <f t="shared" si="12"/>
        <v>0</v>
      </c>
      <c r="R180" s="611"/>
      <c r="S180" s="26"/>
      <c r="T180" s="8">
        <f t="shared" si="13"/>
        <v>0</v>
      </c>
      <c r="U180" s="611"/>
      <c r="V180" s="26"/>
      <c r="W180" s="8">
        <f t="shared" si="14"/>
        <v>0</v>
      </c>
      <c r="X180" s="611"/>
      <c r="Y180" s="26"/>
      <c r="Z180" s="8">
        <f t="shared" si="15"/>
        <v>0</v>
      </c>
      <c r="AA180" s="611"/>
      <c r="AB180" s="26"/>
      <c r="AC180" s="8">
        <f t="shared" si="16"/>
        <v>0</v>
      </c>
      <c r="AD180" s="26"/>
      <c r="AE180" s="26"/>
      <c r="AF180" s="26"/>
      <c r="AG180" s="26"/>
      <c r="AH180" s="26"/>
    </row>
    <row r="181" ht="12.75" customHeight="1">
      <c r="A181" s="24"/>
      <c r="B181" s="609"/>
      <c r="C181" s="24"/>
      <c r="D181" s="24"/>
      <c r="E181" s="610"/>
      <c r="F181" s="611"/>
      <c r="G181" s="26"/>
      <c r="H181" s="8">
        <f t="shared" si="18"/>
        <v>0</v>
      </c>
      <c r="I181" s="611"/>
      <c r="J181" s="26"/>
      <c r="K181" s="8">
        <f t="shared" si="10"/>
        <v>0</v>
      </c>
      <c r="L181" s="611"/>
      <c r="M181" s="26"/>
      <c r="N181" s="8">
        <f t="shared" si="11"/>
        <v>0</v>
      </c>
      <c r="O181" s="611"/>
      <c r="P181" s="26"/>
      <c r="Q181" s="8">
        <f t="shared" si="12"/>
        <v>0</v>
      </c>
      <c r="R181" s="611"/>
      <c r="S181" s="26"/>
      <c r="T181" s="8">
        <f t="shared" si="13"/>
        <v>0</v>
      </c>
      <c r="U181" s="611"/>
      <c r="V181" s="26"/>
      <c r="W181" s="8">
        <f t="shared" si="14"/>
        <v>0</v>
      </c>
      <c r="X181" s="611"/>
      <c r="Y181" s="26"/>
      <c r="Z181" s="8">
        <f t="shared" si="15"/>
        <v>0</v>
      </c>
      <c r="AA181" s="611"/>
      <c r="AB181" s="26"/>
      <c r="AC181" s="8">
        <f t="shared" si="16"/>
        <v>0</v>
      </c>
      <c r="AD181" s="26"/>
      <c r="AE181" s="26"/>
      <c r="AF181" s="26"/>
      <c r="AG181" s="26"/>
      <c r="AH181" s="26"/>
    </row>
    <row r="182" ht="12.75" customHeight="1">
      <c r="A182" s="24"/>
      <c r="B182" s="609"/>
      <c r="C182" s="24"/>
      <c r="D182" s="24"/>
      <c r="E182" s="610"/>
      <c r="F182" s="611"/>
      <c r="G182" s="26"/>
      <c r="H182" s="8">
        <f t="shared" si="18"/>
        <v>0</v>
      </c>
      <c r="I182" s="611"/>
      <c r="J182" s="26"/>
      <c r="K182" s="8">
        <f t="shared" si="10"/>
        <v>0</v>
      </c>
      <c r="L182" s="611"/>
      <c r="M182" s="26"/>
      <c r="N182" s="8">
        <f t="shared" si="11"/>
        <v>0</v>
      </c>
      <c r="O182" s="611"/>
      <c r="P182" s="26"/>
      <c r="Q182" s="8">
        <f t="shared" si="12"/>
        <v>0</v>
      </c>
      <c r="R182" s="611"/>
      <c r="S182" s="26"/>
      <c r="T182" s="8">
        <f t="shared" si="13"/>
        <v>0</v>
      </c>
      <c r="U182" s="611"/>
      <c r="V182" s="26"/>
      <c r="W182" s="8">
        <f t="shared" si="14"/>
        <v>0</v>
      </c>
      <c r="X182" s="611"/>
      <c r="Y182" s="26"/>
      <c r="Z182" s="8">
        <f t="shared" si="15"/>
        <v>0</v>
      </c>
      <c r="AA182" s="611"/>
      <c r="AB182" s="26"/>
      <c r="AC182" s="8">
        <f t="shared" si="16"/>
        <v>0</v>
      </c>
      <c r="AD182" s="26"/>
      <c r="AE182" s="26"/>
      <c r="AF182" s="26"/>
      <c r="AG182" s="26"/>
      <c r="AH182" s="26"/>
    </row>
    <row r="183" ht="12.75" customHeight="1">
      <c r="A183" s="24"/>
      <c r="B183" s="609"/>
      <c r="C183" s="24"/>
      <c r="D183" s="24"/>
      <c r="E183" s="610"/>
      <c r="F183" s="611"/>
      <c r="G183" s="26"/>
      <c r="H183" s="8">
        <f t="shared" si="18"/>
        <v>0</v>
      </c>
      <c r="I183" s="611"/>
      <c r="J183" s="26"/>
      <c r="K183" s="8">
        <f t="shared" si="10"/>
        <v>0</v>
      </c>
      <c r="L183" s="611"/>
      <c r="M183" s="26"/>
      <c r="N183" s="8">
        <f t="shared" si="11"/>
        <v>0</v>
      </c>
      <c r="O183" s="611"/>
      <c r="P183" s="26"/>
      <c r="Q183" s="8">
        <f t="shared" si="12"/>
        <v>0</v>
      </c>
      <c r="R183" s="611"/>
      <c r="S183" s="26"/>
      <c r="T183" s="8">
        <f t="shared" si="13"/>
        <v>0</v>
      </c>
      <c r="U183" s="611"/>
      <c r="V183" s="26"/>
      <c r="W183" s="8">
        <f t="shared" si="14"/>
        <v>0</v>
      </c>
      <c r="X183" s="611"/>
      <c r="Y183" s="26"/>
      <c r="Z183" s="8">
        <f t="shared" si="15"/>
        <v>0</v>
      </c>
      <c r="AA183" s="611"/>
      <c r="AB183" s="26"/>
      <c r="AC183" s="8">
        <f t="shared" si="16"/>
        <v>0</v>
      </c>
      <c r="AD183" s="26"/>
      <c r="AE183" s="26"/>
      <c r="AF183" s="26"/>
      <c r="AG183" s="26"/>
      <c r="AH183" s="26"/>
    </row>
    <row r="184" ht="12.75" customHeight="1">
      <c r="A184" s="24"/>
      <c r="B184" s="609"/>
      <c r="C184" s="24"/>
      <c r="D184" s="24"/>
      <c r="E184" s="610"/>
      <c r="F184" s="611"/>
      <c r="G184" s="26"/>
      <c r="H184" s="8">
        <f t="shared" si="18"/>
        <v>0</v>
      </c>
      <c r="I184" s="611"/>
      <c r="J184" s="26"/>
      <c r="K184" s="8">
        <f t="shared" si="10"/>
        <v>0</v>
      </c>
      <c r="L184" s="611"/>
      <c r="M184" s="26"/>
      <c r="N184" s="8">
        <f t="shared" si="11"/>
        <v>0</v>
      </c>
      <c r="O184" s="611"/>
      <c r="P184" s="26"/>
      <c r="Q184" s="8">
        <f t="shared" si="12"/>
        <v>0</v>
      </c>
      <c r="R184" s="611"/>
      <c r="S184" s="26"/>
      <c r="T184" s="8">
        <f t="shared" si="13"/>
        <v>0</v>
      </c>
      <c r="U184" s="611"/>
      <c r="V184" s="26"/>
      <c r="W184" s="8">
        <f t="shared" si="14"/>
        <v>0</v>
      </c>
      <c r="X184" s="611"/>
      <c r="Y184" s="26"/>
      <c r="Z184" s="8">
        <f t="shared" si="15"/>
        <v>0</v>
      </c>
      <c r="AA184" s="611"/>
      <c r="AB184" s="26"/>
      <c r="AC184" s="8">
        <f t="shared" si="16"/>
        <v>0</v>
      </c>
      <c r="AD184" s="26"/>
      <c r="AE184" s="26"/>
      <c r="AF184" s="26"/>
      <c r="AG184" s="26"/>
      <c r="AH184" s="26"/>
    </row>
    <row r="185" ht="12.75" customHeight="1">
      <c r="A185" s="24"/>
      <c r="B185" s="609"/>
      <c r="C185" s="24"/>
      <c r="D185" s="24"/>
      <c r="E185" s="610"/>
      <c r="F185" s="611"/>
      <c r="G185" s="26"/>
      <c r="H185" s="8">
        <f t="shared" si="18"/>
        <v>0</v>
      </c>
      <c r="I185" s="611"/>
      <c r="J185" s="26"/>
      <c r="K185" s="8">
        <f t="shared" si="10"/>
        <v>0</v>
      </c>
      <c r="L185" s="611"/>
      <c r="M185" s="26"/>
      <c r="N185" s="8">
        <f t="shared" si="11"/>
        <v>0</v>
      </c>
      <c r="O185" s="611"/>
      <c r="P185" s="26"/>
      <c r="Q185" s="8">
        <f t="shared" si="12"/>
        <v>0</v>
      </c>
      <c r="R185" s="611"/>
      <c r="S185" s="26"/>
      <c r="T185" s="8">
        <f t="shared" si="13"/>
        <v>0</v>
      </c>
      <c r="U185" s="611"/>
      <c r="V185" s="26"/>
      <c r="W185" s="8">
        <f t="shared" si="14"/>
        <v>0</v>
      </c>
      <c r="X185" s="611"/>
      <c r="Y185" s="26"/>
      <c r="Z185" s="8">
        <f t="shared" si="15"/>
        <v>0</v>
      </c>
      <c r="AA185" s="611"/>
      <c r="AB185" s="26"/>
      <c r="AC185" s="8">
        <f t="shared" si="16"/>
        <v>0</v>
      </c>
      <c r="AD185" s="26"/>
      <c r="AE185" s="26"/>
      <c r="AF185" s="26"/>
      <c r="AG185" s="26"/>
      <c r="AH185" s="26"/>
    </row>
    <row r="186" ht="12.75" customHeight="1">
      <c r="A186" s="24"/>
      <c r="B186" s="609"/>
      <c r="C186" s="24"/>
      <c r="D186" s="24"/>
      <c r="E186" s="610"/>
      <c r="F186" s="611"/>
      <c r="G186" s="26"/>
      <c r="H186" s="8">
        <f t="shared" si="18"/>
        <v>0</v>
      </c>
      <c r="I186" s="611"/>
      <c r="J186" s="26"/>
      <c r="K186" s="8">
        <f t="shared" si="10"/>
        <v>0</v>
      </c>
      <c r="L186" s="611"/>
      <c r="M186" s="26"/>
      <c r="N186" s="8">
        <f t="shared" si="11"/>
        <v>0</v>
      </c>
      <c r="O186" s="611"/>
      <c r="P186" s="26"/>
      <c r="Q186" s="8">
        <f t="shared" si="12"/>
        <v>0</v>
      </c>
      <c r="R186" s="611"/>
      <c r="S186" s="26"/>
      <c r="T186" s="8">
        <f t="shared" si="13"/>
        <v>0</v>
      </c>
      <c r="U186" s="611"/>
      <c r="V186" s="26"/>
      <c r="W186" s="8">
        <f t="shared" si="14"/>
        <v>0</v>
      </c>
      <c r="X186" s="611"/>
      <c r="Y186" s="26"/>
      <c r="Z186" s="8">
        <f t="shared" si="15"/>
        <v>0</v>
      </c>
      <c r="AA186" s="611"/>
      <c r="AB186" s="26"/>
      <c r="AC186" s="8">
        <f t="shared" si="16"/>
        <v>0</v>
      </c>
      <c r="AD186" s="26"/>
      <c r="AE186" s="26"/>
      <c r="AF186" s="26"/>
      <c r="AG186" s="26"/>
      <c r="AH186" s="26"/>
    </row>
    <row r="187" ht="12.75" customHeight="1">
      <c r="A187" s="24"/>
      <c r="B187" s="609"/>
      <c r="C187" s="24"/>
      <c r="D187" s="24"/>
      <c r="E187" s="610"/>
      <c r="F187" s="611"/>
      <c r="G187" s="26"/>
      <c r="H187" s="8">
        <f t="shared" si="18"/>
        <v>0</v>
      </c>
      <c r="I187" s="611"/>
      <c r="J187" s="26"/>
      <c r="K187" s="8">
        <f t="shared" si="10"/>
        <v>0</v>
      </c>
      <c r="L187" s="611"/>
      <c r="M187" s="26"/>
      <c r="N187" s="8">
        <f t="shared" si="11"/>
        <v>0</v>
      </c>
      <c r="O187" s="611"/>
      <c r="P187" s="26"/>
      <c r="Q187" s="8">
        <f t="shared" si="12"/>
        <v>0</v>
      </c>
      <c r="R187" s="611"/>
      <c r="S187" s="26"/>
      <c r="T187" s="8">
        <f t="shared" si="13"/>
        <v>0</v>
      </c>
      <c r="U187" s="611"/>
      <c r="V187" s="26"/>
      <c r="W187" s="8">
        <f t="shared" si="14"/>
        <v>0</v>
      </c>
      <c r="X187" s="611"/>
      <c r="Y187" s="26"/>
      <c r="Z187" s="8">
        <f t="shared" si="15"/>
        <v>0</v>
      </c>
      <c r="AA187" s="611"/>
      <c r="AB187" s="26"/>
      <c r="AC187" s="8">
        <f t="shared" si="16"/>
        <v>0</v>
      </c>
      <c r="AD187" s="26"/>
      <c r="AE187" s="26"/>
      <c r="AF187" s="26"/>
      <c r="AG187" s="26"/>
      <c r="AH187" s="26"/>
    </row>
    <row r="188" ht="12.75" customHeight="1">
      <c r="A188" s="24"/>
      <c r="B188" s="609"/>
      <c r="C188" s="24"/>
      <c r="D188" s="24"/>
      <c r="E188" s="610"/>
      <c r="F188" s="611"/>
      <c r="G188" s="26"/>
      <c r="H188" s="8">
        <f t="shared" si="18"/>
        <v>0</v>
      </c>
      <c r="I188" s="611"/>
      <c r="J188" s="26"/>
      <c r="K188" s="8">
        <f t="shared" si="10"/>
        <v>0</v>
      </c>
      <c r="L188" s="611"/>
      <c r="M188" s="26"/>
      <c r="N188" s="8">
        <f t="shared" si="11"/>
        <v>0</v>
      </c>
      <c r="O188" s="611"/>
      <c r="P188" s="26"/>
      <c r="Q188" s="8">
        <f t="shared" si="12"/>
        <v>0</v>
      </c>
      <c r="R188" s="611"/>
      <c r="S188" s="26"/>
      <c r="T188" s="8">
        <f t="shared" si="13"/>
        <v>0</v>
      </c>
      <c r="U188" s="611"/>
      <c r="V188" s="26"/>
      <c r="W188" s="8">
        <f t="shared" si="14"/>
        <v>0</v>
      </c>
      <c r="X188" s="611"/>
      <c r="Y188" s="26"/>
      <c r="Z188" s="8">
        <f t="shared" si="15"/>
        <v>0</v>
      </c>
      <c r="AA188" s="611"/>
      <c r="AB188" s="26"/>
      <c r="AC188" s="8">
        <f t="shared" si="16"/>
        <v>0</v>
      </c>
      <c r="AD188" s="26"/>
      <c r="AE188" s="26"/>
      <c r="AF188" s="26"/>
      <c r="AG188" s="26"/>
      <c r="AH188" s="26"/>
    </row>
    <row r="189" ht="12.75" customHeight="1">
      <c r="A189" s="24"/>
      <c r="B189" s="609"/>
      <c r="C189" s="24"/>
      <c r="D189" s="24"/>
      <c r="E189" s="610"/>
      <c r="F189" s="611"/>
      <c r="G189" s="26"/>
      <c r="H189" s="8">
        <f t="shared" si="18"/>
        <v>0</v>
      </c>
      <c r="I189" s="611"/>
      <c r="J189" s="26"/>
      <c r="K189" s="8">
        <f t="shared" si="10"/>
        <v>0</v>
      </c>
      <c r="L189" s="611"/>
      <c r="M189" s="26"/>
      <c r="N189" s="8">
        <f t="shared" si="11"/>
        <v>0</v>
      </c>
      <c r="O189" s="611"/>
      <c r="P189" s="26"/>
      <c r="Q189" s="8">
        <f t="shared" si="12"/>
        <v>0</v>
      </c>
      <c r="R189" s="611"/>
      <c r="S189" s="26"/>
      <c r="T189" s="8">
        <f t="shared" si="13"/>
        <v>0</v>
      </c>
      <c r="U189" s="611"/>
      <c r="V189" s="26"/>
      <c r="W189" s="8">
        <f t="shared" si="14"/>
        <v>0</v>
      </c>
      <c r="X189" s="611"/>
      <c r="Y189" s="26"/>
      <c r="Z189" s="8">
        <f t="shared" si="15"/>
        <v>0</v>
      </c>
      <c r="AA189" s="611"/>
      <c r="AB189" s="26"/>
      <c r="AC189" s="8">
        <f t="shared" si="16"/>
        <v>0</v>
      </c>
      <c r="AD189" s="26"/>
      <c r="AE189" s="26"/>
      <c r="AF189" s="26"/>
      <c r="AG189" s="26"/>
      <c r="AH189" s="26"/>
    </row>
    <row r="190" ht="12.75" customHeight="1">
      <c r="A190" s="24"/>
      <c r="B190" s="609"/>
      <c r="C190" s="24"/>
      <c r="D190" s="24"/>
      <c r="E190" s="610"/>
      <c r="F190" s="611"/>
      <c r="G190" s="26"/>
      <c r="H190" s="8">
        <f t="shared" si="18"/>
        <v>0</v>
      </c>
      <c r="I190" s="611"/>
      <c r="J190" s="26"/>
      <c r="K190" s="8">
        <f t="shared" si="10"/>
        <v>0</v>
      </c>
      <c r="L190" s="611"/>
      <c r="M190" s="26"/>
      <c r="N190" s="8">
        <f t="shared" si="11"/>
        <v>0</v>
      </c>
      <c r="O190" s="611"/>
      <c r="P190" s="26"/>
      <c r="Q190" s="8">
        <f t="shared" si="12"/>
        <v>0</v>
      </c>
      <c r="R190" s="611"/>
      <c r="S190" s="26"/>
      <c r="T190" s="8">
        <f t="shared" si="13"/>
        <v>0</v>
      </c>
      <c r="U190" s="611"/>
      <c r="V190" s="26"/>
      <c r="W190" s="8">
        <f t="shared" si="14"/>
        <v>0</v>
      </c>
      <c r="X190" s="611"/>
      <c r="Y190" s="26"/>
      <c r="Z190" s="8">
        <f t="shared" si="15"/>
        <v>0</v>
      </c>
      <c r="AA190" s="611"/>
      <c r="AB190" s="26"/>
      <c r="AC190" s="8">
        <f t="shared" si="16"/>
        <v>0</v>
      </c>
      <c r="AD190" s="26"/>
      <c r="AE190" s="26"/>
      <c r="AF190" s="26"/>
      <c r="AG190" s="26"/>
      <c r="AH190" s="26"/>
    </row>
    <row r="191" ht="12.75" customHeight="1">
      <c r="A191" s="24"/>
      <c r="B191" s="609"/>
      <c r="C191" s="24"/>
      <c r="D191" s="24"/>
      <c r="E191" s="610"/>
      <c r="F191" s="611"/>
      <c r="G191" s="26"/>
      <c r="H191" s="8">
        <f t="shared" si="18"/>
        <v>0</v>
      </c>
      <c r="I191" s="611"/>
      <c r="J191" s="26"/>
      <c r="K191" s="8">
        <f t="shared" si="10"/>
        <v>0</v>
      </c>
      <c r="L191" s="611"/>
      <c r="M191" s="26"/>
      <c r="N191" s="8">
        <f t="shared" si="11"/>
        <v>0</v>
      </c>
      <c r="O191" s="611"/>
      <c r="P191" s="26"/>
      <c r="Q191" s="8">
        <f t="shared" si="12"/>
        <v>0</v>
      </c>
      <c r="R191" s="611"/>
      <c r="S191" s="26"/>
      <c r="T191" s="8">
        <f t="shared" si="13"/>
        <v>0</v>
      </c>
      <c r="U191" s="611"/>
      <c r="V191" s="26"/>
      <c r="W191" s="8">
        <f t="shared" si="14"/>
        <v>0</v>
      </c>
      <c r="X191" s="611"/>
      <c r="Y191" s="26"/>
      <c r="Z191" s="8">
        <f t="shared" si="15"/>
        <v>0</v>
      </c>
      <c r="AA191" s="611"/>
      <c r="AB191" s="26"/>
      <c r="AC191" s="8">
        <f t="shared" si="16"/>
        <v>0</v>
      </c>
      <c r="AD191" s="26"/>
      <c r="AE191" s="26"/>
      <c r="AF191" s="26"/>
      <c r="AG191" s="26"/>
      <c r="AH191" s="26"/>
    </row>
    <row r="192" ht="12.75" customHeight="1">
      <c r="A192" s="24"/>
      <c r="B192" s="609"/>
      <c r="C192" s="24"/>
      <c r="D192" s="24"/>
      <c r="E192" s="610"/>
      <c r="F192" s="611"/>
      <c r="G192" s="26"/>
      <c r="H192" s="8">
        <f t="shared" si="18"/>
        <v>0</v>
      </c>
      <c r="I192" s="611"/>
      <c r="J192" s="26"/>
      <c r="K192" s="8">
        <f t="shared" si="10"/>
        <v>0</v>
      </c>
      <c r="L192" s="611"/>
      <c r="M192" s="26"/>
      <c r="N192" s="8">
        <f t="shared" si="11"/>
        <v>0</v>
      </c>
      <c r="O192" s="611"/>
      <c r="P192" s="26"/>
      <c r="Q192" s="8">
        <f t="shared" si="12"/>
        <v>0</v>
      </c>
      <c r="R192" s="611"/>
      <c r="S192" s="26"/>
      <c r="T192" s="8">
        <f t="shared" si="13"/>
        <v>0</v>
      </c>
      <c r="U192" s="611"/>
      <c r="V192" s="26"/>
      <c r="W192" s="8">
        <f t="shared" si="14"/>
        <v>0</v>
      </c>
      <c r="X192" s="611"/>
      <c r="Y192" s="26"/>
      <c r="Z192" s="8">
        <f t="shared" si="15"/>
        <v>0</v>
      </c>
      <c r="AA192" s="611"/>
      <c r="AB192" s="26"/>
      <c r="AC192" s="8">
        <f t="shared" si="16"/>
        <v>0</v>
      </c>
      <c r="AD192" s="26"/>
      <c r="AE192" s="26"/>
      <c r="AF192" s="26"/>
      <c r="AG192" s="26"/>
      <c r="AH192" s="26"/>
    </row>
    <row r="193" ht="12.75" customHeight="1">
      <c r="A193" s="24"/>
      <c r="B193" s="609"/>
      <c r="C193" s="24"/>
      <c r="D193" s="24"/>
      <c r="E193" s="610"/>
      <c r="F193" s="611"/>
      <c r="G193" s="26"/>
      <c r="H193" s="8">
        <f t="shared" si="18"/>
        <v>0</v>
      </c>
      <c r="I193" s="611"/>
      <c r="J193" s="26"/>
      <c r="K193" s="8">
        <f t="shared" si="10"/>
        <v>0</v>
      </c>
      <c r="L193" s="611"/>
      <c r="M193" s="26"/>
      <c r="N193" s="8">
        <f t="shared" si="11"/>
        <v>0</v>
      </c>
      <c r="O193" s="611"/>
      <c r="P193" s="26"/>
      <c r="Q193" s="8">
        <f t="shared" si="12"/>
        <v>0</v>
      </c>
      <c r="R193" s="611"/>
      <c r="S193" s="26"/>
      <c r="T193" s="8">
        <f t="shared" si="13"/>
        <v>0</v>
      </c>
      <c r="U193" s="611"/>
      <c r="V193" s="26"/>
      <c r="W193" s="8">
        <f t="shared" si="14"/>
        <v>0</v>
      </c>
      <c r="X193" s="611"/>
      <c r="Y193" s="26"/>
      <c r="Z193" s="8">
        <f t="shared" si="15"/>
        <v>0</v>
      </c>
      <c r="AA193" s="611"/>
      <c r="AB193" s="26"/>
      <c r="AC193" s="8">
        <f t="shared" si="16"/>
        <v>0</v>
      </c>
      <c r="AD193" s="26"/>
      <c r="AE193" s="26"/>
      <c r="AF193" s="26"/>
      <c r="AG193" s="26"/>
      <c r="AH193" s="26"/>
    </row>
    <row r="194" ht="12.75" customHeight="1">
      <c r="A194" s="24"/>
      <c r="B194" s="609"/>
      <c r="C194" s="24"/>
      <c r="D194" s="24"/>
      <c r="E194" s="610"/>
      <c r="F194" s="611"/>
      <c r="G194" s="26"/>
      <c r="H194" s="8">
        <f t="shared" si="18"/>
        <v>0</v>
      </c>
      <c r="I194" s="611"/>
      <c r="J194" s="26"/>
      <c r="K194" s="8">
        <f t="shared" si="10"/>
        <v>0</v>
      </c>
      <c r="L194" s="611"/>
      <c r="M194" s="26"/>
      <c r="N194" s="8">
        <f t="shared" si="11"/>
        <v>0</v>
      </c>
      <c r="O194" s="611"/>
      <c r="P194" s="26"/>
      <c r="Q194" s="8">
        <f t="shared" si="12"/>
        <v>0</v>
      </c>
      <c r="R194" s="611"/>
      <c r="S194" s="26"/>
      <c r="T194" s="8">
        <f t="shared" si="13"/>
        <v>0</v>
      </c>
      <c r="U194" s="611"/>
      <c r="V194" s="26"/>
      <c r="W194" s="8">
        <f t="shared" si="14"/>
        <v>0</v>
      </c>
      <c r="X194" s="611"/>
      <c r="Y194" s="26"/>
      <c r="Z194" s="8">
        <f t="shared" si="15"/>
        <v>0</v>
      </c>
      <c r="AA194" s="611"/>
      <c r="AB194" s="26"/>
      <c r="AC194" s="8">
        <f t="shared" si="16"/>
        <v>0</v>
      </c>
      <c r="AD194" s="26"/>
      <c r="AE194" s="26"/>
      <c r="AF194" s="26"/>
      <c r="AG194" s="26"/>
      <c r="AH194" s="26"/>
    </row>
    <row r="195" ht="12.75" customHeight="1">
      <c r="A195" s="24"/>
      <c r="B195" s="609"/>
      <c r="C195" s="24"/>
      <c r="D195" s="24"/>
      <c r="E195" s="610"/>
      <c r="F195" s="611"/>
      <c r="G195" s="26"/>
      <c r="H195" s="8">
        <f t="shared" si="18"/>
        <v>0</v>
      </c>
      <c r="I195" s="611"/>
      <c r="J195" s="26"/>
      <c r="K195" s="8">
        <f t="shared" si="10"/>
        <v>0</v>
      </c>
      <c r="L195" s="611"/>
      <c r="M195" s="26"/>
      <c r="N195" s="8">
        <f t="shared" si="11"/>
        <v>0</v>
      </c>
      <c r="O195" s="611"/>
      <c r="P195" s="26"/>
      <c r="Q195" s="8">
        <f t="shared" si="12"/>
        <v>0</v>
      </c>
      <c r="R195" s="611"/>
      <c r="S195" s="26"/>
      <c r="T195" s="8">
        <f t="shared" si="13"/>
        <v>0</v>
      </c>
      <c r="U195" s="611"/>
      <c r="V195" s="26"/>
      <c r="W195" s="8">
        <f t="shared" si="14"/>
        <v>0</v>
      </c>
      <c r="X195" s="611"/>
      <c r="Y195" s="26"/>
      <c r="Z195" s="8">
        <f t="shared" si="15"/>
        <v>0</v>
      </c>
      <c r="AA195" s="611"/>
      <c r="AB195" s="26"/>
      <c r="AC195" s="8">
        <f t="shared" si="16"/>
        <v>0</v>
      </c>
      <c r="AD195" s="26"/>
      <c r="AE195" s="26"/>
      <c r="AF195" s="26"/>
      <c r="AG195" s="26"/>
      <c r="AH195" s="26"/>
    </row>
    <row r="196" ht="12.75" customHeight="1">
      <c r="A196" s="24"/>
      <c r="B196" s="609"/>
      <c r="C196" s="24"/>
      <c r="D196" s="24"/>
      <c r="E196" s="610"/>
      <c r="F196" s="611"/>
      <c r="G196" s="26"/>
      <c r="H196" s="8">
        <f t="shared" si="18"/>
        <v>0</v>
      </c>
      <c r="I196" s="611"/>
      <c r="J196" s="26"/>
      <c r="K196" s="8">
        <f t="shared" si="10"/>
        <v>0</v>
      </c>
      <c r="L196" s="611"/>
      <c r="M196" s="26"/>
      <c r="N196" s="8">
        <f t="shared" si="11"/>
        <v>0</v>
      </c>
      <c r="O196" s="611"/>
      <c r="P196" s="26"/>
      <c r="Q196" s="8">
        <f t="shared" si="12"/>
        <v>0</v>
      </c>
      <c r="R196" s="611"/>
      <c r="S196" s="26"/>
      <c r="T196" s="8">
        <f t="shared" si="13"/>
        <v>0</v>
      </c>
      <c r="U196" s="611"/>
      <c r="V196" s="26"/>
      <c r="W196" s="8">
        <f t="shared" si="14"/>
        <v>0</v>
      </c>
      <c r="X196" s="611"/>
      <c r="Y196" s="26"/>
      <c r="Z196" s="8">
        <f t="shared" si="15"/>
        <v>0</v>
      </c>
      <c r="AA196" s="611"/>
      <c r="AB196" s="26"/>
      <c r="AC196" s="8">
        <f t="shared" si="16"/>
        <v>0</v>
      </c>
      <c r="AD196" s="26"/>
      <c r="AE196" s="26"/>
      <c r="AF196" s="26"/>
      <c r="AG196" s="26"/>
      <c r="AH196" s="26"/>
    </row>
    <row r="197" ht="12.75" customHeight="1">
      <c r="A197" s="24"/>
      <c r="B197" s="609"/>
      <c r="C197" s="24"/>
      <c r="D197" s="24"/>
      <c r="E197" s="610"/>
      <c r="F197" s="611"/>
      <c r="G197" s="26"/>
      <c r="H197" s="8">
        <f t="shared" si="18"/>
        <v>0</v>
      </c>
      <c r="I197" s="611"/>
      <c r="J197" s="26"/>
      <c r="K197" s="8">
        <f t="shared" si="10"/>
        <v>0</v>
      </c>
      <c r="L197" s="611"/>
      <c r="M197" s="26"/>
      <c r="N197" s="8">
        <f t="shared" si="11"/>
        <v>0</v>
      </c>
      <c r="O197" s="611"/>
      <c r="P197" s="26"/>
      <c r="Q197" s="8">
        <f t="shared" si="12"/>
        <v>0</v>
      </c>
      <c r="R197" s="611"/>
      <c r="S197" s="26"/>
      <c r="T197" s="8">
        <f t="shared" si="13"/>
        <v>0</v>
      </c>
      <c r="U197" s="611"/>
      <c r="V197" s="26"/>
      <c r="W197" s="8">
        <f t="shared" si="14"/>
        <v>0</v>
      </c>
      <c r="X197" s="611"/>
      <c r="Y197" s="26"/>
      <c r="Z197" s="8">
        <f t="shared" si="15"/>
        <v>0</v>
      </c>
      <c r="AA197" s="611"/>
      <c r="AB197" s="26"/>
      <c r="AC197" s="8">
        <f t="shared" si="16"/>
        <v>0</v>
      </c>
      <c r="AD197" s="26"/>
      <c r="AE197" s="26"/>
      <c r="AF197" s="26"/>
      <c r="AG197" s="26"/>
      <c r="AH197" s="26"/>
    </row>
    <row r="198" ht="12.75" customHeight="1">
      <c r="A198" s="24"/>
      <c r="B198" s="609"/>
      <c r="C198" s="24"/>
      <c r="D198" s="24"/>
      <c r="E198" s="610"/>
      <c r="F198" s="611"/>
      <c r="G198" s="26"/>
      <c r="H198" s="8">
        <f t="shared" si="18"/>
        <v>0</v>
      </c>
      <c r="I198" s="611"/>
      <c r="J198" s="26"/>
      <c r="K198" s="8">
        <f t="shared" si="10"/>
        <v>0</v>
      </c>
      <c r="L198" s="611"/>
      <c r="M198" s="26"/>
      <c r="N198" s="8">
        <f t="shared" si="11"/>
        <v>0</v>
      </c>
      <c r="O198" s="611"/>
      <c r="P198" s="26"/>
      <c r="Q198" s="8">
        <f t="shared" si="12"/>
        <v>0</v>
      </c>
      <c r="R198" s="611"/>
      <c r="S198" s="26"/>
      <c r="T198" s="8">
        <f t="shared" si="13"/>
        <v>0</v>
      </c>
      <c r="U198" s="611"/>
      <c r="V198" s="26"/>
      <c r="W198" s="8">
        <f t="shared" si="14"/>
        <v>0</v>
      </c>
      <c r="X198" s="611"/>
      <c r="Y198" s="26"/>
      <c r="Z198" s="8">
        <f t="shared" si="15"/>
        <v>0</v>
      </c>
      <c r="AA198" s="611"/>
      <c r="AB198" s="26"/>
      <c r="AC198" s="8">
        <f t="shared" si="16"/>
        <v>0</v>
      </c>
      <c r="AD198" s="26"/>
      <c r="AE198" s="26"/>
      <c r="AF198" s="26"/>
      <c r="AG198" s="26"/>
      <c r="AH198" s="26"/>
    </row>
    <row r="199" ht="12.75" customHeight="1">
      <c r="A199" s="24"/>
      <c r="B199" s="609"/>
      <c r="C199" s="24"/>
      <c r="D199" s="24"/>
      <c r="E199" s="610"/>
      <c r="F199" s="611"/>
      <c r="G199" s="26"/>
      <c r="H199" s="8">
        <f t="shared" si="18"/>
        <v>0</v>
      </c>
      <c r="I199" s="611"/>
      <c r="J199" s="26"/>
      <c r="K199" s="8">
        <f t="shared" si="10"/>
        <v>0</v>
      </c>
      <c r="L199" s="611"/>
      <c r="M199" s="26"/>
      <c r="N199" s="8">
        <f t="shared" si="11"/>
        <v>0</v>
      </c>
      <c r="O199" s="611"/>
      <c r="P199" s="26"/>
      <c r="Q199" s="8">
        <f t="shared" si="12"/>
        <v>0</v>
      </c>
      <c r="R199" s="611"/>
      <c r="S199" s="26"/>
      <c r="T199" s="8">
        <f t="shared" si="13"/>
        <v>0</v>
      </c>
      <c r="U199" s="611"/>
      <c r="V199" s="26"/>
      <c r="W199" s="8">
        <f t="shared" si="14"/>
        <v>0</v>
      </c>
      <c r="X199" s="611"/>
      <c r="Y199" s="26"/>
      <c r="Z199" s="8">
        <f t="shared" si="15"/>
        <v>0</v>
      </c>
      <c r="AA199" s="611"/>
      <c r="AB199" s="26"/>
      <c r="AC199" s="8">
        <f t="shared" si="16"/>
        <v>0</v>
      </c>
      <c r="AD199" s="26"/>
      <c r="AE199" s="26"/>
      <c r="AF199" s="26"/>
      <c r="AG199" s="26"/>
      <c r="AH199" s="26"/>
    </row>
    <row r="200" ht="12.75" customHeight="1">
      <c r="A200" s="24"/>
      <c r="B200" s="609"/>
      <c r="C200" s="24"/>
      <c r="D200" s="24"/>
      <c r="E200" s="610"/>
      <c r="F200" s="611"/>
      <c r="G200" s="26"/>
      <c r="H200" s="8">
        <f t="shared" si="18"/>
        <v>0</v>
      </c>
      <c r="I200" s="611"/>
      <c r="J200" s="26"/>
      <c r="K200" s="8">
        <f t="shared" si="10"/>
        <v>0</v>
      </c>
      <c r="L200" s="611"/>
      <c r="M200" s="26"/>
      <c r="N200" s="8">
        <f t="shared" si="11"/>
        <v>0</v>
      </c>
      <c r="O200" s="611"/>
      <c r="P200" s="26"/>
      <c r="Q200" s="8">
        <f t="shared" si="12"/>
        <v>0</v>
      </c>
      <c r="R200" s="611"/>
      <c r="S200" s="26"/>
      <c r="T200" s="8">
        <f t="shared" si="13"/>
        <v>0</v>
      </c>
      <c r="U200" s="611"/>
      <c r="V200" s="26"/>
      <c r="W200" s="8">
        <f t="shared" si="14"/>
        <v>0</v>
      </c>
      <c r="X200" s="611"/>
      <c r="Y200" s="26"/>
      <c r="Z200" s="8">
        <f t="shared" si="15"/>
        <v>0</v>
      </c>
      <c r="AA200" s="611"/>
      <c r="AB200" s="26"/>
      <c r="AC200" s="8">
        <f t="shared" si="16"/>
        <v>0</v>
      </c>
      <c r="AD200" s="26"/>
      <c r="AE200" s="26"/>
      <c r="AF200" s="26"/>
      <c r="AG200" s="26"/>
      <c r="AH200" s="26"/>
    </row>
    <row r="201" ht="12.75" customHeight="1">
      <c r="A201" s="24"/>
      <c r="B201" s="609"/>
      <c r="C201" s="24"/>
      <c r="D201" s="24"/>
      <c r="E201" s="610"/>
      <c r="F201" s="611"/>
      <c r="G201" s="26"/>
      <c r="H201" s="8">
        <f t="shared" si="18"/>
        <v>0</v>
      </c>
      <c r="I201" s="611"/>
      <c r="J201" s="26"/>
      <c r="K201" s="8">
        <f t="shared" si="10"/>
        <v>0</v>
      </c>
      <c r="L201" s="611"/>
      <c r="M201" s="26"/>
      <c r="N201" s="8">
        <f t="shared" si="11"/>
        <v>0</v>
      </c>
      <c r="O201" s="611"/>
      <c r="P201" s="26"/>
      <c r="Q201" s="8">
        <f t="shared" si="12"/>
        <v>0</v>
      </c>
      <c r="R201" s="611"/>
      <c r="S201" s="26"/>
      <c r="T201" s="8">
        <f t="shared" si="13"/>
        <v>0</v>
      </c>
      <c r="U201" s="611"/>
      <c r="V201" s="26"/>
      <c r="W201" s="8">
        <f t="shared" si="14"/>
        <v>0</v>
      </c>
      <c r="X201" s="611"/>
      <c r="Y201" s="26"/>
      <c r="Z201" s="8">
        <f t="shared" si="15"/>
        <v>0</v>
      </c>
      <c r="AA201" s="611"/>
      <c r="AB201" s="26"/>
      <c r="AC201" s="8">
        <f t="shared" si="16"/>
        <v>0</v>
      </c>
      <c r="AD201" s="26"/>
      <c r="AE201" s="26"/>
      <c r="AF201" s="26"/>
      <c r="AG201" s="26"/>
      <c r="AH201" s="26"/>
    </row>
    <row r="202" ht="12.75" customHeight="1">
      <c r="A202" s="24"/>
      <c r="B202" s="609"/>
      <c r="C202" s="24"/>
      <c r="D202" s="24"/>
      <c r="E202" s="610"/>
      <c r="F202" s="611"/>
      <c r="G202" s="26"/>
      <c r="H202" s="8">
        <f t="shared" si="18"/>
        <v>0</v>
      </c>
      <c r="I202" s="611"/>
      <c r="J202" s="26"/>
      <c r="K202" s="8">
        <f t="shared" si="10"/>
        <v>0</v>
      </c>
      <c r="L202" s="611"/>
      <c r="M202" s="26"/>
      <c r="N202" s="8">
        <f t="shared" si="11"/>
        <v>0</v>
      </c>
      <c r="O202" s="611"/>
      <c r="P202" s="26"/>
      <c r="Q202" s="8">
        <f t="shared" si="12"/>
        <v>0</v>
      </c>
      <c r="R202" s="611"/>
      <c r="S202" s="26"/>
      <c r="T202" s="8">
        <f t="shared" si="13"/>
        <v>0</v>
      </c>
      <c r="U202" s="611"/>
      <c r="V202" s="26"/>
      <c r="W202" s="8">
        <f t="shared" si="14"/>
        <v>0</v>
      </c>
      <c r="X202" s="611"/>
      <c r="Y202" s="26"/>
      <c r="Z202" s="8">
        <f t="shared" si="15"/>
        <v>0</v>
      </c>
      <c r="AA202" s="611"/>
      <c r="AB202" s="26"/>
      <c r="AC202" s="8">
        <f t="shared" si="16"/>
        <v>0</v>
      </c>
      <c r="AD202" s="26"/>
      <c r="AE202" s="26"/>
      <c r="AF202" s="26"/>
      <c r="AG202" s="26"/>
      <c r="AH202" s="26"/>
    </row>
    <row r="203" ht="12.75" customHeight="1">
      <c r="A203" s="24"/>
      <c r="B203" s="609"/>
      <c r="C203" s="24"/>
      <c r="D203" s="24"/>
      <c r="E203" s="610"/>
      <c r="F203" s="611"/>
      <c r="G203" s="26"/>
      <c r="H203" s="8">
        <f t="shared" si="18"/>
        <v>0</v>
      </c>
      <c r="I203" s="611"/>
      <c r="J203" s="26"/>
      <c r="K203" s="8">
        <f t="shared" si="10"/>
        <v>0</v>
      </c>
      <c r="L203" s="611"/>
      <c r="M203" s="26"/>
      <c r="N203" s="8">
        <f t="shared" si="11"/>
        <v>0</v>
      </c>
      <c r="O203" s="611"/>
      <c r="P203" s="26"/>
      <c r="Q203" s="8">
        <f t="shared" si="12"/>
        <v>0</v>
      </c>
      <c r="R203" s="611"/>
      <c r="S203" s="26"/>
      <c r="T203" s="8">
        <f t="shared" si="13"/>
        <v>0</v>
      </c>
      <c r="U203" s="611"/>
      <c r="V203" s="26"/>
      <c r="W203" s="8">
        <f t="shared" si="14"/>
        <v>0</v>
      </c>
      <c r="X203" s="611"/>
      <c r="Y203" s="26"/>
      <c r="Z203" s="8">
        <f t="shared" si="15"/>
        <v>0</v>
      </c>
      <c r="AA203" s="611"/>
      <c r="AB203" s="26"/>
      <c r="AC203" s="8">
        <f t="shared" si="16"/>
        <v>0</v>
      </c>
      <c r="AD203" s="26"/>
      <c r="AE203" s="26"/>
      <c r="AF203" s="26"/>
      <c r="AG203" s="26"/>
      <c r="AH203" s="26"/>
    </row>
    <row r="204" ht="12.75" customHeight="1">
      <c r="A204" s="24"/>
      <c r="B204" s="609"/>
      <c r="C204" s="24"/>
      <c r="D204" s="24"/>
      <c r="E204" s="610"/>
      <c r="F204" s="611"/>
      <c r="G204" s="26"/>
      <c r="H204" s="8">
        <f t="shared" si="18"/>
        <v>0</v>
      </c>
      <c r="I204" s="611"/>
      <c r="J204" s="26"/>
      <c r="K204" s="8">
        <f t="shared" si="10"/>
        <v>0</v>
      </c>
      <c r="L204" s="611"/>
      <c r="M204" s="26"/>
      <c r="N204" s="8">
        <f t="shared" si="11"/>
        <v>0</v>
      </c>
      <c r="O204" s="611"/>
      <c r="P204" s="26"/>
      <c r="Q204" s="8">
        <f t="shared" si="12"/>
        <v>0</v>
      </c>
      <c r="R204" s="611"/>
      <c r="S204" s="26"/>
      <c r="T204" s="8">
        <f t="shared" si="13"/>
        <v>0</v>
      </c>
      <c r="U204" s="611"/>
      <c r="V204" s="26"/>
      <c r="W204" s="8">
        <f t="shared" si="14"/>
        <v>0</v>
      </c>
      <c r="X204" s="611"/>
      <c r="Y204" s="26"/>
      <c r="Z204" s="8">
        <f t="shared" si="15"/>
        <v>0</v>
      </c>
      <c r="AA204" s="611"/>
      <c r="AB204" s="26"/>
      <c r="AC204" s="8">
        <f t="shared" si="16"/>
        <v>0</v>
      </c>
      <c r="AD204" s="26"/>
      <c r="AE204" s="26"/>
      <c r="AF204" s="26"/>
      <c r="AG204" s="26"/>
      <c r="AH204" s="26"/>
    </row>
    <row r="205" ht="12.75" customHeight="1">
      <c r="A205" s="24"/>
      <c r="B205" s="609"/>
      <c r="C205" s="24"/>
      <c r="D205" s="24"/>
      <c r="E205" s="610"/>
      <c r="F205" s="611"/>
      <c r="G205" s="26"/>
      <c r="H205" s="8">
        <f t="shared" si="18"/>
        <v>0</v>
      </c>
      <c r="I205" s="611"/>
      <c r="J205" s="26"/>
      <c r="K205" s="8">
        <f t="shared" si="10"/>
        <v>0</v>
      </c>
      <c r="L205" s="611"/>
      <c r="M205" s="26"/>
      <c r="N205" s="8">
        <f t="shared" si="11"/>
        <v>0</v>
      </c>
      <c r="O205" s="611"/>
      <c r="P205" s="26"/>
      <c r="Q205" s="8">
        <f t="shared" si="12"/>
        <v>0</v>
      </c>
      <c r="R205" s="611"/>
      <c r="S205" s="26"/>
      <c r="T205" s="8">
        <f t="shared" si="13"/>
        <v>0</v>
      </c>
      <c r="U205" s="611"/>
      <c r="V205" s="26"/>
      <c r="W205" s="8">
        <f t="shared" si="14"/>
        <v>0</v>
      </c>
      <c r="X205" s="611"/>
      <c r="Y205" s="26"/>
      <c r="Z205" s="8">
        <f t="shared" si="15"/>
        <v>0</v>
      </c>
      <c r="AA205" s="611"/>
      <c r="AB205" s="26"/>
      <c r="AC205" s="8">
        <f t="shared" si="16"/>
        <v>0</v>
      </c>
      <c r="AD205" s="26"/>
      <c r="AE205" s="26"/>
      <c r="AF205" s="26"/>
      <c r="AG205" s="26"/>
      <c r="AH205" s="26"/>
    </row>
    <row r="206" ht="12.75" customHeight="1">
      <c r="A206" s="24"/>
      <c r="B206" s="609"/>
      <c r="C206" s="24"/>
      <c r="D206" s="24"/>
      <c r="E206" s="610"/>
      <c r="F206" s="611"/>
      <c r="G206" s="26"/>
      <c r="H206" s="8">
        <f t="shared" si="18"/>
        <v>0</v>
      </c>
      <c r="I206" s="611"/>
      <c r="J206" s="26"/>
      <c r="K206" s="8">
        <f t="shared" si="10"/>
        <v>0</v>
      </c>
      <c r="L206" s="611"/>
      <c r="M206" s="26"/>
      <c r="N206" s="8">
        <f t="shared" si="11"/>
        <v>0</v>
      </c>
      <c r="O206" s="611"/>
      <c r="P206" s="26"/>
      <c r="Q206" s="8">
        <f t="shared" si="12"/>
        <v>0</v>
      </c>
      <c r="R206" s="611"/>
      <c r="S206" s="26"/>
      <c r="T206" s="8">
        <f t="shared" si="13"/>
        <v>0</v>
      </c>
      <c r="U206" s="611"/>
      <c r="V206" s="26"/>
      <c r="W206" s="8">
        <f t="shared" si="14"/>
        <v>0</v>
      </c>
      <c r="X206" s="611"/>
      <c r="Y206" s="26"/>
      <c r="Z206" s="8">
        <f t="shared" si="15"/>
        <v>0</v>
      </c>
      <c r="AA206" s="611"/>
      <c r="AB206" s="26"/>
      <c r="AC206" s="8">
        <f t="shared" si="16"/>
        <v>0</v>
      </c>
      <c r="AD206" s="26"/>
      <c r="AE206" s="26"/>
      <c r="AF206" s="26"/>
      <c r="AG206" s="26"/>
      <c r="AH206" s="26"/>
    </row>
    <row r="207" ht="12.75" customHeight="1">
      <c r="A207" s="24"/>
      <c r="B207" s="609"/>
      <c r="C207" s="24"/>
      <c r="D207" s="24"/>
      <c r="E207" s="610"/>
      <c r="F207" s="611"/>
      <c r="G207" s="26"/>
      <c r="H207" s="8">
        <f t="shared" si="18"/>
        <v>0</v>
      </c>
      <c r="I207" s="611"/>
      <c r="J207" s="26"/>
      <c r="K207" s="8">
        <f t="shared" si="10"/>
        <v>0</v>
      </c>
      <c r="L207" s="611"/>
      <c r="M207" s="26"/>
      <c r="N207" s="8">
        <f t="shared" si="11"/>
        <v>0</v>
      </c>
      <c r="O207" s="611"/>
      <c r="P207" s="26"/>
      <c r="Q207" s="8">
        <f t="shared" si="12"/>
        <v>0</v>
      </c>
      <c r="R207" s="611"/>
      <c r="S207" s="26"/>
      <c r="T207" s="8">
        <f t="shared" si="13"/>
        <v>0</v>
      </c>
      <c r="U207" s="611"/>
      <c r="V207" s="26"/>
      <c r="W207" s="8">
        <f t="shared" si="14"/>
        <v>0</v>
      </c>
      <c r="X207" s="611"/>
      <c r="Y207" s="26"/>
      <c r="Z207" s="8">
        <f t="shared" si="15"/>
        <v>0</v>
      </c>
      <c r="AA207" s="611"/>
      <c r="AB207" s="26"/>
      <c r="AC207" s="8">
        <f t="shared" si="16"/>
        <v>0</v>
      </c>
      <c r="AD207" s="26"/>
      <c r="AE207" s="26"/>
      <c r="AF207" s="26"/>
      <c r="AG207" s="26"/>
      <c r="AH207" s="26"/>
    </row>
    <row r="208" ht="12.75" customHeight="1">
      <c r="A208" s="24"/>
      <c r="B208" s="609"/>
      <c r="C208" s="24"/>
      <c r="D208" s="24"/>
      <c r="E208" s="610"/>
      <c r="F208" s="611"/>
      <c r="G208" s="26"/>
      <c r="H208" s="8">
        <f t="shared" si="18"/>
        <v>0</v>
      </c>
      <c r="I208" s="611"/>
      <c r="J208" s="26"/>
      <c r="K208" s="8">
        <f t="shared" si="10"/>
        <v>0</v>
      </c>
      <c r="L208" s="611"/>
      <c r="M208" s="26"/>
      <c r="N208" s="8">
        <f t="shared" si="11"/>
        <v>0</v>
      </c>
      <c r="O208" s="611"/>
      <c r="P208" s="26"/>
      <c r="Q208" s="8">
        <f t="shared" si="12"/>
        <v>0</v>
      </c>
      <c r="R208" s="611"/>
      <c r="S208" s="26"/>
      <c r="T208" s="8">
        <f t="shared" si="13"/>
        <v>0</v>
      </c>
      <c r="U208" s="611"/>
      <c r="V208" s="26"/>
      <c r="W208" s="8">
        <f t="shared" si="14"/>
        <v>0</v>
      </c>
      <c r="X208" s="611"/>
      <c r="Y208" s="26"/>
      <c r="Z208" s="8">
        <f t="shared" si="15"/>
        <v>0</v>
      </c>
      <c r="AA208" s="611"/>
      <c r="AB208" s="26"/>
      <c r="AC208" s="8">
        <f t="shared" si="16"/>
        <v>0</v>
      </c>
      <c r="AD208" s="26"/>
      <c r="AE208" s="26"/>
      <c r="AF208" s="26"/>
      <c r="AG208" s="26"/>
      <c r="AH208" s="26"/>
    </row>
    <row r="209" ht="12.75" customHeight="1">
      <c r="A209" s="24"/>
      <c r="B209" s="609"/>
      <c r="C209" s="24"/>
      <c r="D209" s="24"/>
      <c r="E209" s="610"/>
      <c r="F209" s="611"/>
      <c r="G209" s="26"/>
      <c r="H209" s="8">
        <f t="shared" si="18"/>
        <v>0</v>
      </c>
      <c r="I209" s="611"/>
      <c r="J209" s="26"/>
      <c r="K209" s="8">
        <f t="shared" si="10"/>
        <v>0</v>
      </c>
      <c r="L209" s="611"/>
      <c r="M209" s="26"/>
      <c r="N209" s="8">
        <f t="shared" si="11"/>
        <v>0</v>
      </c>
      <c r="O209" s="611"/>
      <c r="P209" s="26"/>
      <c r="Q209" s="8">
        <f t="shared" si="12"/>
        <v>0</v>
      </c>
      <c r="R209" s="611"/>
      <c r="S209" s="26"/>
      <c r="T209" s="8">
        <f t="shared" si="13"/>
        <v>0</v>
      </c>
      <c r="U209" s="611"/>
      <c r="V209" s="26"/>
      <c r="W209" s="8">
        <f t="shared" si="14"/>
        <v>0</v>
      </c>
      <c r="X209" s="611"/>
      <c r="Y209" s="26"/>
      <c r="Z209" s="8">
        <f t="shared" si="15"/>
        <v>0</v>
      </c>
      <c r="AA209" s="611"/>
      <c r="AB209" s="26"/>
      <c r="AC209" s="8">
        <f t="shared" si="16"/>
        <v>0</v>
      </c>
      <c r="AD209" s="26"/>
      <c r="AE209" s="26"/>
      <c r="AF209" s="26"/>
      <c r="AG209" s="26"/>
      <c r="AH209" s="26"/>
    </row>
    <row r="210" ht="12.75" customHeight="1">
      <c r="A210" s="24"/>
      <c r="B210" s="609"/>
      <c r="C210" s="24"/>
      <c r="D210" s="24"/>
      <c r="E210" s="610"/>
      <c r="F210" s="611"/>
      <c r="G210" s="26"/>
      <c r="H210" s="8">
        <f t="shared" si="18"/>
        <v>0</v>
      </c>
      <c r="I210" s="611"/>
      <c r="J210" s="26"/>
      <c r="K210" s="8">
        <f t="shared" si="10"/>
        <v>0</v>
      </c>
      <c r="L210" s="611"/>
      <c r="M210" s="26"/>
      <c r="N210" s="8">
        <f t="shared" si="11"/>
        <v>0</v>
      </c>
      <c r="O210" s="611"/>
      <c r="P210" s="26"/>
      <c r="Q210" s="8">
        <f t="shared" si="12"/>
        <v>0</v>
      </c>
      <c r="R210" s="611"/>
      <c r="S210" s="26"/>
      <c r="T210" s="8">
        <f t="shared" si="13"/>
        <v>0</v>
      </c>
      <c r="U210" s="611"/>
      <c r="V210" s="26"/>
      <c r="W210" s="8">
        <f t="shared" si="14"/>
        <v>0</v>
      </c>
      <c r="X210" s="611"/>
      <c r="Y210" s="26"/>
      <c r="Z210" s="8">
        <f t="shared" si="15"/>
        <v>0</v>
      </c>
      <c r="AA210" s="611"/>
      <c r="AB210" s="26"/>
      <c r="AC210" s="8">
        <f t="shared" si="16"/>
        <v>0</v>
      </c>
      <c r="AD210" s="26"/>
      <c r="AE210" s="26"/>
      <c r="AF210" s="26"/>
      <c r="AG210" s="26"/>
      <c r="AH210" s="26"/>
    </row>
    <row r="211" ht="12.75" customHeight="1">
      <c r="A211" s="24"/>
      <c r="B211" s="609"/>
      <c r="C211" s="24"/>
      <c r="D211" s="24"/>
      <c r="E211" s="610"/>
      <c r="F211" s="611"/>
      <c r="G211" s="26"/>
      <c r="H211" s="8">
        <f t="shared" si="18"/>
        <v>0</v>
      </c>
      <c r="I211" s="611"/>
      <c r="J211" s="26"/>
      <c r="K211" s="8">
        <f t="shared" si="10"/>
        <v>0</v>
      </c>
      <c r="L211" s="611"/>
      <c r="M211" s="26"/>
      <c r="N211" s="8">
        <f t="shared" si="11"/>
        <v>0</v>
      </c>
      <c r="O211" s="611"/>
      <c r="P211" s="26"/>
      <c r="Q211" s="8">
        <f t="shared" si="12"/>
        <v>0</v>
      </c>
      <c r="R211" s="611"/>
      <c r="S211" s="26"/>
      <c r="T211" s="8">
        <f t="shared" si="13"/>
        <v>0</v>
      </c>
      <c r="U211" s="611"/>
      <c r="V211" s="26"/>
      <c r="W211" s="8">
        <f t="shared" si="14"/>
        <v>0</v>
      </c>
      <c r="X211" s="611"/>
      <c r="Y211" s="26"/>
      <c r="Z211" s="8">
        <f t="shared" si="15"/>
        <v>0</v>
      </c>
      <c r="AA211" s="611"/>
      <c r="AB211" s="26"/>
      <c r="AC211" s="8">
        <f t="shared" si="16"/>
        <v>0</v>
      </c>
      <c r="AD211" s="26"/>
      <c r="AE211" s="26"/>
      <c r="AF211" s="26"/>
      <c r="AG211" s="26"/>
      <c r="AH211" s="26"/>
    </row>
    <row r="212" ht="12.75" customHeight="1">
      <c r="A212" s="24"/>
      <c r="B212" s="609"/>
      <c r="C212" s="24"/>
      <c r="D212" s="24"/>
      <c r="E212" s="610"/>
      <c r="F212" s="611"/>
      <c r="G212" s="26"/>
      <c r="H212" s="8">
        <f t="shared" si="18"/>
        <v>0</v>
      </c>
      <c r="I212" s="611"/>
      <c r="J212" s="26"/>
      <c r="K212" s="8">
        <f t="shared" si="10"/>
        <v>0</v>
      </c>
      <c r="L212" s="611"/>
      <c r="M212" s="26"/>
      <c r="N212" s="8">
        <f t="shared" si="11"/>
        <v>0</v>
      </c>
      <c r="O212" s="611"/>
      <c r="P212" s="26"/>
      <c r="Q212" s="8">
        <f t="shared" si="12"/>
        <v>0</v>
      </c>
      <c r="R212" s="611"/>
      <c r="S212" s="26"/>
      <c r="T212" s="8">
        <f t="shared" si="13"/>
        <v>0</v>
      </c>
      <c r="U212" s="611"/>
      <c r="V212" s="26"/>
      <c r="W212" s="8">
        <f t="shared" si="14"/>
        <v>0</v>
      </c>
      <c r="X212" s="611"/>
      <c r="Y212" s="26"/>
      <c r="Z212" s="8">
        <f t="shared" si="15"/>
        <v>0</v>
      </c>
      <c r="AA212" s="611"/>
      <c r="AB212" s="26"/>
      <c r="AC212" s="8">
        <f t="shared" si="16"/>
        <v>0</v>
      </c>
      <c r="AD212" s="26"/>
      <c r="AE212" s="26"/>
      <c r="AF212" s="26"/>
      <c r="AG212" s="26"/>
      <c r="AH212" s="26"/>
    </row>
    <row r="213" ht="12.75" customHeight="1">
      <c r="A213" s="24"/>
      <c r="B213" s="609"/>
      <c r="C213" s="24"/>
      <c r="D213" s="24"/>
      <c r="E213" s="610"/>
      <c r="F213" s="611"/>
      <c r="G213" s="26"/>
      <c r="H213" s="8">
        <f t="shared" si="18"/>
        <v>0</v>
      </c>
      <c r="I213" s="611"/>
      <c r="J213" s="26"/>
      <c r="K213" s="8">
        <f t="shared" si="10"/>
        <v>0</v>
      </c>
      <c r="L213" s="611"/>
      <c r="M213" s="26"/>
      <c r="N213" s="8">
        <f t="shared" si="11"/>
        <v>0</v>
      </c>
      <c r="O213" s="611"/>
      <c r="P213" s="26"/>
      <c r="Q213" s="8">
        <f t="shared" si="12"/>
        <v>0</v>
      </c>
      <c r="R213" s="611"/>
      <c r="S213" s="26"/>
      <c r="T213" s="8">
        <f t="shared" si="13"/>
        <v>0</v>
      </c>
      <c r="U213" s="611"/>
      <c r="V213" s="26"/>
      <c r="W213" s="8">
        <f t="shared" si="14"/>
        <v>0</v>
      </c>
      <c r="X213" s="611"/>
      <c r="Y213" s="26"/>
      <c r="Z213" s="8">
        <f t="shared" si="15"/>
        <v>0</v>
      </c>
      <c r="AA213" s="611"/>
      <c r="AB213" s="26"/>
      <c r="AC213" s="8">
        <f t="shared" si="16"/>
        <v>0</v>
      </c>
      <c r="AD213" s="26"/>
      <c r="AE213" s="26"/>
      <c r="AF213" s="26"/>
      <c r="AG213" s="26"/>
      <c r="AH213" s="26"/>
    </row>
    <row r="214" ht="12.75" customHeight="1">
      <c r="A214" s="24"/>
      <c r="B214" s="609"/>
      <c r="C214" s="24"/>
      <c r="D214" s="24"/>
      <c r="E214" s="610"/>
      <c r="F214" s="611"/>
      <c r="G214" s="26"/>
      <c r="H214" s="8">
        <f t="shared" si="18"/>
        <v>0</v>
      </c>
      <c r="I214" s="611"/>
      <c r="J214" s="26"/>
      <c r="K214" s="8">
        <f t="shared" si="10"/>
        <v>0</v>
      </c>
      <c r="L214" s="611"/>
      <c r="M214" s="26"/>
      <c r="N214" s="8">
        <f t="shared" si="11"/>
        <v>0</v>
      </c>
      <c r="O214" s="611"/>
      <c r="P214" s="26"/>
      <c r="Q214" s="8">
        <f t="shared" si="12"/>
        <v>0</v>
      </c>
      <c r="R214" s="611"/>
      <c r="S214" s="26"/>
      <c r="T214" s="8">
        <f t="shared" si="13"/>
        <v>0</v>
      </c>
      <c r="U214" s="611"/>
      <c r="V214" s="26"/>
      <c r="W214" s="8">
        <f t="shared" si="14"/>
        <v>0</v>
      </c>
      <c r="X214" s="611"/>
      <c r="Y214" s="26"/>
      <c r="Z214" s="8">
        <f t="shared" si="15"/>
        <v>0</v>
      </c>
      <c r="AA214" s="611"/>
      <c r="AB214" s="26"/>
      <c r="AC214" s="8">
        <f t="shared" si="16"/>
        <v>0</v>
      </c>
      <c r="AD214" s="26"/>
      <c r="AE214" s="26"/>
      <c r="AF214" s="26"/>
      <c r="AG214" s="26"/>
      <c r="AH214" s="26"/>
    </row>
    <row r="215" ht="12.75" customHeight="1">
      <c r="A215" s="24"/>
      <c r="B215" s="609"/>
      <c r="C215" s="24"/>
      <c r="D215" s="24"/>
      <c r="E215" s="610"/>
      <c r="F215" s="611"/>
      <c r="G215" s="26"/>
      <c r="H215" s="8">
        <f t="shared" si="18"/>
        <v>0</v>
      </c>
      <c r="I215" s="611"/>
      <c r="J215" s="26"/>
      <c r="K215" s="8">
        <f t="shared" si="10"/>
        <v>0</v>
      </c>
      <c r="L215" s="611"/>
      <c r="M215" s="26"/>
      <c r="N215" s="8">
        <f t="shared" si="11"/>
        <v>0</v>
      </c>
      <c r="O215" s="611"/>
      <c r="P215" s="26"/>
      <c r="Q215" s="8">
        <f t="shared" si="12"/>
        <v>0</v>
      </c>
      <c r="R215" s="611"/>
      <c r="S215" s="26"/>
      <c r="T215" s="8">
        <f t="shared" si="13"/>
        <v>0</v>
      </c>
      <c r="U215" s="611"/>
      <c r="V215" s="26"/>
      <c r="W215" s="8">
        <f t="shared" si="14"/>
        <v>0</v>
      </c>
      <c r="X215" s="611"/>
      <c r="Y215" s="26"/>
      <c r="Z215" s="8">
        <f t="shared" si="15"/>
        <v>0</v>
      </c>
      <c r="AA215" s="611"/>
      <c r="AB215" s="26"/>
      <c r="AC215" s="8">
        <f t="shared" si="16"/>
        <v>0</v>
      </c>
      <c r="AD215" s="26"/>
      <c r="AE215" s="26"/>
      <c r="AF215" s="26"/>
      <c r="AG215" s="26"/>
      <c r="AH215" s="26"/>
    </row>
    <row r="216" ht="12.75" customHeight="1">
      <c r="A216" s="24"/>
      <c r="B216" s="609"/>
      <c r="C216" s="24"/>
      <c r="D216" s="24"/>
      <c r="E216" s="610"/>
      <c r="F216" s="611"/>
      <c r="G216" s="26"/>
      <c r="H216" s="8">
        <f t="shared" si="18"/>
        <v>0</v>
      </c>
      <c r="I216" s="611"/>
      <c r="J216" s="26"/>
      <c r="K216" s="8">
        <f t="shared" si="10"/>
        <v>0</v>
      </c>
      <c r="L216" s="611"/>
      <c r="M216" s="26"/>
      <c r="N216" s="8">
        <f t="shared" si="11"/>
        <v>0</v>
      </c>
      <c r="O216" s="611"/>
      <c r="P216" s="26"/>
      <c r="Q216" s="8">
        <f t="shared" si="12"/>
        <v>0</v>
      </c>
      <c r="R216" s="611"/>
      <c r="S216" s="26"/>
      <c r="T216" s="8">
        <f t="shared" si="13"/>
        <v>0</v>
      </c>
      <c r="U216" s="611"/>
      <c r="V216" s="26"/>
      <c r="W216" s="8">
        <f t="shared" si="14"/>
        <v>0</v>
      </c>
      <c r="X216" s="611"/>
      <c r="Y216" s="26"/>
      <c r="Z216" s="8">
        <f t="shared" si="15"/>
        <v>0</v>
      </c>
      <c r="AA216" s="611"/>
      <c r="AB216" s="26"/>
      <c r="AC216" s="8">
        <f t="shared" si="16"/>
        <v>0</v>
      </c>
      <c r="AD216" s="26"/>
      <c r="AE216" s="26"/>
      <c r="AF216" s="26"/>
      <c r="AG216" s="26"/>
      <c r="AH216" s="26"/>
    </row>
    <row r="217" ht="12.75" customHeight="1">
      <c r="A217" s="24"/>
      <c r="B217" s="609"/>
      <c r="C217" s="24"/>
      <c r="D217" s="24"/>
      <c r="E217" s="610"/>
      <c r="F217" s="611"/>
      <c r="G217" s="26"/>
      <c r="H217" s="8">
        <f t="shared" si="18"/>
        <v>0</v>
      </c>
      <c r="I217" s="611"/>
      <c r="J217" s="26"/>
      <c r="K217" s="8">
        <f t="shared" si="10"/>
        <v>0</v>
      </c>
      <c r="L217" s="611"/>
      <c r="M217" s="26"/>
      <c r="N217" s="8">
        <f t="shared" si="11"/>
        <v>0</v>
      </c>
      <c r="O217" s="611"/>
      <c r="P217" s="26"/>
      <c r="Q217" s="8">
        <f t="shared" si="12"/>
        <v>0</v>
      </c>
      <c r="R217" s="611"/>
      <c r="S217" s="26"/>
      <c r="T217" s="8">
        <f t="shared" si="13"/>
        <v>0</v>
      </c>
      <c r="U217" s="611"/>
      <c r="V217" s="26"/>
      <c r="W217" s="8">
        <f t="shared" si="14"/>
        <v>0</v>
      </c>
      <c r="X217" s="611"/>
      <c r="Y217" s="26"/>
      <c r="Z217" s="8">
        <f t="shared" si="15"/>
        <v>0</v>
      </c>
      <c r="AA217" s="611"/>
      <c r="AB217" s="26"/>
      <c r="AC217" s="8">
        <f t="shared" si="16"/>
        <v>0</v>
      </c>
      <c r="AD217" s="26"/>
      <c r="AE217" s="26"/>
      <c r="AF217" s="26"/>
      <c r="AG217" s="26"/>
      <c r="AH217" s="26"/>
    </row>
    <row r="218" ht="12.75" customHeight="1">
      <c r="A218" s="24"/>
      <c r="B218" s="609"/>
      <c r="C218" s="24"/>
      <c r="D218" s="24"/>
      <c r="E218" s="610"/>
      <c r="F218" s="611"/>
      <c r="G218" s="26"/>
      <c r="H218" s="8">
        <f t="shared" si="18"/>
        <v>0</v>
      </c>
      <c r="I218" s="611"/>
      <c r="J218" s="26"/>
      <c r="K218" s="8">
        <f t="shared" si="10"/>
        <v>0</v>
      </c>
      <c r="L218" s="611"/>
      <c r="M218" s="26"/>
      <c r="N218" s="8">
        <f t="shared" si="11"/>
        <v>0</v>
      </c>
      <c r="O218" s="611"/>
      <c r="P218" s="26"/>
      <c r="Q218" s="8">
        <f t="shared" si="12"/>
        <v>0</v>
      </c>
      <c r="R218" s="611"/>
      <c r="S218" s="26"/>
      <c r="T218" s="8">
        <f t="shared" si="13"/>
        <v>0</v>
      </c>
      <c r="U218" s="611"/>
      <c r="V218" s="26"/>
      <c r="W218" s="8">
        <f t="shared" si="14"/>
        <v>0</v>
      </c>
      <c r="X218" s="611"/>
      <c r="Y218" s="26"/>
      <c r="Z218" s="8">
        <f t="shared" si="15"/>
        <v>0</v>
      </c>
      <c r="AA218" s="611"/>
      <c r="AB218" s="26"/>
      <c r="AC218" s="8">
        <f t="shared" si="16"/>
        <v>0</v>
      </c>
      <c r="AD218" s="26"/>
      <c r="AE218" s="26"/>
      <c r="AF218" s="26"/>
      <c r="AG218" s="26"/>
      <c r="AH218" s="26"/>
    </row>
    <row r="219" ht="12.75" customHeight="1">
      <c r="A219" s="24"/>
      <c r="B219" s="609"/>
      <c r="C219" s="24"/>
      <c r="D219" s="24"/>
      <c r="E219" s="610"/>
      <c r="F219" s="611"/>
      <c r="G219" s="26"/>
      <c r="H219" s="8">
        <f t="shared" si="18"/>
        <v>0</v>
      </c>
      <c r="I219" s="611"/>
      <c r="J219" s="26"/>
      <c r="K219" s="8">
        <f t="shared" si="10"/>
        <v>0</v>
      </c>
      <c r="L219" s="611"/>
      <c r="M219" s="26"/>
      <c r="N219" s="8">
        <f t="shared" si="11"/>
        <v>0</v>
      </c>
      <c r="O219" s="611"/>
      <c r="P219" s="26"/>
      <c r="Q219" s="8">
        <f t="shared" si="12"/>
        <v>0</v>
      </c>
      <c r="R219" s="611"/>
      <c r="S219" s="26"/>
      <c r="T219" s="8">
        <f t="shared" si="13"/>
        <v>0</v>
      </c>
      <c r="U219" s="611"/>
      <c r="V219" s="26"/>
      <c r="W219" s="8">
        <f t="shared" si="14"/>
        <v>0</v>
      </c>
      <c r="X219" s="611"/>
      <c r="Y219" s="26"/>
      <c r="Z219" s="8">
        <f t="shared" si="15"/>
        <v>0</v>
      </c>
      <c r="AA219" s="611"/>
      <c r="AB219" s="26"/>
      <c r="AC219" s="8">
        <f t="shared" si="16"/>
        <v>0</v>
      </c>
      <c r="AD219" s="26"/>
      <c r="AE219" s="26"/>
      <c r="AF219" s="26"/>
      <c r="AG219" s="26"/>
      <c r="AH219" s="26"/>
    </row>
    <row r="220" ht="12.75" customHeight="1">
      <c r="A220" s="24"/>
      <c r="B220" s="609"/>
      <c r="C220" s="24"/>
      <c r="D220" s="24"/>
      <c r="E220" s="610"/>
      <c r="F220" s="611"/>
      <c r="G220" s="26"/>
      <c r="H220" s="8">
        <f t="shared" si="18"/>
        <v>0</v>
      </c>
      <c r="I220" s="611"/>
      <c r="J220" s="26"/>
      <c r="K220" s="8">
        <f t="shared" si="10"/>
        <v>0</v>
      </c>
      <c r="L220" s="611"/>
      <c r="M220" s="26"/>
      <c r="N220" s="8">
        <f t="shared" si="11"/>
        <v>0</v>
      </c>
      <c r="O220" s="611"/>
      <c r="P220" s="26"/>
      <c r="Q220" s="8">
        <f t="shared" si="12"/>
        <v>0</v>
      </c>
      <c r="R220" s="611"/>
      <c r="S220" s="26"/>
      <c r="T220" s="8">
        <f t="shared" si="13"/>
        <v>0</v>
      </c>
      <c r="U220" s="611"/>
      <c r="V220" s="26"/>
      <c r="W220" s="8">
        <f t="shared" si="14"/>
        <v>0</v>
      </c>
      <c r="X220" s="611"/>
      <c r="Y220" s="26"/>
      <c r="Z220" s="8">
        <f t="shared" si="15"/>
        <v>0</v>
      </c>
      <c r="AA220" s="611"/>
      <c r="AB220" s="26"/>
      <c r="AC220" s="8">
        <f t="shared" si="16"/>
        <v>0</v>
      </c>
      <c r="AD220" s="26"/>
      <c r="AE220" s="26"/>
      <c r="AF220" s="26"/>
      <c r="AG220" s="26"/>
      <c r="AH220" s="26"/>
    </row>
    <row r="221" ht="12.75" customHeight="1">
      <c r="A221" s="24"/>
      <c r="B221" s="609"/>
      <c r="C221" s="24"/>
      <c r="D221" s="24"/>
      <c r="E221" s="610"/>
      <c r="F221" s="611"/>
      <c r="G221" s="26"/>
      <c r="H221" s="8">
        <f t="shared" si="18"/>
        <v>0</v>
      </c>
      <c r="I221" s="611"/>
      <c r="J221" s="26"/>
      <c r="K221" s="8">
        <f t="shared" si="10"/>
        <v>0</v>
      </c>
      <c r="L221" s="611"/>
      <c r="M221" s="26"/>
      <c r="N221" s="8">
        <f t="shared" si="11"/>
        <v>0</v>
      </c>
      <c r="O221" s="611"/>
      <c r="P221" s="26"/>
      <c r="Q221" s="8">
        <f t="shared" si="12"/>
        <v>0</v>
      </c>
      <c r="R221" s="611"/>
      <c r="S221" s="26"/>
      <c r="T221" s="8">
        <f t="shared" si="13"/>
        <v>0</v>
      </c>
      <c r="U221" s="611"/>
      <c r="V221" s="26"/>
      <c r="W221" s="8">
        <f t="shared" si="14"/>
        <v>0</v>
      </c>
      <c r="X221" s="611"/>
      <c r="Y221" s="26"/>
      <c r="Z221" s="8">
        <f t="shared" si="15"/>
        <v>0</v>
      </c>
      <c r="AA221" s="611"/>
      <c r="AB221" s="26"/>
      <c r="AC221" s="8">
        <f t="shared" si="16"/>
        <v>0</v>
      </c>
      <c r="AD221" s="26"/>
      <c r="AE221" s="26"/>
      <c r="AF221" s="26"/>
      <c r="AG221" s="26"/>
      <c r="AH221" s="26"/>
    </row>
    <row r="222" ht="12.75" customHeight="1">
      <c r="A222" s="24"/>
      <c r="B222" s="609"/>
      <c r="C222" s="24"/>
      <c r="D222" s="24"/>
      <c r="E222" s="610"/>
      <c r="F222" s="611"/>
      <c r="G222" s="26"/>
      <c r="H222" s="8">
        <f t="shared" si="18"/>
        <v>0</v>
      </c>
      <c r="I222" s="611"/>
      <c r="J222" s="26"/>
      <c r="K222" s="8">
        <f t="shared" si="10"/>
        <v>0</v>
      </c>
      <c r="L222" s="611"/>
      <c r="M222" s="26"/>
      <c r="N222" s="8">
        <f t="shared" si="11"/>
        <v>0</v>
      </c>
      <c r="O222" s="611"/>
      <c r="P222" s="26"/>
      <c r="Q222" s="8">
        <f t="shared" si="12"/>
        <v>0</v>
      </c>
      <c r="R222" s="611"/>
      <c r="S222" s="26"/>
      <c r="T222" s="8">
        <f t="shared" si="13"/>
        <v>0</v>
      </c>
      <c r="U222" s="611"/>
      <c r="V222" s="26"/>
      <c r="W222" s="8">
        <f t="shared" si="14"/>
        <v>0</v>
      </c>
      <c r="X222" s="611"/>
      <c r="Y222" s="26"/>
      <c r="Z222" s="8">
        <f t="shared" si="15"/>
        <v>0</v>
      </c>
      <c r="AA222" s="611"/>
      <c r="AB222" s="26"/>
      <c r="AC222" s="8">
        <f t="shared" si="16"/>
        <v>0</v>
      </c>
      <c r="AD222" s="26"/>
      <c r="AE222" s="26"/>
      <c r="AF222" s="26"/>
      <c r="AG222" s="26"/>
      <c r="AH222" s="26"/>
    </row>
    <row r="223" ht="12.75" customHeight="1">
      <c r="A223" s="24"/>
      <c r="B223" s="609"/>
      <c r="C223" s="24"/>
      <c r="D223" s="24"/>
      <c r="E223" s="610"/>
      <c r="F223" s="611"/>
      <c r="G223" s="26"/>
      <c r="H223" s="8">
        <f t="shared" si="18"/>
        <v>0</v>
      </c>
      <c r="I223" s="611"/>
      <c r="J223" s="26"/>
      <c r="K223" s="8">
        <f t="shared" si="10"/>
        <v>0</v>
      </c>
      <c r="L223" s="611"/>
      <c r="M223" s="26"/>
      <c r="N223" s="8">
        <f t="shared" si="11"/>
        <v>0</v>
      </c>
      <c r="O223" s="611"/>
      <c r="P223" s="26"/>
      <c r="Q223" s="8">
        <f t="shared" si="12"/>
        <v>0</v>
      </c>
      <c r="R223" s="611"/>
      <c r="S223" s="26"/>
      <c r="T223" s="8">
        <f t="shared" si="13"/>
        <v>0</v>
      </c>
      <c r="U223" s="611"/>
      <c r="V223" s="26"/>
      <c r="W223" s="8">
        <f t="shared" si="14"/>
        <v>0</v>
      </c>
      <c r="X223" s="611"/>
      <c r="Y223" s="26"/>
      <c r="Z223" s="8">
        <f t="shared" si="15"/>
        <v>0</v>
      </c>
      <c r="AA223" s="611"/>
      <c r="AB223" s="26"/>
      <c r="AC223" s="8">
        <f t="shared" si="16"/>
        <v>0</v>
      </c>
      <c r="AD223" s="26"/>
      <c r="AE223" s="26"/>
      <c r="AF223" s="26"/>
      <c r="AG223" s="26"/>
      <c r="AH223" s="26"/>
    </row>
    <row r="224" ht="12.75" customHeight="1">
      <c r="A224" s="24"/>
      <c r="B224" s="609"/>
      <c r="C224" s="24"/>
      <c r="D224" s="24"/>
      <c r="E224" s="610"/>
      <c r="F224" s="611"/>
      <c r="G224" s="26"/>
      <c r="H224" s="8">
        <f t="shared" si="18"/>
        <v>0</v>
      </c>
      <c r="I224" s="611"/>
      <c r="J224" s="26"/>
      <c r="K224" s="8">
        <f t="shared" si="10"/>
        <v>0</v>
      </c>
      <c r="L224" s="611"/>
      <c r="M224" s="26"/>
      <c r="N224" s="8">
        <f t="shared" si="11"/>
        <v>0</v>
      </c>
      <c r="O224" s="611"/>
      <c r="P224" s="26"/>
      <c r="Q224" s="8">
        <f t="shared" si="12"/>
        <v>0</v>
      </c>
      <c r="R224" s="611"/>
      <c r="S224" s="26"/>
      <c r="T224" s="8">
        <f t="shared" si="13"/>
        <v>0</v>
      </c>
      <c r="U224" s="611"/>
      <c r="V224" s="26"/>
      <c r="W224" s="8">
        <f t="shared" si="14"/>
        <v>0</v>
      </c>
      <c r="X224" s="611"/>
      <c r="Y224" s="26"/>
      <c r="Z224" s="8">
        <f t="shared" si="15"/>
        <v>0</v>
      </c>
      <c r="AA224" s="611"/>
      <c r="AB224" s="26"/>
      <c r="AC224" s="8">
        <f t="shared" si="16"/>
        <v>0</v>
      </c>
      <c r="AD224" s="26"/>
      <c r="AE224" s="26"/>
      <c r="AF224" s="26"/>
      <c r="AG224" s="26"/>
      <c r="AH224" s="26"/>
    </row>
    <row r="225" ht="12.75" customHeight="1">
      <c r="A225" s="24"/>
      <c r="B225" s="609"/>
      <c r="C225" s="24"/>
      <c r="D225" s="24"/>
      <c r="E225" s="610"/>
      <c r="F225" s="611"/>
      <c r="G225" s="26"/>
      <c r="H225" s="8">
        <f t="shared" si="18"/>
        <v>0</v>
      </c>
      <c r="I225" s="611"/>
      <c r="J225" s="26"/>
      <c r="K225" s="8">
        <f t="shared" si="10"/>
        <v>0</v>
      </c>
      <c r="L225" s="611"/>
      <c r="M225" s="26"/>
      <c r="N225" s="8">
        <f t="shared" si="11"/>
        <v>0</v>
      </c>
      <c r="O225" s="611"/>
      <c r="P225" s="26"/>
      <c r="Q225" s="8">
        <f t="shared" si="12"/>
        <v>0</v>
      </c>
      <c r="R225" s="611"/>
      <c r="S225" s="26"/>
      <c r="T225" s="8">
        <f t="shared" si="13"/>
        <v>0</v>
      </c>
      <c r="U225" s="611"/>
      <c r="V225" s="26"/>
      <c r="W225" s="8">
        <f t="shared" si="14"/>
        <v>0</v>
      </c>
      <c r="X225" s="611"/>
      <c r="Y225" s="26"/>
      <c r="Z225" s="8">
        <f t="shared" si="15"/>
        <v>0</v>
      </c>
      <c r="AA225" s="611"/>
      <c r="AB225" s="26"/>
      <c r="AC225" s="8">
        <f t="shared" si="16"/>
        <v>0</v>
      </c>
      <c r="AD225" s="26"/>
      <c r="AE225" s="26"/>
      <c r="AF225" s="26"/>
      <c r="AG225" s="26"/>
      <c r="AH225" s="26"/>
    </row>
    <row r="226" ht="12.75" customHeight="1">
      <c r="A226" s="24"/>
      <c r="B226" s="609"/>
      <c r="C226" s="24"/>
      <c r="D226" s="24"/>
      <c r="E226" s="610"/>
      <c r="F226" s="611"/>
      <c r="G226" s="26"/>
      <c r="H226" s="8">
        <f t="shared" si="18"/>
        <v>0</v>
      </c>
      <c r="I226" s="611"/>
      <c r="J226" s="26"/>
      <c r="K226" s="8">
        <f t="shared" si="10"/>
        <v>0</v>
      </c>
      <c r="L226" s="611"/>
      <c r="M226" s="26"/>
      <c r="N226" s="8">
        <f t="shared" si="11"/>
        <v>0</v>
      </c>
      <c r="O226" s="611"/>
      <c r="P226" s="26"/>
      <c r="Q226" s="8">
        <f t="shared" si="12"/>
        <v>0</v>
      </c>
      <c r="R226" s="611"/>
      <c r="S226" s="26"/>
      <c r="T226" s="8">
        <f t="shared" si="13"/>
        <v>0</v>
      </c>
      <c r="U226" s="611"/>
      <c r="V226" s="26"/>
      <c r="W226" s="8">
        <f t="shared" si="14"/>
        <v>0</v>
      </c>
      <c r="X226" s="611"/>
      <c r="Y226" s="26"/>
      <c r="Z226" s="8">
        <f t="shared" si="15"/>
        <v>0</v>
      </c>
      <c r="AA226" s="611"/>
      <c r="AB226" s="26"/>
      <c r="AC226" s="8">
        <f t="shared" si="16"/>
        <v>0</v>
      </c>
      <c r="AD226" s="26"/>
      <c r="AE226" s="26"/>
      <c r="AF226" s="26"/>
      <c r="AG226" s="26"/>
      <c r="AH226" s="26"/>
    </row>
    <row r="227" ht="12.75" customHeight="1">
      <c r="A227" s="24"/>
      <c r="B227" s="609"/>
      <c r="C227" s="24"/>
      <c r="D227" s="24"/>
      <c r="E227" s="610"/>
      <c r="F227" s="611"/>
      <c r="G227" s="26"/>
      <c r="H227" s="8">
        <f t="shared" si="18"/>
        <v>0</v>
      </c>
      <c r="I227" s="611"/>
      <c r="J227" s="26"/>
      <c r="K227" s="8">
        <f t="shared" si="10"/>
        <v>0</v>
      </c>
      <c r="L227" s="611"/>
      <c r="M227" s="26"/>
      <c r="N227" s="8">
        <f t="shared" si="11"/>
        <v>0</v>
      </c>
      <c r="O227" s="611"/>
      <c r="P227" s="26"/>
      <c r="Q227" s="8">
        <f t="shared" si="12"/>
        <v>0</v>
      </c>
      <c r="R227" s="611"/>
      <c r="S227" s="26"/>
      <c r="T227" s="8">
        <f t="shared" si="13"/>
        <v>0</v>
      </c>
      <c r="U227" s="611"/>
      <c r="V227" s="26"/>
      <c r="W227" s="8">
        <f t="shared" si="14"/>
        <v>0</v>
      </c>
      <c r="X227" s="611"/>
      <c r="Y227" s="26"/>
      <c r="Z227" s="8">
        <f t="shared" si="15"/>
        <v>0</v>
      </c>
      <c r="AA227" s="611"/>
      <c r="AB227" s="26"/>
      <c r="AC227" s="8">
        <f t="shared" si="16"/>
        <v>0</v>
      </c>
      <c r="AD227" s="26"/>
      <c r="AE227" s="26"/>
      <c r="AF227" s="26"/>
      <c r="AG227" s="26"/>
      <c r="AH227" s="26"/>
    </row>
    <row r="228" ht="12.75" customHeight="1">
      <c r="A228" s="24"/>
      <c r="B228" s="609"/>
      <c r="C228" s="24"/>
      <c r="D228" s="24"/>
      <c r="E228" s="610"/>
      <c r="F228" s="611"/>
      <c r="G228" s="26"/>
      <c r="H228" s="8">
        <f t="shared" si="18"/>
        <v>0</v>
      </c>
      <c r="I228" s="611"/>
      <c r="J228" s="26"/>
      <c r="K228" s="8">
        <f t="shared" si="10"/>
        <v>0</v>
      </c>
      <c r="L228" s="611"/>
      <c r="M228" s="26"/>
      <c r="N228" s="8">
        <f t="shared" si="11"/>
        <v>0</v>
      </c>
      <c r="O228" s="611"/>
      <c r="P228" s="26"/>
      <c r="Q228" s="8">
        <f t="shared" si="12"/>
        <v>0</v>
      </c>
      <c r="R228" s="611"/>
      <c r="S228" s="26"/>
      <c r="T228" s="8">
        <f t="shared" si="13"/>
        <v>0</v>
      </c>
      <c r="U228" s="611"/>
      <c r="V228" s="26"/>
      <c r="W228" s="8">
        <f t="shared" si="14"/>
        <v>0</v>
      </c>
      <c r="X228" s="611"/>
      <c r="Y228" s="26"/>
      <c r="Z228" s="8">
        <f t="shared" si="15"/>
        <v>0</v>
      </c>
      <c r="AA228" s="611"/>
      <c r="AB228" s="26"/>
      <c r="AC228" s="8">
        <f t="shared" si="16"/>
        <v>0</v>
      </c>
      <c r="AD228" s="26"/>
      <c r="AE228" s="26"/>
      <c r="AF228" s="26"/>
      <c r="AG228" s="26"/>
      <c r="AH228" s="26"/>
    </row>
    <row r="229" ht="12.75" customHeight="1">
      <c r="A229" s="24"/>
      <c r="B229" s="609"/>
      <c r="C229" s="24"/>
      <c r="D229" s="24"/>
      <c r="E229" s="610"/>
      <c r="F229" s="611"/>
      <c r="G229" s="26"/>
      <c r="H229" s="8">
        <f t="shared" si="18"/>
        <v>0</v>
      </c>
      <c r="I229" s="611"/>
      <c r="J229" s="26"/>
      <c r="K229" s="8">
        <f t="shared" si="10"/>
        <v>0</v>
      </c>
      <c r="L229" s="611"/>
      <c r="M229" s="26"/>
      <c r="N229" s="8">
        <f t="shared" si="11"/>
        <v>0</v>
      </c>
      <c r="O229" s="611"/>
      <c r="P229" s="26"/>
      <c r="Q229" s="8">
        <f t="shared" si="12"/>
        <v>0</v>
      </c>
      <c r="R229" s="611"/>
      <c r="S229" s="26"/>
      <c r="T229" s="8">
        <f t="shared" si="13"/>
        <v>0</v>
      </c>
      <c r="U229" s="611"/>
      <c r="V229" s="26"/>
      <c r="W229" s="8">
        <f t="shared" si="14"/>
        <v>0</v>
      </c>
      <c r="X229" s="611"/>
      <c r="Y229" s="26"/>
      <c r="Z229" s="8">
        <f t="shared" si="15"/>
        <v>0</v>
      </c>
      <c r="AA229" s="611"/>
      <c r="AB229" s="26"/>
      <c r="AC229" s="8">
        <f t="shared" si="16"/>
        <v>0</v>
      </c>
      <c r="AD229" s="26"/>
      <c r="AE229" s="26"/>
      <c r="AF229" s="26"/>
      <c r="AG229" s="26"/>
      <c r="AH229" s="26"/>
    </row>
    <row r="230" ht="12.75" customHeight="1">
      <c r="A230" s="24"/>
      <c r="B230" s="609"/>
      <c r="C230" s="24"/>
      <c r="D230" s="24"/>
      <c r="E230" s="610"/>
      <c r="F230" s="611"/>
      <c r="G230" s="26"/>
      <c r="H230" s="8">
        <f t="shared" si="18"/>
        <v>0</v>
      </c>
      <c r="I230" s="611"/>
      <c r="J230" s="26"/>
      <c r="K230" s="8">
        <f t="shared" si="10"/>
        <v>0</v>
      </c>
      <c r="L230" s="611"/>
      <c r="M230" s="26"/>
      <c r="N230" s="8">
        <f t="shared" si="11"/>
        <v>0</v>
      </c>
      <c r="O230" s="611"/>
      <c r="P230" s="26"/>
      <c r="Q230" s="8">
        <f t="shared" si="12"/>
        <v>0</v>
      </c>
      <c r="R230" s="611"/>
      <c r="S230" s="26"/>
      <c r="T230" s="8">
        <f t="shared" si="13"/>
        <v>0</v>
      </c>
      <c r="U230" s="611"/>
      <c r="V230" s="26"/>
      <c r="W230" s="8">
        <f t="shared" si="14"/>
        <v>0</v>
      </c>
      <c r="X230" s="611"/>
      <c r="Y230" s="26"/>
      <c r="Z230" s="8">
        <f t="shared" si="15"/>
        <v>0</v>
      </c>
      <c r="AA230" s="611"/>
      <c r="AB230" s="26"/>
      <c r="AC230" s="8">
        <f t="shared" si="16"/>
        <v>0</v>
      </c>
      <c r="AD230" s="26"/>
      <c r="AE230" s="26"/>
      <c r="AF230" s="26"/>
      <c r="AG230" s="26"/>
      <c r="AH230" s="26"/>
    </row>
    <row r="231" ht="12.75" customHeight="1">
      <c r="A231" s="24"/>
      <c r="B231" s="609"/>
      <c r="C231" s="24"/>
      <c r="D231" s="24"/>
      <c r="E231" s="610"/>
      <c r="F231" s="611"/>
      <c r="G231" s="26"/>
      <c r="H231" s="8">
        <f t="shared" si="18"/>
        <v>0</v>
      </c>
      <c r="I231" s="611"/>
      <c r="J231" s="26"/>
      <c r="K231" s="8">
        <f t="shared" si="10"/>
        <v>0</v>
      </c>
      <c r="L231" s="611"/>
      <c r="M231" s="26"/>
      <c r="N231" s="8">
        <f t="shared" si="11"/>
        <v>0</v>
      </c>
      <c r="O231" s="611"/>
      <c r="P231" s="26"/>
      <c r="Q231" s="8">
        <f t="shared" si="12"/>
        <v>0</v>
      </c>
      <c r="R231" s="611"/>
      <c r="S231" s="26"/>
      <c r="T231" s="8">
        <f t="shared" si="13"/>
        <v>0</v>
      </c>
      <c r="U231" s="611"/>
      <c r="V231" s="26"/>
      <c r="W231" s="8">
        <f t="shared" si="14"/>
        <v>0</v>
      </c>
      <c r="X231" s="611"/>
      <c r="Y231" s="26"/>
      <c r="Z231" s="8">
        <f t="shared" si="15"/>
        <v>0</v>
      </c>
      <c r="AA231" s="611"/>
      <c r="AB231" s="26"/>
      <c r="AC231" s="8">
        <f t="shared" si="16"/>
        <v>0</v>
      </c>
      <c r="AD231" s="26"/>
      <c r="AE231" s="26"/>
      <c r="AF231" s="26"/>
      <c r="AG231" s="26"/>
      <c r="AH231" s="26"/>
    </row>
    <row r="232" ht="12.75" customHeight="1">
      <c r="A232" s="24"/>
      <c r="B232" s="609"/>
      <c r="C232" s="24"/>
      <c r="D232" s="24"/>
      <c r="E232" s="610"/>
      <c r="F232" s="611"/>
      <c r="G232" s="26"/>
      <c r="H232" s="8">
        <f t="shared" si="18"/>
        <v>0</v>
      </c>
      <c r="I232" s="611"/>
      <c r="J232" s="26"/>
      <c r="K232" s="8">
        <f t="shared" si="10"/>
        <v>0</v>
      </c>
      <c r="L232" s="611"/>
      <c r="M232" s="26"/>
      <c r="N232" s="8">
        <f t="shared" si="11"/>
        <v>0</v>
      </c>
      <c r="O232" s="611"/>
      <c r="P232" s="26"/>
      <c r="Q232" s="8">
        <f t="shared" si="12"/>
        <v>0</v>
      </c>
      <c r="R232" s="611"/>
      <c r="S232" s="26"/>
      <c r="T232" s="8">
        <f t="shared" si="13"/>
        <v>0</v>
      </c>
      <c r="U232" s="611"/>
      <c r="V232" s="26"/>
      <c r="W232" s="8">
        <f t="shared" si="14"/>
        <v>0</v>
      </c>
      <c r="X232" s="611"/>
      <c r="Y232" s="26"/>
      <c r="Z232" s="8">
        <f t="shared" si="15"/>
        <v>0</v>
      </c>
      <c r="AA232" s="611"/>
      <c r="AB232" s="26"/>
      <c r="AC232" s="8">
        <f t="shared" si="16"/>
        <v>0</v>
      </c>
      <c r="AD232" s="26"/>
      <c r="AE232" s="26"/>
      <c r="AF232" s="26"/>
      <c r="AG232" s="26"/>
      <c r="AH232" s="26"/>
    </row>
    <row r="233" ht="12.75" customHeight="1">
      <c r="A233" s="24"/>
      <c r="B233" s="609"/>
      <c r="C233" s="24"/>
      <c r="D233" s="24"/>
      <c r="E233" s="610"/>
      <c r="F233" s="611"/>
      <c r="G233" s="26"/>
      <c r="H233" s="8">
        <f t="shared" si="18"/>
        <v>0</v>
      </c>
      <c r="I233" s="611"/>
      <c r="J233" s="26"/>
      <c r="K233" s="8">
        <f t="shared" si="10"/>
        <v>0</v>
      </c>
      <c r="L233" s="611"/>
      <c r="M233" s="26"/>
      <c r="N233" s="8">
        <f t="shared" si="11"/>
        <v>0</v>
      </c>
      <c r="O233" s="611"/>
      <c r="P233" s="26"/>
      <c r="Q233" s="8">
        <f t="shared" si="12"/>
        <v>0</v>
      </c>
      <c r="R233" s="611"/>
      <c r="S233" s="26"/>
      <c r="T233" s="8">
        <f t="shared" si="13"/>
        <v>0</v>
      </c>
      <c r="U233" s="611"/>
      <c r="V233" s="26"/>
      <c r="W233" s="8">
        <f t="shared" si="14"/>
        <v>0</v>
      </c>
      <c r="X233" s="611"/>
      <c r="Y233" s="26"/>
      <c r="Z233" s="8">
        <f t="shared" si="15"/>
        <v>0</v>
      </c>
      <c r="AA233" s="611"/>
      <c r="AB233" s="26"/>
      <c r="AC233" s="8">
        <f t="shared" si="16"/>
        <v>0</v>
      </c>
      <c r="AD233" s="26"/>
      <c r="AE233" s="26"/>
      <c r="AF233" s="26"/>
      <c r="AG233" s="26"/>
      <c r="AH233" s="26"/>
    </row>
    <row r="234" ht="12.75" customHeight="1">
      <c r="A234" s="24"/>
      <c r="B234" s="609"/>
      <c r="C234" s="24"/>
      <c r="D234" s="24"/>
      <c r="E234" s="610"/>
      <c r="F234" s="611"/>
      <c r="G234" s="26"/>
      <c r="H234" s="8">
        <f t="shared" si="18"/>
        <v>0</v>
      </c>
      <c r="I234" s="611"/>
      <c r="J234" s="26"/>
      <c r="K234" s="8">
        <f t="shared" si="10"/>
        <v>0</v>
      </c>
      <c r="L234" s="611"/>
      <c r="M234" s="26"/>
      <c r="N234" s="8">
        <f t="shared" si="11"/>
        <v>0</v>
      </c>
      <c r="O234" s="611"/>
      <c r="P234" s="26"/>
      <c r="Q234" s="8">
        <f t="shared" si="12"/>
        <v>0</v>
      </c>
      <c r="R234" s="611"/>
      <c r="S234" s="26"/>
      <c r="T234" s="8">
        <f t="shared" si="13"/>
        <v>0</v>
      </c>
      <c r="U234" s="611"/>
      <c r="V234" s="26"/>
      <c r="W234" s="8">
        <f t="shared" si="14"/>
        <v>0</v>
      </c>
      <c r="X234" s="611"/>
      <c r="Y234" s="26"/>
      <c r="Z234" s="8">
        <f t="shared" si="15"/>
        <v>0</v>
      </c>
      <c r="AA234" s="611"/>
      <c r="AB234" s="26"/>
      <c r="AC234" s="8">
        <f t="shared" si="16"/>
        <v>0</v>
      </c>
      <c r="AD234" s="26"/>
      <c r="AE234" s="26"/>
      <c r="AF234" s="26"/>
      <c r="AG234" s="26"/>
      <c r="AH234" s="26"/>
    </row>
    <row r="235" ht="12.75" customHeight="1">
      <c r="A235" s="24"/>
      <c r="B235" s="609"/>
      <c r="C235" s="24"/>
      <c r="D235" s="24"/>
      <c r="E235" s="610"/>
      <c r="F235" s="611"/>
      <c r="G235" s="26"/>
      <c r="H235" s="8">
        <f t="shared" si="18"/>
        <v>0</v>
      </c>
      <c r="I235" s="611"/>
      <c r="J235" s="26"/>
      <c r="K235" s="8">
        <f t="shared" si="10"/>
        <v>0</v>
      </c>
      <c r="L235" s="611"/>
      <c r="M235" s="26"/>
      <c r="N235" s="8">
        <f t="shared" si="11"/>
        <v>0</v>
      </c>
      <c r="O235" s="611"/>
      <c r="P235" s="26"/>
      <c r="Q235" s="8">
        <f t="shared" si="12"/>
        <v>0</v>
      </c>
      <c r="R235" s="611"/>
      <c r="S235" s="26"/>
      <c r="T235" s="8">
        <f t="shared" si="13"/>
        <v>0</v>
      </c>
      <c r="U235" s="611"/>
      <c r="V235" s="26"/>
      <c r="W235" s="8">
        <f t="shared" si="14"/>
        <v>0</v>
      </c>
      <c r="X235" s="611"/>
      <c r="Y235" s="26"/>
      <c r="Z235" s="8">
        <f t="shared" si="15"/>
        <v>0</v>
      </c>
      <c r="AA235" s="611"/>
      <c r="AB235" s="26"/>
      <c r="AC235" s="8">
        <f t="shared" si="16"/>
        <v>0</v>
      </c>
      <c r="AD235" s="26"/>
      <c r="AE235" s="26"/>
      <c r="AF235" s="26"/>
      <c r="AG235" s="26"/>
      <c r="AH235" s="26"/>
    </row>
    <row r="236" ht="12.75" customHeight="1">
      <c r="A236" s="24"/>
      <c r="B236" s="609"/>
      <c r="C236" s="24"/>
      <c r="D236" s="24"/>
      <c r="E236" s="610"/>
      <c r="F236" s="611"/>
      <c r="G236" s="26"/>
      <c r="H236" s="8">
        <f t="shared" si="18"/>
        <v>0</v>
      </c>
      <c r="I236" s="611"/>
      <c r="J236" s="26"/>
      <c r="K236" s="8">
        <f t="shared" si="10"/>
        <v>0</v>
      </c>
      <c r="L236" s="611"/>
      <c r="M236" s="26"/>
      <c r="N236" s="8">
        <f t="shared" si="11"/>
        <v>0</v>
      </c>
      <c r="O236" s="611"/>
      <c r="P236" s="26"/>
      <c r="Q236" s="8">
        <f t="shared" si="12"/>
        <v>0</v>
      </c>
      <c r="R236" s="611"/>
      <c r="S236" s="26"/>
      <c r="T236" s="8">
        <f t="shared" si="13"/>
        <v>0</v>
      </c>
      <c r="U236" s="611"/>
      <c r="V236" s="26"/>
      <c r="W236" s="8">
        <f t="shared" si="14"/>
        <v>0</v>
      </c>
      <c r="X236" s="611"/>
      <c r="Y236" s="26"/>
      <c r="Z236" s="8">
        <f t="shared" si="15"/>
        <v>0</v>
      </c>
      <c r="AA236" s="611"/>
      <c r="AB236" s="26"/>
      <c r="AC236" s="8">
        <f t="shared" si="16"/>
        <v>0</v>
      </c>
      <c r="AD236" s="26"/>
      <c r="AE236" s="26"/>
      <c r="AF236" s="26"/>
      <c r="AG236" s="26"/>
      <c r="AH236" s="26"/>
    </row>
    <row r="237" ht="12.75" customHeight="1">
      <c r="A237" s="24"/>
      <c r="B237" s="609"/>
      <c r="C237" s="24"/>
      <c r="D237" s="24"/>
      <c r="E237" s="610"/>
      <c r="F237" s="611"/>
      <c r="G237" s="26"/>
      <c r="H237" s="8">
        <f t="shared" si="18"/>
        <v>0</v>
      </c>
      <c r="I237" s="611"/>
      <c r="J237" s="26"/>
      <c r="K237" s="8">
        <f t="shared" si="10"/>
        <v>0</v>
      </c>
      <c r="L237" s="611"/>
      <c r="M237" s="26"/>
      <c r="N237" s="8">
        <f t="shared" si="11"/>
        <v>0</v>
      </c>
      <c r="O237" s="611"/>
      <c r="P237" s="26"/>
      <c r="Q237" s="8">
        <f t="shared" si="12"/>
        <v>0</v>
      </c>
      <c r="R237" s="611"/>
      <c r="S237" s="26"/>
      <c r="T237" s="8">
        <f t="shared" si="13"/>
        <v>0</v>
      </c>
      <c r="U237" s="611"/>
      <c r="V237" s="26"/>
      <c r="W237" s="8">
        <f t="shared" si="14"/>
        <v>0</v>
      </c>
      <c r="X237" s="611"/>
      <c r="Y237" s="26"/>
      <c r="Z237" s="8">
        <f t="shared" si="15"/>
        <v>0</v>
      </c>
      <c r="AA237" s="611"/>
      <c r="AB237" s="26"/>
      <c r="AC237" s="8">
        <f t="shared" si="16"/>
        <v>0</v>
      </c>
      <c r="AD237" s="26"/>
      <c r="AE237" s="26"/>
      <c r="AF237" s="26"/>
      <c r="AG237" s="26"/>
      <c r="AH237" s="26"/>
    </row>
    <row r="238" ht="12.75" customHeight="1">
      <c r="A238" s="24"/>
      <c r="B238" s="609"/>
      <c r="C238" s="24"/>
      <c r="D238" s="24"/>
      <c r="E238" s="610"/>
      <c r="F238" s="611"/>
      <c r="G238" s="26"/>
      <c r="H238" s="8">
        <f t="shared" si="18"/>
        <v>0</v>
      </c>
      <c r="I238" s="611"/>
      <c r="J238" s="26"/>
      <c r="K238" s="8">
        <f t="shared" si="10"/>
        <v>0</v>
      </c>
      <c r="L238" s="611"/>
      <c r="M238" s="26"/>
      <c r="N238" s="8">
        <f t="shared" si="11"/>
        <v>0</v>
      </c>
      <c r="O238" s="611"/>
      <c r="P238" s="26"/>
      <c r="Q238" s="8">
        <f t="shared" si="12"/>
        <v>0</v>
      </c>
      <c r="R238" s="611"/>
      <c r="S238" s="26"/>
      <c r="T238" s="8">
        <f t="shared" si="13"/>
        <v>0</v>
      </c>
      <c r="U238" s="611"/>
      <c r="V238" s="26"/>
      <c r="W238" s="8">
        <f t="shared" si="14"/>
        <v>0</v>
      </c>
      <c r="X238" s="611"/>
      <c r="Y238" s="26"/>
      <c r="Z238" s="8">
        <f t="shared" si="15"/>
        <v>0</v>
      </c>
      <c r="AA238" s="611"/>
      <c r="AB238" s="26"/>
      <c r="AC238" s="8">
        <f t="shared" si="16"/>
        <v>0</v>
      </c>
      <c r="AD238" s="26"/>
      <c r="AE238" s="26"/>
      <c r="AF238" s="26"/>
      <c r="AG238" s="26"/>
      <c r="AH238" s="26"/>
    </row>
    <row r="239" ht="12.75" customHeight="1">
      <c r="A239" s="24"/>
      <c r="B239" s="609"/>
      <c r="C239" s="24"/>
      <c r="D239" s="24"/>
      <c r="E239" s="610"/>
      <c r="F239" s="611"/>
      <c r="G239" s="26"/>
      <c r="H239" s="8">
        <f t="shared" si="18"/>
        <v>0</v>
      </c>
      <c r="I239" s="611"/>
      <c r="J239" s="26"/>
      <c r="K239" s="8">
        <f t="shared" si="10"/>
        <v>0</v>
      </c>
      <c r="L239" s="611"/>
      <c r="M239" s="26"/>
      <c r="N239" s="8">
        <f t="shared" si="11"/>
        <v>0</v>
      </c>
      <c r="O239" s="611"/>
      <c r="P239" s="26"/>
      <c r="Q239" s="8">
        <f t="shared" si="12"/>
        <v>0</v>
      </c>
      <c r="R239" s="611"/>
      <c r="S239" s="26"/>
      <c r="T239" s="8">
        <f t="shared" si="13"/>
        <v>0</v>
      </c>
      <c r="U239" s="611"/>
      <c r="V239" s="26"/>
      <c r="W239" s="8">
        <f t="shared" si="14"/>
        <v>0</v>
      </c>
      <c r="X239" s="611"/>
      <c r="Y239" s="26"/>
      <c r="Z239" s="8">
        <f t="shared" si="15"/>
        <v>0</v>
      </c>
      <c r="AA239" s="611"/>
      <c r="AB239" s="26"/>
      <c r="AC239" s="8">
        <f t="shared" si="16"/>
        <v>0</v>
      </c>
      <c r="AD239" s="26"/>
      <c r="AE239" s="26"/>
      <c r="AF239" s="26"/>
      <c r="AG239" s="26"/>
      <c r="AH239" s="26"/>
    </row>
    <row r="240" ht="12.75" customHeight="1">
      <c r="A240" s="24"/>
      <c r="B240" s="609"/>
      <c r="C240" s="24"/>
      <c r="D240" s="24"/>
      <c r="E240" s="610"/>
      <c r="F240" s="611"/>
      <c r="G240" s="26"/>
      <c r="H240" s="8">
        <f t="shared" si="18"/>
        <v>0</v>
      </c>
      <c r="I240" s="611"/>
      <c r="J240" s="26"/>
      <c r="K240" s="8">
        <f t="shared" si="10"/>
        <v>0</v>
      </c>
      <c r="L240" s="611"/>
      <c r="M240" s="26"/>
      <c r="N240" s="8">
        <f t="shared" si="11"/>
        <v>0</v>
      </c>
      <c r="O240" s="611"/>
      <c r="P240" s="26"/>
      <c r="Q240" s="8">
        <f t="shared" si="12"/>
        <v>0</v>
      </c>
      <c r="R240" s="611"/>
      <c r="S240" s="26"/>
      <c r="T240" s="8">
        <f t="shared" si="13"/>
        <v>0</v>
      </c>
      <c r="U240" s="611"/>
      <c r="V240" s="26"/>
      <c r="W240" s="8">
        <f t="shared" si="14"/>
        <v>0</v>
      </c>
      <c r="X240" s="611"/>
      <c r="Y240" s="26"/>
      <c r="Z240" s="8">
        <f t="shared" si="15"/>
        <v>0</v>
      </c>
      <c r="AA240" s="611"/>
      <c r="AB240" s="26"/>
      <c r="AC240" s="8">
        <f t="shared" si="16"/>
        <v>0</v>
      </c>
      <c r="AD240" s="26"/>
      <c r="AE240" s="26"/>
      <c r="AF240" s="26"/>
      <c r="AG240" s="26"/>
      <c r="AH240" s="26"/>
    </row>
    <row r="241" ht="12.75" customHeight="1">
      <c r="A241" s="24"/>
      <c r="B241" s="609"/>
      <c r="C241" s="24"/>
      <c r="D241" s="24"/>
      <c r="E241" s="610"/>
      <c r="F241" s="611"/>
      <c r="G241" s="26"/>
      <c r="H241" s="8">
        <f t="shared" si="18"/>
        <v>0</v>
      </c>
      <c r="I241" s="611"/>
      <c r="J241" s="26"/>
      <c r="K241" s="8">
        <f t="shared" si="10"/>
        <v>0</v>
      </c>
      <c r="L241" s="611"/>
      <c r="M241" s="26"/>
      <c r="N241" s="8">
        <f t="shared" si="11"/>
        <v>0</v>
      </c>
      <c r="O241" s="611"/>
      <c r="P241" s="26"/>
      <c r="Q241" s="8">
        <f t="shared" si="12"/>
        <v>0</v>
      </c>
      <c r="R241" s="611"/>
      <c r="S241" s="26"/>
      <c r="T241" s="8">
        <f t="shared" si="13"/>
        <v>0</v>
      </c>
      <c r="U241" s="611"/>
      <c r="V241" s="26"/>
      <c r="W241" s="8">
        <f t="shared" si="14"/>
        <v>0</v>
      </c>
      <c r="X241" s="611"/>
      <c r="Y241" s="26"/>
      <c r="Z241" s="8">
        <f t="shared" si="15"/>
        <v>0</v>
      </c>
      <c r="AA241" s="611"/>
      <c r="AB241" s="26"/>
      <c r="AC241" s="8">
        <f t="shared" si="16"/>
        <v>0</v>
      </c>
      <c r="AD241" s="26"/>
      <c r="AE241" s="26"/>
      <c r="AF241" s="26"/>
      <c r="AG241" s="26"/>
      <c r="AH241" s="26"/>
    </row>
    <row r="242" ht="12.75" customHeight="1">
      <c r="A242" s="24"/>
      <c r="B242" s="609"/>
      <c r="C242" s="24"/>
      <c r="D242" s="24"/>
      <c r="E242" s="610"/>
      <c r="F242" s="611"/>
      <c r="G242" s="26"/>
      <c r="H242" s="8">
        <f t="shared" si="18"/>
        <v>0</v>
      </c>
      <c r="I242" s="611"/>
      <c r="J242" s="26"/>
      <c r="K242" s="8">
        <f t="shared" si="10"/>
        <v>0</v>
      </c>
      <c r="L242" s="611"/>
      <c r="M242" s="26"/>
      <c r="N242" s="8">
        <f t="shared" si="11"/>
        <v>0</v>
      </c>
      <c r="O242" s="611"/>
      <c r="P242" s="26"/>
      <c r="Q242" s="8">
        <f t="shared" si="12"/>
        <v>0</v>
      </c>
      <c r="R242" s="611"/>
      <c r="S242" s="26"/>
      <c r="T242" s="8">
        <f t="shared" si="13"/>
        <v>0</v>
      </c>
      <c r="U242" s="611"/>
      <c r="V242" s="26"/>
      <c r="W242" s="8">
        <f t="shared" si="14"/>
        <v>0</v>
      </c>
      <c r="X242" s="611"/>
      <c r="Y242" s="26"/>
      <c r="Z242" s="8">
        <f t="shared" si="15"/>
        <v>0</v>
      </c>
      <c r="AA242" s="611"/>
      <c r="AB242" s="26"/>
      <c r="AC242" s="8">
        <f t="shared" si="16"/>
        <v>0</v>
      </c>
      <c r="AD242" s="26"/>
      <c r="AE242" s="26"/>
      <c r="AF242" s="26"/>
      <c r="AG242" s="26"/>
      <c r="AH242" s="26"/>
    </row>
    <row r="243" ht="12.75" customHeight="1">
      <c r="A243" s="24"/>
      <c r="B243" s="609"/>
      <c r="C243" s="24"/>
      <c r="D243" s="24"/>
      <c r="E243" s="610"/>
      <c r="F243" s="611"/>
      <c r="G243" s="26"/>
      <c r="H243" s="8">
        <f t="shared" si="18"/>
        <v>0</v>
      </c>
      <c r="I243" s="611"/>
      <c r="J243" s="26"/>
      <c r="K243" s="8">
        <f t="shared" si="10"/>
        <v>0</v>
      </c>
      <c r="L243" s="611"/>
      <c r="M243" s="26"/>
      <c r="N243" s="8">
        <f t="shared" si="11"/>
        <v>0</v>
      </c>
      <c r="O243" s="611"/>
      <c r="P243" s="26"/>
      <c r="Q243" s="8">
        <f t="shared" si="12"/>
        <v>0</v>
      </c>
      <c r="R243" s="611"/>
      <c r="S243" s="26"/>
      <c r="T243" s="8">
        <f t="shared" si="13"/>
        <v>0</v>
      </c>
      <c r="U243" s="611"/>
      <c r="V243" s="26"/>
      <c r="W243" s="8">
        <f t="shared" si="14"/>
        <v>0</v>
      </c>
      <c r="X243" s="611"/>
      <c r="Y243" s="26"/>
      <c r="Z243" s="8">
        <f t="shared" si="15"/>
        <v>0</v>
      </c>
      <c r="AA243" s="611"/>
      <c r="AB243" s="26"/>
      <c r="AC243" s="8">
        <f t="shared" si="16"/>
        <v>0</v>
      </c>
      <c r="AD243" s="26"/>
      <c r="AE243" s="26"/>
      <c r="AF243" s="26"/>
      <c r="AG243" s="26"/>
      <c r="AH243" s="26"/>
    </row>
    <row r="244" ht="12.75" customHeight="1">
      <c r="A244" s="24"/>
      <c r="B244" s="609"/>
      <c r="C244" s="24"/>
      <c r="D244" s="24"/>
      <c r="E244" s="610"/>
      <c r="F244" s="611"/>
      <c r="G244" s="26"/>
      <c r="H244" s="8">
        <f t="shared" si="18"/>
        <v>0</v>
      </c>
      <c r="I244" s="611"/>
      <c r="J244" s="26"/>
      <c r="K244" s="8">
        <f t="shared" si="10"/>
        <v>0</v>
      </c>
      <c r="L244" s="611"/>
      <c r="M244" s="26"/>
      <c r="N244" s="8">
        <f t="shared" si="11"/>
        <v>0</v>
      </c>
      <c r="O244" s="611"/>
      <c r="P244" s="26"/>
      <c r="Q244" s="8">
        <f t="shared" si="12"/>
        <v>0</v>
      </c>
      <c r="R244" s="611"/>
      <c r="S244" s="26"/>
      <c r="T244" s="8">
        <f t="shared" si="13"/>
        <v>0</v>
      </c>
      <c r="U244" s="611"/>
      <c r="V244" s="26"/>
      <c r="W244" s="8">
        <f t="shared" si="14"/>
        <v>0</v>
      </c>
      <c r="X244" s="611"/>
      <c r="Y244" s="26"/>
      <c r="Z244" s="8">
        <f t="shared" si="15"/>
        <v>0</v>
      </c>
      <c r="AA244" s="611"/>
      <c r="AB244" s="26"/>
      <c r="AC244" s="8">
        <f t="shared" si="16"/>
        <v>0</v>
      </c>
      <c r="AD244" s="26"/>
      <c r="AE244" s="26"/>
      <c r="AF244" s="26"/>
      <c r="AG244" s="26"/>
      <c r="AH244" s="26"/>
    </row>
    <row r="245" ht="12.75" customHeight="1">
      <c r="A245" s="24"/>
      <c r="B245" s="609"/>
      <c r="C245" s="24"/>
      <c r="D245" s="24"/>
      <c r="E245" s="610"/>
      <c r="F245" s="611"/>
      <c r="G245" s="26"/>
      <c r="H245" s="8">
        <f t="shared" si="18"/>
        <v>0</v>
      </c>
      <c r="I245" s="611"/>
      <c r="J245" s="26"/>
      <c r="K245" s="8">
        <f t="shared" si="10"/>
        <v>0</v>
      </c>
      <c r="L245" s="611"/>
      <c r="M245" s="26"/>
      <c r="N245" s="8">
        <f t="shared" si="11"/>
        <v>0</v>
      </c>
      <c r="O245" s="611"/>
      <c r="P245" s="26"/>
      <c r="Q245" s="8">
        <f t="shared" si="12"/>
        <v>0</v>
      </c>
      <c r="R245" s="611"/>
      <c r="S245" s="26"/>
      <c r="T245" s="8">
        <f t="shared" si="13"/>
        <v>0</v>
      </c>
      <c r="U245" s="611"/>
      <c r="V245" s="26"/>
      <c r="W245" s="8">
        <f t="shared" si="14"/>
        <v>0</v>
      </c>
      <c r="X245" s="611"/>
      <c r="Y245" s="26"/>
      <c r="Z245" s="8">
        <f t="shared" si="15"/>
        <v>0</v>
      </c>
      <c r="AA245" s="611"/>
      <c r="AB245" s="26"/>
      <c r="AC245" s="8">
        <f t="shared" si="16"/>
        <v>0</v>
      </c>
      <c r="AD245" s="26"/>
      <c r="AE245" s="26"/>
      <c r="AF245" s="26"/>
      <c r="AG245" s="26"/>
      <c r="AH245" s="26"/>
    </row>
    <row r="246" ht="12.75" customHeight="1">
      <c r="A246" s="24"/>
      <c r="B246" s="609"/>
      <c r="C246" s="24"/>
      <c r="D246" s="24"/>
      <c r="E246" s="610"/>
      <c r="F246" s="611"/>
      <c r="G246" s="26"/>
      <c r="H246" s="8">
        <f t="shared" si="18"/>
        <v>0</v>
      </c>
      <c r="I246" s="611"/>
      <c r="J246" s="26"/>
      <c r="K246" s="8">
        <f t="shared" si="10"/>
        <v>0</v>
      </c>
      <c r="L246" s="611"/>
      <c r="M246" s="26"/>
      <c r="N246" s="8">
        <f t="shared" si="11"/>
        <v>0</v>
      </c>
      <c r="O246" s="611"/>
      <c r="P246" s="26"/>
      <c r="Q246" s="8">
        <f t="shared" si="12"/>
        <v>0</v>
      </c>
      <c r="R246" s="611"/>
      <c r="S246" s="26"/>
      <c r="T246" s="8">
        <f t="shared" si="13"/>
        <v>0</v>
      </c>
      <c r="U246" s="611"/>
      <c r="V246" s="26"/>
      <c r="W246" s="8">
        <f t="shared" si="14"/>
        <v>0</v>
      </c>
      <c r="X246" s="611"/>
      <c r="Y246" s="26"/>
      <c r="Z246" s="8">
        <f t="shared" si="15"/>
        <v>0</v>
      </c>
      <c r="AA246" s="611"/>
      <c r="AB246" s="26"/>
      <c r="AC246" s="8">
        <f t="shared" si="16"/>
        <v>0</v>
      </c>
      <c r="AD246" s="26"/>
      <c r="AE246" s="26"/>
      <c r="AF246" s="26"/>
      <c r="AG246" s="26"/>
      <c r="AH246" s="26"/>
    </row>
    <row r="247" ht="12.75" customHeight="1">
      <c r="A247" s="24"/>
      <c r="B247" s="609"/>
      <c r="C247" s="24"/>
      <c r="D247" s="24"/>
      <c r="E247" s="610"/>
      <c r="F247" s="611"/>
      <c r="G247" s="26"/>
      <c r="H247" s="8">
        <f t="shared" si="18"/>
        <v>0</v>
      </c>
      <c r="I247" s="611"/>
      <c r="J247" s="26"/>
      <c r="K247" s="8">
        <f t="shared" si="10"/>
        <v>0</v>
      </c>
      <c r="L247" s="611"/>
      <c r="M247" s="26"/>
      <c r="N247" s="8">
        <f t="shared" si="11"/>
        <v>0</v>
      </c>
      <c r="O247" s="611"/>
      <c r="P247" s="26"/>
      <c r="Q247" s="8">
        <f t="shared" si="12"/>
        <v>0</v>
      </c>
      <c r="R247" s="611"/>
      <c r="S247" s="26"/>
      <c r="T247" s="8">
        <f t="shared" si="13"/>
        <v>0</v>
      </c>
      <c r="U247" s="611"/>
      <c r="V247" s="26"/>
      <c r="W247" s="8">
        <f t="shared" si="14"/>
        <v>0</v>
      </c>
      <c r="X247" s="611"/>
      <c r="Y247" s="26"/>
      <c r="Z247" s="8">
        <f t="shared" si="15"/>
        <v>0</v>
      </c>
      <c r="AA247" s="611"/>
      <c r="AB247" s="26"/>
      <c r="AC247" s="8">
        <f t="shared" si="16"/>
        <v>0</v>
      </c>
      <c r="AD247" s="26"/>
      <c r="AE247" s="26"/>
      <c r="AF247" s="26"/>
      <c r="AG247" s="26"/>
      <c r="AH247" s="26"/>
    </row>
    <row r="248" ht="12.75" customHeight="1">
      <c r="A248" s="24"/>
      <c r="B248" s="609"/>
      <c r="C248" s="24"/>
      <c r="D248" s="24"/>
      <c r="E248" s="610"/>
      <c r="F248" s="611"/>
      <c r="G248" s="26"/>
      <c r="H248" s="8">
        <f t="shared" si="18"/>
        <v>0</v>
      </c>
      <c r="I248" s="611"/>
      <c r="J248" s="26"/>
      <c r="K248" s="8">
        <f t="shared" si="10"/>
        <v>0</v>
      </c>
      <c r="L248" s="611"/>
      <c r="M248" s="26"/>
      <c r="N248" s="8">
        <f t="shared" si="11"/>
        <v>0</v>
      </c>
      <c r="O248" s="611"/>
      <c r="P248" s="26"/>
      <c r="Q248" s="8">
        <f t="shared" si="12"/>
        <v>0</v>
      </c>
      <c r="R248" s="611"/>
      <c r="S248" s="26"/>
      <c r="T248" s="8">
        <f t="shared" si="13"/>
        <v>0</v>
      </c>
      <c r="U248" s="611"/>
      <c r="V248" s="26"/>
      <c r="W248" s="8">
        <f t="shared" si="14"/>
        <v>0</v>
      </c>
      <c r="X248" s="611"/>
      <c r="Y248" s="26"/>
      <c r="Z248" s="8">
        <f t="shared" si="15"/>
        <v>0</v>
      </c>
      <c r="AA248" s="611"/>
      <c r="AB248" s="26"/>
      <c r="AC248" s="8">
        <f t="shared" si="16"/>
        <v>0</v>
      </c>
      <c r="AD248" s="26"/>
      <c r="AE248" s="26"/>
      <c r="AF248" s="26"/>
      <c r="AG248" s="26"/>
      <c r="AH248" s="26"/>
    </row>
    <row r="249" ht="12.75" customHeight="1">
      <c r="A249" s="24"/>
      <c r="B249" s="609"/>
      <c r="C249" s="24"/>
      <c r="D249" s="24"/>
      <c r="E249" s="610"/>
      <c r="F249" s="611"/>
      <c r="G249" s="26"/>
      <c r="H249" s="8">
        <f t="shared" si="18"/>
        <v>0</v>
      </c>
      <c r="I249" s="611"/>
      <c r="J249" s="26"/>
      <c r="K249" s="8">
        <f t="shared" si="10"/>
        <v>0</v>
      </c>
      <c r="L249" s="611"/>
      <c r="M249" s="26"/>
      <c r="N249" s="8">
        <f t="shared" si="11"/>
        <v>0</v>
      </c>
      <c r="O249" s="611"/>
      <c r="P249" s="26"/>
      <c r="Q249" s="8">
        <f t="shared" si="12"/>
        <v>0</v>
      </c>
      <c r="R249" s="611"/>
      <c r="S249" s="26"/>
      <c r="T249" s="8">
        <f t="shared" si="13"/>
        <v>0</v>
      </c>
      <c r="U249" s="611"/>
      <c r="V249" s="26"/>
      <c r="W249" s="8">
        <f t="shared" si="14"/>
        <v>0</v>
      </c>
      <c r="X249" s="611"/>
      <c r="Y249" s="26"/>
      <c r="Z249" s="8">
        <f t="shared" si="15"/>
        <v>0</v>
      </c>
      <c r="AA249" s="611"/>
      <c r="AB249" s="26"/>
      <c r="AC249" s="8">
        <f t="shared" si="16"/>
        <v>0</v>
      </c>
      <c r="AD249" s="26"/>
      <c r="AE249" s="26"/>
      <c r="AF249" s="26"/>
      <c r="AG249" s="26"/>
      <c r="AH249" s="26"/>
    </row>
    <row r="250" ht="12.75" customHeight="1">
      <c r="A250" s="24"/>
      <c r="B250" s="609"/>
      <c r="C250" s="24"/>
      <c r="D250" s="24"/>
      <c r="E250" s="610"/>
      <c r="F250" s="611"/>
      <c r="G250" s="26"/>
      <c r="H250" s="8">
        <f t="shared" si="18"/>
        <v>0</v>
      </c>
      <c r="I250" s="611"/>
      <c r="J250" s="26"/>
      <c r="K250" s="8">
        <f t="shared" si="10"/>
        <v>0</v>
      </c>
      <c r="L250" s="611"/>
      <c r="M250" s="26"/>
      <c r="N250" s="8">
        <f t="shared" si="11"/>
        <v>0</v>
      </c>
      <c r="O250" s="611"/>
      <c r="P250" s="26"/>
      <c r="Q250" s="8">
        <f t="shared" si="12"/>
        <v>0</v>
      </c>
      <c r="R250" s="611"/>
      <c r="S250" s="26"/>
      <c r="T250" s="8">
        <f t="shared" si="13"/>
        <v>0</v>
      </c>
      <c r="U250" s="611"/>
      <c r="V250" s="26"/>
      <c r="W250" s="8">
        <f t="shared" si="14"/>
        <v>0</v>
      </c>
      <c r="X250" s="611"/>
      <c r="Y250" s="26"/>
      <c r="Z250" s="8">
        <f t="shared" si="15"/>
        <v>0</v>
      </c>
      <c r="AA250" s="611"/>
      <c r="AB250" s="26"/>
      <c r="AC250" s="8">
        <f t="shared" si="16"/>
        <v>0</v>
      </c>
      <c r="AD250" s="26"/>
      <c r="AE250" s="26"/>
      <c r="AF250" s="26"/>
      <c r="AG250" s="26"/>
      <c r="AH250" s="26"/>
    </row>
    <row r="251" ht="12.75" customHeight="1">
      <c r="A251" s="24"/>
      <c r="B251" s="609"/>
      <c r="C251" s="24"/>
      <c r="D251" s="24"/>
      <c r="E251" s="610"/>
      <c r="F251" s="611"/>
      <c r="G251" s="26"/>
      <c r="H251" s="8">
        <f t="shared" si="18"/>
        <v>0</v>
      </c>
      <c r="I251" s="611"/>
      <c r="J251" s="26"/>
      <c r="K251" s="8">
        <f t="shared" si="10"/>
        <v>0</v>
      </c>
      <c r="L251" s="611"/>
      <c r="M251" s="26"/>
      <c r="N251" s="8">
        <f t="shared" si="11"/>
        <v>0</v>
      </c>
      <c r="O251" s="611"/>
      <c r="P251" s="26"/>
      <c r="Q251" s="8">
        <f t="shared" si="12"/>
        <v>0</v>
      </c>
      <c r="R251" s="611"/>
      <c r="S251" s="26"/>
      <c r="T251" s="8">
        <f t="shared" si="13"/>
        <v>0</v>
      </c>
      <c r="U251" s="611"/>
      <c r="V251" s="26"/>
      <c r="W251" s="8">
        <f t="shared" si="14"/>
        <v>0</v>
      </c>
      <c r="X251" s="611"/>
      <c r="Y251" s="26"/>
      <c r="Z251" s="8">
        <f t="shared" si="15"/>
        <v>0</v>
      </c>
      <c r="AA251" s="611"/>
      <c r="AB251" s="26"/>
      <c r="AC251" s="8">
        <f t="shared" si="16"/>
        <v>0</v>
      </c>
      <c r="AD251" s="26"/>
      <c r="AE251" s="26"/>
      <c r="AF251" s="26"/>
      <c r="AG251" s="26"/>
      <c r="AH251" s="26"/>
    </row>
    <row r="252" ht="12.75" customHeight="1">
      <c r="A252" s="24"/>
      <c r="B252" s="609"/>
      <c r="C252" s="24"/>
      <c r="D252" s="24"/>
      <c r="E252" s="610"/>
      <c r="F252" s="611"/>
      <c r="G252" s="26"/>
      <c r="H252" s="8">
        <f t="shared" si="18"/>
        <v>0</v>
      </c>
      <c r="I252" s="611"/>
      <c r="J252" s="26"/>
      <c r="K252" s="8">
        <f t="shared" si="10"/>
        <v>0</v>
      </c>
      <c r="L252" s="611"/>
      <c r="M252" s="26"/>
      <c r="N252" s="8">
        <f t="shared" si="11"/>
        <v>0</v>
      </c>
      <c r="O252" s="611"/>
      <c r="P252" s="26"/>
      <c r="Q252" s="8">
        <f t="shared" si="12"/>
        <v>0</v>
      </c>
      <c r="R252" s="611"/>
      <c r="S252" s="26"/>
      <c r="T252" s="8">
        <f t="shared" si="13"/>
        <v>0</v>
      </c>
      <c r="U252" s="611"/>
      <c r="V252" s="26"/>
      <c r="W252" s="8">
        <f t="shared" si="14"/>
        <v>0</v>
      </c>
      <c r="X252" s="611"/>
      <c r="Y252" s="26"/>
      <c r="Z252" s="8">
        <f t="shared" si="15"/>
        <v>0</v>
      </c>
      <c r="AA252" s="611"/>
      <c r="AB252" s="26"/>
      <c r="AC252" s="8">
        <f t="shared" si="16"/>
        <v>0</v>
      </c>
      <c r="AD252" s="26"/>
      <c r="AE252" s="26"/>
      <c r="AF252" s="26"/>
      <c r="AG252" s="26"/>
      <c r="AH252" s="26"/>
    </row>
    <row r="253" ht="12.75" customHeight="1">
      <c r="A253" s="24"/>
      <c r="B253" s="609"/>
      <c r="C253" s="24"/>
      <c r="D253" s="24"/>
      <c r="E253" s="610"/>
      <c r="F253" s="611"/>
      <c r="G253" s="26"/>
      <c r="H253" s="8">
        <f t="shared" si="18"/>
        <v>0</v>
      </c>
      <c r="I253" s="611"/>
      <c r="J253" s="26"/>
      <c r="K253" s="8">
        <f t="shared" si="10"/>
        <v>0</v>
      </c>
      <c r="L253" s="611"/>
      <c r="M253" s="26"/>
      <c r="N253" s="8">
        <f t="shared" si="11"/>
        <v>0</v>
      </c>
      <c r="O253" s="611"/>
      <c r="P253" s="26"/>
      <c r="Q253" s="8">
        <f t="shared" si="12"/>
        <v>0</v>
      </c>
      <c r="R253" s="611"/>
      <c r="S253" s="26"/>
      <c r="T253" s="8">
        <f t="shared" si="13"/>
        <v>0</v>
      </c>
      <c r="U253" s="611"/>
      <c r="V253" s="26"/>
      <c r="W253" s="8">
        <f t="shared" si="14"/>
        <v>0</v>
      </c>
      <c r="X253" s="611"/>
      <c r="Y253" s="26"/>
      <c r="Z253" s="8">
        <f t="shared" si="15"/>
        <v>0</v>
      </c>
      <c r="AA253" s="611"/>
      <c r="AB253" s="26"/>
      <c r="AC253" s="8">
        <f t="shared" si="16"/>
        <v>0</v>
      </c>
      <c r="AD253" s="26"/>
      <c r="AE253" s="26"/>
      <c r="AF253" s="26"/>
      <c r="AG253" s="26"/>
      <c r="AH253" s="26"/>
    </row>
    <row r="254" ht="12.75" customHeight="1">
      <c r="A254" s="24"/>
      <c r="B254" s="609"/>
      <c r="C254" s="24"/>
      <c r="D254" s="24"/>
      <c r="E254" s="610"/>
      <c r="F254" s="611"/>
      <c r="G254" s="26"/>
      <c r="H254" s="8">
        <f t="shared" si="18"/>
        <v>0</v>
      </c>
      <c r="I254" s="611"/>
      <c r="J254" s="26"/>
      <c r="K254" s="8">
        <f t="shared" si="10"/>
        <v>0</v>
      </c>
      <c r="L254" s="611"/>
      <c r="M254" s="26"/>
      <c r="N254" s="8">
        <f t="shared" si="11"/>
        <v>0</v>
      </c>
      <c r="O254" s="611"/>
      <c r="P254" s="26"/>
      <c r="Q254" s="8">
        <f t="shared" si="12"/>
        <v>0</v>
      </c>
      <c r="R254" s="611"/>
      <c r="S254" s="26"/>
      <c r="T254" s="8">
        <f t="shared" si="13"/>
        <v>0</v>
      </c>
      <c r="U254" s="611"/>
      <c r="V254" s="26"/>
      <c r="W254" s="8">
        <f t="shared" si="14"/>
        <v>0</v>
      </c>
      <c r="X254" s="611"/>
      <c r="Y254" s="26"/>
      <c r="Z254" s="8">
        <f t="shared" si="15"/>
        <v>0</v>
      </c>
      <c r="AA254" s="611"/>
      <c r="AB254" s="26"/>
      <c r="AC254" s="8">
        <f t="shared" si="16"/>
        <v>0</v>
      </c>
      <c r="AD254" s="26"/>
      <c r="AE254" s="26"/>
      <c r="AF254" s="26"/>
      <c r="AG254" s="26"/>
      <c r="AH254" s="26"/>
    </row>
    <row r="255" ht="12.75" customHeight="1">
      <c r="A255" s="24"/>
      <c r="B255" s="609"/>
      <c r="C255" s="24"/>
      <c r="D255" s="24"/>
      <c r="E255" s="610"/>
      <c r="F255" s="611"/>
      <c r="G255" s="26"/>
      <c r="H255" s="8">
        <f t="shared" si="18"/>
        <v>0</v>
      </c>
      <c r="I255" s="611"/>
      <c r="J255" s="26"/>
      <c r="K255" s="8">
        <f t="shared" si="10"/>
        <v>0</v>
      </c>
      <c r="L255" s="611"/>
      <c r="M255" s="26"/>
      <c r="N255" s="8">
        <f t="shared" si="11"/>
        <v>0</v>
      </c>
      <c r="O255" s="611"/>
      <c r="P255" s="26"/>
      <c r="Q255" s="8">
        <f t="shared" si="12"/>
        <v>0</v>
      </c>
      <c r="R255" s="611"/>
      <c r="S255" s="26"/>
      <c r="T255" s="8">
        <f t="shared" si="13"/>
        <v>0</v>
      </c>
      <c r="U255" s="611"/>
      <c r="V255" s="26"/>
      <c r="W255" s="8">
        <f t="shared" si="14"/>
        <v>0</v>
      </c>
      <c r="X255" s="611"/>
      <c r="Y255" s="26"/>
      <c r="Z255" s="8">
        <f t="shared" si="15"/>
        <v>0</v>
      </c>
      <c r="AA255" s="611"/>
      <c r="AB255" s="26"/>
      <c r="AC255" s="8">
        <f t="shared" si="16"/>
        <v>0</v>
      </c>
      <c r="AD255" s="26"/>
      <c r="AE255" s="26"/>
      <c r="AF255" s="26"/>
      <c r="AG255" s="26"/>
      <c r="AH255" s="26"/>
    </row>
    <row r="256" ht="12.75" customHeight="1">
      <c r="A256" s="24"/>
      <c r="B256" s="609"/>
      <c r="C256" s="24"/>
      <c r="D256" s="24"/>
      <c r="E256" s="610"/>
      <c r="F256" s="611"/>
      <c r="G256" s="26"/>
      <c r="H256" s="8">
        <f t="shared" si="18"/>
        <v>0</v>
      </c>
      <c r="I256" s="611"/>
      <c r="J256" s="26"/>
      <c r="K256" s="8">
        <f t="shared" si="10"/>
        <v>0</v>
      </c>
      <c r="L256" s="611"/>
      <c r="M256" s="26"/>
      <c r="N256" s="8">
        <f t="shared" si="11"/>
        <v>0</v>
      </c>
      <c r="O256" s="611"/>
      <c r="P256" s="26"/>
      <c r="Q256" s="8">
        <f t="shared" si="12"/>
        <v>0</v>
      </c>
      <c r="R256" s="611"/>
      <c r="S256" s="26"/>
      <c r="T256" s="8">
        <f t="shared" si="13"/>
        <v>0</v>
      </c>
      <c r="U256" s="611"/>
      <c r="V256" s="26"/>
      <c r="W256" s="8">
        <f t="shared" si="14"/>
        <v>0</v>
      </c>
      <c r="X256" s="611"/>
      <c r="Y256" s="26"/>
      <c r="Z256" s="8">
        <f t="shared" si="15"/>
        <v>0</v>
      </c>
      <c r="AA256" s="611"/>
      <c r="AB256" s="26"/>
      <c r="AC256" s="8">
        <f t="shared" si="16"/>
        <v>0</v>
      </c>
      <c r="AD256" s="26"/>
      <c r="AE256" s="26"/>
      <c r="AF256" s="26"/>
      <c r="AG256" s="26"/>
      <c r="AH256" s="26"/>
    </row>
    <row r="257" ht="12.75" customHeight="1">
      <c r="A257" s="24"/>
      <c r="B257" s="609"/>
      <c r="C257" s="24"/>
      <c r="D257" s="24"/>
      <c r="E257" s="610"/>
      <c r="F257" s="611"/>
      <c r="G257" s="26"/>
      <c r="H257" s="8">
        <f t="shared" si="18"/>
        <v>0</v>
      </c>
      <c r="I257" s="611"/>
      <c r="J257" s="26"/>
      <c r="K257" s="8">
        <f t="shared" si="10"/>
        <v>0</v>
      </c>
      <c r="L257" s="611"/>
      <c r="M257" s="26"/>
      <c r="N257" s="8">
        <f t="shared" si="11"/>
        <v>0</v>
      </c>
      <c r="O257" s="611"/>
      <c r="P257" s="26"/>
      <c r="Q257" s="8">
        <f t="shared" si="12"/>
        <v>0</v>
      </c>
      <c r="R257" s="611"/>
      <c r="S257" s="26"/>
      <c r="T257" s="8">
        <f t="shared" si="13"/>
        <v>0</v>
      </c>
      <c r="U257" s="611"/>
      <c r="V257" s="26"/>
      <c r="W257" s="8">
        <f t="shared" si="14"/>
        <v>0</v>
      </c>
      <c r="X257" s="611"/>
      <c r="Y257" s="26"/>
      <c r="Z257" s="8">
        <f t="shared" si="15"/>
        <v>0</v>
      </c>
      <c r="AA257" s="611"/>
      <c r="AB257" s="26"/>
      <c r="AC257" s="8">
        <f t="shared" si="16"/>
        <v>0</v>
      </c>
      <c r="AD257" s="26"/>
      <c r="AE257" s="26"/>
      <c r="AF257" s="26"/>
      <c r="AG257" s="26"/>
      <c r="AH257" s="26"/>
    </row>
    <row r="258" ht="12.75" customHeight="1">
      <c r="A258" s="24"/>
      <c r="B258" s="609"/>
      <c r="C258" s="24"/>
      <c r="D258" s="24"/>
      <c r="E258" s="610"/>
      <c r="F258" s="611"/>
      <c r="G258" s="26"/>
      <c r="H258" s="8">
        <f t="shared" si="18"/>
        <v>0</v>
      </c>
      <c r="I258" s="611"/>
      <c r="J258" s="26"/>
      <c r="K258" s="8">
        <f t="shared" si="10"/>
        <v>0</v>
      </c>
      <c r="L258" s="611"/>
      <c r="M258" s="26"/>
      <c r="N258" s="8">
        <f t="shared" si="11"/>
        <v>0</v>
      </c>
      <c r="O258" s="611"/>
      <c r="P258" s="26"/>
      <c r="Q258" s="8">
        <f t="shared" si="12"/>
        <v>0</v>
      </c>
      <c r="R258" s="611"/>
      <c r="S258" s="26"/>
      <c r="T258" s="8">
        <f t="shared" si="13"/>
        <v>0</v>
      </c>
      <c r="U258" s="611"/>
      <c r="V258" s="26"/>
      <c r="W258" s="8">
        <f t="shared" si="14"/>
        <v>0</v>
      </c>
      <c r="X258" s="611"/>
      <c r="Y258" s="26"/>
      <c r="Z258" s="8">
        <f t="shared" si="15"/>
        <v>0</v>
      </c>
      <c r="AA258" s="611"/>
      <c r="AB258" s="26"/>
      <c r="AC258" s="8">
        <f t="shared" si="16"/>
        <v>0</v>
      </c>
      <c r="AD258" s="26"/>
      <c r="AE258" s="26"/>
      <c r="AF258" s="26"/>
      <c r="AG258" s="26"/>
      <c r="AH258" s="26"/>
    </row>
    <row r="259" ht="12.75" customHeight="1">
      <c r="A259" s="24"/>
      <c r="B259" s="609"/>
      <c r="C259" s="24"/>
      <c r="D259" s="24"/>
      <c r="E259" s="610"/>
      <c r="F259" s="611"/>
      <c r="G259" s="26"/>
      <c r="H259" s="8">
        <f t="shared" si="18"/>
        <v>0</v>
      </c>
      <c r="I259" s="611"/>
      <c r="J259" s="26"/>
      <c r="K259" s="8">
        <f t="shared" si="10"/>
        <v>0</v>
      </c>
      <c r="L259" s="611"/>
      <c r="M259" s="26"/>
      <c r="N259" s="8">
        <f t="shared" si="11"/>
        <v>0</v>
      </c>
      <c r="O259" s="611"/>
      <c r="P259" s="26"/>
      <c r="Q259" s="8">
        <f t="shared" si="12"/>
        <v>0</v>
      </c>
      <c r="R259" s="611"/>
      <c r="S259" s="26"/>
      <c r="T259" s="8">
        <f t="shared" si="13"/>
        <v>0</v>
      </c>
      <c r="U259" s="611"/>
      <c r="V259" s="26"/>
      <c r="W259" s="8">
        <f t="shared" si="14"/>
        <v>0</v>
      </c>
      <c r="X259" s="611"/>
      <c r="Y259" s="26"/>
      <c r="Z259" s="8">
        <f t="shared" si="15"/>
        <v>0</v>
      </c>
      <c r="AA259" s="611"/>
      <c r="AB259" s="26"/>
      <c r="AC259" s="8">
        <f t="shared" si="16"/>
        <v>0</v>
      </c>
      <c r="AD259" s="26"/>
      <c r="AE259" s="26"/>
      <c r="AF259" s="26"/>
      <c r="AG259" s="26"/>
      <c r="AH259" s="26"/>
    </row>
    <row r="260" ht="12.75" customHeight="1">
      <c r="A260" s="24"/>
      <c r="B260" s="609"/>
      <c r="C260" s="24"/>
      <c r="D260" s="24"/>
      <c r="E260" s="610"/>
      <c r="F260" s="611"/>
      <c r="G260" s="26"/>
      <c r="H260" s="8">
        <f t="shared" si="18"/>
        <v>0</v>
      </c>
      <c r="I260" s="611"/>
      <c r="J260" s="26"/>
      <c r="K260" s="8">
        <f t="shared" si="10"/>
        <v>0</v>
      </c>
      <c r="L260" s="611"/>
      <c r="M260" s="26"/>
      <c r="N260" s="8">
        <f t="shared" si="11"/>
        <v>0</v>
      </c>
      <c r="O260" s="611"/>
      <c r="P260" s="26"/>
      <c r="Q260" s="8">
        <f t="shared" si="12"/>
        <v>0</v>
      </c>
      <c r="R260" s="611"/>
      <c r="S260" s="26"/>
      <c r="T260" s="8">
        <f t="shared" si="13"/>
        <v>0</v>
      </c>
      <c r="U260" s="611"/>
      <c r="V260" s="26"/>
      <c r="W260" s="8">
        <f t="shared" si="14"/>
        <v>0</v>
      </c>
      <c r="X260" s="611"/>
      <c r="Y260" s="26"/>
      <c r="Z260" s="8">
        <f t="shared" si="15"/>
        <v>0</v>
      </c>
      <c r="AA260" s="611"/>
      <c r="AB260" s="26"/>
      <c r="AC260" s="8">
        <f t="shared" si="16"/>
        <v>0</v>
      </c>
      <c r="AD260" s="26"/>
      <c r="AE260" s="26"/>
      <c r="AF260" s="26"/>
      <c r="AG260" s="26"/>
      <c r="AH260" s="26"/>
    </row>
    <row r="261" ht="12.75" customHeight="1">
      <c r="A261" s="24"/>
      <c r="B261" s="609"/>
      <c r="C261" s="24"/>
      <c r="D261" s="24"/>
      <c r="E261" s="610"/>
      <c r="F261" s="611"/>
      <c r="G261" s="26"/>
      <c r="H261" s="8">
        <f t="shared" si="18"/>
        <v>0</v>
      </c>
      <c r="I261" s="611"/>
      <c r="J261" s="26"/>
      <c r="K261" s="8">
        <f t="shared" si="10"/>
        <v>0</v>
      </c>
      <c r="L261" s="611"/>
      <c r="M261" s="26"/>
      <c r="N261" s="8">
        <f t="shared" si="11"/>
        <v>0</v>
      </c>
      <c r="O261" s="611"/>
      <c r="P261" s="26"/>
      <c r="Q261" s="8">
        <f t="shared" si="12"/>
        <v>0</v>
      </c>
      <c r="R261" s="611"/>
      <c r="S261" s="26"/>
      <c r="T261" s="8">
        <f t="shared" si="13"/>
        <v>0</v>
      </c>
      <c r="U261" s="611"/>
      <c r="V261" s="26"/>
      <c r="W261" s="8">
        <f t="shared" si="14"/>
        <v>0</v>
      </c>
      <c r="X261" s="611"/>
      <c r="Y261" s="26"/>
      <c r="Z261" s="8">
        <f t="shared" si="15"/>
        <v>0</v>
      </c>
      <c r="AA261" s="611"/>
      <c r="AB261" s="26"/>
      <c r="AC261" s="8">
        <f t="shared" si="16"/>
        <v>0</v>
      </c>
      <c r="AD261" s="26"/>
      <c r="AE261" s="26"/>
      <c r="AF261" s="26"/>
      <c r="AG261" s="26"/>
      <c r="AH261" s="26"/>
    </row>
    <row r="262" ht="12.75" customHeight="1">
      <c r="A262" s="24"/>
      <c r="B262" s="609"/>
      <c r="C262" s="24"/>
      <c r="D262" s="24"/>
      <c r="E262" s="610"/>
      <c r="F262" s="611"/>
      <c r="G262" s="26"/>
      <c r="H262" s="8">
        <f t="shared" si="18"/>
        <v>0</v>
      </c>
      <c r="I262" s="611"/>
      <c r="J262" s="26"/>
      <c r="K262" s="8">
        <f t="shared" si="10"/>
        <v>0</v>
      </c>
      <c r="L262" s="611"/>
      <c r="M262" s="26"/>
      <c r="N262" s="8">
        <f t="shared" si="11"/>
        <v>0</v>
      </c>
      <c r="O262" s="611"/>
      <c r="P262" s="26"/>
      <c r="Q262" s="8">
        <f t="shared" si="12"/>
        <v>0</v>
      </c>
      <c r="R262" s="611"/>
      <c r="S262" s="26"/>
      <c r="T262" s="8">
        <f t="shared" si="13"/>
        <v>0</v>
      </c>
      <c r="U262" s="611"/>
      <c r="V262" s="26"/>
      <c r="W262" s="8">
        <f t="shared" si="14"/>
        <v>0</v>
      </c>
      <c r="X262" s="611"/>
      <c r="Y262" s="26"/>
      <c r="Z262" s="8">
        <f t="shared" si="15"/>
        <v>0</v>
      </c>
      <c r="AA262" s="611"/>
      <c r="AB262" s="26"/>
      <c r="AC262" s="8">
        <f t="shared" si="16"/>
        <v>0</v>
      </c>
      <c r="AD262" s="26"/>
      <c r="AE262" s="26"/>
      <c r="AF262" s="26"/>
      <c r="AG262" s="26"/>
      <c r="AH262" s="26"/>
    </row>
    <row r="263" ht="12.75" customHeight="1">
      <c r="A263" s="24"/>
      <c r="B263" s="609"/>
      <c r="C263" s="24"/>
      <c r="D263" s="24"/>
      <c r="E263" s="610"/>
      <c r="F263" s="611"/>
      <c r="G263" s="26"/>
      <c r="H263" s="8">
        <f t="shared" si="18"/>
        <v>0</v>
      </c>
      <c r="I263" s="611"/>
      <c r="J263" s="26"/>
      <c r="K263" s="8">
        <f t="shared" si="10"/>
        <v>0</v>
      </c>
      <c r="L263" s="611"/>
      <c r="M263" s="26"/>
      <c r="N263" s="8">
        <f t="shared" si="11"/>
        <v>0</v>
      </c>
      <c r="O263" s="611"/>
      <c r="P263" s="26"/>
      <c r="Q263" s="8">
        <f t="shared" si="12"/>
        <v>0</v>
      </c>
      <c r="R263" s="611"/>
      <c r="S263" s="26"/>
      <c r="T263" s="8">
        <f t="shared" si="13"/>
        <v>0</v>
      </c>
      <c r="U263" s="611"/>
      <c r="V263" s="26"/>
      <c r="W263" s="8">
        <f t="shared" si="14"/>
        <v>0</v>
      </c>
      <c r="X263" s="611"/>
      <c r="Y263" s="26"/>
      <c r="Z263" s="8">
        <f t="shared" si="15"/>
        <v>0</v>
      </c>
      <c r="AA263" s="611"/>
      <c r="AB263" s="26"/>
      <c r="AC263" s="8">
        <f t="shared" si="16"/>
        <v>0</v>
      </c>
      <c r="AD263" s="26"/>
      <c r="AE263" s="26"/>
      <c r="AF263" s="26"/>
      <c r="AG263" s="26"/>
      <c r="AH263" s="26"/>
    </row>
    <row r="264" ht="12.75" customHeight="1">
      <c r="A264" s="24"/>
      <c r="B264" s="609"/>
      <c r="C264" s="24"/>
      <c r="D264" s="24"/>
      <c r="E264" s="610"/>
      <c r="F264" s="611"/>
      <c r="G264" s="26"/>
      <c r="H264" s="8">
        <f t="shared" si="18"/>
        <v>0</v>
      </c>
      <c r="I264" s="611"/>
      <c r="J264" s="26"/>
      <c r="K264" s="8">
        <f t="shared" si="10"/>
        <v>0</v>
      </c>
      <c r="L264" s="611"/>
      <c r="M264" s="26"/>
      <c r="N264" s="8">
        <f t="shared" si="11"/>
        <v>0</v>
      </c>
      <c r="O264" s="611"/>
      <c r="P264" s="26"/>
      <c r="Q264" s="8">
        <f t="shared" si="12"/>
        <v>0</v>
      </c>
      <c r="R264" s="611"/>
      <c r="S264" s="26"/>
      <c r="T264" s="8">
        <f t="shared" si="13"/>
        <v>0</v>
      </c>
      <c r="U264" s="611"/>
      <c r="V264" s="26"/>
      <c r="W264" s="8">
        <f t="shared" si="14"/>
        <v>0</v>
      </c>
      <c r="X264" s="611"/>
      <c r="Y264" s="26"/>
      <c r="Z264" s="8">
        <f t="shared" si="15"/>
        <v>0</v>
      </c>
      <c r="AA264" s="611"/>
      <c r="AB264" s="26"/>
      <c r="AC264" s="8">
        <f t="shared" si="16"/>
        <v>0</v>
      </c>
      <c r="AD264" s="26"/>
      <c r="AE264" s="26"/>
      <c r="AF264" s="26"/>
      <c r="AG264" s="26"/>
      <c r="AH264" s="26"/>
    </row>
    <row r="265" ht="12.75" customHeight="1">
      <c r="A265" s="24"/>
      <c r="B265" s="609"/>
      <c r="C265" s="24"/>
      <c r="D265" s="24"/>
      <c r="E265" s="610"/>
      <c r="F265" s="611"/>
      <c r="G265" s="26"/>
      <c r="H265" s="8">
        <f t="shared" si="18"/>
        <v>0</v>
      </c>
      <c r="I265" s="611"/>
      <c r="J265" s="26"/>
      <c r="K265" s="8">
        <f t="shared" si="10"/>
        <v>0</v>
      </c>
      <c r="L265" s="611"/>
      <c r="M265" s="26"/>
      <c r="N265" s="8">
        <f t="shared" si="11"/>
        <v>0</v>
      </c>
      <c r="O265" s="611"/>
      <c r="P265" s="26"/>
      <c r="Q265" s="8">
        <f t="shared" si="12"/>
        <v>0</v>
      </c>
      <c r="R265" s="611"/>
      <c r="S265" s="26"/>
      <c r="T265" s="8">
        <f t="shared" si="13"/>
        <v>0</v>
      </c>
      <c r="U265" s="611"/>
      <c r="V265" s="26"/>
      <c r="W265" s="8">
        <f t="shared" si="14"/>
        <v>0</v>
      </c>
      <c r="X265" s="611"/>
      <c r="Y265" s="26"/>
      <c r="Z265" s="8">
        <f t="shared" si="15"/>
        <v>0</v>
      </c>
      <c r="AA265" s="611"/>
      <c r="AB265" s="26"/>
      <c r="AC265" s="8">
        <f t="shared" si="16"/>
        <v>0</v>
      </c>
      <c r="AD265" s="26"/>
      <c r="AE265" s="26"/>
      <c r="AF265" s="26"/>
      <c r="AG265" s="26"/>
      <c r="AH265" s="26"/>
    </row>
    <row r="266" ht="12.75" customHeight="1">
      <c r="A266" s="24"/>
      <c r="B266" s="609"/>
      <c r="C266" s="24"/>
      <c r="D266" s="24"/>
      <c r="E266" s="610"/>
      <c r="F266" s="611"/>
      <c r="G266" s="26"/>
      <c r="H266" s="8">
        <f t="shared" si="18"/>
        <v>0</v>
      </c>
      <c r="I266" s="611"/>
      <c r="J266" s="26"/>
      <c r="K266" s="8">
        <f t="shared" si="10"/>
        <v>0</v>
      </c>
      <c r="L266" s="611"/>
      <c r="M266" s="26"/>
      <c r="N266" s="8">
        <f t="shared" si="11"/>
        <v>0</v>
      </c>
      <c r="O266" s="611"/>
      <c r="P266" s="26"/>
      <c r="Q266" s="8">
        <f t="shared" si="12"/>
        <v>0</v>
      </c>
      <c r="R266" s="611"/>
      <c r="S266" s="26"/>
      <c r="T266" s="8">
        <f t="shared" si="13"/>
        <v>0</v>
      </c>
      <c r="U266" s="611"/>
      <c r="V266" s="26"/>
      <c r="W266" s="8">
        <f t="shared" si="14"/>
        <v>0</v>
      </c>
      <c r="X266" s="611"/>
      <c r="Y266" s="26"/>
      <c r="Z266" s="8">
        <f t="shared" si="15"/>
        <v>0</v>
      </c>
      <c r="AA266" s="611"/>
      <c r="AB266" s="26"/>
      <c r="AC266" s="8">
        <f t="shared" si="16"/>
        <v>0</v>
      </c>
      <c r="AD266" s="26"/>
      <c r="AE266" s="26"/>
      <c r="AF266" s="26"/>
      <c r="AG266" s="26"/>
      <c r="AH266" s="26"/>
    </row>
    <row r="267" ht="12.75" customHeight="1">
      <c r="A267" s="24"/>
      <c r="B267" s="609"/>
      <c r="C267" s="24"/>
      <c r="D267" s="24"/>
      <c r="E267" s="610"/>
      <c r="F267" s="611"/>
      <c r="G267" s="26"/>
      <c r="H267" s="8">
        <f t="shared" si="18"/>
        <v>0</v>
      </c>
      <c r="I267" s="611"/>
      <c r="J267" s="26"/>
      <c r="K267" s="8">
        <f t="shared" si="10"/>
        <v>0</v>
      </c>
      <c r="L267" s="611"/>
      <c r="M267" s="26"/>
      <c r="N267" s="8">
        <f t="shared" si="11"/>
        <v>0</v>
      </c>
      <c r="O267" s="611"/>
      <c r="P267" s="26"/>
      <c r="Q267" s="8">
        <f t="shared" si="12"/>
        <v>0</v>
      </c>
      <c r="R267" s="611"/>
      <c r="S267" s="26"/>
      <c r="T267" s="8">
        <f t="shared" si="13"/>
        <v>0</v>
      </c>
      <c r="U267" s="611"/>
      <c r="V267" s="26"/>
      <c r="W267" s="8">
        <f t="shared" si="14"/>
        <v>0</v>
      </c>
      <c r="X267" s="611"/>
      <c r="Y267" s="26"/>
      <c r="Z267" s="8">
        <f t="shared" si="15"/>
        <v>0</v>
      </c>
      <c r="AA267" s="611"/>
      <c r="AB267" s="26"/>
      <c r="AC267" s="8">
        <f t="shared" si="16"/>
        <v>0</v>
      </c>
      <c r="AD267" s="26"/>
      <c r="AE267" s="26"/>
      <c r="AF267" s="26"/>
      <c r="AG267" s="26"/>
      <c r="AH267" s="26"/>
    </row>
    <row r="268" ht="12.75" customHeight="1">
      <c r="A268" s="24"/>
      <c r="B268" s="609"/>
      <c r="C268" s="24"/>
      <c r="D268" s="24"/>
      <c r="E268" s="610"/>
      <c r="F268" s="611"/>
      <c r="G268" s="26"/>
      <c r="H268" s="8">
        <f t="shared" si="18"/>
        <v>0</v>
      </c>
      <c r="I268" s="611"/>
      <c r="J268" s="26"/>
      <c r="K268" s="8">
        <f t="shared" si="10"/>
        <v>0</v>
      </c>
      <c r="L268" s="611"/>
      <c r="M268" s="26"/>
      <c r="N268" s="8">
        <f t="shared" si="11"/>
        <v>0</v>
      </c>
      <c r="O268" s="611"/>
      <c r="P268" s="26"/>
      <c r="Q268" s="8">
        <f t="shared" si="12"/>
        <v>0</v>
      </c>
      <c r="R268" s="611"/>
      <c r="S268" s="26"/>
      <c r="T268" s="8">
        <f t="shared" si="13"/>
        <v>0</v>
      </c>
      <c r="U268" s="611"/>
      <c r="V268" s="26"/>
      <c r="W268" s="8">
        <f t="shared" si="14"/>
        <v>0</v>
      </c>
      <c r="X268" s="611"/>
      <c r="Y268" s="26"/>
      <c r="Z268" s="8">
        <f t="shared" si="15"/>
        <v>0</v>
      </c>
      <c r="AA268" s="611"/>
      <c r="AB268" s="26"/>
      <c r="AC268" s="8">
        <f t="shared" si="16"/>
        <v>0</v>
      </c>
      <c r="AD268" s="26"/>
      <c r="AE268" s="26"/>
      <c r="AF268" s="26"/>
      <c r="AG268" s="26"/>
      <c r="AH268" s="26"/>
    </row>
    <row r="269" ht="12.75" customHeight="1">
      <c r="A269" s="24"/>
      <c r="B269" s="609"/>
      <c r="C269" s="24"/>
      <c r="D269" s="24"/>
      <c r="E269" s="610"/>
      <c r="F269" s="611"/>
      <c r="G269" s="26"/>
      <c r="H269" s="8">
        <f t="shared" si="18"/>
        <v>0</v>
      </c>
      <c r="I269" s="611"/>
      <c r="J269" s="26"/>
      <c r="K269" s="8">
        <f t="shared" si="10"/>
        <v>0</v>
      </c>
      <c r="L269" s="611"/>
      <c r="M269" s="26"/>
      <c r="N269" s="8">
        <f t="shared" si="11"/>
        <v>0</v>
      </c>
      <c r="O269" s="611"/>
      <c r="P269" s="26"/>
      <c r="Q269" s="8">
        <f t="shared" si="12"/>
        <v>0</v>
      </c>
      <c r="R269" s="611"/>
      <c r="S269" s="26"/>
      <c r="T269" s="8">
        <f t="shared" si="13"/>
        <v>0</v>
      </c>
      <c r="U269" s="611"/>
      <c r="V269" s="26"/>
      <c r="W269" s="8">
        <f t="shared" si="14"/>
        <v>0</v>
      </c>
      <c r="X269" s="611"/>
      <c r="Y269" s="26"/>
      <c r="Z269" s="8">
        <f t="shared" si="15"/>
        <v>0</v>
      </c>
      <c r="AA269" s="611"/>
      <c r="AB269" s="26"/>
      <c r="AC269" s="8">
        <f t="shared" si="16"/>
        <v>0</v>
      </c>
      <c r="AD269" s="26"/>
      <c r="AE269" s="26"/>
      <c r="AF269" s="26"/>
      <c r="AG269" s="26"/>
      <c r="AH269" s="26"/>
    </row>
    <row r="270" ht="12.75" customHeight="1">
      <c r="A270" s="24"/>
      <c r="B270" s="609"/>
      <c r="C270" s="24"/>
      <c r="D270" s="24"/>
      <c r="E270" s="610"/>
      <c r="F270" s="611"/>
      <c r="G270" s="26"/>
      <c r="H270" s="8">
        <f t="shared" si="18"/>
        <v>0</v>
      </c>
      <c r="I270" s="611"/>
      <c r="J270" s="26"/>
      <c r="K270" s="8">
        <f t="shared" si="10"/>
        <v>0</v>
      </c>
      <c r="L270" s="611"/>
      <c r="M270" s="26"/>
      <c r="N270" s="8">
        <f t="shared" si="11"/>
        <v>0</v>
      </c>
      <c r="O270" s="611"/>
      <c r="P270" s="26"/>
      <c r="Q270" s="8">
        <f t="shared" si="12"/>
        <v>0</v>
      </c>
      <c r="R270" s="611"/>
      <c r="S270" s="26"/>
      <c r="T270" s="8">
        <f t="shared" si="13"/>
        <v>0</v>
      </c>
      <c r="U270" s="611"/>
      <c r="V270" s="26"/>
      <c r="W270" s="8">
        <f t="shared" si="14"/>
        <v>0</v>
      </c>
      <c r="X270" s="611"/>
      <c r="Y270" s="26"/>
      <c r="Z270" s="8">
        <f t="shared" si="15"/>
        <v>0</v>
      </c>
      <c r="AA270" s="611"/>
      <c r="AB270" s="26"/>
      <c r="AC270" s="8">
        <f t="shared" si="16"/>
        <v>0</v>
      </c>
      <c r="AD270" s="26"/>
      <c r="AE270" s="26"/>
      <c r="AF270" s="26"/>
      <c r="AG270" s="26"/>
      <c r="AH270" s="26"/>
    </row>
    <row r="271" ht="12.75" customHeight="1">
      <c r="A271" s="24"/>
      <c r="B271" s="609"/>
      <c r="C271" s="24"/>
      <c r="D271" s="24"/>
      <c r="E271" s="610"/>
      <c r="F271" s="611"/>
      <c r="G271" s="26"/>
      <c r="H271" s="8">
        <f t="shared" si="18"/>
        <v>0</v>
      </c>
      <c r="I271" s="611"/>
      <c r="J271" s="26"/>
      <c r="K271" s="8">
        <f t="shared" si="10"/>
        <v>0</v>
      </c>
      <c r="L271" s="611"/>
      <c r="M271" s="26"/>
      <c r="N271" s="8">
        <f t="shared" si="11"/>
        <v>0</v>
      </c>
      <c r="O271" s="611"/>
      <c r="P271" s="26"/>
      <c r="Q271" s="8">
        <f t="shared" si="12"/>
        <v>0</v>
      </c>
      <c r="R271" s="611"/>
      <c r="S271" s="26"/>
      <c r="T271" s="8">
        <f t="shared" si="13"/>
        <v>0</v>
      </c>
      <c r="U271" s="611"/>
      <c r="V271" s="26"/>
      <c r="W271" s="8">
        <f t="shared" si="14"/>
        <v>0</v>
      </c>
      <c r="X271" s="611"/>
      <c r="Y271" s="26"/>
      <c r="Z271" s="8">
        <f t="shared" si="15"/>
        <v>0</v>
      </c>
      <c r="AA271" s="611"/>
      <c r="AB271" s="26"/>
      <c r="AC271" s="8">
        <f t="shared" si="16"/>
        <v>0</v>
      </c>
      <c r="AD271" s="26"/>
      <c r="AE271" s="26"/>
      <c r="AF271" s="26"/>
      <c r="AG271" s="26"/>
      <c r="AH271" s="26"/>
    </row>
    <row r="272" ht="12.75" customHeight="1">
      <c r="A272" s="24"/>
      <c r="B272" s="609"/>
      <c r="C272" s="24"/>
      <c r="D272" s="24"/>
      <c r="E272" s="610"/>
      <c r="F272" s="611"/>
      <c r="G272" s="26"/>
      <c r="H272" s="8">
        <f t="shared" si="18"/>
        <v>0</v>
      </c>
      <c r="I272" s="611"/>
      <c r="J272" s="26"/>
      <c r="K272" s="8">
        <f t="shared" si="10"/>
        <v>0</v>
      </c>
      <c r="L272" s="611"/>
      <c r="M272" s="26"/>
      <c r="N272" s="8">
        <f t="shared" si="11"/>
        <v>0</v>
      </c>
      <c r="O272" s="611"/>
      <c r="P272" s="26"/>
      <c r="Q272" s="8">
        <f t="shared" si="12"/>
        <v>0</v>
      </c>
      <c r="R272" s="611"/>
      <c r="S272" s="26"/>
      <c r="T272" s="8">
        <f t="shared" si="13"/>
        <v>0</v>
      </c>
      <c r="U272" s="611"/>
      <c r="V272" s="26"/>
      <c r="W272" s="8">
        <f t="shared" si="14"/>
        <v>0</v>
      </c>
      <c r="X272" s="611"/>
      <c r="Y272" s="26"/>
      <c r="Z272" s="8">
        <f t="shared" si="15"/>
        <v>0</v>
      </c>
      <c r="AA272" s="611"/>
      <c r="AB272" s="26"/>
      <c r="AC272" s="8">
        <f t="shared" si="16"/>
        <v>0</v>
      </c>
      <c r="AD272" s="26"/>
      <c r="AE272" s="26"/>
      <c r="AF272" s="26"/>
      <c r="AG272" s="26"/>
      <c r="AH272" s="26"/>
    </row>
    <row r="273" ht="12.75" customHeight="1">
      <c r="A273" s="24"/>
      <c r="B273" s="609"/>
      <c r="C273" s="24"/>
      <c r="D273" s="24"/>
      <c r="E273" s="610"/>
      <c r="F273" s="611"/>
      <c r="G273" s="26"/>
      <c r="H273" s="8">
        <f t="shared" si="18"/>
        <v>0</v>
      </c>
      <c r="I273" s="611"/>
      <c r="J273" s="26"/>
      <c r="K273" s="8">
        <f t="shared" si="10"/>
        <v>0</v>
      </c>
      <c r="L273" s="611"/>
      <c r="M273" s="26"/>
      <c r="N273" s="8">
        <f t="shared" si="11"/>
        <v>0</v>
      </c>
      <c r="O273" s="611"/>
      <c r="P273" s="26"/>
      <c r="Q273" s="8">
        <f t="shared" si="12"/>
        <v>0</v>
      </c>
      <c r="R273" s="611"/>
      <c r="S273" s="26"/>
      <c r="T273" s="8">
        <f t="shared" si="13"/>
        <v>0</v>
      </c>
      <c r="U273" s="611"/>
      <c r="V273" s="26"/>
      <c r="W273" s="8">
        <f t="shared" si="14"/>
        <v>0</v>
      </c>
      <c r="X273" s="611"/>
      <c r="Y273" s="26"/>
      <c r="Z273" s="8">
        <f t="shared" si="15"/>
        <v>0</v>
      </c>
      <c r="AA273" s="611"/>
      <c r="AB273" s="26"/>
      <c r="AC273" s="8">
        <f t="shared" si="16"/>
        <v>0</v>
      </c>
      <c r="AD273" s="26"/>
      <c r="AE273" s="26"/>
      <c r="AF273" s="26"/>
      <c r="AG273" s="26"/>
      <c r="AH273" s="26"/>
    </row>
    <row r="274" ht="12.75" customHeight="1">
      <c r="A274" s="24"/>
      <c r="B274" s="609"/>
      <c r="C274" s="24"/>
      <c r="D274" s="24"/>
      <c r="E274" s="610"/>
      <c r="F274" s="611"/>
      <c r="G274" s="26"/>
      <c r="H274" s="8">
        <f t="shared" si="18"/>
        <v>0</v>
      </c>
      <c r="I274" s="611"/>
      <c r="J274" s="26"/>
      <c r="K274" s="8">
        <f t="shared" si="10"/>
        <v>0</v>
      </c>
      <c r="L274" s="611"/>
      <c r="M274" s="26"/>
      <c r="N274" s="8">
        <f t="shared" si="11"/>
        <v>0</v>
      </c>
      <c r="O274" s="611"/>
      <c r="P274" s="26"/>
      <c r="Q274" s="8">
        <f t="shared" si="12"/>
        <v>0</v>
      </c>
      <c r="R274" s="611"/>
      <c r="S274" s="26"/>
      <c r="T274" s="8">
        <f t="shared" si="13"/>
        <v>0</v>
      </c>
      <c r="U274" s="611"/>
      <c r="V274" s="26"/>
      <c r="W274" s="8">
        <f t="shared" si="14"/>
        <v>0</v>
      </c>
      <c r="X274" s="611"/>
      <c r="Y274" s="26"/>
      <c r="Z274" s="8">
        <f t="shared" si="15"/>
        <v>0</v>
      </c>
      <c r="AA274" s="611"/>
      <c r="AB274" s="26"/>
      <c r="AC274" s="8">
        <f t="shared" si="16"/>
        <v>0</v>
      </c>
      <c r="AD274" s="26"/>
      <c r="AE274" s="26"/>
      <c r="AF274" s="26"/>
      <c r="AG274" s="26"/>
      <c r="AH274" s="26"/>
    </row>
    <row r="275" ht="12.75" customHeight="1">
      <c r="A275" s="24"/>
      <c r="B275" s="609"/>
      <c r="C275" s="24"/>
      <c r="D275" s="24"/>
      <c r="E275" s="610"/>
      <c r="F275" s="611"/>
      <c r="G275" s="26"/>
      <c r="H275" s="8">
        <f t="shared" si="18"/>
        <v>0</v>
      </c>
      <c r="I275" s="611"/>
      <c r="J275" s="26"/>
      <c r="K275" s="8">
        <f t="shared" si="10"/>
        <v>0</v>
      </c>
      <c r="L275" s="611"/>
      <c r="M275" s="26"/>
      <c r="N275" s="8">
        <f t="shared" si="11"/>
        <v>0</v>
      </c>
      <c r="O275" s="611"/>
      <c r="P275" s="26"/>
      <c r="Q275" s="8">
        <f t="shared" si="12"/>
        <v>0</v>
      </c>
      <c r="R275" s="611"/>
      <c r="S275" s="26"/>
      <c r="T275" s="8">
        <f t="shared" si="13"/>
        <v>0</v>
      </c>
      <c r="U275" s="611"/>
      <c r="V275" s="26"/>
      <c r="W275" s="8">
        <f t="shared" si="14"/>
        <v>0</v>
      </c>
      <c r="X275" s="611"/>
      <c r="Y275" s="26"/>
      <c r="Z275" s="8">
        <f t="shared" si="15"/>
        <v>0</v>
      </c>
      <c r="AA275" s="611"/>
      <c r="AB275" s="26"/>
      <c r="AC275" s="8">
        <f t="shared" si="16"/>
        <v>0</v>
      </c>
      <c r="AD275" s="26"/>
      <c r="AE275" s="26"/>
      <c r="AF275" s="26"/>
      <c r="AG275" s="26"/>
      <c r="AH275" s="26"/>
    </row>
    <row r="276" ht="12.75" customHeight="1">
      <c r="A276" s="24"/>
      <c r="B276" s="609"/>
      <c r="C276" s="24"/>
      <c r="D276" s="24"/>
      <c r="E276" s="610"/>
      <c r="F276" s="611"/>
      <c r="G276" s="26"/>
      <c r="H276" s="8">
        <f t="shared" si="18"/>
        <v>0</v>
      </c>
      <c r="I276" s="611"/>
      <c r="J276" s="26"/>
      <c r="K276" s="8">
        <f t="shared" si="10"/>
        <v>0</v>
      </c>
      <c r="L276" s="611"/>
      <c r="M276" s="26"/>
      <c r="N276" s="8">
        <f t="shared" si="11"/>
        <v>0</v>
      </c>
      <c r="O276" s="611"/>
      <c r="P276" s="26"/>
      <c r="Q276" s="8">
        <f t="shared" si="12"/>
        <v>0</v>
      </c>
      <c r="R276" s="611"/>
      <c r="S276" s="26"/>
      <c r="T276" s="8">
        <f t="shared" si="13"/>
        <v>0</v>
      </c>
      <c r="U276" s="611"/>
      <c r="V276" s="26"/>
      <c r="W276" s="8">
        <f t="shared" si="14"/>
        <v>0</v>
      </c>
      <c r="X276" s="611"/>
      <c r="Y276" s="26"/>
      <c r="Z276" s="8">
        <f t="shared" si="15"/>
        <v>0</v>
      </c>
      <c r="AA276" s="611"/>
      <c r="AB276" s="26"/>
      <c r="AC276" s="8">
        <f t="shared" si="16"/>
        <v>0</v>
      </c>
      <c r="AD276" s="26"/>
      <c r="AE276" s="26"/>
      <c r="AF276" s="26"/>
      <c r="AG276" s="26"/>
      <c r="AH276" s="26"/>
    </row>
    <row r="277" ht="12.75" customHeight="1">
      <c r="A277" s="24"/>
      <c r="B277" s="609"/>
      <c r="C277" s="24"/>
      <c r="D277" s="24"/>
      <c r="E277" s="610"/>
      <c r="F277" s="611"/>
      <c r="G277" s="26"/>
      <c r="H277" s="8">
        <f t="shared" si="18"/>
        <v>0</v>
      </c>
      <c r="I277" s="611"/>
      <c r="J277" s="26"/>
      <c r="K277" s="8">
        <f t="shared" si="10"/>
        <v>0</v>
      </c>
      <c r="L277" s="611"/>
      <c r="M277" s="26"/>
      <c r="N277" s="8">
        <f t="shared" si="11"/>
        <v>0</v>
      </c>
      <c r="O277" s="611"/>
      <c r="P277" s="26"/>
      <c r="Q277" s="8">
        <f t="shared" si="12"/>
        <v>0</v>
      </c>
      <c r="R277" s="611"/>
      <c r="S277" s="26"/>
      <c r="T277" s="8">
        <f t="shared" si="13"/>
        <v>0</v>
      </c>
      <c r="U277" s="611"/>
      <c r="V277" s="26"/>
      <c r="W277" s="8">
        <f t="shared" si="14"/>
        <v>0</v>
      </c>
      <c r="X277" s="611"/>
      <c r="Y277" s="26"/>
      <c r="Z277" s="8">
        <f t="shared" si="15"/>
        <v>0</v>
      </c>
      <c r="AA277" s="611"/>
      <c r="AB277" s="26"/>
      <c r="AC277" s="8">
        <f t="shared" si="16"/>
        <v>0</v>
      </c>
      <c r="AD277" s="26"/>
      <c r="AE277" s="26"/>
      <c r="AF277" s="26"/>
      <c r="AG277" s="26"/>
      <c r="AH277" s="26"/>
    </row>
    <row r="278" ht="12.75" customHeight="1">
      <c r="A278" s="24"/>
      <c r="B278" s="609"/>
      <c r="C278" s="24"/>
      <c r="D278" s="24"/>
      <c r="E278" s="610"/>
      <c r="F278" s="611"/>
      <c r="G278" s="26"/>
      <c r="H278" s="8">
        <f t="shared" si="18"/>
        <v>0</v>
      </c>
      <c r="I278" s="611"/>
      <c r="J278" s="26"/>
      <c r="K278" s="8">
        <f t="shared" si="10"/>
        <v>0</v>
      </c>
      <c r="L278" s="611"/>
      <c r="M278" s="26"/>
      <c r="N278" s="8">
        <f t="shared" si="11"/>
        <v>0</v>
      </c>
      <c r="O278" s="611"/>
      <c r="P278" s="26"/>
      <c r="Q278" s="8">
        <f t="shared" si="12"/>
        <v>0</v>
      </c>
      <c r="R278" s="611"/>
      <c r="S278" s="26"/>
      <c r="T278" s="8">
        <f t="shared" si="13"/>
        <v>0</v>
      </c>
      <c r="U278" s="611"/>
      <c r="V278" s="26"/>
      <c r="W278" s="8">
        <f t="shared" si="14"/>
        <v>0</v>
      </c>
      <c r="X278" s="611"/>
      <c r="Y278" s="26"/>
      <c r="Z278" s="8">
        <f t="shared" si="15"/>
        <v>0</v>
      </c>
      <c r="AA278" s="611"/>
      <c r="AB278" s="26"/>
      <c r="AC278" s="8">
        <f t="shared" si="16"/>
        <v>0</v>
      </c>
      <c r="AD278" s="26"/>
      <c r="AE278" s="26"/>
      <c r="AF278" s="26"/>
      <c r="AG278" s="26"/>
      <c r="AH278" s="26"/>
    </row>
    <row r="279" ht="12.75" customHeight="1">
      <c r="A279" s="24"/>
      <c r="B279" s="609"/>
      <c r="C279" s="24"/>
      <c r="D279" s="24"/>
      <c r="E279" s="610"/>
      <c r="F279" s="611"/>
      <c r="G279" s="26"/>
      <c r="H279" s="8">
        <f t="shared" si="18"/>
        <v>0</v>
      </c>
      <c r="I279" s="611"/>
      <c r="J279" s="26"/>
      <c r="K279" s="8">
        <f t="shared" si="10"/>
        <v>0</v>
      </c>
      <c r="L279" s="611"/>
      <c r="M279" s="26"/>
      <c r="N279" s="8">
        <f t="shared" si="11"/>
        <v>0</v>
      </c>
      <c r="O279" s="611"/>
      <c r="P279" s="26"/>
      <c r="Q279" s="8">
        <f t="shared" si="12"/>
        <v>0</v>
      </c>
      <c r="R279" s="611"/>
      <c r="S279" s="26"/>
      <c r="T279" s="8">
        <f t="shared" si="13"/>
        <v>0</v>
      </c>
      <c r="U279" s="611"/>
      <c r="V279" s="26"/>
      <c r="W279" s="8">
        <f t="shared" si="14"/>
        <v>0</v>
      </c>
      <c r="X279" s="611"/>
      <c r="Y279" s="26"/>
      <c r="Z279" s="8">
        <f t="shared" si="15"/>
        <v>0</v>
      </c>
      <c r="AA279" s="611"/>
      <c r="AB279" s="26"/>
      <c r="AC279" s="8">
        <f t="shared" si="16"/>
        <v>0</v>
      </c>
      <c r="AD279" s="26"/>
      <c r="AE279" s="26"/>
      <c r="AF279" s="26"/>
      <c r="AG279" s="26"/>
      <c r="AH279" s="26"/>
    </row>
    <row r="280" ht="12.75" customHeight="1">
      <c r="A280" s="24"/>
      <c r="B280" s="609"/>
      <c r="C280" s="24"/>
      <c r="D280" s="24"/>
      <c r="E280" s="610"/>
      <c r="F280" s="611"/>
      <c r="G280" s="26"/>
      <c r="H280" s="8">
        <f t="shared" si="18"/>
        <v>0</v>
      </c>
      <c r="I280" s="611"/>
      <c r="J280" s="26"/>
      <c r="K280" s="8">
        <f t="shared" si="10"/>
        <v>0</v>
      </c>
      <c r="L280" s="611"/>
      <c r="M280" s="26"/>
      <c r="N280" s="8">
        <f t="shared" si="11"/>
        <v>0</v>
      </c>
      <c r="O280" s="611"/>
      <c r="P280" s="26"/>
      <c r="Q280" s="8">
        <f t="shared" si="12"/>
        <v>0</v>
      </c>
      <c r="R280" s="611"/>
      <c r="S280" s="26"/>
      <c r="T280" s="8">
        <f t="shared" si="13"/>
        <v>0</v>
      </c>
      <c r="U280" s="611"/>
      <c r="V280" s="26"/>
      <c r="W280" s="8">
        <f t="shared" si="14"/>
        <v>0</v>
      </c>
      <c r="X280" s="611"/>
      <c r="Y280" s="26"/>
      <c r="Z280" s="8">
        <f t="shared" si="15"/>
        <v>0</v>
      </c>
      <c r="AA280" s="611"/>
      <c r="AB280" s="26"/>
      <c r="AC280" s="8">
        <f t="shared" si="16"/>
        <v>0</v>
      </c>
      <c r="AD280" s="26"/>
      <c r="AE280" s="26"/>
      <c r="AF280" s="26"/>
      <c r="AG280" s="26"/>
      <c r="AH280" s="26"/>
    </row>
    <row r="281" ht="12.75" customHeight="1">
      <c r="A281" s="24"/>
      <c r="B281" s="609"/>
      <c r="C281" s="24"/>
      <c r="D281" s="24"/>
      <c r="E281" s="610"/>
      <c r="F281" s="611"/>
      <c r="G281" s="26"/>
      <c r="H281" s="8">
        <f t="shared" si="18"/>
        <v>0</v>
      </c>
      <c r="I281" s="611"/>
      <c r="J281" s="26"/>
      <c r="K281" s="8">
        <f t="shared" si="10"/>
        <v>0</v>
      </c>
      <c r="L281" s="611"/>
      <c r="M281" s="26"/>
      <c r="N281" s="8">
        <f t="shared" si="11"/>
        <v>0</v>
      </c>
      <c r="O281" s="611"/>
      <c r="P281" s="26"/>
      <c r="Q281" s="8">
        <f t="shared" si="12"/>
        <v>0</v>
      </c>
      <c r="R281" s="611"/>
      <c r="S281" s="26"/>
      <c r="T281" s="8">
        <f t="shared" si="13"/>
        <v>0</v>
      </c>
      <c r="U281" s="611"/>
      <c r="V281" s="26"/>
      <c r="W281" s="8">
        <f t="shared" si="14"/>
        <v>0</v>
      </c>
      <c r="X281" s="611"/>
      <c r="Y281" s="26"/>
      <c r="Z281" s="8">
        <f t="shared" si="15"/>
        <v>0</v>
      </c>
      <c r="AA281" s="611"/>
      <c r="AB281" s="26"/>
      <c r="AC281" s="8">
        <f t="shared" si="16"/>
        <v>0</v>
      </c>
      <c r="AD281" s="26"/>
      <c r="AE281" s="26"/>
      <c r="AF281" s="26"/>
      <c r="AG281" s="26"/>
      <c r="AH281" s="26"/>
    </row>
    <row r="282" ht="12.75" customHeight="1">
      <c r="A282" s="24"/>
      <c r="B282" s="609"/>
      <c r="C282" s="24"/>
      <c r="D282" s="24"/>
      <c r="E282" s="610"/>
      <c r="F282" s="611"/>
      <c r="G282" s="26"/>
      <c r="H282" s="8">
        <f t="shared" si="18"/>
        <v>0</v>
      </c>
      <c r="I282" s="611"/>
      <c r="J282" s="26"/>
      <c r="K282" s="8">
        <f t="shared" si="10"/>
        <v>0</v>
      </c>
      <c r="L282" s="611"/>
      <c r="M282" s="26"/>
      <c r="N282" s="8">
        <f t="shared" si="11"/>
        <v>0</v>
      </c>
      <c r="O282" s="611"/>
      <c r="P282" s="26"/>
      <c r="Q282" s="8">
        <f t="shared" si="12"/>
        <v>0</v>
      </c>
      <c r="R282" s="611"/>
      <c r="S282" s="26"/>
      <c r="T282" s="8">
        <f t="shared" si="13"/>
        <v>0</v>
      </c>
      <c r="U282" s="611"/>
      <c r="V282" s="26"/>
      <c r="W282" s="8">
        <f t="shared" si="14"/>
        <v>0</v>
      </c>
      <c r="X282" s="611"/>
      <c r="Y282" s="26"/>
      <c r="Z282" s="8">
        <f t="shared" si="15"/>
        <v>0</v>
      </c>
      <c r="AA282" s="611"/>
      <c r="AB282" s="26"/>
      <c r="AC282" s="8">
        <f t="shared" si="16"/>
        <v>0</v>
      </c>
      <c r="AD282" s="26"/>
      <c r="AE282" s="26"/>
      <c r="AF282" s="26"/>
      <c r="AG282" s="26"/>
      <c r="AH282" s="26"/>
    </row>
    <row r="283" ht="12.75" customHeight="1">
      <c r="A283" s="24"/>
      <c r="B283" s="609"/>
      <c r="C283" s="24"/>
      <c r="D283" s="24"/>
      <c r="E283" s="610"/>
      <c r="F283" s="611"/>
      <c r="G283" s="26"/>
      <c r="H283" s="8">
        <f t="shared" si="18"/>
        <v>0</v>
      </c>
      <c r="I283" s="611"/>
      <c r="J283" s="26"/>
      <c r="K283" s="8">
        <f t="shared" si="10"/>
        <v>0</v>
      </c>
      <c r="L283" s="611"/>
      <c r="M283" s="26"/>
      <c r="N283" s="8">
        <f t="shared" si="11"/>
        <v>0</v>
      </c>
      <c r="O283" s="611"/>
      <c r="P283" s="26"/>
      <c r="Q283" s="8">
        <f t="shared" si="12"/>
        <v>0</v>
      </c>
      <c r="R283" s="611"/>
      <c r="S283" s="26"/>
      <c r="T283" s="8">
        <f t="shared" si="13"/>
        <v>0</v>
      </c>
      <c r="U283" s="611"/>
      <c r="V283" s="26"/>
      <c r="W283" s="8">
        <f t="shared" si="14"/>
        <v>0</v>
      </c>
      <c r="X283" s="611"/>
      <c r="Y283" s="26"/>
      <c r="Z283" s="8">
        <f t="shared" si="15"/>
        <v>0</v>
      </c>
      <c r="AA283" s="611"/>
      <c r="AB283" s="26"/>
      <c r="AC283" s="8">
        <f t="shared" si="16"/>
        <v>0</v>
      </c>
      <c r="AD283" s="26"/>
      <c r="AE283" s="26"/>
      <c r="AF283" s="26"/>
      <c r="AG283" s="26"/>
      <c r="AH283" s="26"/>
    </row>
    <row r="284" ht="12.75" customHeight="1">
      <c r="A284" s="24"/>
      <c r="B284" s="609"/>
      <c r="C284" s="24"/>
      <c r="D284" s="24"/>
      <c r="E284" s="610"/>
      <c r="F284" s="611"/>
      <c r="G284" s="26"/>
      <c r="H284" s="8">
        <f t="shared" si="18"/>
        <v>0</v>
      </c>
      <c r="I284" s="611"/>
      <c r="J284" s="26"/>
      <c r="K284" s="8">
        <f t="shared" si="10"/>
        <v>0</v>
      </c>
      <c r="L284" s="611"/>
      <c r="M284" s="26"/>
      <c r="N284" s="8">
        <f t="shared" si="11"/>
        <v>0</v>
      </c>
      <c r="O284" s="611"/>
      <c r="P284" s="26"/>
      <c r="Q284" s="8">
        <f t="shared" si="12"/>
        <v>0</v>
      </c>
      <c r="R284" s="611"/>
      <c r="S284" s="26"/>
      <c r="T284" s="8">
        <f t="shared" si="13"/>
        <v>0</v>
      </c>
      <c r="U284" s="611"/>
      <c r="V284" s="26"/>
      <c r="W284" s="8">
        <f t="shared" si="14"/>
        <v>0</v>
      </c>
      <c r="X284" s="611"/>
      <c r="Y284" s="26"/>
      <c r="Z284" s="8">
        <f t="shared" si="15"/>
        <v>0</v>
      </c>
      <c r="AA284" s="611"/>
      <c r="AB284" s="26"/>
      <c r="AC284" s="8">
        <f t="shared" si="16"/>
        <v>0</v>
      </c>
      <c r="AD284" s="26"/>
      <c r="AE284" s="26"/>
      <c r="AF284" s="26"/>
      <c r="AG284" s="26"/>
      <c r="AH284" s="26"/>
    </row>
    <row r="285" ht="12.75" customHeight="1">
      <c r="A285" s="24"/>
      <c r="B285" s="609"/>
      <c r="C285" s="24"/>
      <c r="D285" s="24"/>
      <c r="E285" s="610"/>
      <c r="F285" s="611"/>
      <c r="G285" s="26"/>
      <c r="H285" s="8">
        <f t="shared" si="18"/>
        <v>0</v>
      </c>
      <c r="I285" s="611"/>
      <c r="J285" s="26"/>
      <c r="K285" s="8">
        <f t="shared" si="10"/>
        <v>0</v>
      </c>
      <c r="L285" s="611"/>
      <c r="M285" s="26"/>
      <c r="N285" s="8">
        <f t="shared" si="11"/>
        <v>0</v>
      </c>
      <c r="O285" s="611"/>
      <c r="P285" s="26"/>
      <c r="Q285" s="8">
        <f t="shared" si="12"/>
        <v>0</v>
      </c>
      <c r="R285" s="611"/>
      <c r="S285" s="26"/>
      <c r="T285" s="8">
        <f t="shared" si="13"/>
        <v>0</v>
      </c>
      <c r="U285" s="611"/>
      <c r="V285" s="26"/>
      <c r="W285" s="8">
        <f t="shared" si="14"/>
        <v>0</v>
      </c>
      <c r="X285" s="611"/>
      <c r="Y285" s="26"/>
      <c r="Z285" s="8">
        <f t="shared" si="15"/>
        <v>0</v>
      </c>
      <c r="AA285" s="611"/>
      <c r="AB285" s="26"/>
      <c r="AC285" s="8">
        <f t="shared" si="16"/>
        <v>0</v>
      </c>
      <c r="AD285" s="26"/>
      <c r="AE285" s="26"/>
      <c r="AF285" s="26"/>
      <c r="AG285" s="26"/>
      <c r="AH285" s="26"/>
    </row>
    <row r="286" ht="12.75" customHeight="1">
      <c r="A286" s="24"/>
      <c r="B286" s="609"/>
      <c r="C286" s="24"/>
      <c r="D286" s="24"/>
      <c r="E286" s="610"/>
      <c r="F286" s="611"/>
      <c r="G286" s="26"/>
      <c r="H286" s="8">
        <f t="shared" si="18"/>
        <v>0</v>
      </c>
      <c r="I286" s="611"/>
      <c r="J286" s="26"/>
      <c r="K286" s="8">
        <f t="shared" si="10"/>
        <v>0</v>
      </c>
      <c r="L286" s="611"/>
      <c r="M286" s="26"/>
      <c r="N286" s="8">
        <f t="shared" si="11"/>
        <v>0</v>
      </c>
      <c r="O286" s="611"/>
      <c r="P286" s="26"/>
      <c r="Q286" s="8">
        <f t="shared" si="12"/>
        <v>0</v>
      </c>
      <c r="R286" s="611"/>
      <c r="S286" s="26"/>
      <c r="T286" s="8">
        <f t="shared" si="13"/>
        <v>0</v>
      </c>
      <c r="U286" s="611"/>
      <c r="V286" s="26"/>
      <c r="W286" s="8">
        <f t="shared" si="14"/>
        <v>0</v>
      </c>
      <c r="X286" s="611"/>
      <c r="Y286" s="26"/>
      <c r="Z286" s="8">
        <f t="shared" si="15"/>
        <v>0</v>
      </c>
      <c r="AA286" s="611"/>
      <c r="AB286" s="26"/>
      <c r="AC286" s="8">
        <f t="shared" si="16"/>
        <v>0</v>
      </c>
      <c r="AD286" s="26"/>
      <c r="AE286" s="26"/>
      <c r="AF286" s="26"/>
      <c r="AG286" s="26"/>
      <c r="AH286" s="26"/>
    </row>
    <row r="287" ht="12.75" customHeight="1">
      <c r="A287" s="24"/>
      <c r="B287" s="609"/>
      <c r="C287" s="24"/>
      <c r="D287" s="24"/>
      <c r="E287" s="610"/>
      <c r="F287" s="611"/>
      <c r="G287" s="26"/>
      <c r="H287" s="8">
        <f t="shared" si="18"/>
        <v>0</v>
      </c>
      <c r="I287" s="611"/>
      <c r="J287" s="26"/>
      <c r="K287" s="8">
        <f t="shared" si="10"/>
        <v>0</v>
      </c>
      <c r="L287" s="611"/>
      <c r="M287" s="26"/>
      <c r="N287" s="8">
        <f t="shared" si="11"/>
        <v>0</v>
      </c>
      <c r="O287" s="611"/>
      <c r="P287" s="26"/>
      <c r="Q287" s="8">
        <f t="shared" si="12"/>
        <v>0</v>
      </c>
      <c r="R287" s="611"/>
      <c r="S287" s="26"/>
      <c r="T287" s="8">
        <f t="shared" si="13"/>
        <v>0</v>
      </c>
      <c r="U287" s="611"/>
      <c r="V287" s="26"/>
      <c r="W287" s="8">
        <f t="shared" si="14"/>
        <v>0</v>
      </c>
      <c r="X287" s="611"/>
      <c r="Y287" s="26"/>
      <c r="Z287" s="8">
        <f t="shared" si="15"/>
        <v>0</v>
      </c>
      <c r="AA287" s="611"/>
      <c r="AB287" s="26"/>
      <c r="AC287" s="8">
        <f t="shared" si="16"/>
        <v>0</v>
      </c>
      <c r="AD287" s="26"/>
      <c r="AE287" s="26"/>
      <c r="AF287" s="26"/>
      <c r="AG287" s="26"/>
      <c r="AH287" s="26"/>
    </row>
    <row r="288" ht="12.75" customHeight="1">
      <c r="A288" s="24"/>
      <c r="B288" s="609"/>
      <c r="C288" s="24"/>
      <c r="D288" s="24"/>
      <c r="E288" s="610"/>
      <c r="F288" s="611"/>
      <c r="G288" s="26"/>
      <c r="H288" s="8">
        <f t="shared" si="18"/>
        <v>0</v>
      </c>
      <c r="I288" s="611"/>
      <c r="J288" s="26"/>
      <c r="K288" s="8">
        <f t="shared" si="10"/>
        <v>0</v>
      </c>
      <c r="L288" s="611"/>
      <c r="M288" s="26"/>
      <c r="N288" s="8">
        <f t="shared" si="11"/>
        <v>0</v>
      </c>
      <c r="O288" s="611"/>
      <c r="P288" s="26"/>
      <c r="Q288" s="8">
        <f t="shared" si="12"/>
        <v>0</v>
      </c>
      <c r="R288" s="611"/>
      <c r="S288" s="26"/>
      <c r="T288" s="8">
        <f t="shared" si="13"/>
        <v>0</v>
      </c>
      <c r="U288" s="611"/>
      <c r="V288" s="26"/>
      <c r="W288" s="8">
        <f t="shared" si="14"/>
        <v>0</v>
      </c>
      <c r="X288" s="611"/>
      <c r="Y288" s="26"/>
      <c r="Z288" s="8">
        <f t="shared" si="15"/>
        <v>0</v>
      </c>
      <c r="AA288" s="611"/>
      <c r="AB288" s="26"/>
      <c r="AC288" s="8">
        <f t="shared" si="16"/>
        <v>0</v>
      </c>
      <c r="AD288" s="26"/>
      <c r="AE288" s="26"/>
      <c r="AF288" s="26"/>
      <c r="AG288" s="26"/>
      <c r="AH288" s="26"/>
    </row>
    <row r="289" ht="12.75" customHeight="1">
      <c r="A289" s="24"/>
      <c r="B289" s="609"/>
      <c r="C289" s="24"/>
      <c r="D289" s="24"/>
      <c r="E289" s="610"/>
      <c r="F289" s="611"/>
      <c r="G289" s="26"/>
      <c r="H289" s="8">
        <f t="shared" si="18"/>
        <v>0</v>
      </c>
      <c r="I289" s="611"/>
      <c r="J289" s="26"/>
      <c r="K289" s="8">
        <f t="shared" si="10"/>
        <v>0</v>
      </c>
      <c r="L289" s="611"/>
      <c r="M289" s="26"/>
      <c r="N289" s="8">
        <f t="shared" si="11"/>
        <v>0</v>
      </c>
      <c r="O289" s="611"/>
      <c r="P289" s="26"/>
      <c r="Q289" s="8">
        <f t="shared" si="12"/>
        <v>0</v>
      </c>
      <c r="R289" s="611"/>
      <c r="S289" s="26"/>
      <c r="T289" s="8">
        <f t="shared" si="13"/>
        <v>0</v>
      </c>
      <c r="U289" s="611"/>
      <c r="V289" s="26"/>
      <c r="W289" s="8">
        <f t="shared" si="14"/>
        <v>0</v>
      </c>
      <c r="X289" s="611"/>
      <c r="Y289" s="26"/>
      <c r="Z289" s="8">
        <f t="shared" si="15"/>
        <v>0</v>
      </c>
      <c r="AA289" s="611"/>
      <c r="AB289" s="26"/>
      <c r="AC289" s="8">
        <f t="shared" si="16"/>
        <v>0</v>
      </c>
      <c r="AD289" s="26"/>
      <c r="AE289" s="26"/>
      <c r="AF289" s="26"/>
      <c r="AG289" s="26"/>
      <c r="AH289" s="26"/>
    </row>
    <row r="290" ht="12.75" customHeight="1">
      <c r="A290" s="24"/>
      <c r="B290" s="609"/>
      <c r="C290" s="24"/>
      <c r="D290" s="24"/>
      <c r="E290" s="610"/>
      <c r="F290" s="611"/>
      <c r="G290" s="26"/>
      <c r="H290" s="8">
        <f t="shared" si="18"/>
        <v>0</v>
      </c>
      <c r="I290" s="611"/>
      <c r="J290" s="26"/>
      <c r="K290" s="8">
        <f t="shared" si="10"/>
        <v>0</v>
      </c>
      <c r="L290" s="611"/>
      <c r="M290" s="26"/>
      <c r="N290" s="8">
        <f t="shared" si="11"/>
        <v>0</v>
      </c>
      <c r="O290" s="611"/>
      <c r="P290" s="26"/>
      <c r="Q290" s="8">
        <f t="shared" si="12"/>
        <v>0</v>
      </c>
      <c r="R290" s="611"/>
      <c r="S290" s="26"/>
      <c r="T290" s="8">
        <f t="shared" si="13"/>
        <v>0</v>
      </c>
      <c r="U290" s="611"/>
      <c r="V290" s="26"/>
      <c r="W290" s="8">
        <f t="shared" si="14"/>
        <v>0</v>
      </c>
      <c r="X290" s="611"/>
      <c r="Y290" s="26"/>
      <c r="Z290" s="8">
        <f t="shared" si="15"/>
        <v>0</v>
      </c>
      <c r="AA290" s="611"/>
      <c r="AB290" s="26"/>
      <c r="AC290" s="8">
        <f t="shared" si="16"/>
        <v>0</v>
      </c>
      <c r="AD290" s="26"/>
      <c r="AE290" s="26"/>
      <c r="AF290" s="26"/>
      <c r="AG290" s="26"/>
      <c r="AH290" s="26"/>
    </row>
    <row r="291" ht="12.75" customHeight="1">
      <c r="A291" s="24"/>
      <c r="B291" s="609"/>
      <c r="C291" s="24"/>
      <c r="D291" s="24"/>
      <c r="E291" s="610"/>
      <c r="F291" s="611"/>
      <c r="G291" s="26"/>
      <c r="H291" s="8">
        <f t="shared" si="18"/>
        <v>0</v>
      </c>
      <c r="I291" s="611"/>
      <c r="J291" s="26"/>
      <c r="K291" s="8">
        <f t="shared" si="10"/>
        <v>0</v>
      </c>
      <c r="L291" s="611"/>
      <c r="M291" s="26"/>
      <c r="N291" s="8">
        <f t="shared" si="11"/>
        <v>0</v>
      </c>
      <c r="O291" s="611"/>
      <c r="P291" s="26"/>
      <c r="Q291" s="8">
        <f t="shared" si="12"/>
        <v>0</v>
      </c>
      <c r="R291" s="611"/>
      <c r="S291" s="26"/>
      <c r="T291" s="8">
        <f t="shared" si="13"/>
        <v>0</v>
      </c>
      <c r="U291" s="611"/>
      <c r="V291" s="26"/>
      <c r="W291" s="8">
        <f t="shared" si="14"/>
        <v>0</v>
      </c>
      <c r="X291" s="611"/>
      <c r="Y291" s="26"/>
      <c r="Z291" s="8">
        <f t="shared" si="15"/>
        <v>0</v>
      </c>
      <c r="AA291" s="611"/>
      <c r="AB291" s="26"/>
      <c r="AC291" s="8">
        <f t="shared" si="16"/>
        <v>0</v>
      </c>
      <c r="AD291" s="26"/>
      <c r="AE291" s="26"/>
      <c r="AF291" s="26"/>
      <c r="AG291" s="26"/>
      <c r="AH291" s="26"/>
    </row>
    <row r="292" ht="12.75" customHeight="1">
      <c r="A292" s="24"/>
      <c r="B292" s="609"/>
      <c r="C292" s="24"/>
      <c r="D292" s="24"/>
      <c r="E292" s="610"/>
      <c r="F292" s="611"/>
      <c r="G292" s="26"/>
      <c r="H292" s="8">
        <f t="shared" si="18"/>
        <v>0</v>
      </c>
      <c r="I292" s="611"/>
      <c r="J292" s="26"/>
      <c r="K292" s="8">
        <f t="shared" si="10"/>
        <v>0</v>
      </c>
      <c r="L292" s="611"/>
      <c r="M292" s="26"/>
      <c r="N292" s="8">
        <f t="shared" si="11"/>
        <v>0</v>
      </c>
      <c r="O292" s="611"/>
      <c r="P292" s="26"/>
      <c r="Q292" s="8">
        <f t="shared" si="12"/>
        <v>0</v>
      </c>
      <c r="R292" s="611"/>
      <c r="S292" s="26"/>
      <c r="T292" s="8">
        <f t="shared" si="13"/>
        <v>0</v>
      </c>
      <c r="U292" s="611"/>
      <c r="V292" s="26"/>
      <c r="W292" s="8">
        <f t="shared" si="14"/>
        <v>0</v>
      </c>
      <c r="X292" s="611"/>
      <c r="Y292" s="26"/>
      <c r="Z292" s="8">
        <f t="shared" si="15"/>
        <v>0</v>
      </c>
      <c r="AA292" s="611"/>
      <c r="AB292" s="26"/>
      <c r="AC292" s="8">
        <f t="shared" si="16"/>
        <v>0</v>
      </c>
      <c r="AD292" s="26"/>
      <c r="AE292" s="26"/>
      <c r="AF292" s="26"/>
      <c r="AG292" s="26"/>
      <c r="AH292" s="26"/>
    </row>
    <row r="293" ht="12.75" customHeight="1">
      <c r="A293" s="24"/>
      <c r="B293" s="609"/>
      <c r="C293" s="24"/>
      <c r="D293" s="24"/>
      <c r="E293" s="610"/>
      <c r="F293" s="611"/>
      <c r="G293" s="26"/>
      <c r="H293" s="8">
        <f t="shared" si="18"/>
        <v>0</v>
      </c>
      <c r="I293" s="611"/>
      <c r="J293" s="26"/>
      <c r="K293" s="8">
        <f t="shared" si="10"/>
        <v>0</v>
      </c>
      <c r="L293" s="611"/>
      <c r="M293" s="26"/>
      <c r="N293" s="8">
        <f t="shared" si="11"/>
        <v>0</v>
      </c>
      <c r="O293" s="611"/>
      <c r="P293" s="26"/>
      <c r="Q293" s="8">
        <f t="shared" si="12"/>
        <v>0</v>
      </c>
      <c r="R293" s="611"/>
      <c r="S293" s="26"/>
      <c r="T293" s="8">
        <f t="shared" si="13"/>
        <v>0</v>
      </c>
      <c r="U293" s="611"/>
      <c r="V293" s="26"/>
      <c r="W293" s="8">
        <f t="shared" si="14"/>
        <v>0</v>
      </c>
      <c r="X293" s="611"/>
      <c r="Y293" s="26"/>
      <c r="Z293" s="8">
        <f t="shared" si="15"/>
        <v>0</v>
      </c>
      <c r="AA293" s="611"/>
      <c r="AB293" s="26"/>
      <c r="AC293" s="8">
        <f t="shared" si="16"/>
        <v>0</v>
      </c>
      <c r="AD293" s="26"/>
      <c r="AE293" s="26"/>
      <c r="AF293" s="26"/>
      <c r="AG293" s="26"/>
      <c r="AH293" s="26"/>
    </row>
    <row r="294" ht="12.75" customHeight="1">
      <c r="A294" s="24"/>
      <c r="B294" s="609"/>
      <c r="C294" s="24"/>
      <c r="D294" s="24"/>
      <c r="E294" s="610"/>
      <c r="F294" s="611"/>
      <c r="G294" s="26"/>
      <c r="H294" s="8">
        <f t="shared" si="18"/>
        <v>0</v>
      </c>
      <c r="I294" s="611"/>
      <c r="J294" s="26"/>
      <c r="K294" s="8">
        <f t="shared" si="10"/>
        <v>0</v>
      </c>
      <c r="L294" s="611"/>
      <c r="M294" s="26"/>
      <c r="N294" s="8">
        <f t="shared" si="11"/>
        <v>0</v>
      </c>
      <c r="O294" s="611"/>
      <c r="P294" s="26"/>
      <c r="Q294" s="8">
        <f t="shared" si="12"/>
        <v>0</v>
      </c>
      <c r="R294" s="611"/>
      <c r="S294" s="26"/>
      <c r="T294" s="8">
        <f t="shared" si="13"/>
        <v>0</v>
      </c>
      <c r="U294" s="611"/>
      <c r="V294" s="26"/>
      <c r="W294" s="8">
        <f t="shared" si="14"/>
        <v>0</v>
      </c>
      <c r="X294" s="611"/>
      <c r="Y294" s="26"/>
      <c r="Z294" s="8">
        <f t="shared" si="15"/>
        <v>0</v>
      </c>
      <c r="AA294" s="611"/>
      <c r="AB294" s="26"/>
      <c r="AC294" s="8">
        <f t="shared" si="16"/>
        <v>0</v>
      </c>
      <c r="AD294" s="26"/>
      <c r="AE294" s="26"/>
      <c r="AF294" s="26"/>
      <c r="AG294" s="26"/>
      <c r="AH294" s="26"/>
    </row>
    <row r="295" ht="12.75" customHeight="1">
      <c r="A295" s="24"/>
      <c r="B295" s="609"/>
      <c r="C295" s="24"/>
      <c r="D295" s="24"/>
      <c r="E295" s="610"/>
      <c r="F295" s="611"/>
      <c r="G295" s="26"/>
      <c r="H295" s="8">
        <f t="shared" si="18"/>
        <v>0</v>
      </c>
      <c r="I295" s="611"/>
      <c r="J295" s="26"/>
      <c r="K295" s="8">
        <f t="shared" si="10"/>
        <v>0</v>
      </c>
      <c r="L295" s="611"/>
      <c r="M295" s="26"/>
      <c r="N295" s="8">
        <f t="shared" si="11"/>
        <v>0</v>
      </c>
      <c r="O295" s="611"/>
      <c r="P295" s="26"/>
      <c r="Q295" s="8">
        <f t="shared" si="12"/>
        <v>0</v>
      </c>
      <c r="R295" s="611"/>
      <c r="S295" s="26"/>
      <c r="T295" s="8">
        <f t="shared" si="13"/>
        <v>0</v>
      </c>
      <c r="U295" s="611"/>
      <c r="V295" s="26"/>
      <c r="W295" s="8">
        <f t="shared" si="14"/>
        <v>0</v>
      </c>
      <c r="X295" s="611"/>
      <c r="Y295" s="26"/>
      <c r="Z295" s="8">
        <f t="shared" si="15"/>
        <v>0</v>
      </c>
      <c r="AA295" s="611"/>
      <c r="AB295" s="26"/>
      <c r="AC295" s="8">
        <f t="shared" si="16"/>
        <v>0</v>
      </c>
      <c r="AD295" s="26"/>
      <c r="AE295" s="26"/>
      <c r="AF295" s="26"/>
      <c r="AG295" s="26"/>
      <c r="AH295" s="26"/>
    </row>
    <row r="296" ht="12.75" customHeight="1">
      <c r="A296" s="24"/>
      <c r="B296" s="609"/>
      <c r="C296" s="24"/>
      <c r="D296" s="24"/>
      <c r="E296" s="610"/>
      <c r="F296" s="611"/>
      <c r="G296" s="26"/>
      <c r="H296" s="8">
        <f t="shared" si="18"/>
        <v>0</v>
      </c>
      <c r="I296" s="611"/>
      <c r="J296" s="26"/>
      <c r="K296" s="8">
        <f t="shared" si="10"/>
        <v>0</v>
      </c>
      <c r="L296" s="611"/>
      <c r="M296" s="26"/>
      <c r="N296" s="8">
        <f t="shared" si="11"/>
        <v>0</v>
      </c>
      <c r="O296" s="611"/>
      <c r="P296" s="26"/>
      <c r="Q296" s="8">
        <f t="shared" si="12"/>
        <v>0</v>
      </c>
      <c r="R296" s="611"/>
      <c r="S296" s="26"/>
      <c r="T296" s="8">
        <f t="shared" si="13"/>
        <v>0</v>
      </c>
      <c r="U296" s="611"/>
      <c r="V296" s="26"/>
      <c r="W296" s="8">
        <f t="shared" si="14"/>
        <v>0</v>
      </c>
      <c r="X296" s="611"/>
      <c r="Y296" s="26"/>
      <c r="Z296" s="8">
        <f t="shared" si="15"/>
        <v>0</v>
      </c>
      <c r="AA296" s="611"/>
      <c r="AB296" s="26"/>
      <c r="AC296" s="8">
        <f t="shared" si="16"/>
        <v>0</v>
      </c>
      <c r="AD296" s="26"/>
      <c r="AE296" s="26"/>
      <c r="AF296" s="26"/>
      <c r="AG296" s="26"/>
      <c r="AH296" s="26"/>
    </row>
    <row r="297" ht="12.75" customHeight="1">
      <c r="A297" s="24"/>
      <c r="B297" s="609"/>
      <c r="C297" s="24"/>
      <c r="D297" s="24"/>
      <c r="E297" s="610"/>
      <c r="F297" s="611"/>
      <c r="G297" s="26"/>
      <c r="H297" s="8">
        <f t="shared" si="18"/>
        <v>0</v>
      </c>
      <c r="I297" s="611"/>
      <c r="J297" s="26"/>
      <c r="K297" s="8">
        <f t="shared" si="10"/>
        <v>0</v>
      </c>
      <c r="L297" s="611"/>
      <c r="M297" s="26"/>
      <c r="N297" s="8">
        <f t="shared" si="11"/>
        <v>0</v>
      </c>
      <c r="O297" s="611"/>
      <c r="P297" s="26"/>
      <c r="Q297" s="8">
        <f t="shared" si="12"/>
        <v>0</v>
      </c>
      <c r="R297" s="611"/>
      <c r="S297" s="26"/>
      <c r="T297" s="8">
        <f t="shared" si="13"/>
        <v>0</v>
      </c>
      <c r="U297" s="611"/>
      <c r="V297" s="26"/>
      <c r="W297" s="8">
        <f t="shared" si="14"/>
        <v>0</v>
      </c>
      <c r="X297" s="611"/>
      <c r="Y297" s="26"/>
      <c r="Z297" s="8">
        <f t="shared" si="15"/>
        <v>0</v>
      </c>
      <c r="AA297" s="611"/>
      <c r="AB297" s="26"/>
      <c r="AC297" s="8">
        <f t="shared" si="16"/>
        <v>0</v>
      </c>
      <c r="AD297" s="26"/>
      <c r="AE297" s="26"/>
      <c r="AF297" s="26"/>
      <c r="AG297" s="26"/>
      <c r="AH297" s="26"/>
    </row>
    <row r="298" ht="12.75" customHeight="1">
      <c r="A298" s="24"/>
      <c r="B298" s="609"/>
      <c r="C298" s="24"/>
      <c r="D298" s="24"/>
      <c r="E298" s="610"/>
      <c r="F298" s="611"/>
      <c r="G298" s="26"/>
      <c r="H298" s="8">
        <f t="shared" si="18"/>
        <v>0</v>
      </c>
      <c r="I298" s="611"/>
      <c r="J298" s="26"/>
      <c r="K298" s="8">
        <f t="shared" si="10"/>
        <v>0</v>
      </c>
      <c r="L298" s="611"/>
      <c r="M298" s="26"/>
      <c r="N298" s="8">
        <f t="shared" si="11"/>
        <v>0</v>
      </c>
      <c r="O298" s="611"/>
      <c r="P298" s="26"/>
      <c r="Q298" s="8">
        <f t="shared" si="12"/>
        <v>0</v>
      </c>
      <c r="R298" s="611"/>
      <c r="S298" s="26"/>
      <c r="T298" s="8">
        <f t="shared" si="13"/>
        <v>0</v>
      </c>
      <c r="U298" s="611"/>
      <c r="V298" s="26"/>
      <c r="W298" s="8">
        <f t="shared" si="14"/>
        <v>0</v>
      </c>
      <c r="X298" s="611"/>
      <c r="Y298" s="26"/>
      <c r="Z298" s="8">
        <f t="shared" si="15"/>
        <v>0</v>
      </c>
      <c r="AA298" s="611"/>
      <c r="AB298" s="26"/>
      <c r="AC298" s="8">
        <f t="shared" si="16"/>
        <v>0</v>
      </c>
      <c r="AD298" s="26"/>
      <c r="AE298" s="26"/>
      <c r="AF298" s="26"/>
      <c r="AG298" s="26"/>
      <c r="AH298" s="26"/>
    </row>
    <row r="299" ht="12.75" customHeight="1">
      <c r="A299" s="24"/>
      <c r="B299" s="609"/>
      <c r="C299" s="24"/>
      <c r="D299" s="24"/>
      <c r="E299" s="610"/>
      <c r="F299" s="611"/>
      <c r="G299" s="26"/>
      <c r="H299" s="8">
        <f t="shared" si="18"/>
        <v>0</v>
      </c>
      <c r="I299" s="611"/>
      <c r="J299" s="26"/>
      <c r="K299" s="8">
        <f t="shared" si="10"/>
        <v>0</v>
      </c>
      <c r="L299" s="611"/>
      <c r="M299" s="26"/>
      <c r="N299" s="8">
        <f t="shared" si="11"/>
        <v>0</v>
      </c>
      <c r="O299" s="611"/>
      <c r="P299" s="26"/>
      <c r="Q299" s="8">
        <f t="shared" si="12"/>
        <v>0</v>
      </c>
      <c r="R299" s="611"/>
      <c r="S299" s="26"/>
      <c r="T299" s="8">
        <f t="shared" si="13"/>
        <v>0</v>
      </c>
      <c r="U299" s="611"/>
      <c r="V299" s="26"/>
      <c r="W299" s="8">
        <f t="shared" si="14"/>
        <v>0</v>
      </c>
      <c r="X299" s="611"/>
      <c r="Y299" s="26"/>
      <c r="Z299" s="8">
        <f t="shared" si="15"/>
        <v>0</v>
      </c>
      <c r="AA299" s="611"/>
      <c r="AB299" s="26"/>
      <c r="AC299" s="8">
        <f t="shared" si="16"/>
        <v>0</v>
      </c>
      <c r="AD299" s="26"/>
      <c r="AE299" s="26"/>
      <c r="AF299" s="26"/>
      <c r="AG299" s="26"/>
      <c r="AH299" s="26"/>
    </row>
    <row r="300" ht="12.75" customHeight="1">
      <c r="A300" s="24"/>
      <c r="B300" s="609"/>
      <c r="C300" s="24"/>
      <c r="D300" s="24"/>
      <c r="E300" s="610"/>
      <c r="F300" s="611"/>
      <c r="G300" s="26"/>
      <c r="H300" s="8">
        <f t="shared" si="18"/>
        <v>0</v>
      </c>
      <c r="I300" s="611"/>
      <c r="J300" s="26"/>
      <c r="K300" s="8">
        <f t="shared" si="10"/>
        <v>0</v>
      </c>
      <c r="L300" s="611"/>
      <c r="M300" s="26"/>
      <c r="N300" s="8">
        <f t="shared" si="11"/>
        <v>0</v>
      </c>
      <c r="O300" s="611"/>
      <c r="P300" s="26"/>
      <c r="Q300" s="8">
        <f t="shared" si="12"/>
        <v>0</v>
      </c>
      <c r="R300" s="611"/>
      <c r="S300" s="26"/>
      <c r="T300" s="8">
        <f t="shared" si="13"/>
        <v>0</v>
      </c>
      <c r="U300" s="611"/>
      <c r="V300" s="26"/>
      <c r="W300" s="8">
        <f t="shared" si="14"/>
        <v>0</v>
      </c>
      <c r="X300" s="611"/>
      <c r="Y300" s="26"/>
      <c r="Z300" s="8">
        <f t="shared" si="15"/>
        <v>0</v>
      </c>
      <c r="AA300" s="611"/>
      <c r="AB300" s="26"/>
      <c r="AC300" s="8">
        <f t="shared" si="16"/>
        <v>0</v>
      </c>
      <c r="AD300" s="26"/>
      <c r="AE300" s="26"/>
      <c r="AF300" s="26"/>
      <c r="AG300" s="26"/>
      <c r="AH300" s="26"/>
    </row>
    <row r="301" ht="12.75" customHeight="1">
      <c r="A301" s="24"/>
      <c r="B301" s="609"/>
      <c r="C301" s="24"/>
      <c r="D301" s="24"/>
      <c r="E301" s="610"/>
      <c r="F301" s="611"/>
      <c r="G301" s="26"/>
      <c r="H301" s="8"/>
      <c r="I301" s="611"/>
      <c r="J301" s="26"/>
      <c r="K301" s="8"/>
      <c r="L301" s="611"/>
      <c r="M301" s="26"/>
      <c r="N301" s="8"/>
      <c r="O301" s="611"/>
      <c r="P301" s="26"/>
      <c r="Q301" s="8"/>
      <c r="R301" s="611"/>
      <c r="S301" s="26"/>
      <c r="T301" s="8"/>
      <c r="U301" s="611"/>
      <c r="V301" s="26"/>
      <c r="W301" s="8"/>
      <c r="X301" s="611"/>
      <c r="Y301" s="26"/>
      <c r="Z301" s="8"/>
      <c r="AA301" s="611"/>
      <c r="AB301" s="26"/>
      <c r="AC301" s="8"/>
      <c r="AD301" s="26"/>
      <c r="AE301" s="26"/>
      <c r="AF301" s="26"/>
      <c r="AG301" s="26"/>
      <c r="AH301" s="26"/>
    </row>
    <row r="302" ht="12.75" customHeight="1">
      <c r="A302" s="24"/>
      <c r="B302" s="609"/>
      <c r="C302" s="24"/>
      <c r="D302" s="24"/>
      <c r="E302" s="610"/>
      <c r="F302" s="611"/>
      <c r="G302" s="26"/>
      <c r="H302" s="8"/>
      <c r="I302" s="611"/>
      <c r="J302" s="26"/>
      <c r="K302" s="8"/>
      <c r="L302" s="611"/>
      <c r="M302" s="26"/>
      <c r="N302" s="8"/>
      <c r="O302" s="611"/>
      <c r="P302" s="26"/>
      <c r="Q302" s="8"/>
      <c r="R302" s="611"/>
      <c r="S302" s="26"/>
      <c r="T302" s="8"/>
      <c r="U302" s="611"/>
      <c r="V302" s="26"/>
      <c r="W302" s="8"/>
      <c r="X302" s="611"/>
      <c r="Y302" s="26"/>
      <c r="Z302" s="8"/>
      <c r="AA302" s="611"/>
      <c r="AB302" s="26"/>
      <c r="AC302" s="8"/>
      <c r="AD302" s="26"/>
      <c r="AE302" s="26"/>
      <c r="AF302" s="26"/>
      <c r="AG302" s="26"/>
      <c r="AH302" s="26"/>
    </row>
    <row r="303" ht="12.75" customHeight="1">
      <c r="A303" s="24"/>
      <c r="B303" s="609"/>
      <c r="C303" s="24"/>
      <c r="D303" s="24"/>
      <c r="E303" s="610"/>
      <c r="F303" s="611"/>
      <c r="G303" s="26"/>
      <c r="H303" s="8"/>
      <c r="I303" s="611"/>
      <c r="J303" s="26"/>
      <c r="K303" s="8"/>
      <c r="L303" s="611"/>
      <c r="M303" s="26"/>
      <c r="N303" s="8"/>
      <c r="O303" s="611"/>
      <c r="P303" s="26"/>
      <c r="Q303" s="8"/>
      <c r="R303" s="611"/>
      <c r="S303" s="26"/>
      <c r="T303" s="8"/>
      <c r="U303" s="611"/>
      <c r="V303" s="26"/>
      <c r="W303" s="8"/>
      <c r="X303" s="611"/>
      <c r="Y303" s="26"/>
      <c r="Z303" s="8"/>
      <c r="AA303" s="611"/>
      <c r="AB303" s="26"/>
      <c r="AC303" s="8"/>
      <c r="AD303" s="26"/>
      <c r="AE303" s="26"/>
      <c r="AF303" s="26"/>
      <c r="AG303" s="26"/>
      <c r="AH303" s="26"/>
    </row>
    <row r="304" ht="12.75" customHeight="1">
      <c r="A304" s="24"/>
      <c r="B304" s="609"/>
      <c r="C304" s="24"/>
      <c r="D304" s="24"/>
      <c r="E304" s="610"/>
      <c r="F304" s="611"/>
      <c r="G304" s="26"/>
      <c r="H304" s="8"/>
      <c r="I304" s="611"/>
      <c r="J304" s="26"/>
      <c r="K304" s="8"/>
      <c r="L304" s="611"/>
      <c r="M304" s="26"/>
      <c r="N304" s="8"/>
      <c r="O304" s="611"/>
      <c r="P304" s="26"/>
      <c r="Q304" s="8"/>
      <c r="R304" s="611"/>
      <c r="S304" s="26"/>
      <c r="T304" s="8"/>
      <c r="U304" s="611"/>
      <c r="V304" s="26"/>
      <c r="W304" s="8"/>
      <c r="X304" s="611"/>
      <c r="Y304" s="26"/>
      <c r="Z304" s="8"/>
      <c r="AA304" s="611"/>
      <c r="AB304" s="26"/>
      <c r="AC304" s="8"/>
      <c r="AD304" s="26"/>
      <c r="AE304" s="26"/>
      <c r="AF304" s="26"/>
      <c r="AG304" s="26"/>
      <c r="AH304" s="26"/>
    </row>
    <row r="305" ht="12.75" customHeight="1">
      <c r="A305" s="24"/>
      <c r="B305" s="609"/>
      <c r="C305" s="24"/>
      <c r="D305" s="24"/>
      <c r="E305" s="610"/>
      <c r="F305" s="611"/>
      <c r="G305" s="26"/>
      <c r="H305" s="8"/>
      <c r="I305" s="611"/>
      <c r="J305" s="26"/>
      <c r="K305" s="8"/>
      <c r="L305" s="611"/>
      <c r="M305" s="26"/>
      <c r="N305" s="8"/>
      <c r="O305" s="611"/>
      <c r="P305" s="26"/>
      <c r="Q305" s="8"/>
      <c r="R305" s="611"/>
      <c r="S305" s="26"/>
      <c r="T305" s="8"/>
      <c r="U305" s="611"/>
      <c r="V305" s="26"/>
      <c r="W305" s="8"/>
      <c r="X305" s="611"/>
      <c r="Y305" s="26"/>
      <c r="Z305" s="8"/>
      <c r="AA305" s="611"/>
      <c r="AB305" s="26"/>
      <c r="AC305" s="8"/>
      <c r="AD305" s="26"/>
      <c r="AE305" s="26"/>
      <c r="AF305" s="26"/>
      <c r="AG305" s="26"/>
      <c r="AH305" s="26"/>
    </row>
    <row r="306" ht="12.75" customHeight="1">
      <c r="A306" s="24"/>
      <c r="B306" s="609"/>
      <c r="C306" s="24"/>
      <c r="D306" s="24"/>
      <c r="E306" s="610"/>
      <c r="F306" s="611"/>
      <c r="G306" s="26"/>
      <c r="H306" s="8"/>
      <c r="I306" s="611"/>
      <c r="J306" s="26"/>
      <c r="K306" s="8"/>
      <c r="L306" s="611"/>
      <c r="M306" s="26"/>
      <c r="N306" s="8"/>
      <c r="O306" s="611"/>
      <c r="P306" s="26"/>
      <c r="Q306" s="8"/>
      <c r="R306" s="611"/>
      <c r="S306" s="26"/>
      <c r="T306" s="8"/>
      <c r="U306" s="611"/>
      <c r="V306" s="26"/>
      <c r="W306" s="8"/>
      <c r="X306" s="611"/>
      <c r="Y306" s="26"/>
      <c r="Z306" s="8"/>
      <c r="AA306" s="611"/>
      <c r="AB306" s="26"/>
      <c r="AC306" s="8"/>
      <c r="AD306" s="26"/>
      <c r="AE306" s="26"/>
      <c r="AF306" s="26"/>
      <c r="AG306" s="26"/>
      <c r="AH306" s="26"/>
    </row>
    <row r="307" ht="12.75" customHeight="1">
      <c r="A307" s="24"/>
      <c r="B307" s="609"/>
      <c r="C307" s="24"/>
      <c r="D307" s="24"/>
      <c r="E307" s="610"/>
      <c r="F307" s="611"/>
      <c r="G307" s="26"/>
      <c r="H307" s="8"/>
      <c r="I307" s="611"/>
      <c r="J307" s="26"/>
      <c r="K307" s="8"/>
      <c r="L307" s="611"/>
      <c r="M307" s="26"/>
      <c r="N307" s="8"/>
      <c r="O307" s="611"/>
      <c r="P307" s="26"/>
      <c r="Q307" s="8"/>
      <c r="R307" s="611"/>
      <c r="S307" s="26"/>
      <c r="T307" s="8"/>
      <c r="U307" s="611"/>
      <c r="V307" s="26"/>
      <c r="W307" s="8"/>
      <c r="X307" s="611"/>
      <c r="Y307" s="26"/>
      <c r="Z307" s="8"/>
      <c r="AA307" s="611"/>
      <c r="AB307" s="26"/>
      <c r="AC307" s="8"/>
      <c r="AD307" s="26"/>
      <c r="AE307" s="26"/>
      <c r="AF307" s="26"/>
      <c r="AG307" s="26"/>
      <c r="AH307" s="26"/>
    </row>
    <row r="308" ht="12.75" customHeight="1">
      <c r="A308" s="24"/>
      <c r="B308" s="609"/>
      <c r="C308" s="24"/>
      <c r="D308" s="24"/>
      <c r="E308" s="610"/>
      <c r="F308" s="611"/>
      <c r="G308" s="26"/>
      <c r="H308" s="8"/>
      <c r="I308" s="611"/>
      <c r="J308" s="26"/>
      <c r="K308" s="8"/>
      <c r="L308" s="611"/>
      <c r="M308" s="26"/>
      <c r="N308" s="8"/>
      <c r="O308" s="611"/>
      <c r="P308" s="26"/>
      <c r="Q308" s="8"/>
      <c r="R308" s="611"/>
      <c r="S308" s="26"/>
      <c r="T308" s="8"/>
      <c r="U308" s="611"/>
      <c r="V308" s="26"/>
      <c r="W308" s="8"/>
      <c r="X308" s="611"/>
      <c r="Y308" s="26"/>
      <c r="Z308" s="8"/>
      <c r="AA308" s="611"/>
      <c r="AB308" s="26"/>
      <c r="AC308" s="8"/>
      <c r="AD308" s="26"/>
      <c r="AE308" s="26"/>
      <c r="AF308" s="26"/>
      <c r="AG308" s="26"/>
      <c r="AH308" s="26"/>
    </row>
    <row r="309" ht="12.75" customHeight="1">
      <c r="A309" s="24"/>
      <c r="B309" s="609"/>
      <c r="C309" s="24"/>
      <c r="D309" s="24"/>
      <c r="E309" s="610"/>
      <c r="F309" s="611"/>
      <c r="G309" s="26"/>
      <c r="H309" s="8"/>
      <c r="I309" s="611"/>
      <c r="J309" s="26"/>
      <c r="K309" s="8"/>
      <c r="L309" s="611"/>
      <c r="M309" s="26"/>
      <c r="N309" s="8"/>
      <c r="O309" s="611"/>
      <c r="P309" s="26"/>
      <c r="Q309" s="8"/>
      <c r="R309" s="611"/>
      <c r="S309" s="26"/>
      <c r="T309" s="8"/>
      <c r="U309" s="611"/>
      <c r="V309" s="26"/>
      <c r="W309" s="8"/>
      <c r="X309" s="611"/>
      <c r="Y309" s="26"/>
      <c r="Z309" s="8"/>
      <c r="AA309" s="611"/>
      <c r="AB309" s="26"/>
      <c r="AC309" s="8"/>
      <c r="AD309" s="26"/>
      <c r="AE309" s="26"/>
      <c r="AF309" s="26"/>
      <c r="AG309" s="26"/>
      <c r="AH309" s="26"/>
    </row>
    <row r="310" ht="12.75" customHeight="1">
      <c r="A310" s="24"/>
      <c r="B310" s="609"/>
      <c r="C310" s="24"/>
      <c r="D310" s="24"/>
      <c r="E310" s="610"/>
      <c r="F310" s="611"/>
      <c r="G310" s="26"/>
      <c r="H310" s="8"/>
      <c r="I310" s="611"/>
      <c r="J310" s="26"/>
      <c r="K310" s="8"/>
      <c r="L310" s="611"/>
      <c r="M310" s="26"/>
      <c r="N310" s="8"/>
      <c r="O310" s="611"/>
      <c r="P310" s="26"/>
      <c r="Q310" s="8"/>
      <c r="R310" s="611"/>
      <c r="S310" s="26"/>
      <c r="T310" s="8"/>
      <c r="U310" s="611"/>
      <c r="V310" s="26"/>
      <c r="W310" s="8"/>
      <c r="X310" s="611"/>
      <c r="Y310" s="26"/>
      <c r="Z310" s="8"/>
      <c r="AA310" s="611"/>
      <c r="AB310" s="26"/>
      <c r="AC310" s="8"/>
      <c r="AD310" s="26"/>
      <c r="AE310" s="26"/>
      <c r="AF310" s="26"/>
      <c r="AG310" s="26"/>
      <c r="AH310" s="26"/>
    </row>
    <row r="311" ht="12.75" customHeight="1">
      <c r="A311" s="24"/>
      <c r="B311" s="609"/>
      <c r="C311" s="24"/>
      <c r="D311" s="24"/>
      <c r="E311" s="610"/>
      <c r="F311" s="611"/>
      <c r="G311" s="26"/>
      <c r="H311" s="8"/>
      <c r="I311" s="611"/>
      <c r="J311" s="26"/>
      <c r="K311" s="8"/>
      <c r="L311" s="611"/>
      <c r="M311" s="26"/>
      <c r="N311" s="8"/>
      <c r="O311" s="611"/>
      <c r="P311" s="26"/>
      <c r="Q311" s="8"/>
      <c r="R311" s="611"/>
      <c r="S311" s="26"/>
      <c r="T311" s="8"/>
      <c r="U311" s="611"/>
      <c r="V311" s="26"/>
      <c r="W311" s="8"/>
      <c r="X311" s="611"/>
      <c r="Y311" s="26"/>
      <c r="Z311" s="8"/>
      <c r="AA311" s="611"/>
      <c r="AB311" s="26"/>
      <c r="AC311" s="8"/>
      <c r="AD311" s="26"/>
      <c r="AE311" s="26"/>
      <c r="AF311" s="26"/>
      <c r="AG311" s="26"/>
      <c r="AH311" s="26"/>
    </row>
    <row r="312" ht="12.75" customHeight="1">
      <c r="A312" s="24"/>
      <c r="B312" s="609"/>
      <c r="C312" s="24"/>
      <c r="D312" s="24"/>
      <c r="E312" s="610"/>
      <c r="F312" s="611"/>
      <c r="G312" s="26"/>
      <c r="H312" s="8"/>
      <c r="I312" s="611"/>
      <c r="J312" s="26"/>
      <c r="K312" s="8"/>
      <c r="L312" s="611"/>
      <c r="M312" s="26"/>
      <c r="N312" s="8"/>
      <c r="O312" s="611"/>
      <c r="P312" s="26"/>
      <c r="Q312" s="8"/>
      <c r="R312" s="611"/>
      <c r="S312" s="26"/>
      <c r="T312" s="8"/>
      <c r="U312" s="611"/>
      <c r="V312" s="26"/>
      <c r="W312" s="8"/>
      <c r="X312" s="611"/>
      <c r="Y312" s="26"/>
      <c r="Z312" s="8"/>
      <c r="AA312" s="611"/>
      <c r="AB312" s="26"/>
      <c r="AC312" s="8"/>
      <c r="AD312" s="26"/>
      <c r="AE312" s="26"/>
      <c r="AF312" s="26"/>
      <c r="AG312" s="26"/>
      <c r="AH312" s="26"/>
    </row>
    <row r="313" ht="12.75" customHeight="1">
      <c r="A313" s="24"/>
      <c r="B313" s="609"/>
      <c r="C313" s="24"/>
      <c r="D313" s="24"/>
      <c r="E313" s="610"/>
      <c r="F313" s="611"/>
      <c r="G313" s="26"/>
      <c r="H313" s="8"/>
      <c r="I313" s="611"/>
      <c r="J313" s="26"/>
      <c r="K313" s="8"/>
      <c r="L313" s="611"/>
      <c r="M313" s="26"/>
      <c r="N313" s="8"/>
      <c r="O313" s="611"/>
      <c r="P313" s="26"/>
      <c r="Q313" s="8"/>
      <c r="R313" s="611"/>
      <c r="S313" s="26"/>
      <c r="T313" s="8"/>
      <c r="U313" s="611"/>
      <c r="V313" s="26"/>
      <c r="W313" s="8"/>
      <c r="X313" s="611"/>
      <c r="Y313" s="26"/>
      <c r="Z313" s="8"/>
      <c r="AA313" s="611"/>
      <c r="AB313" s="26"/>
      <c r="AC313" s="8"/>
      <c r="AD313" s="26"/>
      <c r="AE313" s="26"/>
      <c r="AF313" s="26"/>
      <c r="AG313" s="26"/>
      <c r="AH313" s="26"/>
    </row>
    <row r="314" ht="12.75" customHeight="1">
      <c r="A314" s="24"/>
      <c r="B314" s="609"/>
      <c r="C314" s="24"/>
      <c r="D314" s="24"/>
      <c r="E314" s="610"/>
      <c r="F314" s="611"/>
      <c r="G314" s="26"/>
      <c r="H314" s="8"/>
      <c r="I314" s="611"/>
      <c r="J314" s="26"/>
      <c r="K314" s="8"/>
      <c r="L314" s="611"/>
      <c r="M314" s="26"/>
      <c r="N314" s="8"/>
      <c r="O314" s="611"/>
      <c r="P314" s="26"/>
      <c r="Q314" s="8"/>
      <c r="R314" s="611"/>
      <c r="S314" s="26"/>
      <c r="T314" s="8"/>
      <c r="U314" s="611"/>
      <c r="V314" s="26"/>
      <c r="W314" s="8"/>
      <c r="X314" s="611"/>
      <c r="Y314" s="26"/>
      <c r="Z314" s="8"/>
      <c r="AA314" s="611"/>
      <c r="AB314" s="26"/>
      <c r="AC314" s="8"/>
      <c r="AD314" s="26"/>
      <c r="AE314" s="26"/>
      <c r="AF314" s="26"/>
      <c r="AG314" s="26"/>
      <c r="AH314" s="26"/>
    </row>
    <row r="315" ht="12.75" customHeight="1">
      <c r="A315" s="24"/>
      <c r="B315" s="609"/>
      <c r="C315" s="24"/>
      <c r="D315" s="24"/>
      <c r="E315" s="610"/>
      <c r="F315" s="611"/>
      <c r="G315" s="26"/>
      <c r="H315" s="8"/>
      <c r="I315" s="611"/>
      <c r="J315" s="26"/>
      <c r="K315" s="8"/>
      <c r="L315" s="611"/>
      <c r="M315" s="26"/>
      <c r="N315" s="8"/>
      <c r="O315" s="611"/>
      <c r="P315" s="26"/>
      <c r="Q315" s="8"/>
      <c r="R315" s="611"/>
      <c r="S315" s="26"/>
      <c r="T315" s="8"/>
      <c r="U315" s="611"/>
      <c r="V315" s="26"/>
      <c r="W315" s="8"/>
      <c r="X315" s="611"/>
      <c r="Y315" s="26"/>
      <c r="Z315" s="8"/>
      <c r="AA315" s="611"/>
      <c r="AB315" s="26"/>
      <c r="AC315" s="8"/>
      <c r="AD315" s="26"/>
      <c r="AE315" s="26"/>
      <c r="AF315" s="26"/>
      <c r="AG315" s="26"/>
      <c r="AH315" s="26"/>
    </row>
    <row r="316" ht="12.75" customHeight="1">
      <c r="A316" s="24"/>
      <c r="B316" s="609"/>
      <c r="C316" s="24"/>
      <c r="D316" s="24"/>
      <c r="E316" s="610"/>
      <c r="F316" s="611"/>
      <c r="G316" s="26"/>
      <c r="H316" s="8"/>
      <c r="I316" s="611"/>
      <c r="J316" s="26"/>
      <c r="K316" s="8"/>
      <c r="L316" s="611"/>
      <c r="M316" s="26"/>
      <c r="N316" s="8"/>
      <c r="O316" s="611"/>
      <c r="P316" s="26"/>
      <c r="Q316" s="8"/>
      <c r="R316" s="611"/>
      <c r="S316" s="26"/>
      <c r="T316" s="8"/>
      <c r="U316" s="611"/>
      <c r="V316" s="26"/>
      <c r="W316" s="8"/>
      <c r="X316" s="611"/>
      <c r="Y316" s="26"/>
      <c r="Z316" s="8"/>
      <c r="AA316" s="611"/>
      <c r="AB316" s="26"/>
      <c r="AC316" s="8"/>
      <c r="AD316" s="26"/>
      <c r="AE316" s="26"/>
      <c r="AF316" s="26"/>
      <c r="AG316" s="26"/>
      <c r="AH316" s="26"/>
    </row>
    <row r="317" ht="12.75" customHeight="1">
      <c r="A317" s="24"/>
      <c r="B317" s="609"/>
      <c r="C317" s="24"/>
      <c r="D317" s="24"/>
      <c r="E317" s="610"/>
      <c r="F317" s="611"/>
      <c r="G317" s="26"/>
      <c r="H317" s="8"/>
      <c r="I317" s="611"/>
      <c r="J317" s="26"/>
      <c r="K317" s="8"/>
      <c r="L317" s="611"/>
      <c r="M317" s="26"/>
      <c r="N317" s="8"/>
      <c r="O317" s="611"/>
      <c r="P317" s="26"/>
      <c r="Q317" s="8"/>
      <c r="R317" s="611"/>
      <c r="S317" s="26"/>
      <c r="T317" s="8"/>
      <c r="U317" s="611"/>
      <c r="V317" s="26"/>
      <c r="W317" s="8"/>
      <c r="X317" s="611"/>
      <c r="Y317" s="26"/>
      <c r="Z317" s="8"/>
      <c r="AA317" s="611"/>
      <c r="AB317" s="26"/>
      <c r="AC317" s="8"/>
      <c r="AD317" s="26"/>
      <c r="AE317" s="26"/>
      <c r="AF317" s="26"/>
      <c r="AG317" s="26"/>
      <c r="AH317" s="26"/>
    </row>
    <row r="318" ht="12.75" customHeight="1">
      <c r="A318" s="24"/>
      <c r="B318" s="609"/>
      <c r="C318" s="24"/>
      <c r="D318" s="24"/>
      <c r="E318" s="610"/>
      <c r="F318" s="611"/>
      <c r="G318" s="26"/>
      <c r="H318" s="8"/>
      <c r="I318" s="611"/>
      <c r="J318" s="26"/>
      <c r="K318" s="8"/>
      <c r="L318" s="611"/>
      <c r="M318" s="26"/>
      <c r="N318" s="8"/>
      <c r="O318" s="611"/>
      <c r="P318" s="26"/>
      <c r="Q318" s="8"/>
      <c r="R318" s="611"/>
      <c r="S318" s="26"/>
      <c r="T318" s="8"/>
      <c r="U318" s="611"/>
      <c r="V318" s="26"/>
      <c r="W318" s="8"/>
      <c r="X318" s="611"/>
      <c r="Y318" s="26"/>
      <c r="Z318" s="8"/>
      <c r="AA318" s="611"/>
      <c r="AB318" s="26"/>
      <c r="AC318" s="8"/>
      <c r="AD318" s="26"/>
      <c r="AE318" s="26"/>
      <c r="AF318" s="26"/>
      <c r="AG318" s="26"/>
      <c r="AH318" s="26"/>
    </row>
    <row r="319" ht="12.75" customHeight="1">
      <c r="A319" s="24"/>
      <c r="B319" s="609"/>
      <c r="C319" s="24"/>
      <c r="D319" s="24"/>
      <c r="E319" s="610"/>
      <c r="F319" s="611"/>
      <c r="G319" s="26"/>
      <c r="H319" s="8"/>
      <c r="I319" s="611"/>
      <c r="J319" s="26"/>
      <c r="K319" s="8"/>
      <c r="L319" s="611"/>
      <c r="M319" s="26"/>
      <c r="N319" s="8"/>
      <c r="O319" s="611"/>
      <c r="P319" s="26"/>
      <c r="Q319" s="8"/>
      <c r="R319" s="611"/>
      <c r="S319" s="26"/>
      <c r="T319" s="8"/>
      <c r="U319" s="611"/>
      <c r="V319" s="26"/>
      <c r="W319" s="8"/>
      <c r="X319" s="611"/>
      <c r="Y319" s="26"/>
      <c r="Z319" s="8"/>
      <c r="AA319" s="611"/>
      <c r="AB319" s="26"/>
      <c r="AC319" s="8"/>
      <c r="AD319" s="26"/>
      <c r="AE319" s="26"/>
      <c r="AF319" s="26"/>
      <c r="AG319" s="26"/>
      <c r="AH319" s="26"/>
    </row>
    <row r="320" ht="12.75" customHeight="1">
      <c r="A320" s="24"/>
      <c r="B320" s="609"/>
      <c r="C320" s="24"/>
      <c r="D320" s="24"/>
      <c r="E320" s="610"/>
      <c r="F320" s="611"/>
      <c r="G320" s="26"/>
      <c r="H320" s="8"/>
      <c r="I320" s="611"/>
      <c r="J320" s="26"/>
      <c r="K320" s="8"/>
      <c r="L320" s="611"/>
      <c r="M320" s="26"/>
      <c r="N320" s="8"/>
      <c r="O320" s="611"/>
      <c r="P320" s="26"/>
      <c r="Q320" s="8"/>
      <c r="R320" s="611"/>
      <c r="S320" s="26"/>
      <c r="T320" s="8"/>
      <c r="U320" s="611"/>
      <c r="V320" s="26"/>
      <c r="W320" s="8"/>
      <c r="X320" s="611"/>
      <c r="Y320" s="26"/>
      <c r="Z320" s="8"/>
      <c r="AA320" s="611"/>
      <c r="AB320" s="26"/>
      <c r="AC320" s="8"/>
      <c r="AD320" s="26"/>
      <c r="AE320" s="26"/>
      <c r="AF320" s="26"/>
      <c r="AG320" s="26"/>
      <c r="AH320" s="26"/>
    </row>
    <row r="321" ht="12.75" customHeight="1">
      <c r="A321" s="24"/>
      <c r="B321" s="609"/>
      <c r="C321" s="24"/>
      <c r="D321" s="24"/>
      <c r="E321" s="610"/>
      <c r="F321" s="611"/>
      <c r="G321" s="26"/>
      <c r="H321" s="8"/>
      <c r="I321" s="611"/>
      <c r="J321" s="26"/>
      <c r="K321" s="8"/>
      <c r="L321" s="611"/>
      <c r="M321" s="26"/>
      <c r="N321" s="8"/>
      <c r="O321" s="611"/>
      <c r="P321" s="26"/>
      <c r="Q321" s="8"/>
      <c r="R321" s="611"/>
      <c r="S321" s="26"/>
      <c r="T321" s="8"/>
      <c r="U321" s="611"/>
      <c r="V321" s="26"/>
      <c r="W321" s="8"/>
      <c r="X321" s="611"/>
      <c r="Y321" s="26"/>
      <c r="Z321" s="8"/>
      <c r="AA321" s="611"/>
      <c r="AB321" s="26"/>
      <c r="AC321" s="8"/>
      <c r="AD321" s="26"/>
      <c r="AE321" s="26"/>
      <c r="AF321" s="26"/>
      <c r="AG321" s="26"/>
      <c r="AH321" s="26"/>
    </row>
    <row r="322" ht="12.75" customHeight="1">
      <c r="A322" s="24"/>
      <c r="B322" s="609"/>
      <c r="C322" s="24"/>
      <c r="D322" s="24"/>
      <c r="E322" s="610"/>
      <c r="F322" s="611"/>
      <c r="G322" s="26"/>
      <c r="H322" s="8"/>
      <c r="I322" s="611"/>
      <c r="J322" s="26"/>
      <c r="K322" s="8"/>
      <c r="L322" s="611"/>
      <c r="M322" s="26"/>
      <c r="N322" s="8"/>
      <c r="O322" s="611"/>
      <c r="P322" s="26"/>
      <c r="Q322" s="8"/>
      <c r="R322" s="611"/>
      <c r="S322" s="26"/>
      <c r="T322" s="8"/>
      <c r="U322" s="611"/>
      <c r="V322" s="26"/>
      <c r="W322" s="8"/>
      <c r="X322" s="611"/>
      <c r="Y322" s="26"/>
      <c r="Z322" s="8"/>
      <c r="AA322" s="611"/>
      <c r="AB322" s="26"/>
      <c r="AC322" s="8"/>
      <c r="AD322" s="26"/>
      <c r="AE322" s="26"/>
      <c r="AF322" s="26"/>
      <c r="AG322" s="26"/>
      <c r="AH322" s="26"/>
    </row>
    <row r="323" ht="12.75" customHeight="1">
      <c r="A323" s="24"/>
      <c r="B323" s="609"/>
      <c r="C323" s="24"/>
      <c r="D323" s="24"/>
      <c r="E323" s="610"/>
      <c r="F323" s="611"/>
      <c r="G323" s="26"/>
      <c r="H323" s="8"/>
      <c r="I323" s="611"/>
      <c r="J323" s="26"/>
      <c r="K323" s="8"/>
      <c r="L323" s="611"/>
      <c r="M323" s="26"/>
      <c r="N323" s="8"/>
      <c r="O323" s="611"/>
      <c r="P323" s="26"/>
      <c r="Q323" s="8"/>
      <c r="R323" s="611"/>
      <c r="S323" s="26"/>
      <c r="T323" s="8"/>
      <c r="U323" s="611"/>
      <c r="V323" s="26"/>
      <c r="W323" s="8"/>
      <c r="X323" s="611"/>
      <c r="Y323" s="26"/>
      <c r="Z323" s="8"/>
      <c r="AA323" s="611"/>
      <c r="AB323" s="26"/>
      <c r="AC323" s="8"/>
      <c r="AD323" s="26"/>
      <c r="AE323" s="26"/>
      <c r="AF323" s="26"/>
      <c r="AG323" s="26"/>
      <c r="AH323" s="26"/>
    </row>
    <row r="324" ht="12.75" customHeight="1">
      <c r="A324" s="24"/>
      <c r="B324" s="609"/>
      <c r="C324" s="24"/>
      <c r="D324" s="24"/>
      <c r="E324" s="610"/>
      <c r="F324" s="611"/>
      <c r="G324" s="26"/>
      <c r="H324" s="8"/>
      <c r="I324" s="611"/>
      <c r="J324" s="26"/>
      <c r="K324" s="8"/>
      <c r="L324" s="611"/>
      <c r="M324" s="26"/>
      <c r="N324" s="8"/>
      <c r="O324" s="611"/>
      <c r="P324" s="26"/>
      <c r="Q324" s="8"/>
      <c r="R324" s="611"/>
      <c r="S324" s="26"/>
      <c r="T324" s="8"/>
      <c r="U324" s="611"/>
      <c r="V324" s="26"/>
      <c r="W324" s="8"/>
      <c r="X324" s="611"/>
      <c r="Y324" s="26"/>
      <c r="Z324" s="8"/>
      <c r="AA324" s="611"/>
      <c r="AB324" s="26"/>
      <c r="AC324" s="8"/>
      <c r="AD324" s="26"/>
      <c r="AE324" s="26"/>
      <c r="AF324" s="26"/>
      <c r="AG324" s="26"/>
      <c r="AH324" s="26"/>
    </row>
    <row r="325" ht="12.75" customHeight="1">
      <c r="A325" s="24"/>
      <c r="B325" s="609"/>
      <c r="C325" s="24"/>
      <c r="D325" s="24"/>
      <c r="E325" s="610"/>
      <c r="F325" s="611"/>
      <c r="G325" s="26"/>
      <c r="H325" s="8"/>
      <c r="I325" s="611"/>
      <c r="J325" s="26"/>
      <c r="K325" s="8"/>
      <c r="L325" s="611"/>
      <c r="M325" s="26"/>
      <c r="N325" s="8"/>
      <c r="O325" s="611"/>
      <c r="P325" s="26"/>
      <c r="Q325" s="8"/>
      <c r="R325" s="611"/>
      <c r="S325" s="26"/>
      <c r="T325" s="8"/>
      <c r="U325" s="611"/>
      <c r="V325" s="26"/>
      <c r="W325" s="8"/>
      <c r="X325" s="611"/>
      <c r="Y325" s="26"/>
      <c r="Z325" s="8"/>
      <c r="AA325" s="611"/>
      <c r="AB325" s="26"/>
      <c r="AC325" s="8"/>
      <c r="AD325" s="26"/>
      <c r="AE325" s="26"/>
      <c r="AF325" s="26"/>
      <c r="AG325" s="26"/>
      <c r="AH325" s="26"/>
    </row>
    <row r="326" ht="12.75" customHeight="1">
      <c r="A326" s="24"/>
      <c r="B326" s="609"/>
      <c r="C326" s="24"/>
      <c r="D326" s="24"/>
      <c r="E326" s="610"/>
      <c r="F326" s="611"/>
      <c r="G326" s="26"/>
      <c r="H326" s="8"/>
      <c r="I326" s="611"/>
      <c r="J326" s="26"/>
      <c r="K326" s="8"/>
      <c r="L326" s="611"/>
      <c r="M326" s="26"/>
      <c r="N326" s="8"/>
      <c r="O326" s="611"/>
      <c r="P326" s="26"/>
      <c r="Q326" s="8"/>
      <c r="R326" s="611"/>
      <c r="S326" s="26"/>
      <c r="T326" s="8"/>
      <c r="U326" s="611"/>
      <c r="V326" s="26"/>
      <c r="W326" s="8"/>
      <c r="X326" s="611"/>
      <c r="Y326" s="26"/>
      <c r="Z326" s="8"/>
      <c r="AA326" s="611"/>
      <c r="AB326" s="26"/>
      <c r="AC326" s="8"/>
      <c r="AD326" s="26"/>
      <c r="AE326" s="26"/>
      <c r="AF326" s="26"/>
      <c r="AG326" s="26"/>
      <c r="AH326" s="26"/>
    </row>
    <row r="327" ht="12.75" customHeight="1">
      <c r="A327" s="24"/>
      <c r="B327" s="609"/>
      <c r="C327" s="24"/>
      <c r="D327" s="24"/>
      <c r="E327" s="610"/>
      <c r="F327" s="611"/>
      <c r="G327" s="26"/>
      <c r="H327" s="8"/>
      <c r="I327" s="611"/>
      <c r="J327" s="26"/>
      <c r="K327" s="8"/>
      <c r="L327" s="611"/>
      <c r="M327" s="26"/>
      <c r="N327" s="8"/>
      <c r="O327" s="611"/>
      <c r="P327" s="26"/>
      <c r="Q327" s="8"/>
      <c r="R327" s="611"/>
      <c r="S327" s="26"/>
      <c r="T327" s="8"/>
      <c r="U327" s="611"/>
      <c r="V327" s="26"/>
      <c r="W327" s="8"/>
      <c r="X327" s="611"/>
      <c r="Y327" s="26"/>
      <c r="Z327" s="8"/>
      <c r="AA327" s="611"/>
      <c r="AB327" s="26"/>
      <c r="AC327" s="8"/>
      <c r="AD327" s="26"/>
      <c r="AE327" s="26"/>
      <c r="AF327" s="26"/>
      <c r="AG327" s="26"/>
      <c r="AH327" s="26"/>
    </row>
    <row r="328" ht="12.75" customHeight="1">
      <c r="A328" s="24"/>
      <c r="B328" s="609"/>
      <c r="C328" s="24"/>
      <c r="D328" s="24"/>
      <c r="E328" s="610"/>
      <c r="F328" s="611"/>
      <c r="G328" s="26"/>
      <c r="H328" s="8"/>
      <c r="I328" s="611"/>
      <c r="J328" s="26"/>
      <c r="K328" s="8"/>
      <c r="L328" s="611"/>
      <c r="M328" s="26"/>
      <c r="N328" s="8"/>
      <c r="O328" s="611"/>
      <c r="P328" s="26"/>
      <c r="Q328" s="8"/>
      <c r="R328" s="611"/>
      <c r="S328" s="26"/>
      <c r="T328" s="8"/>
      <c r="U328" s="611"/>
      <c r="V328" s="26"/>
      <c r="W328" s="8"/>
      <c r="X328" s="611"/>
      <c r="Y328" s="26"/>
      <c r="Z328" s="8"/>
      <c r="AA328" s="611"/>
      <c r="AB328" s="26"/>
      <c r="AC328" s="8"/>
      <c r="AD328" s="26"/>
      <c r="AE328" s="26"/>
      <c r="AF328" s="26"/>
      <c r="AG328" s="26"/>
      <c r="AH328" s="26"/>
    </row>
    <row r="329" ht="12.75" customHeight="1">
      <c r="A329" s="24"/>
      <c r="B329" s="609"/>
      <c r="C329" s="24"/>
      <c r="D329" s="24"/>
      <c r="E329" s="610"/>
      <c r="F329" s="611"/>
      <c r="G329" s="26"/>
      <c r="H329" s="8"/>
      <c r="I329" s="611"/>
      <c r="J329" s="26"/>
      <c r="K329" s="8"/>
      <c r="L329" s="611"/>
      <c r="M329" s="26"/>
      <c r="N329" s="8"/>
      <c r="O329" s="611"/>
      <c r="P329" s="26"/>
      <c r="Q329" s="8"/>
      <c r="R329" s="611"/>
      <c r="S329" s="26"/>
      <c r="T329" s="8"/>
      <c r="U329" s="611"/>
      <c r="V329" s="26"/>
      <c r="W329" s="8"/>
      <c r="X329" s="611"/>
      <c r="Y329" s="26"/>
      <c r="Z329" s="8"/>
      <c r="AA329" s="611"/>
      <c r="AB329" s="26"/>
      <c r="AC329" s="8"/>
      <c r="AD329" s="26"/>
      <c r="AE329" s="26"/>
      <c r="AF329" s="26"/>
      <c r="AG329" s="26"/>
      <c r="AH329" s="26"/>
    </row>
    <row r="330" ht="12.75" customHeight="1">
      <c r="A330" s="24"/>
      <c r="B330" s="609"/>
      <c r="C330" s="24"/>
      <c r="D330" s="24"/>
      <c r="E330" s="610"/>
      <c r="F330" s="611"/>
      <c r="G330" s="26"/>
      <c r="H330" s="8"/>
      <c r="I330" s="611"/>
      <c r="J330" s="26"/>
      <c r="K330" s="8"/>
      <c r="L330" s="611"/>
      <c r="M330" s="26"/>
      <c r="N330" s="8"/>
      <c r="O330" s="611"/>
      <c r="P330" s="26"/>
      <c r="Q330" s="8"/>
      <c r="R330" s="611"/>
      <c r="S330" s="26"/>
      <c r="T330" s="8"/>
      <c r="U330" s="611"/>
      <c r="V330" s="26"/>
      <c r="W330" s="8"/>
      <c r="X330" s="611"/>
      <c r="Y330" s="26"/>
      <c r="Z330" s="8"/>
      <c r="AA330" s="611"/>
      <c r="AB330" s="26"/>
      <c r="AC330" s="8"/>
      <c r="AD330" s="26"/>
      <c r="AE330" s="26"/>
      <c r="AF330" s="26"/>
      <c r="AG330" s="26"/>
      <c r="AH330" s="26"/>
    </row>
    <row r="331" ht="12.75" customHeight="1">
      <c r="A331" s="24"/>
      <c r="B331" s="609"/>
      <c r="C331" s="24"/>
      <c r="D331" s="24"/>
      <c r="E331" s="610"/>
      <c r="F331" s="611"/>
      <c r="G331" s="26"/>
      <c r="H331" s="8"/>
      <c r="I331" s="611"/>
      <c r="J331" s="26"/>
      <c r="K331" s="8"/>
      <c r="L331" s="611"/>
      <c r="M331" s="26"/>
      <c r="N331" s="8"/>
      <c r="O331" s="611"/>
      <c r="P331" s="26"/>
      <c r="Q331" s="8"/>
      <c r="R331" s="611"/>
      <c r="S331" s="26"/>
      <c r="T331" s="8"/>
      <c r="U331" s="611"/>
      <c r="V331" s="26"/>
      <c r="W331" s="8"/>
      <c r="X331" s="611"/>
      <c r="Y331" s="26"/>
      <c r="Z331" s="8"/>
      <c r="AA331" s="611"/>
      <c r="AB331" s="26"/>
      <c r="AC331" s="8"/>
      <c r="AD331" s="26"/>
      <c r="AE331" s="26"/>
      <c r="AF331" s="26"/>
      <c r="AG331" s="26"/>
      <c r="AH331" s="26"/>
    </row>
    <row r="332" ht="12.75" customHeight="1">
      <c r="A332" s="24"/>
      <c r="B332" s="609"/>
      <c r="C332" s="24"/>
      <c r="D332" s="24"/>
      <c r="E332" s="610"/>
      <c r="F332" s="611"/>
      <c r="G332" s="26"/>
      <c r="H332" s="8"/>
      <c r="I332" s="611"/>
      <c r="J332" s="26"/>
      <c r="K332" s="8"/>
      <c r="L332" s="611"/>
      <c r="M332" s="26"/>
      <c r="N332" s="8"/>
      <c r="O332" s="611"/>
      <c r="P332" s="26"/>
      <c r="Q332" s="8"/>
      <c r="R332" s="611"/>
      <c r="S332" s="26"/>
      <c r="T332" s="8"/>
      <c r="U332" s="611"/>
      <c r="V332" s="26"/>
      <c r="W332" s="8"/>
      <c r="X332" s="611"/>
      <c r="Y332" s="26"/>
      <c r="Z332" s="8"/>
      <c r="AA332" s="611"/>
      <c r="AB332" s="26"/>
      <c r="AC332" s="8"/>
      <c r="AD332" s="26"/>
      <c r="AE332" s="26"/>
      <c r="AF332" s="26"/>
      <c r="AG332" s="26"/>
      <c r="AH332" s="26"/>
    </row>
    <row r="333" ht="12.75" customHeight="1">
      <c r="A333" s="24"/>
      <c r="B333" s="609"/>
      <c r="C333" s="24"/>
      <c r="D333" s="24"/>
      <c r="E333" s="610"/>
      <c r="F333" s="611"/>
      <c r="G333" s="26"/>
      <c r="H333" s="8"/>
      <c r="I333" s="611"/>
      <c r="J333" s="26"/>
      <c r="K333" s="8"/>
      <c r="L333" s="611"/>
      <c r="M333" s="26"/>
      <c r="N333" s="8"/>
      <c r="O333" s="611"/>
      <c r="P333" s="26"/>
      <c r="Q333" s="8"/>
      <c r="R333" s="611"/>
      <c r="S333" s="26"/>
      <c r="T333" s="8"/>
      <c r="U333" s="611"/>
      <c r="V333" s="26"/>
      <c r="W333" s="8"/>
      <c r="X333" s="611"/>
      <c r="Y333" s="26"/>
      <c r="Z333" s="8"/>
      <c r="AA333" s="611"/>
      <c r="AB333" s="26"/>
      <c r="AC333" s="8"/>
      <c r="AD333" s="26"/>
      <c r="AE333" s="26"/>
      <c r="AF333" s="26"/>
      <c r="AG333" s="26"/>
      <c r="AH333" s="26"/>
    </row>
    <row r="334" ht="12.75" customHeight="1">
      <c r="A334" s="24"/>
      <c r="B334" s="609"/>
      <c r="C334" s="24"/>
      <c r="D334" s="24"/>
      <c r="E334" s="610"/>
      <c r="F334" s="611"/>
      <c r="G334" s="26"/>
      <c r="H334" s="8"/>
      <c r="I334" s="611"/>
      <c r="J334" s="26"/>
      <c r="K334" s="8"/>
      <c r="L334" s="611"/>
      <c r="M334" s="26"/>
      <c r="N334" s="8"/>
      <c r="O334" s="611"/>
      <c r="P334" s="26"/>
      <c r="Q334" s="8"/>
      <c r="R334" s="611"/>
      <c r="S334" s="26"/>
      <c r="T334" s="8"/>
      <c r="U334" s="611"/>
      <c r="V334" s="26"/>
      <c r="W334" s="8"/>
      <c r="X334" s="611"/>
      <c r="Y334" s="26"/>
      <c r="Z334" s="8"/>
      <c r="AA334" s="611"/>
      <c r="AB334" s="26"/>
      <c r="AC334" s="8"/>
      <c r="AD334" s="26"/>
      <c r="AE334" s="26"/>
      <c r="AF334" s="26"/>
      <c r="AG334" s="26"/>
      <c r="AH334" s="26"/>
    </row>
    <row r="335" ht="12.75" customHeight="1">
      <c r="A335" s="24"/>
      <c r="B335" s="609"/>
      <c r="C335" s="24"/>
      <c r="D335" s="24"/>
      <c r="E335" s="610"/>
      <c r="F335" s="611"/>
      <c r="G335" s="26"/>
      <c r="H335" s="8"/>
      <c r="I335" s="611"/>
      <c r="J335" s="26"/>
      <c r="K335" s="8"/>
      <c r="L335" s="611"/>
      <c r="M335" s="26"/>
      <c r="N335" s="8"/>
      <c r="O335" s="611"/>
      <c r="P335" s="26"/>
      <c r="Q335" s="8"/>
      <c r="R335" s="611"/>
      <c r="S335" s="26"/>
      <c r="T335" s="8"/>
      <c r="U335" s="611"/>
      <c r="V335" s="26"/>
      <c r="W335" s="8"/>
      <c r="X335" s="611"/>
      <c r="Y335" s="26"/>
      <c r="Z335" s="8"/>
      <c r="AA335" s="611"/>
      <c r="AB335" s="26"/>
      <c r="AC335" s="8"/>
      <c r="AD335" s="26"/>
      <c r="AE335" s="26"/>
      <c r="AF335" s="26"/>
      <c r="AG335" s="26"/>
      <c r="AH335" s="26"/>
    </row>
    <row r="336" ht="12.75" customHeight="1">
      <c r="A336" s="24"/>
      <c r="B336" s="609"/>
      <c r="C336" s="24"/>
      <c r="D336" s="24"/>
      <c r="E336" s="610"/>
      <c r="F336" s="611"/>
      <c r="G336" s="26"/>
      <c r="H336" s="8"/>
      <c r="I336" s="611"/>
      <c r="J336" s="26"/>
      <c r="K336" s="8"/>
      <c r="L336" s="611"/>
      <c r="M336" s="26"/>
      <c r="N336" s="8"/>
      <c r="O336" s="611"/>
      <c r="P336" s="26"/>
      <c r="Q336" s="8"/>
      <c r="R336" s="611"/>
      <c r="S336" s="26"/>
      <c r="T336" s="8"/>
      <c r="U336" s="611"/>
      <c r="V336" s="26"/>
      <c r="W336" s="8"/>
      <c r="X336" s="611"/>
      <c r="Y336" s="26"/>
      <c r="Z336" s="8"/>
      <c r="AA336" s="611"/>
      <c r="AB336" s="26"/>
      <c r="AC336" s="8"/>
      <c r="AD336" s="26"/>
      <c r="AE336" s="26"/>
      <c r="AF336" s="26"/>
      <c r="AG336" s="26"/>
      <c r="AH336" s="26"/>
    </row>
    <row r="337" ht="12.75" customHeight="1">
      <c r="A337" s="24"/>
      <c r="B337" s="609"/>
      <c r="C337" s="24"/>
      <c r="D337" s="24"/>
      <c r="E337" s="610"/>
      <c r="F337" s="611"/>
      <c r="G337" s="26"/>
      <c r="H337" s="8"/>
      <c r="I337" s="611"/>
      <c r="J337" s="26"/>
      <c r="K337" s="8"/>
      <c r="L337" s="611"/>
      <c r="M337" s="26"/>
      <c r="N337" s="8"/>
      <c r="O337" s="611"/>
      <c r="P337" s="26"/>
      <c r="Q337" s="8"/>
      <c r="R337" s="611"/>
      <c r="S337" s="26"/>
      <c r="T337" s="8"/>
      <c r="U337" s="611"/>
      <c r="V337" s="26"/>
      <c r="W337" s="8"/>
      <c r="X337" s="611"/>
      <c r="Y337" s="26"/>
      <c r="Z337" s="8"/>
      <c r="AA337" s="611"/>
      <c r="AB337" s="26"/>
      <c r="AC337" s="8"/>
      <c r="AD337" s="26"/>
      <c r="AE337" s="26"/>
      <c r="AF337" s="26"/>
      <c r="AG337" s="26"/>
      <c r="AH337" s="26"/>
    </row>
    <row r="338" ht="12.75" customHeight="1">
      <c r="A338" s="24"/>
      <c r="B338" s="609"/>
      <c r="C338" s="24"/>
      <c r="D338" s="24"/>
      <c r="E338" s="610"/>
      <c r="F338" s="611"/>
      <c r="G338" s="26"/>
      <c r="H338" s="8"/>
      <c r="I338" s="611"/>
      <c r="J338" s="26"/>
      <c r="K338" s="8"/>
      <c r="L338" s="611"/>
      <c r="M338" s="26"/>
      <c r="N338" s="8"/>
      <c r="O338" s="611"/>
      <c r="P338" s="26"/>
      <c r="Q338" s="8"/>
      <c r="R338" s="611"/>
      <c r="S338" s="26"/>
      <c r="T338" s="8"/>
      <c r="U338" s="611"/>
      <c r="V338" s="26"/>
      <c r="W338" s="8"/>
      <c r="X338" s="611"/>
      <c r="Y338" s="26"/>
      <c r="Z338" s="8"/>
      <c r="AA338" s="611"/>
      <c r="AB338" s="26"/>
      <c r="AC338" s="8"/>
      <c r="AD338" s="26"/>
      <c r="AE338" s="26"/>
      <c r="AF338" s="26"/>
      <c r="AG338" s="26"/>
      <c r="AH338" s="26"/>
    </row>
    <row r="339" ht="12.75" customHeight="1">
      <c r="A339" s="24"/>
      <c r="B339" s="609"/>
      <c r="C339" s="24"/>
      <c r="D339" s="24"/>
      <c r="E339" s="610"/>
      <c r="F339" s="611"/>
      <c r="G339" s="26"/>
      <c r="H339" s="8"/>
      <c r="I339" s="611"/>
      <c r="J339" s="26"/>
      <c r="K339" s="8"/>
      <c r="L339" s="611"/>
      <c r="M339" s="26"/>
      <c r="N339" s="8"/>
      <c r="O339" s="611"/>
      <c r="P339" s="26"/>
      <c r="Q339" s="8"/>
      <c r="R339" s="611"/>
      <c r="S339" s="26"/>
      <c r="T339" s="8"/>
      <c r="U339" s="611"/>
      <c r="V339" s="26"/>
      <c r="W339" s="8"/>
      <c r="X339" s="611"/>
      <c r="Y339" s="26"/>
      <c r="Z339" s="8"/>
      <c r="AA339" s="611"/>
      <c r="AB339" s="26"/>
      <c r="AC339" s="8"/>
      <c r="AD339" s="26"/>
      <c r="AE339" s="26"/>
      <c r="AF339" s="26"/>
      <c r="AG339" s="26"/>
      <c r="AH339" s="26"/>
    </row>
    <row r="340" ht="12.75" customHeight="1">
      <c r="A340" s="24"/>
      <c r="B340" s="609"/>
      <c r="C340" s="24"/>
      <c r="D340" s="24"/>
      <c r="E340" s="610"/>
      <c r="F340" s="611"/>
      <c r="G340" s="26"/>
      <c r="H340" s="8"/>
      <c r="I340" s="611"/>
      <c r="J340" s="26"/>
      <c r="K340" s="8"/>
      <c r="L340" s="611"/>
      <c r="M340" s="26"/>
      <c r="N340" s="8"/>
      <c r="O340" s="611"/>
      <c r="P340" s="26"/>
      <c r="Q340" s="8"/>
      <c r="R340" s="611"/>
      <c r="S340" s="26"/>
      <c r="T340" s="8"/>
      <c r="U340" s="611"/>
      <c r="V340" s="26"/>
      <c r="W340" s="8"/>
      <c r="X340" s="611"/>
      <c r="Y340" s="26"/>
      <c r="Z340" s="8"/>
      <c r="AA340" s="611"/>
      <c r="AB340" s="26"/>
      <c r="AC340" s="8"/>
      <c r="AD340" s="26"/>
      <c r="AE340" s="26"/>
      <c r="AF340" s="26"/>
      <c r="AG340" s="26"/>
      <c r="AH340" s="26"/>
    </row>
    <row r="341" ht="12.75" customHeight="1">
      <c r="A341" s="24"/>
      <c r="B341" s="609"/>
      <c r="C341" s="24"/>
      <c r="D341" s="24"/>
      <c r="E341" s="610"/>
      <c r="F341" s="611"/>
      <c r="G341" s="26"/>
      <c r="H341" s="8"/>
      <c r="I341" s="611"/>
      <c r="J341" s="26"/>
      <c r="K341" s="8"/>
      <c r="L341" s="611"/>
      <c r="M341" s="26"/>
      <c r="N341" s="8"/>
      <c r="O341" s="611"/>
      <c r="P341" s="26"/>
      <c r="Q341" s="8"/>
      <c r="R341" s="611"/>
      <c r="S341" s="26"/>
      <c r="T341" s="8"/>
      <c r="U341" s="611"/>
      <c r="V341" s="26"/>
      <c r="W341" s="8"/>
      <c r="X341" s="611"/>
      <c r="Y341" s="26"/>
      <c r="Z341" s="8"/>
      <c r="AA341" s="611"/>
      <c r="AB341" s="26"/>
      <c r="AC341" s="8"/>
      <c r="AD341" s="26"/>
      <c r="AE341" s="26"/>
      <c r="AF341" s="26"/>
      <c r="AG341" s="26"/>
      <c r="AH341" s="26"/>
    </row>
    <row r="342" ht="12.75" customHeight="1">
      <c r="A342" s="24"/>
      <c r="B342" s="609"/>
      <c r="C342" s="24"/>
      <c r="D342" s="24"/>
      <c r="E342" s="610"/>
      <c r="F342" s="611"/>
      <c r="G342" s="26"/>
      <c r="H342" s="8"/>
      <c r="I342" s="611"/>
      <c r="J342" s="26"/>
      <c r="K342" s="8"/>
      <c r="L342" s="611"/>
      <c r="M342" s="26"/>
      <c r="N342" s="8"/>
      <c r="O342" s="611"/>
      <c r="P342" s="26"/>
      <c r="Q342" s="8"/>
      <c r="R342" s="611"/>
      <c r="S342" s="26"/>
      <c r="T342" s="8"/>
      <c r="U342" s="611"/>
      <c r="V342" s="26"/>
      <c r="W342" s="8"/>
      <c r="X342" s="611"/>
      <c r="Y342" s="26"/>
      <c r="Z342" s="8"/>
      <c r="AA342" s="611"/>
      <c r="AB342" s="26"/>
      <c r="AC342" s="8"/>
      <c r="AD342" s="26"/>
      <c r="AE342" s="26"/>
      <c r="AF342" s="26"/>
      <c r="AG342" s="26"/>
      <c r="AH342" s="26"/>
    </row>
    <row r="343" ht="12.75" customHeight="1">
      <c r="A343" s="24"/>
      <c r="B343" s="609"/>
      <c r="C343" s="24"/>
      <c r="D343" s="24"/>
      <c r="E343" s="610"/>
      <c r="F343" s="611"/>
      <c r="G343" s="26"/>
      <c r="H343" s="8"/>
      <c r="I343" s="611"/>
      <c r="J343" s="26"/>
      <c r="K343" s="8"/>
      <c r="L343" s="611"/>
      <c r="M343" s="26"/>
      <c r="N343" s="8"/>
      <c r="O343" s="611"/>
      <c r="P343" s="26"/>
      <c r="Q343" s="8"/>
      <c r="R343" s="611"/>
      <c r="S343" s="26"/>
      <c r="T343" s="8"/>
      <c r="U343" s="611"/>
      <c r="V343" s="26"/>
      <c r="W343" s="8"/>
      <c r="X343" s="611"/>
      <c r="Y343" s="26"/>
      <c r="Z343" s="8"/>
      <c r="AA343" s="611"/>
      <c r="AB343" s="26"/>
      <c r="AC343" s="8"/>
      <c r="AD343" s="26"/>
      <c r="AE343" s="26"/>
      <c r="AF343" s="26"/>
      <c r="AG343" s="26"/>
      <c r="AH343" s="26"/>
    </row>
    <row r="344" ht="12.75" customHeight="1">
      <c r="A344" s="24"/>
      <c r="B344" s="609"/>
      <c r="C344" s="24"/>
      <c r="D344" s="24"/>
      <c r="E344" s="610"/>
      <c r="F344" s="611"/>
      <c r="G344" s="26"/>
      <c r="H344" s="8"/>
      <c r="I344" s="611"/>
      <c r="J344" s="26"/>
      <c r="K344" s="8"/>
      <c r="L344" s="611"/>
      <c r="M344" s="26"/>
      <c r="N344" s="8"/>
      <c r="O344" s="611"/>
      <c r="P344" s="26"/>
      <c r="Q344" s="8"/>
      <c r="R344" s="611"/>
      <c r="S344" s="26"/>
      <c r="T344" s="8"/>
      <c r="U344" s="611"/>
      <c r="V344" s="26"/>
      <c r="W344" s="8"/>
      <c r="X344" s="611"/>
      <c r="Y344" s="26"/>
      <c r="Z344" s="8"/>
      <c r="AA344" s="611"/>
      <c r="AB344" s="26"/>
      <c r="AC344" s="8"/>
      <c r="AD344" s="26"/>
      <c r="AE344" s="26"/>
      <c r="AF344" s="26"/>
      <c r="AG344" s="26"/>
      <c r="AH344" s="26"/>
    </row>
    <row r="345" ht="12.75" customHeight="1">
      <c r="A345" s="24"/>
      <c r="B345" s="609"/>
      <c r="C345" s="24"/>
      <c r="D345" s="24"/>
      <c r="E345" s="610"/>
      <c r="F345" s="611"/>
      <c r="G345" s="26"/>
      <c r="H345" s="8"/>
      <c r="I345" s="611"/>
      <c r="J345" s="26"/>
      <c r="K345" s="8"/>
      <c r="L345" s="611"/>
      <c r="M345" s="26"/>
      <c r="N345" s="8"/>
      <c r="O345" s="611"/>
      <c r="P345" s="26"/>
      <c r="Q345" s="8"/>
      <c r="R345" s="611"/>
      <c r="S345" s="26"/>
      <c r="T345" s="8"/>
      <c r="U345" s="611"/>
      <c r="V345" s="26"/>
      <c r="W345" s="8"/>
      <c r="X345" s="611"/>
      <c r="Y345" s="26"/>
      <c r="Z345" s="8"/>
      <c r="AA345" s="611"/>
      <c r="AB345" s="26"/>
      <c r="AC345" s="8"/>
      <c r="AD345" s="26"/>
      <c r="AE345" s="26"/>
      <c r="AF345" s="26"/>
      <c r="AG345" s="26"/>
      <c r="AH345" s="26"/>
    </row>
    <row r="346" ht="12.75" customHeight="1">
      <c r="A346" s="24"/>
      <c r="B346" s="609"/>
      <c r="C346" s="24"/>
      <c r="D346" s="24"/>
      <c r="E346" s="610"/>
      <c r="F346" s="611"/>
      <c r="G346" s="26"/>
      <c r="H346" s="8"/>
      <c r="I346" s="611"/>
      <c r="J346" s="26"/>
      <c r="K346" s="8"/>
      <c r="L346" s="611"/>
      <c r="M346" s="26"/>
      <c r="N346" s="8"/>
      <c r="O346" s="611"/>
      <c r="P346" s="26"/>
      <c r="Q346" s="8"/>
      <c r="R346" s="611"/>
      <c r="S346" s="26"/>
      <c r="T346" s="8"/>
      <c r="U346" s="611"/>
      <c r="V346" s="26"/>
      <c r="W346" s="8"/>
      <c r="X346" s="611"/>
      <c r="Y346" s="26"/>
      <c r="Z346" s="8"/>
      <c r="AA346" s="611"/>
      <c r="AB346" s="26"/>
      <c r="AC346" s="8"/>
      <c r="AD346" s="26"/>
      <c r="AE346" s="26"/>
      <c r="AF346" s="26"/>
      <c r="AG346" s="26"/>
      <c r="AH346" s="26"/>
    </row>
    <row r="347" ht="12.75" customHeight="1">
      <c r="A347" s="24"/>
      <c r="B347" s="609"/>
      <c r="C347" s="24"/>
      <c r="D347" s="24"/>
      <c r="E347" s="610"/>
      <c r="F347" s="611"/>
      <c r="G347" s="26"/>
      <c r="H347" s="8"/>
      <c r="I347" s="611"/>
      <c r="J347" s="26"/>
      <c r="K347" s="8"/>
      <c r="L347" s="611"/>
      <c r="M347" s="26"/>
      <c r="N347" s="8"/>
      <c r="O347" s="611"/>
      <c r="P347" s="26"/>
      <c r="Q347" s="8"/>
      <c r="R347" s="611"/>
      <c r="S347" s="26"/>
      <c r="T347" s="8"/>
      <c r="U347" s="611"/>
      <c r="V347" s="26"/>
      <c r="W347" s="8"/>
      <c r="X347" s="611"/>
      <c r="Y347" s="26"/>
      <c r="Z347" s="8"/>
      <c r="AA347" s="611"/>
      <c r="AB347" s="26"/>
      <c r="AC347" s="8"/>
      <c r="AD347" s="26"/>
      <c r="AE347" s="26"/>
      <c r="AF347" s="26"/>
      <c r="AG347" s="26"/>
      <c r="AH347" s="26"/>
    </row>
    <row r="348" ht="12.75" customHeight="1">
      <c r="A348" s="24"/>
      <c r="B348" s="609"/>
      <c r="C348" s="24"/>
      <c r="D348" s="24"/>
      <c r="E348" s="610"/>
      <c r="F348" s="611"/>
      <c r="G348" s="26"/>
      <c r="H348" s="8"/>
      <c r="I348" s="611"/>
      <c r="J348" s="26"/>
      <c r="K348" s="8"/>
      <c r="L348" s="611"/>
      <c r="M348" s="26"/>
      <c r="N348" s="8"/>
      <c r="O348" s="611"/>
      <c r="P348" s="26"/>
      <c r="Q348" s="8"/>
      <c r="R348" s="611"/>
      <c r="S348" s="26"/>
      <c r="T348" s="8"/>
      <c r="U348" s="611"/>
      <c r="V348" s="26"/>
      <c r="W348" s="8"/>
      <c r="X348" s="611"/>
      <c r="Y348" s="26"/>
      <c r="Z348" s="8"/>
      <c r="AA348" s="611"/>
      <c r="AB348" s="26"/>
      <c r="AC348" s="8"/>
      <c r="AD348" s="26"/>
      <c r="AE348" s="26"/>
      <c r="AF348" s="26"/>
      <c r="AG348" s="26"/>
      <c r="AH348" s="26"/>
    </row>
    <row r="349" ht="12.75" customHeight="1">
      <c r="A349" s="24"/>
      <c r="B349" s="609"/>
      <c r="C349" s="24"/>
      <c r="D349" s="24"/>
      <c r="E349" s="610"/>
      <c r="F349" s="611"/>
      <c r="G349" s="26"/>
      <c r="H349" s="8"/>
      <c r="I349" s="611"/>
      <c r="J349" s="26"/>
      <c r="K349" s="8"/>
      <c r="L349" s="611"/>
      <c r="M349" s="26"/>
      <c r="N349" s="8"/>
      <c r="O349" s="611"/>
      <c r="P349" s="26"/>
      <c r="Q349" s="8"/>
      <c r="R349" s="611"/>
      <c r="S349" s="26"/>
      <c r="T349" s="8"/>
      <c r="U349" s="611"/>
      <c r="V349" s="26"/>
      <c r="W349" s="8"/>
      <c r="X349" s="611"/>
      <c r="Y349" s="26"/>
      <c r="Z349" s="8"/>
      <c r="AA349" s="611"/>
      <c r="AB349" s="26"/>
      <c r="AC349" s="8"/>
      <c r="AD349" s="26"/>
      <c r="AE349" s="26"/>
      <c r="AF349" s="26"/>
      <c r="AG349" s="26"/>
      <c r="AH349" s="26"/>
    </row>
    <row r="350" ht="12.75" customHeight="1">
      <c r="A350" s="24"/>
      <c r="B350" s="609"/>
      <c r="C350" s="24"/>
      <c r="D350" s="24"/>
      <c r="E350" s="610"/>
      <c r="F350" s="611"/>
      <c r="G350" s="26"/>
      <c r="H350" s="8"/>
      <c r="I350" s="611"/>
      <c r="J350" s="26"/>
      <c r="K350" s="8"/>
      <c r="L350" s="611"/>
      <c r="M350" s="26"/>
      <c r="N350" s="8"/>
      <c r="O350" s="611"/>
      <c r="P350" s="26"/>
      <c r="Q350" s="8"/>
      <c r="R350" s="611"/>
      <c r="S350" s="26"/>
      <c r="T350" s="8"/>
      <c r="U350" s="611"/>
      <c r="V350" s="26"/>
      <c r="W350" s="8"/>
      <c r="X350" s="611"/>
      <c r="Y350" s="26"/>
      <c r="Z350" s="8"/>
      <c r="AA350" s="611"/>
      <c r="AB350" s="26"/>
      <c r="AC350" s="8"/>
      <c r="AD350" s="26"/>
      <c r="AE350" s="26"/>
      <c r="AF350" s="26"/>
      <c r="AG350" s="26"/>
      <c r="AH350" s="26"/>
    </row>
    <row r="351" ht="12.75" customHeight="1">
      <c r="A351" s="24"/>
      <c r="B351" s="609"/>
      <c r="C351" s="24"/>
      <c r="D351" s="24"/>
      <c r="E351" s="610"/>
      <c r="F351" s="611"/>
      <c r="G351" s="26"/>
      <c r="H351" s="8"/>
      <c r="I351" s="611"/>
      <c r="J351" s="26"/>
      <c r="K351" s="8"/>
      <c r="L351" s="611"/>
      <c r="M351" s="26"/>
      <c r="N351" s="8"/>
      <c r="O351" s="611"/>
      <c r="P351" s="26"/>
      <c r="Q351" s="8"/>
      <c r="R351" s="611"/>
      <c r="S351" s="26"/>
      <c r="T351" s="8"/>
      <c r="U351" s="611"/>
      <c r="V351" s="26"/>
      <c r="W351" s="8"/>
      <c r="X351" s="611"/>
      <c r="Y351" s="26"/>
      <c r="Z351" s="8"/>
      <c r="AA351" s="611"/>
      <c r="AB351" s="26"/>
      <c r="AC351" s="8"/>
      <c r="AD351" s="26"/>
      <c r="AE351" s="26"/>
      <c r="AF351" s="26"/>
      <c r="AG351" s="26"/>
      <c r="AH351" s="26"/>
    </row>
    <row r="352" ht="12.75" customHeight="1">
      <c r="A352" s="24"/>
      <c r="B352" s="609"/>
      <c r="C352" s="24"/>
      <c r="D352" s="24"/>
      <c r="E352" s="610"/>
      <c r="F352" s="611"/>
      <c r="G352" s="26"/>
      <c r="H352" s="8"/>
      <c r="I352" s="611"/>
      <c r="J352" s="26"/>
      <c r="K352" s="8"/>
      <c r="L352" s="611"/>
      <c r="M352" s="26"/>
      <c r="N352" s="8"/>
      <c r="O352" s="611"/>
      <c r="P352" s="26"/>
      <c r="Q352" s="8"/>
      <c r="R352" s="611"/>
      <c r="S352" s="26"/>
      <c r="T352" s="8"/>
      <c r="U352" s="611"/>
      <c r="V352" s="26"/>
      <c r="W352" s="8"/>
      <c r="X352" s="611"/>
      <c r="Y352" s="26"/>
      <c r="Z352" s="8"/>
      <c r="AA352" s="611"/>
      <c r="AB352" s="26"/>
      <c r="AC352" s="8"/>
      <c r="AD352" s="26"/>
      <c r="AE352" s="26"/>
      <c r="AF352" s="26"/>
      <c r="AG352" s="26"/>
      <c r="AH352" s="26"/>
    </row>
    <row r="353" ht="12.75" customHeight="1">
      <c r="A353" s="24"/>
      <c r="B353" s="609"/>
      <c r="C353" s="24"/>
      <c r="D353" s="24"/>
      <c r="E353" s="610"/>
      <c r="F353" s="611"/>
      <c r="G353" s="26"/>
      <c r="H353" s="8"/>
      <c r="I353" s="611"/>
      <c r="J353" s="26"/>
      <c r="K353" s="8"/>
      <c r="L353" s="611"/>
      <c r="M353" s="26"/>
      <c r="N353" s="8"/>
      <c r="O353" s="611"/>
      <c r="P353" s="26"/>
      <c r="Q353" s="8"/>
      <c r="R353" s="611"/>
      <c r="S353" s="26"/>
      <c r="T353" s="8"/>
      <c r="U353" s="611"/>
      <c r="V353" s="26"/>
      <c r="W353" s="8"/>
      <c r="X353" s="611"/>
      <c r="Y353" s="26"/>
      <c r="Z353" s="8"/>
      <c r="AA353" s="611"/>
      <c r="AB353" s="26"/>
      <c r="AC353" s="8"/>
      <c r="AD353" s="26"/>
      <c r="AE353" s="26"/>
      <c r="AF353" s="26"/>
      <c r="AG353" s="26"/>
      <c r="AH353" s="26"/>
    </row>
    <row r="354" ht="12.75" customHeight="1">
      <c r="A354" s="24"/>
      <c r="B354" s="609"/>
      <c r="C354" s="24"/>
      <c r="D354" s="24"/>
      <c r="E354" s="610"/>
      <c r="F354" s="611"/>
      <c r="G354" s="26"/>
      <c r="H354" s="8"/>
      <c r="I354" s="611"/>
      <c r="J354" s="26"/>
      <c r="K354" s="8"/>
      <c r="L354" s="611"/>
      <c r="M354" s="26"/>
      <c r="N354" s="8"/>
      <c r="O354" s="611"/>
      <c r="P354" s="26"/>
      <c r="Q354" s="8"/>
      <c r="R354" s="611"/>
      <c r="S354" s="26"/>
      <c r="T354" s="8"/>
      <c r="U354" s="611"/>
      <c r="V354" s="26"/>
      <c r="W354" s="8"/>
      <c r="X354" s="611"/>
      <c r="Y354" s="26"/>
      <c r="Z354" s="8"/>
      <c r="AA354" s="611"/>
      <c r="AB354" s="26"/>
      <c r="AC354" s="8"/>
      <c r="AD354" s="26"/>
      <c r="AE354" s="26"/>
      <c r="AF354" s="26"/>
      <c r="AG354" s="26"/>
      <c r="AH354" s="26"/>
    </row>
    <row r="355" ht="12.75" customHeight="1">
      <c r="A355" s="24"/>
      <c r="B355" s="609"/>
      <c r="C355" s="24"/>
      <c r="D355" s="24"/>
      <c r="E355" s="610"/>
      <c r="F355" s="611"/>
      <c r="G355" s="26"/>
      <c r="H355" s="8"/>
      <c r="I355" s="611"/>
      <c r="J355" s="26"/>
      <c r="K355" s="8"/>
      <c r="L355" s="611"/>
      <c r="M355" s="26"/>
      <c r="N355" s="8"/>
      <c r="O355" s="611"/>
      <c r="P355" s="26"/>
      <c r="Q355" s="8"/>
      <c r="R355" s="611"/>
      <c r="S355" s="26"/>
      <c r="T355" s="8"/>
      <c r="U355" s="611"/>
      <c r="V355" s="26"/>
      <c r="W355" s="8"/>
      <c r="X355" s="611"/>
      <c r="Y355" s="26"/>
      <c r="Z355" s="8"/>
      <c r="AA355" s="611"/>
      <c r="AB355" s="26"/>
      <c r="AC355" s="8"/>
      <c r="AD355" s="26"/>
      <c r="AE355" s="26"/>
      <c r="AF355" s="26"/>
      <c r="AG355" s="26"/>
      <c r="AH355" s="26"/>
    </row>
    <row r="356" ht="12.75" customHeight="1">
      <c r="A356" s="24"/>
      <c r="B356" s="609"/>
      <c r="C356" s="24"/>
      <c r="D356" s="24"/>
      <c r="E356" s="610"/>
      <c r="F356" s="611"/>
      <c r="G356" s="26"/>
      <c r="H356" s="8"/>
      <c r="I356" s="611"/>
      <c r="J356" s="26"/>
      <c r="K356" s="8"/>
      <c r="L356" s="611"/>
      <c r="M356" s="26"/>
      <c r="N356" s="8"/>
      <c r="O356" s="611"/>
      <c r="P356" s="26"/>
      <c r="Q356" s="8"/>
      <c r="R356" s="611"/>
      <c r="S356" s="26"/>
      <c r="T356" s="8"/>
      <c r="U356" s="611"/>
      <c r="V356" s="26"/>
      <c r="W356" s="8"/>
      <c r="X356" s="611"/>
      <c r="Y356" s="26"/>
      <c r="Z356" s="8"/>
      <c r="AA356" s="611"/>
      <c r="AB356" s="26"/>
      <c r="AC356" s="8"/>
      <c r="AD356" s="26"/>
      <c r="AE356" s="26"/>
      <c r="AF356" s="26"/>
      <c r="AG356" s="26"/>
      <c r="AH356" s="26"/>
    </row>
    <row r="357" ht="12.75" customHeight="1">
      <c r="A357" s="24"/>
      <c r="B357" s="609"/>
      <c r="C357" s="24"/>
      <c r="D357" s="24"/>
      <c r="E357" s="610"/>
      <c r="F357" s="611"/>
      <c r="G357" s="26"/>
      <c r="H357" s="8"/>
      <c r="I357" s="611"/>
      <c r="J357" s="26"/>
      <c r="K357" s="8"/>
      <c r="L357" s="611"/>
      <c r="M357" s="26"/>
      <c r="N357" s="8"/>
      <c r="O357" s="611"/>
      <c r="P357" s="26"/>
      <c r="Q357" s="8"/>
      <c r="R357" s="611"/>
      <c r="S357" s="26"/>
      <c r="T357" s="8"/>
      <c r="U357" s="611"/>
      <c r="V357" s="26"/>
      <c r="W357" s="8"/>
      <c r="X357" s="611"/>
      <c r="Y357" s="26"/>
      <c r="Z357" s="8"/>
      <c r="AA357" s="611"/>
      <c r="AB357" s="26"/>
      <c r="AC357" s="8"/>
      <c r="AD357" s="26"/>
      <c r="AE357" s="26"/>
      <c r="AF357" s="26"/>
      <c r="AG357" s="26"/>
      <c r="AH357" s="26"/>
    </row>
    <row r="358" ht="12.75" customHeight="1">
      <c r="A358" s="24"/>
      <c r="B358" s="609"/>
      <c r="C358" s="24"/>
      <c r="D358" s="24"/>
      <c r="E358" s="610"/>
      <c r="F358" s="611"/>
      <c r="G358" s="26"/>
      <c r="H358" s="8"/>
      <c r="I358" s="611"/>
      <c r="J358" s="26"/>
      <c r="K358" s="8"/>
      <c r="L358" s="611"/>
      <c r="M358" s="26"/>
      <c r="N358" s="8"/>
      <c r="O358" s="611"/>
      <c r="P358" s="26"/>
      <c r="Q358" s="8"/>
      <c r="R358" s="611"/>
      <c r="S358" s="26"/>
      <c r="T358" s="8"/>
      <c r="U358" s="611"/>
      <c r="V358" s="26"/>
      <c r="W358" s="8"/>
      <c r="X358" s="611"/>
      <c r="Y358" s="26"/>
      <c r="Z358" s="8"/>
      <c r="AA358" s="611"/>
      <c r="AB358" s="26"/>
      <c r="AC358" s="8"/>
      <c r="AD358" s="26"/>
      <c r="AE358" s="26"/>
      <c r="AF358" s="26"/>
      <c r="AG358" s="26"/>
      <c r="AH358" s="26"/>
    </row>
    <row r="359" ht="12.75" customHeight="1">
      <c r="A359" s="24"/>
      <c r="B359" s="609"/>
      <c r="C359" s="24"/>
      <c r="D359" s="24"/>
      <c r="E359" s="610"/>
      <c r="F359" s="611"/>
      <c r="G359" s="26"/>
      <c r="H359" s="8"/>
      <c r="I359" s="611"/>
      <c r="J359" s="26"/>
      <c r="K359" s="8"/>
      <c r="L359" s="611"/>
      <c r="M359" s="26"/>
      <c r="N359" s="8"/>
      <c r="O359" s="611"/>
      <c r="P359" s="26"/>
      <c r="Q359" s="8"/>
      <c r="R359" s="611"/>
      <c r="S359" s="26"/>
      <c r="T359" s="8"/>
      <c r="U359" s="611"/>
      <c r="V359" s="26"/>
      <c r="W359" s="8"/>
      <c r="X359" s="611"/>
      <c r="Y359" s="26"/>
      <c r="Z359" s="8"/>
      <c r="AA359" s="611"/>
      <c r="AB359" s="26"/>
      <c r="AC359" s="8"/>
      <c r="AD359" s="26"/>
      <c r="AE359" s="26"/>
      <c r="AF359" s="26"/>
      <c r="AG359" s="26"/>
      <c r="AH359" s="26"/>
    </row>
    <row r="360" ht="12.75" customHeight="1">
      <c r="A360" s="24"/>
      <c r="B360" s="609"/>
      <c r="C360" s="24"/>
      <c r="D360" s="24"/>
      <c r="E360" s="610"/>
      <c r="F360" s="611"/>
      <c r="G360" s="26"/>
      <c r="H360" s="8"/>
      <c r="I360" s="611"/>
      <c r="J360" s="26"/>
      <c r="K360" s="8"/>
      <c r="L360" s="611"/>
      <c r="M360" s="26"/>
      <c r="N360" s="8"/>
      <c r="O360" s="611"/>
      <c r="P360" s="26"/>
      <c r="Q360" s="8"/>
      <c r="R360" s="611"/>
      <c r="S360" s="26"/>
      <c r="T360" s="8"/>
      <c r="U360" s="611"/>
      <c r="V360" s="26"/>
      <c r="W360" s="8"/>
      <c r="X360" s="611"/>
      <c r="Y360" s="26"/>
      <c r="Z360" s="8"/>
      <c r="AA360" s="611"/>
      <c r="AB360" s="26"/>
      <c r="AC360" s="8"/>
      <c r="AD360" s="26"/>
      <c r="AE360" s="26"/>
      <c r="AF360" s="26"/>
      <c r="AG360" s="26"/>
      <c r="AH360" s="26"/>
    </row>
    <row r="361" ht="12.75" customHeight="1">
      <c r="A361" s="24"/>
      <c r="B361" s="609"/>
      <c r="C361" s="24"/>
      <c r="D361" s="24"/>
      <c r="E361" s="610"/>
      <c r="F361" s="611"/>
      <c r="G361" s="26"/>
      <c r="H361" s="8"/>
      <c r="I361" s="611"/>
      <c r="J361" s="26"/>
      <c r="K361" s="8"/>
      <c r="L361" s="611"/>
      <c r="M361" s="26"/>
      <c r="N361" s="8"/>
      <c r="O361" s="611"/>
      <c r="P361" s="26"/>
      <c r="Q361" s="8"/>
      <c r="R361" s="611"/>
      <c r="S361" s="26"/>
      <c r="T361" s="8"/>
      <c r="U361" s="611"/>
      <c r="V361" s="26"/>
      <c r="W361" s="8"/>
      <c r="X361" s="611"/>
      <c r="Y361" s="26"/>
      <c r="Z361" s="8"/>
      <c r="AA361" s="611"/>
      <c r="AB361" s="26"/>
      <c r="AC361" s="8"/>
      <c r="AD361" s="26"/>
      <c r="AE361" s="26"/>
      <c r="AF361" s="26"/>
      <c r="AG361" s="26"/>
      <c r="AH361" s="26"/>
    </row>
    <row r="362" ht="12.75" customHeight="1">
      <c r="A362" s="24"/>
      <c r="B362" s="609"/>
      <c r="C362" s="24"/>
      <c r="D362" s="24"/>
      <c r="E362" s="610"/>
      <c r="F362" s="611"/>
      <c r="G362" s="26"/>
      <c r="H362" s="8"/>
      <c r="I362" s="611"/>
      <c r="J362" s="26"/>
      <c r="K362" s="8"/>
      <c r="L362" s="611"/>
      <c r="M362" s="26"/>
      <c r="N362" s="8"/>
      <c r="O362" s="611"/>
      <c r="P362" s="26"/>
      <c r="Q362" s="8"/>
      <c r="R362" s="611"/>
      <c r="S362" s="26"/>
      <c r="T362" s="8"/>
      <c r="U362" s="611"/>
      <c r="V362" s="26"/>
      <c r="W362" s="8"/>
      <c r="X362" s="611"/>
      <c r="Y362" s="26"/>
      <c r="Z362" s="8"/>
      <c r="AA362" s="611"/>
      <c r="AB362" s="26"/>
      <c r="AC362" s="8"/>
      <c r="AD362" s="26"/>
      <c r="AE362" s="26"/>
      <c r="AF362" s="26"/>
      <c r="AG362" s="26"/>
      <c r="AH362" s="26"/>
    </row>
    <row r="363" ht="12.75" customHeight="1">
      <c r="A363" s="24"/>
      <c r="B363" s="609"/>
      <c r="C363" s="24"/>
      <c r="D363" s="24"/>
      <c r="E363" s="610"/>
      <c r="F363" s="611"/>
      <c r="G363" s="26"/>
      <c r="H363" s="8"/>
      <c r="I363" s="611"/>
      <c r="J363" s="26"/>
      <c r="K363" s="8"/>
      <c r="L363" s="611"/>
      <c r="M363" s="26"/>
      <c r="N363" s="8"/>
      <c r="O363" s="611"/>
      <c r="P363" s="26"/>
      <c r="Q363" s="8"/>
      <c r="R363" s="611"/>
      <c r="S363" s="26"/>
      <c r="T363" s="8"/>
      <c r="U363" s="611"/>
      <c r="V363" s="26"/>
      <c r="W363" s="8"/>
      <c r="X363" s="611"/>
      <c r="Y363" s="26"/>
      <c r="Z363" s="8"/>
      <c r="AA363" s="611"/>
      <c r="AB363" s="26"/>
      <c r="AC363" s="8"/>
      <c r="AD363" s="26"/>
      <c r="AE363" s="26"/>
      <c r="AF363" s="26"/>
      <c r="AG363" s="26"/>
      <c r="AH363" s="26"/>
    </row>
    <row r="364" ht="12.75" customHeight="1">
      <c r="A364" s="24"/>
      <c r="B364" s="609"/>
      <c r="C364" s="24"/>
      <c r="D364" s="24"/>
      <c r="E364" s="610"/>
      <c r="F364" s="611"/>
      <c r="G364" s="26"/>
      <c r="H364" s="8"/>
      <c r="I364" s="611"/>
      <c r="J364" s="26"/>
      <c r="K364" s="8"/>
      <c r="L364" s="611"/>
      <c r="M364" s="26"/>
      <c r="N364" s="8"/>
      <c r="O364" s="611"/>
      <c r="P364" s="26"/>
      <c r="Q364" s="8"/>
      <c r="R364" s="611"/>
      <c r="S364" s="26"/>
      <c r="T364" s="8"/>
      <c r="U364" s="611"/>
      <c r="V364" s="26"/>
      <c r="W364" s="8"/>
      <c r="X364" s="611"/>
      <c r="Y364" s="26"/>
      <c r="Z364" s="8"/>
      <c r="AA364" s="611"/>
      <c r="AB364" s="26"/>
      <c r="AC364" s="8"/>
      <c r="AD364" s="26"/>
      <c r="AE364" s="26"/>
      <c r="AF364" s="26"/>
      <c r="AG364" s="26"/>
      <c r="AH364" s="26"/>
    </row>
    <row r="365" ht="12.75" customHeight="1">
      <c r="A365" s="24"/>
      <c r="B365" s="609"/>
      <c r="C365" s="24"/>
      <c r="D365" s="24"/>
      <c r="E365" s="610"/>
      <c r="F365" s="611"/>
      <c r="G365" s="26"/>
      <c r="H365" s="8"/>
      <c r="I365" s="611"/>
      <c r="J365" s="26"/>
      <c r="K365" s="8"/>
      <c r="L365" s="611"/>
      <c r="M365" s="26"/>
      <c r="N365" s="8"/>
      <c r="O365" s="611"/>
      <c r="P365" s="26"/>
      <c r="Q365" s="8"/>
      <c r="R365" s="611"/>
      <c r="S365" s="26"/>
      <c r="T365" s="8"/>
      <c r="U365" s="611"/>
      <c r="V365" s="26"/>
      <c r="W365" s="8"/>
      <c r="X365" s="611"/>
      <c r="Y365" s="26"/>
      <c r="Z365" s="8"/>
      <c r="AA365" s="611"/>
      <c r="AB365" s="26"/>
      <c r="AC365" s="8"/>
      <c r="AD365" s="26"/>
      <c r="AE365" s="26"/>
      <c r="AF365" s="26"/>
      <c r="AG365" s="26"/>
      <c r="AH365" s="26"/>
    </row>
    <row r="366" ht="12.75" customHeight="1">
      <c r="A366" s="24"/>
      <c r="B366" s="609"/>
      <c r="C366" s="24"/>
      <c r="D366" s="24"/>
      <c r="E366" s="610"/>
      <c r="F366" s="611"/>
      <c r="G366" s="26"/>
      <c r="H366" s="8"/>
      <c r="I366" s="611"/>
      <c r="J366" s="26"/>
      <c r="K366" s="8"/>
      <c r="L366" s="611"/>
      <c r="M366" s="26"/>
      <c r="N366" s="8"/>
      <c r="O366" s="611"/>
      <c r="P366" s="26"/>
      <c r="Q366" s="8"/>
      <c r="R366" s="611"/>
      <c r="S366" s="26"/>
      <c r="T366" s="8"/>
      <c r="U366" s="611"/>
      <c r="V366" s="26"/>
      <c r="W366" s="8"/>
      <c r="X366" s="611"/>
      <c r="Y366" s="26"/>
      <c r="Z366" s="8"/>
      <c r="AA366" s="611"/>
      <c r="AB366" s="26"/>
      <c r="AC366" s="8"/>
      <c r="AD366" s="26"/>
      <c r="AE366" s="26"/>
      <c r="AF366" s="26"/>
      <c r="AG366" s="26"/>
      <c r="AH366" s="26"/>
    </row>
    <row r="367" ht="12.75" customHeight="1">
      <c r="A367" s="24"/>
      <c r="B367" s="609"/>
      <c r="C367" s="24"/>
      <c r="D367" s="24"/>
      <c r="E367" s="610"/>
      <c r="F367" s="611"/>
      <c r="G367" s="26"/>
      <c r="H367" s="8"/>
      <c r="I367" s="611"/>
      <c r="J367" s="26"/>
      <c r="K367" s="8"/>
      <c r="L367" s="611"/>
      <c r="M367" s="26"/>
      <c r="N367" s="8"/>
      <c r="O367" s="611"/>
      <c r="P367" s="26"/>
      <c r="Q367" s="8"/>
      <c r="R367" s="611"/>
      <c r="S367" s="26"/>
      <c r="T367" s="8"/>
      <c r="U367" s="611"/>
      <c r="V367" s="26"/>
      <c r="W367" s="8"/>
      <c r="X367" s="611"/>
      <c r="Y367" s="26"/>
      <c r="Z367" s="8"/>
      <c r="AA367" s="611"/>
      <c r="AB367" s="26"/>
      <c r="AC367" s="8"/>
      <c r="AD367" s="26"/>
      <c r="AE367" s="26"/>
      <c r="AF367" s="26"/>
      <c r="AG367" s="26"/>
      <c r="AH367" s="26"/>
    </row>
    <row r="368" ht="12.75" customHeight="1">
      <c r="A368" s="24"/>
      <c r="B368" s="609"/>
      <c r="C368" s="24"/>
      <c r="D368" s="24"/>
      <c r="E368" s="610"/>
      <c r="F368" s="611"/>
      <c r="G368" s="26"/>
      <c r="H368" s="8"/>
      <c r="I368" s="611"/>
      <c r="J368" s="26"/>
      <c r="K368" s="8"/>
      <c r="L368" s="611"/>
      <c r="M368" s="26"/>
      <c r="N368" s="8"/>
      <c r="O368" s="611"/>
      <c r="P368" s="26"/>
      <c r="Q368" s="8"/>
      <c r="R368" s="611"/>
      <c r="S368" s="26"/>
      <c r="T368" s="8"/>
      <c r="U368" s="611"/>
      <c r="V368" s="26"/>
      <c r="W368" s="8"/>
      <c r="X368" s="611"/>
      <c r="Y368" s="26"/>
      <c r="Z368" s="8"/>
      <c r="AA368" s="611"/>
      <c r="AB368" s="26"/>
      <c r="AC368" s="8"/>
      <c r="AD368" s="26"/>
      <c r="AE368" s="26"/>
      <c r="AF368" s="26"/>
      <c r="AG368" s="26"/>
      <c r="AH368" s="26"/>
    </row>
    <row r="369" ht="12.75" customHeight="1">
      <c r="A369" s="24"/>
      <c r="B369" s="609"/>
      <c r="C369" s="24"/>
      <c r="D369" s="24"/>
      <c r="E369" s="610"/>
      <c r="F369" s="611"/>
      <c r="G369" s="26"/>
      <c r="H369" s="8"/>
      <c r="I369" s="611"/>
      <c r="J369" s="26"/>
      <c r="K369" s="8"/>
      <c r="L369" s="611"/>
      <c r="M369" s="26"/>
      <c r="N369" s="8"/>
      <c r="O369" s="611"/>
      <c r="P369" s="26"/>
      <c r="Q369" s="8"/>
      <c r="R369" s="611"/>
      <c r="S369" s="26"/>
      <c r="T369" s="8"/>
      <c r="U369" s="611"/>
      <c r="V369" s="26"/>
      <c r="W369" s="8"/>
      <c r="X369" s="611"/>
      <c r="Y369" s="26"/>
      <c r="Z369" s="8"/>
      <c r="AA369" s="611"/>
      <c r="AB369" s="26"/>
      <c r="AC369" s="8"/>
      <c r="AD369" s="26"/>
      <c r="AE369" s="26"/>
      <c r="AF369" s="26"/>
      <c r="AG369" s="26"/>
      <c r="AH369" s="26"/>
    </row>
    <row r="370" ht="12.75" customHeight="1">
      <c r="A370" s="24"/>
      <c r="B370" s="609"/>
      <c r="C370" s="24"/>
      <c r="D370" s="24"/>
      <c r="E370" s="610"/>
      <c r="F370" s="611"/>
      <c r="G370" s="26"/>
      <c r="H370" s="8"/>
      <c r="I370" s="611"/>
      <c r="J370" s="26"/>
      <c r="K370" s="8"/>
      <c r="L370" s="611"/>
      <c r="M370" s="26"/>
      <c r="N370" s="8"/>
      <c r="O370" s="611"/>
      <c r="P370" s="26"/>
      <c r="Q370" s="8"/>
      <c r="R370" s="611"/>
      <c r="S370" s="26"/>
      <c r="T370" s="8"/>
      <c r="U370" s="611"/>
      <c r="V370" s="26"/>
      <c r="W370" s="8"/>
      <c r="X370" s="611"/>
      <c r="Y370" s="26"/>
      <c r="Z370" s="8"/>
      <c r="AA370" s="611"/>
      <c r="AB370" s="26"/>
      <c r="AC370" s="8"/>
      <c r="AD370" s="26"/>
      <c r="AE370" s="26"/>
      <c r="AF370" s="26"/>
      <c r="AG370" s="26"/>
      <c r="AH370" s="26"/>
    </row>
    <row r="371" ht="12.75" customHeight="1">
      <c r="A371" s="24"/>
      <c r="B371" s="609"/>
      <c r="C371" s="24"/>
      <c r="D371" s="24"/>
      <c r="E371" s="610"/>
      <c r="F371" s="611"/>
      <c r="G371" s="26"/>
      <c r="H371" s="8"/>
      <c r="I371" s="611"/>
      <c r="J371" s="26"/>
      <c r="K371" s="8"/>
      <c r="L371" s="611"/>
      <c r="M371" s="26"/>
      <c r="N371" s="8"/>
      <c r="O371" s="611"/>
      <c r="P371" s="26"/>
      <c r="Q371" s="8"/>
      <c r="R371" s="611"/>
      <c r="S371" s="26"/>
      <c r="T371" s="8"/>
      <c r="U371" s="611"/>
      <c r="V371" s="26"/>
      <c r="W371" s="8"/>
      <c r="X371" s="611"/>
      <c r="Y371" s="26"/>
      <c r="Z371" s="8"/>
      <c r="AA371" s="611"/>
      <c r="AB371" s="26"/>
      <c r="AC371" s="8"/>
      <c r="AD371" s="26"/>
      <c r="AE371" s="26"/>
      <c r="AF371" s="26"/>
      <c r="AG371" s="26"/>
      <c r="AH371" s="26"/>
    </row>
    <row r="372" ht="12.75" customHeight="1">
      <c r="A372" s="24"/>
      <c r="B372" s="609"/>
      <c r="C372" s="24"/>
      <c r="D372" s="24"/>
      <c r="E372" s="610"/>
      <c r="F372" s="611"/>
      <c r="G372" s="26"/>
      <c r="H372" s="8"/>
      <c r="I372" s="611"/>
      <c r="J372" s="26"/>
      <c r="K372" s="8"/>
      <c r="L372" s="611"/>
      <c r="M372" s="26"/>
      <c r="N372" s="8"/>
      <c r="O372" s="611"/>
      <c r="P372" s="26"/>
      <c r="Q372" s="8"/>
      <c r="R372" s="611"/>
      <c r="S372" s="26"/>
      <c r="T372" s="8"/>
      <c r="U372" s="611"/>
      <c r="V372" s="26"/>
      <c r="W372" s="8"/>
      <c r="X372" s="611"/>
      <c r="Y372" s="26"/>
      <c r="Z372" s="8"/>
      <c r="AA372" s="611"/>
      <c r="AB372" s="26"/>
      <c r="AC372" s="8"/>
      <c r="AD372" s="26"/>
      <c r="AE372" s="26"/>
      <c r="AF372" s="26"/>
      <c r="AG372" s="26"/>
      <c r="AH372" s="26"/>
    </row>
    <row r="373" ht="12.75" customHeight="1">
      <c r="A373" s="24"/>
      <c r="B373" s="609"/>
      <c r="C373" s="24"/>
      <c r="D373" s="24"/>
      <c r="E373" s="610"/>
      <c r="F373" s="611"/>
      <c r="G373" s="26"/>
      <c r="H373" s="8"/>
      <c r="I373" s="611"/>
      <c r="J373" s="26"/>
      <c r="K373" s="8"/>
      <c r="L373" s="611"/>
      <c r="M373" s="26"/>
      <c r="N373" s="8"/>
      <c r="O373" s="611"/>
      <c r="P373" s="26"/>
      <c r="Q373" s="8"/>
      <c r="R373" s="611"/>
      <c r="S373" s="26"/>
      <c r="T373" s="8"/>
      <c r="U373" s="611"/>
      <c r="V373" s="26"/>
      <c r="W373" s="8"/>
      <c r="X373" s="611"/>
      <c r="Y373" s="26"/>
      <c r="Z373" s="8"/>
      <c r="AA373" s="611"/>
      <c r="AB373" s="26"/>
      <c r="AC373" s="8"/>
      <c r="AD373" s="26"/>
      <c r="AE373" s="26"/>
      <c r="AF373" s="26"/>
      <c r="AG373" s="26"/>
      <c r="AH373" s="26"/>
    </row>
    <row r="374" ht="12.75" customHeight="1">
      <c r="A374" s="24"/>
      <c r="B374" s="609"/>
      <c r="C374" s="24"/>
      <c r="D374" s="24"/>
      <c r="E374" s="610"/>
      <c r="F374" s="611"/>
      <c r="G374" s="26"/>
      <c r="H374" s="8"/>
      <c r="I374" s="611"/>
      <c r="J374" s="26"/>
      <c r="K374" s="8"/>
      <c r="L374" s="611"/>
      <c r="M374" s="26"/>
      <c r="N374" s="8"/>
      <c r="O374" s="611"/>
      <c r="P374" s="26"/>
      <c r="Q374" s="8"/>
      <c r="R374" s="611"/>
      <c r="S374" s="26"/>
      <c r="T374" s="8"/>
      <c r="U374" s="611"/>
      <c r="V374" s="26"/>
      <c r="W374" s="8"/>
      <c r="X374" s="611"/>
      <c r="Y374" s="26"/>
      <c r="Z374" s="8"/>
      <c r="AA374" s="611"/>
      <c r="AB374" s="26"/>
      <c r="AC374" s="8"/>
      <c r="AD374" s="26"/>
      <c r="AE374" s="26"/>
      <c r="AF374" s="26"/>
      <c r="AG374" s="26"/>
      <c r="AH374" s="26"/>
    </row>
    <row r="375" ht="12.75" customHeight="1">
      <c r="A375" s="24"/>
      <c r="B375" s="609"/>
      <c r="C375" s="24"/>
      <c r="D375" s="24"/>
      <c r="E375" s="610"/>
      <c r="F375" s="611"/>
      <c r="G375" s="26"/>
      <c r="H375" s="8"/>
      <c r="I375" s="611"/>
      <c r="J375" s="26"/>
      <c r="K375" s="8"/>
      <c r="L375" s="611"/>
      <c r="M375" s="26"/>
      <c r="N375" s="8"/>
      <c r="O375" s="611"/>
      <c r="P375" s="26"/>
      <c r="Q375" s="8"/>
      <c r="R375" s="611"/>
      <c r="S375" s="26"/>
      <c r="T375" s="8"/>
      <c r="U375" s="611"/>
      <c r="V375" s="26"/>
      <c r="W375" s="8"/>
      <c r="X375" s="611"/>
      <c r="Y375" s="26"/>
      <c r="Z375" s="8"/>
      <c r="AA375" s="611"/>
      <c r="AB375" s="26"/>
      <c r="AC375" s="8"/>
      <c r="AD375" s="26"/>
      <c r="AE375" s="26"/>
      <c r="AF375" s="26"/>
      <c r="AG375" s="26"/>
      <c r="AH375" s="26"/>
    </row>
    <row r="376" ht="12.75" customHeight="1">
      <c r="A376" s="24"/>
      <c r="B376" s="609"/>
      <c r="C376" s="24"/>
      <c r="D376" s="24"/>
      <c r="E376" s="610"/>
      <c r="F376" s="611"/>
      <c r="G376" s="26"/>
      <c r="H376" s="8"/>
      <c r="I376" s="611"/>
      <c r="J376" s="26"/>
      <c r="K376" s="8"/>
      <c r="L376" s="611"/>
      <c r="M376" s="26"/>
      <c r="N376" s="8"/>
      <c r="O376" s="611"/>
      <c r="P376" s="26"/>
      <c r="Q376" s="8"/>
      <c r="R376" s="611"/>
      <c r="S376" s="26"/>
      <c r="T376" s="8"/>
      <c r="U376" s="611"/>
      <c r="V376" s="26"/>
      <c r="W376" s="8"/>
      <c r="X376" s="611"/>
      <c r="Y376" s="26"/>
      <c r="Z376" s="8"/>
      <c r="AA376" s="611"/>
      <c r="AB376" s="26"/>
      <c r="AC376" s="8"/>
      <c r="AD376" s="26"/>
      <c r="AE376" s="26"/>
      <c r="AF376" s="26"/>
      <c r="AG376" s="26"/>
      <c r="AH376" s="26"/>
    </row>
    <row r="377" ht="12.75" customHeight="1">
      <c r="A377" s="24"/>
      <c r="B377" s="609"/>
      <c r="C377" s="24"/>
      <c r="D377" s="24"/>
      <c r="E377" s="610"/>
      <c r="F377" s="611"/>
      <c r="G377" s="26"/>
      <c r="H377" s="8"/>
      <c r="I377" s="611"/>
      <c r="J377" s="26"/>
      <c r="K377" s="8"/>
      <c r="L377" s="611"/>
      <c r="M377" s="26"/>
      <c r="N377" s="8"/>
      <c r="O377" s="611"/>
      <c r="P377" s="26"/>
      <c r="Q377" s="8"/>
      <c r="R377" s="611"/>
      <c r="S377" s="26"/>
      <c r="T377" s="8"/>
      <c r="U377" s="611"/>
      <c r="V377" s="26"/>
      <c r="W377" s="8"/>
      <c r="X377" s="611"/>
      <c r="Y377" s="26"/>
      <c r="Z377" s="8"/>
      <c r="AA377" s="611"/>
      <c r="AB377" s="26"/>
      <c r="AC377" s="8"/>
      <c r="AD377" s="26"/>
      <c r="AE377" s="26"/>
      <c r="AF377" s="26"/>
      <c r="AG377" s="26"/>
      <c r="AH377" s="26"/>
    </row>
    <row r="378" ht="12.75" customHeight="1">
      <c r="A378" s="24"/>
      <c r="B378" s="609"/>
      <c r="C378" s="24"/>
      <c r="D378" s="24"/>
      <c r="E378" s="610"/>
      <c r="F378" s="611"/>
      <c r="G378" s="26"/>
      <c r="H378" s="8"/>
      <c r="I378" s="611"/>
      <c r="J378" s="26"/>
      <c r="K378" s="8"/>
      <c r="L378" s="611"/>
      <c r="M378" s="26"/>
      <c r="N378" s="8"/>
      <c r="O378" s="611"/>
      <c r="P378" s="26"/>
      <c r="Q378" s="8"/>
      <c r="R378" s="611"/>
      <c r="S378" s="26"/>
      <c r="T378" s="8"/>
      <c r="U378" s="611"/>
      <c r="V378" s="26"/>
      <c r="W378" s="8"/>
      <c r="X378" s="611"/>
      <c r="Y378" s="26"/>
      <c r="Z378" s="8"/>
      <c r="AA378" s="611"/>
      <c r="AB378" s="26"/>
      <c r="AC378" s="8"/>
      <c r="AD378" s="26"/>
      <c r="AE378" s="26"/>
      <c r="AF378" s="26"/>
      <c r="AG378" s="26"/>
      <c r="AH378" s="26"/>
    </row>
    <row r="379" ht="12.75" customHeight="1">
      <c r="A379" s="24"/>
      <c r="B379" s="609"/>
      <c r="C379" s="24"/>
      <c r="D379" s="24"/>
      <c r="E379" s="610"/>
      <c r="F379" s="611"/>
      <c r="G379" s="26"/>
      <c r="H379" s="8"/>
      <c r="I379" s="611"/>
      <c r="J379" s="26"/>
      <c r="K379" s="8"/>
      <c r="L379" s="611"/>
      <c r="M379" s="26"/>
      <c r="N379" s="8"/>
      <c r="O379" s="611"/>
      <c r="P379" s="26"/>
      <c r="Q379" s="8"/>
      <c r="R379" s="611"/>
      <c r="S379" s="26"/>
      <c r="T379" s="8"/>
      <c r="U379" s="611"/>
      <c r="V379" s="26"/>
      <c r="W379" s="8"/>
      <c r="X379" s="611"/>
      <c r="Y379" s="26"/>
      <c r="Z379" s="8"/>
      <c r="AA379" s="611"/>
      <c r="AB379" s="26"/>
      <c r="AC379" s="8"/>
      <c r="AD379" s="26"/>
      <c r="AE379" s="26"/>
      <c r="AF379" s="26"/>
      <c r="AG379" s="26"/>
      <c r="AH379" s="26"/>
    </row>
    <row r="380" ht="12.75" customHeight="1">
      <c r="A380" s="24"/>
      <c r="B380" s="609"/>
      <c r="C380" s="24"/>
      <c r="D380" s="24"/>
      <c r="E380" s="610"/>
      <c r="F380" s="611"/>
      <c r="G380" s="26"/>
      <c r="H380" s="8"/>
      <c r="I380" s="611"/>
      <c r="J380" s="26"/>
      <c r="K380" s="8"/>
      <c r="L380" s="611"/>
      <c r="M380" s="26"/>
      <c r="N380" s="8"/>
      <c r="O380" s="611"/>
      <c r="P380" s="26"/>
      <c r="Q380" s="8"/>
      <c r="R380" s="611"/>
      <c r="S380" s="26"/>
      <c r="T380" s="8"/>
      <c r="U380" s="611"/>
      <c r="V380" s="26"/>
      <c r="W380" s="8"/>
      <c r="X380" s="611"/>
      <c r="Y380" s="26"/>
      <c r="Z380" s="8"/>
      <c r="AA380" s="611"/>
      <c r="AB380" s="26"/>
      <c r="AC380" s="8"/>
      <c r="AD380" s="26"/>
      <c r="AE380" s="26"/>
      <c r="AF380" s="26"/>
      <c r="AG380" s="26"/>
      <c r="AH380" s="26"/>
    </row>
    <row r="381" ht="12.75" customHeight="1">
      <c r="A381" s="24"/>
      <c r="B381" s="609"/>
      <c r="C381" s="24"/>
      <c r="D381" s="24"/>
      <c r="E381" s="610"/>
      <c r="F381" s="611"/>
      <c r="G381" s="26"/>
      <c r="H381" s="8"/>
      <c r="I381" s="611"/>
      <c r="J381" s="26"/>
      <c r="K381" s="8"/>
      <c r="L381" s="611"/>
      <c r="M381" s="26"/>
      <c r="N381" s="8"/>
      <c r="O381" s="611"/>
      <c r="P381" s="26"/>
      <c r="Q381" s="8"/>
      <c r="R381" s="611"/>
      <c r="S381" s="26"/>
      <c r="T381" s="8"/>
      <c r="U381" s="611"/>
      <c r="V381" s="26"/>
      <c r="W381" s="8"/>
      <c r="X381" s="611"/>
      <c r="Y381" s="26"/>
      <c r="Z381" s="8"/>
      <c r="AA381" s="611"/>
      <c r="AB381" s="26"/>
      <c r="AC381" s="8"/>
      <c r="AD381" s="26"/>
      <c r="AE381" s="26"/>
      <c r="AF381" s="26"/>
      <c r="AG381" s="26"/>
      <c r="AH381" s="26"/>
    </row>
    <row r="382" ht="12.75" customHeight="1">
      <c r="A382" s="24"/>
      <c r="B382" s="609"/>
      <c r="C382" s="24"/>
      <c r="D382" s="24"/>
      <c r="E382" s="610"/>
      <c r="F382" s="611"/>
      <c r="G382" s="26"/>
      <c r="H382" s="8"/>
      <c r="I382" s="611"/>
      <c r="J382" s="26"/>
      <c r="K382" s="8"/>
      <c r="L382" s="611"/>
      <c r="M382" s="26"/>
      <c r="N382" s="8"/>
      <c r="O382" s="611"/>
      <c r="P382" s="26"/>
      <c r="Q382" s="8"/>
      <c r="R382" s="611"/>
      <c r="S382" s="26"/>
      <c r="T382" s="8"/>
      <c r="U382" s="611"/>
      <c r="V382" s="26"/>
      <c r="W382" s="8"/>
      <c r="X382" s="611"/>
      <c r="Y382" s="26"/>
      <c r="Z382" s="8"/>
      <c r="AA382" s="611"/>
      <c r="AB382" s="26"/>
      <c r="AC382" s="8"/>
      <c r="AD382" s="26"/>
      <c r="AE382" s="26"/>
      <c r="AF382" s="26"/>
      <c r="AG382" s="26"/>
      <c r="AH382" s="26"/>
    </row>
    <row r="383" ht="12.75" customHeight="1">
      <c r="A383" s="24"/>
      <c r="B383" s="609"/>
      <c r="C383" s="24"/>
      <c r="D383" s="24"/>
      <c r="E383" s="610"/>
      <c r="F383" s="611"/>
      <c r="G383" s="26"/>
      <c r="H383" s="8"/>
      <c r="I383" s="611"/>
      <c r="J383" s="26"/>
      <c r="K383" s="8"/>
      <c r="L383" s="611"/>
      <c r="M383" s="26"/>
      <c r="N383" s="8"/>
      <c r="O383" s="611"/>
      <c r="P383" s="26"/>
      <c r="Q383" s="8"/>
      <c r="R383" s="611"/>
      <c r="S383" s="26"/>
      <c r="T383" s="8"/>
      <c r="U383" s="611"/>
      <c r="V383" s="26"/>
      <c r="W383" s="8"/>
      <c r="X383" s="611"/>
      <c r="Y383" s="26"/>
      <c r="Z383" s="8"/>
      <c r="AA383" s="611"/>
      <c r="AB383" s="26"/>
      <c r="AC383" s="8"/>
      <c r="AD383" s="26"/>
      <c r="AE383" s="26"/>
      <c r="AF383" s="26"/>
      <c r="AG383" s="26"/>
      <c r="AH383" s="26"/>
    </row>
    <row r="384" ht="12.75" customHeight="1">
      <c r="A384" s="24"/>
      <c r="B384" s="609"/>
      <c r="C384" s="24"/>
      <c r="D384" s="24"/>
      <c r="E384" s="610"/>
      <c r="F384" s="611"/>
      <c r="G384" s="26"/>
      <c r="H384" s="8"/>
      <c r="I384" s="611"/>
      <c r="J384" s="26"/>
      <c r="K384" s="8"/>
      <c r="L384" s="611"/>
      <c r="M384" s="26"/>
      <c r="N384" s="8"/>
      <c r="O384" s="611"/>
      <c r="P384" s="26"/>
      <c r="Q384" s="8"/>
      <c r="R384" s="611"/>
      <c r="S384" s="26"/>
      <c r="T384" s="8"/>
      <c r="U384" s="611"/>
      <c r="V384" s="26"/>
      <c r="W384" s="8"/>
      <c r="X384" s="611"/>
      <c r="Y384" s="26"/>
      <c r="Z384" s="8"/>
      <c r="AA384" s="611"/>
      <c r="AB384" s="26"/>
      <c r="AC384" s="8"/>
      <c r="AD384" s="26"/>
      <c r="AE384" s="26"/>
      <c r="AF384" s="26"/>
      <c r="AG384" s="26"/>
      <c r="AH384" s="26"/>
    </row>
    <row r="385" ht="12.75" customHeight="1">
      <c r="A385" s="24"/>
      <c r="B385" s="609"/>
      <c r="C385" s="24"/>
      <c r="D385" s="24"/>
      <c r="E385" s="610"/>
      <c r="F385" s="611"/>
      <c r="G385" s="26"/>
      <c r="H385" s="8"/>
      <c r="I385" s="611"/>
      <c r="J385" s="26"/>
      <c r="K385" s="8"/>
      <c r="L385" s="611"/>
      <c r="M385" s="26"/>
      <c r="N385" s="8"/>
      <c r="O385" s="611"/>
      <c r="P385" s="26"/>
      <c r="Q385" s="8"/>
      <c r="R385" s="611"/>
      <c r="S385" s="26"/>
      <c r="T385" s="8"/>
      <c r="U385" s="611"/>
      <c r="V385" s="26"/>
      <c r="W385" s="8"/>
      <c r="X385" s="611"/>
      <c r="Y385" s="26"/>
      <c r="Z385" s="8"/>
      <c r="AA385" s="611"/>
      <c r="AB385" s="26"/>
      <c r="AC385" s="8"/>
      <c r="AD385" s="26"/>
      <c r="AE385" s="26"/>
      <c r="AF385" s="26"/>
      <c r="AG385" s="26"/>
      <c r="AH385" s="26"/>
    </row>
    <row r="386" ht="12.75" customHeight="1">
      <c r="A386" s="24"/>
      <c r="B386" s="609"/>
      <c r="C386" s="24"/>
      <c r="D386" s="24"/>
      <c r="E386" s="610"/>
      <c r="F386" s="611"/>
      <c r="G386" s="26"/>
      <c r="H386" s="8"/>
      <c r="I386" s="611"/>
      <c r="J386" s="26"/>
      <c r="K386" s="8"/>
      <c r="L386" s="611"/>
      <c r="M386" s="26"/>
      <c r="N386" s="8"/>
      <c r="O386" s="611"/>
      <c r="P386" s="26"/>
      <c r="Q386" s="8"/>
      <c r="R386" s="611"/>
      <c r="S386" s="26"/>
      <c r="T386" s="8"/>
      <c r="U386" s="611"/>
      <c r="V386" s="26"/>
      <c r="W386" s="8"/>
      <c r="X386" s="611"/>
      <c r="Y386" s="26"/>
      <c r="Z386" s="8"/>
      <c r="AA386" s="611"/>
      <c r="AB386" s="26"/>
      <c r="AC386" s="8"/>
      <c r="AD386" s="26"/>
      <c r="AE386" s="26"/>
      <c r="AF386" s="26"/>
      <c r="AG386" s="26"/>
      <c r="AH386" s="26"/>
    </row>
    <row r="387" ht="12.75" customHeight="1">
      <c r="A387" s="24"/>
      <c r="B387" s="609"/>
      <c r="C387" s="24"/>
      <c r="D387" s="24"/>
      <c r="E387" s="610"/>
      <c r="F387" s="611"/>
      <c r="G387" s="26"/>
      <c r="H387" s="8"/>
      <c r="I387" s="611"/>
      <c r="J387" s="26"/>
      <c r="K387" s="8"/>
      <c r="L387" s="611"/>
      <c r="M387" s="26"/>
      <c r="N387" s="8"/>
      <c r="O387" s="611"/>
      <c r="P387" s="26"/>
      <c r="Q387" s="8"/>
      <c r="R387" s="611"/>
      <c r="S387" s="26"/>
      <c r="T387" s="8"/>
      <c r="U387" s="611"/>
      <c r="V387" s="26"/>
      <c r="W387" s="8"/>
      <c r="X387" s="611"/>
      <c r="Y387" s="26"/>
      <c r="Z387" s="8"/>
      <c r="AA387" s="611"/>
      <c r="AB387" s="26"/>
      <c r="AC387" s="8"/>
      <c r="AD387" s="26"/>
      <c r="AE387" s="26"/>
      <c r="AF387" s="26"/>
      <c r="AG387" s="26"/>
      <c r="AH387" s="26"/>
    </row>
    <row r="388" ht="12.75" customHeight="1">
      <c r="A388" s="24"/>
      <c r="B388" s="609"/>
      <c r="C388" s="24"/>
      <c r="D388" s="24"/>
      <c r="E388" s="610"/>
      <c r="F388" s="611"/>
      <c r="G388" s="26"/>
      <c r="H388" s="8"/>
      <c r="I388" s="611"/>
      <c r="J388" s="26"/>
      <c r="K388" s="8"/>
      <c r="L388" s="611"/>
      <c r="M388" s="26"/>
      <c r="N388" s="8"/>
      <c r="O388" s="611"/>
      <c r="P388" s="26"/>
      <c r="Q388" s="8"/>
      <c r="R388" s="611"/>
      <c r="S388" s="26"/>
      <c r="T388" s="8"/>
      <c r="U388" s="611"/>
      <c r="V388" s="26"/>
      <c r="W388" s="8"/>
      <c r="X388" s="611"/>
      <c r="Y388" s="26"/>
      <c r="Z388" s="8"/>
      <c r="AA388" s="611"/>
      <c r="AB388" s="26"/>
      <c r="AC388" s="8"/>
      <c r="AD388" s="26"/>
      <c r="AE388" s="26"/>
      <c r="AF388" s="26"/>
      <c r="AG388" s="26"/>
      <c r="AH388" s="26"/>
    </row>
    <row r="389" ht="12.75" customHeight="1">
      <c r="A389" s="24"/>
      <c r="B389" s="609"/>
      <c r="C389" s="24"/>
      <c r="D389" s="24"/>
      <c r="E389" s="610"/>
      <c r="F389" s="611"/>
      <c r="G389" s="26"/>
      <c r="H389" s="8"/>
      <c r="I389" s="611"/>
      <c r="J389" s="26"/>
      <c r="K389" s="8"/>
      <c r="L389" s="611"/>
      <c r="M389" s="26"/>
      <c r="N389" s="8"/>
      <c r="O389" s="611"/>
      <c r="P389" s="26"/>
      <c r="Q389" s="8"/>
      <c r="R389" s="611"/>
      <c r="S389" s="26"/>
      <c r="T389" s="8"/>
      <c r="U389" s="611"/>
      <c r="V389" s="26"/>
      <c r="W389" s="8"/>
      <c r="X389" s="611"/>
      <c r="Y389" s="26"/>
      <c r="Z389" s="8"/>
      <c r="AA389" s="611"/>
      <c r="AB389" s="26"/>
      <c r="AC389" s="8"/>
      <c r="AD389" s="26"/>
      <c r="AE389" s="26"/>
      <c r="AF389" s="26"/>
      <c r="AG389" s="26"/>
      <c r="AH389" s="26"/>
    </row>
    <row r="390" ht="12.75" customHeight="1">
      <c r="A390" s="24"/>
      <c r="B390" s="609"/>
      <c r="C390" s="24"/>
      <c r="D390" s="24"/>
      <c r="E390" s="610"/>
      <c r="F390" s="611"/>
      <c r="G390" s="26"/>
      <c r="H390" s="8"/>
      <c r="I390" s="611"/>
      <c r="J390" s="26"/>
      <c r="K390" s="8"/>
      <c r="L390" s="611"/>
      <c r="M390" s="26"/>
      <c r="N390" s="8"/>
      <c r="O390" s="611"/>
      <c r="P390" s="26"/>
      <c r="Q390" s="8"/>
      <c r="R390" s="611"/>
      <c r="S390" s="26"/>
      <c r="T390" s="8"/>
      <c r="U390" s="611"/>
      <c r="V390" s="26"/>
      <c r="W390" s="8"/>
      <c r="X390" s="611"/>
      <c r="Y390" s="26"/>
      <c r="Z390" s="8"/>
      <c r="AA390" s="611"/>
      <c r="AB390" s="26"/>
      <c r="AC390" s="8"/>
      <c r="AD390" s="26"/>
      <c r="AE390" s="26"/>
      <c r="AF390" s="26"/>
      <c r="AG390" s="26"/>
      <c r="AH390" s="26"/>
    </row>
    <row r="391" ht="12.75" customHeight="1">
      <c r="A391" s="24"/>
      <c r="B391" s="609"/>
      <c r="C391" s="24"/>
      <c r="D391" s="24"/>
      <c r="E391" s="610"/>
      <c r="F391" s="611"/>
      <c r="G391" s="26"/>
      <c r="H391" s="8"/>
      <c r="I391" s="611"/>
      <c r="J391" s="26"/>
      <c r="K391" s="8"/>
      <c r="L391" s="611"/>
      <c r="M391" s="26"/>
      <c r="N391" s="8"/>
      <c r="O391" s="611"/>
      <c r="P391" s="26"/>
      <c r="Q391" s="8"/>
      <c r="R391" s="611"/>
      <c r="S391" s="26"/>
      <c r="T391" s="8"/>
      <c r="U391" s="611"/>
      <c r="V391" s="26"/>
      <c r="W391" s="8"/>
      <c r="X391" s="611"/>
      <c r="Y391" s="26"/>
      <c r="Z391" s="8"/>
      <c r="AA391" s="611"/>
      <c r="AB391" s="26"/>
      <c r="AC391" s="8"/>
      <c r="AD391" s="26"/>
      <c r="AE391" s="26"/>
      <c r="AF391" s="26"/>
      <c r="AG391" s="26"/>
      <c r="AH391" s="26"/>
    </row>
    <row r="392" ht="12.75" customHeight="1">
      <c r="A392" s="24"/>
      <c r="B392" s="609"/>
      <c r="C392" s="24"/>
      <c r="D392" s="24"/>
      <c r="E392" s="610"/>
      <c r="F392" s="611"/>
      <c r="G392" s="26"/>
      <c r="H392" s="8"/>
      <c r="I392" s="611"/>
      <c r="J392" s="26"/>
      <c r="K392" s="8"/>
      <c r="L392" s="611"/>
      <c r="M392" s="26"/>
      <c r="N392" s="8"/>
      <c r="O392" s="611"/>
      <c r="P392" s="26"/>
      <c r="Q392" s="8"/>
      <c r="R392" s="611"/>
      <c r="S392" s="26"/>
      <c r="T392" s="8"/>
      <c r="U392" s="611"/>
      <c r="V392" s="26"/>
      <c r="W392" s="8"/>
      <c r="X392" s="611"/>
      <c r="Y392" s="26"/>
      <c r="Z392" s="8"/>
      <c r="AA392" s="611"/>
      <c r="AB392" s="26"/>
      <c r="AC392" s="8"/>
      <c r="AD392" s="26"/>
      <c r="AE392" s="26"/>
      <c r="AF392" s="26"/>
      <c r="AG392" s="26"/>
      <c r="AH392" s="26"/>
    </row>
    <row r="393" ht="12.75" customHeight="1">
      <c r="A393" s="24"/>
      <c r="B393" s="609"/>
      <c r="C393" s="24"/>
      <c r="D393" s="24"/>
      <c r="E393" s="610"/>
      <c r="F393" s="611"/>
      <c r="G393" s="26"/>
      <c r="H393" s="8"/>
      <c r="I393" s="611"/>
      <c r="J393" s="26"/>
      <c r="K393" s="8"/>
      <c r="L393" s="611"/>
      <c r="M393" s="26"/>
      <c r="N393" s="8"/>
      <c r="O393" s="611"/>
      <c r="P393" s="26"/>
      <c r="Q393" s="8"/>
      <c r="R393" s="611"/>
      <c r="S393" s="26"/>
      <c r="T393" s="8"/>
      <c r="U393" s="611"/>
      <c r="V393" s="26"/>
      <c r="W393" s="8"/>
      <c r="X393" s="611"/>
      <c r="Y393" s="26"/>
      <c r="Z393" s="8"/>
      <c r="AA393" s="611"/>
      <c r="AB393" s="26"/>
      <c r="AC393" s="8"/>
      <c r="AD393" s="26"/>
      <c r="AE393" s="26"/>
      <c r="AF393" s="26"/>
      <c r="AG393" s="26"/>
      <c r="AH393" s="26"/>
    </row>
    <row r="394" ht="12.75" customHeight="1">
      <c r="A394" s="24"/>
      <c r="B394" s="609"/>
      <c r="C394" s="24"/>
      <c r="D394" s="24"/>
      <c r="E394" s="610"/>
      <c r="F394" s="611"/>
      <c r="G394" s="26"/>
      <c r="H394" s="8"/>
      <c r="I394" s="611"/>
      <c r="J394" s="26"/>
      <c r="K394" s="8"/>
      <c r="L394" s="611"/>
      <c r="M394" s="26"/>
      <c r="N394" s="8"/>
      <c r="O394" s="611"/>
      <c r="P394" s="26"/>
      <c r="Q394" s="8"/>
      <c r="R394" s="611"/>
      <c r="S394" s="26"/>
      <c r="T394" s="8"/>
      <c r="U394" s="611"/>
      <c r="V394" s="26"/>
      <c r="W394" s="8"/>
      <c r="X394" s="611"/>
      <c r="Y394" s="26"/>
      <c r="Z394" s="8"/>
      <c r="AA394" s="611"/>
      <c r="AB394" s="26"/>
      <c r="AC394" s="8"/>
      <c r="AD394" s="26"/>
      <c r="AE394" s="26"/>
      <c r="AF394" s="26"/>
      <c r="AG394" s="26"/>
      <c r="AH394" s="26"/>
    </row>
    <row r="395" ht="12.75" customHeight="1">
      <c r="A395" s="24"/>
      <c r="B395" s="609"/>
      <c r="C395" s="24"/>
      <c r="D395" s="24"/>
      <c r="E395" s="610"/>
      <c r="F395" s="611"/>
      <c r="G395" s="26"/>
      <c r="H395" s="8"/>
      <c r="I395" s="611"/>
      <c r="J395" s="26"/>
      <c r="K395" s="8"/>
      <c r="L395" s="611"/>
      <c r="M395" s="26"/>
      <c r="N395" s="8"/>
      <c r="O395" s="611"/>
      <c r="P395" s="26"/>
      <c r="Q395" s="8"/>
      <c r="R395" s="611"/>
      <c r="S395" s="26"/>
      <c r="T395" s="8"/>
      <c r="U395" s="611"/>
      <c r="V395" s="26"/>
      <c r="W395" s="8"/>
      <c r="X395" s="611"/>
      <c r="Y395" s="26"/>
      <c r="Z395" s="8"/>
      <c r="AA395" s="611"/>
      <c r="AB395" s="26"/>
      <c r="AC395" s="8"/>
      <c r="AD395" s="26"/>
      <c r="AE395" s="26"/>
      <c r="AF395" s="26"/>
      <c r="AG395" s="26"/>
      <c r="AH395" s="26"/>
    </row>
    <row r="396" ht="12.75" customHeight="1">
      <c r="A396" s="24"/>
      <c r="B396" s="609"/>
      <c r="C396" s="24"/>
      <c r="D396" s="24"/>
      <c r="E396" s="610"/>
      <c r="F396" s="611"/>
      <c r="G396" s="26"/>
      <c r="H396" s="8"/>
      <c r="I396" s="611"/>
      <c r="J396" s="26"/>
      <c r="K396" s="8"/>
      <c r="L396" s="611"/>
      <c r="M396" s="26"/>
      <c r="N396" s="8"/>
      <c r="O396" s="611"/>
      <c r="P396" s="26"/>
      <c r="Q396" s="8"/>
      <c r="R396" s="611"/>
      <c r="S396" s="26"/>
      <c r="T396" s="8"/>
      <c r="U396" s="611"/>
      <c r="V396" s="26"/>
      <c r="W396" s="8"/>
      <c r="X396" s="611"/>
      <c r="Y396" s="26"/>
      <c r="Z396" s="8"/>
      <c r="AA396" s="611"/>
      <c r="AB396" s="26"/>
      <c r="AC396" s="8"/>
      <c r="AD396" s="26"/>
      <c r="AE396" s="26"/>
      <c r="AF396" s="26"/>
      <c r="AG396" s="26"/>
      <c r="AH396" s="26"/>
    </row>
    <row r="397" ht="12.75" customHeight="1">
      <c r="A397" s="24"/>
      <c r="B397" s="609"/>
      <c r="C397" s="24"/>
      <c r="D397" s="24"/>
      <c r="E397" s="610"/>
      <c r="F397" s="611"/>
      <c r="G397" s="26"/>
      <c r="H397" s="8"/>
      <c r="I397" s="611"/>
      <c r="J397" s="26"/>
      <c r="K397" s="8"/>
      <c r="L397" s="611"/>
      <c r="M397" s="26"/>
      <c r="N397" s="8"/>
      <c r="O397" s="611"/>
      <c r="P397" s="26"/>
      <c r="Q397" s="8"/>
      <c r="R397" s="611"/>
      <c r="S397" s="26"/>
      <c r="T397" s="8"/>
      <c r="U397" s="611"/>
      <c r="V397" s="26"/>
      <c r="W397" s="8"/>
      <c r="X397" s="611"/>
      <c r="Y397" s="26"/>
      <c r="Z397" s="8"/>
      <c r="AA397" s="611"/>
      <c r="AB397" s="26"/>
      <c r="AC397" s="8"/>
      <c r="AD397" s="26"/>
      <c r="AE397" s="26"/>
      <c r="AF397" s="26"/>
      <c r="AG397" s="26"/>
      <c r="AH397" s="26"/>
    </row>
    <row r="398" ht="12.75" customHeight="1">
      <c r="A398" s="24"/>
      <c r="B398" s="609"/>
      <c r="C398" s="24"/>
      <c r="D398" s="24"/>
      <c r="E398" s="610"/>
      <c r="F398" s="611"/>
      <c r="G398" s="26"/>
      <c r="H398" s="8"/>
      <c r="I398" s="611"/>
      <c r="J398" s="26"/>
      <c r="K398" s="8"/>
      <c r="L398" s="611"/>
      <c r="M398" s="26"/>
      <c r="N398" s="8"/>
      <c r="O398" s="611"/>
      <c r="P398" s="26"/>
      <c r="Q398" s="8"/>
      <c r="R398" s="611"/>
      <c r="S398" s="26"/>
      <c r="T398" s="8"/>
      <c r="U398" s="611"/>
      <c r="V398" s="26"/>
      <c r="W398" s="8"/>
      <c r="X398" s="611"/>
      <c r="Y398" s="26"/>
      <c r="Z398" s="8"/>
      <c r="AA398" s="611"/>
      <c r="AB398" s="26"/>
      <c r="AC398" s="8"/>
      <c r="AD398" s="26"/>
      <c r="AE398" s="26"/>
      <c r="AF398" s="26"/>
      <c r="AG398" s="26"/>
      <c r="AH398" s="26"/>
    </row>
    <row r="399" ht="12.75" customHeight="1">
      <c r="A399" s="24"/>
      <c r="B399" s="609"/>
      <c r="C399" s="24"/>
      <c r="D399" s="24"/>
      <c r="E399" s="610"/>
      <c r="F399" s="611"/>
      <c r="G399" s="26"/>
      <c r="H399" s="8"/>
      <c r="I399" s="611"/>
      <c r="J399" s="26"/>
      <c r="K399" s="8"/>
      <c r="L399" s="611"/>
      <c r="M399" s="26"/>
      <c r="N399" s="8"/>
      <c r="O399" s="611"/>
      <c r="P399" s="26"/>
      <c r="Q399" s="8"/>
      <c r="R399" s="611"/>
      <c r="S399" s="26"/>
      <c r="T399" s="8"/>
      <c r="U399" s="611"/>
      <c r="V399" s="26"/>
      <c r="W399" s="8"/>
      <c r="X399" s="611"/>
      <c r="Y399" s="26"/>
      <c r="Z399" s="8"/>
      <c r="AA399" s="611"/>
      <c r="AB399" s="26"/>
      <c r="AC399" s="8"/>
      <c r="AD399" s="26"/>
      <c r="AE399" s="26"/>
      <c r="AF399" s="26"/>
      <c r="AG399" s="26"/>
      <c r="AH399" s="26"/>
    </row>
    <row r="400" ht="12.75" customHeight="1">
      <c r="A400" s="24"/>
      <c r="B400" s="609"/>
      <c r="C400" s="24"/>
      <c r="D400" s="24"/>
      <c r="E400" s="610"/>
      <c r="F400" s="611"/>
      <c r="G400" s="26"/>
      <c r="H400" s="8"/>
      <c r="I400" s="611"/>
      <c r="J400" s="26"/>
      <c r="K400" s="8"/>
      <c r="L400" s="611"/>
      <c r="M400" s="26"/>
      <c r="N400" s="8"/>
      <c r="O400" s="611"/>
      <c r="P400" s="26"/>
      <c r="Q400" s="8"/>
      <c r="R400" s="611"/>
      <c r="S400" s="26"/>
      <c r="T400" s="8"/>
      <c r="U400" s="611"/>
      <c r="V400" s="26"/>
      <c r="W400" s="8"/>
      <c r="X400" s="611"/>
      <c r="Y400" s="26"/>
      <c r="Z400" s="8"/>
      <c r="AA400" s="611"/>
      <c r="AB400" s="26"/>
      <c r="AC400" s="8"/>
      <c r="AD400" s="26"/>
      <c r="AE400" s="26"/>
      <c r="AF400" s="26"/>
      <c r="AG400" s="26"/>
      <c r="AH400" s="26"/>
    </row>
    <row r="401" ht="12.75" customHeight="1">
      <c r="A401" s="24"/>
      <c r="B401" s="609"/>
      <c r="C401" s="24"/>
      <c r="D401" s="24"/>
      <c r="E401" s="610"/>
      <c r="F401" s="611"/>
      <c r="G401" s="26"/>
      <c r="H401" s="8"/>
      <c r="I401" s="611"/>
      <c r="J401" s="26"/>
      <c r="K401" s="8"/>
      <c r="L401" s="611"/>
      <c r="M401" s="26"/>
      <c r="N401" s="8"/>
      <c r="O401" s="611"/>
      <c r="P401" s="26"/>
      <c r="Q401" s="8"/>
      <c r="R401" s="611"/>
      <c r="S401" s="26"/>
      <c r="T401" s="8"/>
      <c r="U401" s="611"/>
      <c r="V401" s="26"/>
      <c r="W401" s="8"/>
      <c r="X401" s="611"/>
      <c r="Y401" s="26"/>
      <c r="Z401" s="8"/>
      <c r="AA401" s="611"/>
      <c r="AB401" s="26"/>
      <c r="AC401" s="8"/>
      <c r="AD401" s="26"/>
      <c r="AE401" s="26"/>
      <c r="AF401" s="26"/>
      <c r="AG401" s="26"/>
      <c r="AH401" s="26"/>
    </row>
    <row r="402" ht="12.75" customHeight="1">
      <c r="A402" s="24"/>
      <c r="B402" s="609"/>
      <c r="C402" s="24"/>
      <c r="D402" s="24"/>
      <c r="E402" s="610"/>
      <c r="F402" s="611"/>
      <c r="G402" s="26"/>
      <c r="H402" s="8"/>
      <c r="I402" s="611"/>
      <c r="J402" s="26"/>
      <c r="K402" s="8"/>
      <c r="L402" s="611"/>
      <c r="M402" s="26"/>
      <c r="N402" s="8"/>
      <c r="O402" s="611"/>
      <c r="P402" s="26"/>
      <c r="Q402" s="8"/>
      <c r="R402" s="611"/>
      <c r="S402" s="26"/>
      <c r="T402" s="8"/>
      <c r="U402" s="611"/>
      <c r="V402" s="26"/>
      <c r="W402" s="8"/>
      <c r="X402" s="611"/>
      <c r="Y402" s="26"/>
      <c r="Z402" s="8"/>
      <c r="AA402" s="611"/>
      <c r="AB402" s="26"/>
      <c r="AC402" s="8"/>
      <c r="AD402" s="26"/>
      <c r="AE402" s="26"/>
      <c r="AF402" s="26"/>
      <c r="AG402" s="26"/>
      <c r="AH402" s="26"/>
    </row>
    <row r="403" ht="12.75" customHeight="1">
      <c r="A403" s="24"/>
      <c r="B403" s="609"/>
      <c r="C403" s="24"/>
      <c r="D403" s="24"/>
      <c r="E403" s="610"/>
      <c r="F403" s="611"/>
      <c r="G403" s="26"/>
      <c r="H403" s="8"/>
      <c r="I403" s="611"/>
      <c r="J403" s="26"/>
      <c r="K403" s="8"/>
      <c r="L403" s="611"/>
      <c r="M403" s="26"/>
      <c r="N403" s="8"/>
      <c r="O403" s="611"/>
      <c r="P403" s="26"/>
      <c r="Q403" s="8"/>
      <c r="R403" s="611"/>
      <c r="S403" s="26"/>
      <c r="T403" s="8"/>
      <c r="U403" s="611"/>
      <c r="V403" s="26"/>
      <c r="W403" s="8"/>
      <c r="X403" s="611"/>
      <c r="Y403" s="26"/>
      <c r="Z403" s="8"/>
      <c r="AA403" s="611"/>
      <c r="AB403" s="26"/>
      <c r="AC403" s="8"/>
      <c r="AD403" s="26"/>
      <c r="AE403" s="26"/>
      <c r="AF403" s="26"/>
      <c r="AG403" s="26"/>
      <c r="AH403" s="26"/>
    </row>
    <row r="404" ht="12.75" customHeight="1">
      <c r="A404" s="24"/>
      <c r="B404" s="609"/>
      <c r="C404" s="24"/>
      <c r="D404" s="24"/>
      <c r="E404" s="610"/>
      <c r="F404" s="611"/>
      <c r="G404" s="26"/>
      <c r="H404" s="8"/>
      <c r="I404" s="611"/>
      <c r="J404" s="26"/>
      <c r="K404" s="8"/>
      <c r="L404" s="611"/>
      <c r="M404" s="26"/>
      <c r="N404" s="8"/>
      <c r="O404" s="611"/>
      <c r="P404" s="26"/>
      <c r="Q404" s="8"/>
      <c r="R404" s="611"/>
      <c r="S404" s="26"/>
      <c r="T404" s="8"/>
      <c r="U404" s="611"/>
      <c r="V404" s="26"/>
      <c r="W404" s="8"/>
      <c r="X404" s="611"/>
      <c r="Y404" s="26"/>
      <c r="Z404" s="8"/>
      <c r="AA404" s="611"/>
      <c r="AB404" s="26"/>
      <c r="AC404" s="8"/>
      <c r="AD404" s="26"/>
      <c r="AE404" s="26"/>
      <c r="AF404" s="26"/>
      <c r="AG404" s="26"/>
      <c r="AH404" s="26"/>
    </row>
    <row r="405" ht="12.75" customHeight="1">
      <c r="A405" s="24"/>
      <c r="B405" s="609"/>
      <c r="C405" s="24"/>
      <c r="D405" s="24"/>
      <c r="E405" s="610"/>
      <c r="F405" s="611"/>
      <c r="G405" s="26"/>
      <c r="H405" s="8"/>
      <c r="I405" s="611"/>
      <c r="J405" s="26"/>
      <c r="K405" s="8"/>
      <c r="L405" s="611"/>
      <c r="M405" s="26"/>
      <c r="N405" s="8"/>
      <c r="O405" s="611"/>
      <c r="P405" s="26"/>
      <c r="Q405" s="8"/>
      <c r="R405" s="611"/>
      <c r="S405" s="26"/>
      <c r="T405" s="8"/>
      <c r="U405" s="611"/>
      <c r="V405" s="26"/>
      <c r="W405" s="8"/>
      <c r="X405" s="611"/>
      <c r="Y405" s="26"/>
      <c r="Z405" s="8"/>
      <c r="AA405" s="611"/>
      <c r="AB405" s="26"/>
      <c r="AC405" s="8"/>
      <c r="AD405" s="26"/>
      <c r="AE405" s="26"/>
      <c r="AF405" s="26"/>
      <c r="AG405" s="26"/>
      <c r="AH405" s="26"/>
    </row>
    <row r="406" ht="12.75" customHeight="1">
      <c r="A406" s="24"/>
      <c r="B406" s="609"/>
      <c r="C406" s="24"/>
      <c r="D406" s="24"/>
      <c r="E406" s="610"/>
      <c r="F406" s="611"/>
      <c r="G406" s="26"/>
      <c r="H406" s="8"/>
      <c r="I406" s="611"/>
      <c r="J406" s="26"/>
      <c r="K406" s="8"/>
      <c r="L406" s="611"/>
      <c r="M406" s="26"/>
      <c r="N406" s="8"/>
      <c r="O406" s="611"/>
      <c r="P406" s="26"/>
      <c r="Q406" s="8"/>
      <c r="R406" s="611"/>
      <c r="S406" s="26"/>
      <c r="T406" s="8"/>
      <c r="U406" s="611"/>
      <c r="V406" s="26"/>
      <c r="W406" s="8"/>
      <c r="X406" s="611"/>
      <c r="Y406" s="26"/>
      <c r="Z406" s="8"/>
      <c r="AA406" s="611"/>
      <c r="AB406" s="26"/>
      <c r="AC406" s="8"/>
      <c r="AD406" s="26"/>
      <c r="AE406" s="26"/>
      <c r="AF406" s="26"/>
      <c r="AG406" s="26"/>
      <c r="AH406" s="26"/>
    </row>
    <row r="407" ht="12.75" customHeight="1">
      <c r="A407" s="24"/>
      <c r="B407" s="609"/>
      <c r="C407" s="24"/>
      <c r="D407" s="24"/>
      <c r="E407" s="610"/>
      <c r="F407" s="611"/>
      <c r="G407" s="26"/>
      <c r="H407" s="8"/>
      <c r="I407" s="611"/>
      <c r="J407" s="26"/>
      <c r="K407" s="8"/>
      <c r="L407" s="611"/>
      <c r="M407" s="26"/>
      <c r="N407" s="8"/>
      <c r="O407" s="611"/>
      <c r="P407" s="26"/>
      <c r="Q407" s="8"/>
      <c r="R407" s="611"/>
      <c r="S407" s="26"/>
      <c r="T407" s="8"/>
      <c r="U407" s="611"/>
      <c r="V407" s="26"/>
      <c r="W407" s="8"/>
      <c r="X407" s="611"/>
      <c r="Y407" s="26"/>
      <c r="Z407" s="8"/>
      <c r="AA407" s="611"/>
      <c r="AB407" s="26"/>
      <c r="AC407" s="8"/>
      <c r="AD407" s="26"/>
      <c r="AE407" s="26"/>
      <c r="AF407" s="26"/>
      <c r="AG407" s="26"/>
      <c r="AH407" s="26"/>
    </row>
    <row r="408" ht="12.75" customHeight="1">
      <c r="A408" s="24"/>
      <c r="B408" s="609"/>
      <c r="C408" s="24"/>
      <c r="D408" s="24"/>
      <c r="E408" s="610"/>
      <c r="F408" s="611"/>
      <c r="G408" s="26"/>
      <c r="H408" s="8"/>
      <c r="I408" s="611"/>
      <c r="J408" s="26"/>
      <c r="K408" s="8"/>
      <c r="L408" s="611"/>
      <c r="M408" s="26"/>
      <c r="N408" s="8"/>
      <c r="O408" s="611"/>
      <c r="P408" s="26"/>
      <c r="Q408" s="8"/>
      <c r="R408" s="611"/>
      <c r="S408" s="26"/>
      <c r="T408" s="8"/>
      <c r="U408" s="611"/>
      <c r="V408" s="26"/>
      <c r="W408" s="8"/>
      <c r="X408" s="611"/>
      <c r="Y408" s="26"/>
      <c r="Z408" s="8"/>
      <c r="AA408" s="611"/>
      <c r="AB408" s="26"/>
      <c r="AC408" s="8"/>
      <c r="AD408" s="26"/>
      <c r="AE408" s="26"/>
      <c r="AF408" s="26"/>
      <c r="AG408" s="26"/>
      <c r="AH408" s="26"/>
    </row>
    <row r="409" ht="12.75" customHeight="1">
      <c r="A409" s="24"/>
      <c r="B409" s="609"/>
      <c r="C409" s="24"/>
      <c r="D409" s="24"/>
      <c r="E409" s="610"/>
      <c r="F409" s="611"/>
      <c r="G409" s="26"/>
      <c r="H409" s="8"/>
      <c r="I409" s="611"/>
      <c r="J409" s="26"/>
      <c r="K409" s="8"/>
      <c r="L409" s="611"/>
      <c r="M409" s="26"/>
      <c r="N409" s="8"/>
      <c r="O409" s="611"/>
      <c r="P409" s="26"/>
      <c r="Q409" s="8"/>
      <c r="R409" s="611"/>
      <c r="S409" s="26"/>
      <c r="T409" s="8"/>
      <c r="U409" s="611"/>
      <c r="V409" s="26"/>
      <c r="W409" s="8"/>
      <c r="X409" s="611"/>
      <c r="Y409" s="26"/>
      <c r="Z409" s="8"/>
      <c r="AA409" s="611"/>
      <c r="AB409" s="26"/>
      <c r="AC409" s="8"/>
      <c r="AD409" s="26"/>
      <c r="AE409" s="26"/>
      <c r="AF409" s="26"/>
      <c r="AG409" s="26"/>
      <c r="AH409" s="26"/>
    </row>
    <row r="410" ht="12.75" customHeight="1">
      <c r="A410" s="24"/>
      <c r="B410" s="609"/>
      <c r="C410" s="24"/>
      <c r="D410" s="24"/>
      <c r="E410" s="610"/>
      <c r="F410" s="611"/>
      <c r="G410" s="26"/>
      <c r="H410" s="8"/>
      <c r="I410" s="611"/>
      <c r="J410" s="26"/>
      <c r="K410" s="8"/>
      <c r="L410" s="611"/>
      <c r="M410" s="26"/>
      <c r="N410" s="8"/>
      <c r="O410" s="611"/>
      <c r="P410" s="26"/>
      <c r="Q410" s="8"/>
      <c r="R410" s="611"/>
      <c r="S410" s="26"/>
      <c r="T410" s="8"/>
      <c r="U410" s="611"/>
      <c r="V410" s="26"/>
      <c r="W410" s="8"/>
      <c r="X410" s="611"/>
      <c r="Y410" s="26"/>
      <c r="Z410" s="8"/>
      <c r="AA410" s="611"/>
      <c r="AB410" s="26"/>
      <c r="AC410" s="8"/>
      <c r="AD410" s="26"/>
      <c r="AE410" s="26"/>
      <c r="AF410" s="26"/>
      <c r="AG410" s="26"/>
      <c r="AH410" s="26"/>
    </row>
    <row r="411" ht="12.75" customHeight="1">
      <c r="A411" s="24"/>
      <c r="B411" s="609"/>
      <c r="C411" s="24"/>
      <c r="D411" s="24"/>
      <c r="E411" s="610"/>
      <c r="F411" s="611"/>
      <c r="G411" s="26"/>
      <c r="H411" s="8"/>
      <c r="I411" s="611"/>
      <c r="J411" s="26"/>
      <c r="K411" s="8"/>
      <c r="L411" s="611"/>
      <c r="M411" s="26"/>
      <c r="N411" s="8"/>
      <c r="O411" s="611"/>
      <c r="P411" s="26"/>
      <c r="Q411" s="8"/>
      <c r="R411" s="611"/>
      <c r="S411" s="26"/>
      <c r="T411" s="8"/>
      <c r="U411" s="611"/>
      <c r="V411" s="26"/>
      <c r="W411" s="8"/>
      <c r="X411" s="611"/>
      <c r="Y411" s="26"/>
      <c r="Z411" s="8"/>
      <c r="AA411" s="611"/>
      <c r="AB411" s="26"/>
      <c r="AC411" s="8"/>
      <c r="AD411" s="26"/>
      <c r="AE411" s="26"/>
      <c r="AF411" s="26"/>
      <c r="AG411" s="26"/>
      <c r="AH411" s="26"/>
    </row>
    <row r="412" ht="12.75" customHeight="1">
      <c r="A412" s="24"/>
      <c r="B412" s="609"/>
      <c r="C412" s="24"/>
      <c r="D412" s="24"/>
      <c r="E412" s="610"/>
      <c r="F412" s="611"/>
      <c r="G412" s="26"/>
      <c r="H412" s="8"/>
      <c r="I412" s="611"/>
      <c r="J412" s="26"/>
      <c r="K412" s="8"/>
      <c r="L412" s="611"/>
      <c r="M412" s="26"/>
      <c r="N412" s="8"/>
      <c r="O412" s="611"/>
      <c r="P412" s="26"/>
      <c r="Q412" s="8"/>
      <c r="R412" s="611"/>
      <c r="S412" s="26"/>
      <c r="T412" s="8"/>
      <c r="U412" s="611"/>
      <c r="V412" s="26"/>
      <c r="W412" s="8"/>
      <c r="X412" s="611"/>
      <c r="Y412" s="26"/>
      <c r="Z412" s="8"/>
      <c r="AA412" s="611"/>
      <c r="AB412" s="26"/>
      <c r="AC412" s="8"/>
      <c r="AD412" s="26"/>
      <c r="AE412" s="26"/>
      <c r="AF412" s="26"/>
      <c r="AG412" s="26"/>
      <c r="AH412" s="26"/>
    </row>
    <row r="413" ht="12.75" customHeight="1">
      <c r="A413" s="24"/>
      <c r="B413" s="609"/>
      <c r="C413" s="24"/>
      <c r="D413" s="24"/>
      <c r="E413" s="610"/>
      <c r="F413" s="611"/>
      <c r="G413" s="26"/>
      <c r="H413" s="8"/>
      <c r="I413" s="611"/>
      <c r="J413" s="26"/>
      <c r="K413" s="8"/>
      <c r="L413" s="611"/>
      <c r="M413" s="26"/>
      <c r="N413" s="8"/>
      <c r="O413" s="611"/>
      <c r="P413" s="26"/>
      <c r="Q413" s="8"/>
      <c r="R413" s="611"/>
      <c r="S413" s="26"/>
      <c r="T413" s="8"/>
      <c r="U413" s="611"/>
      <c r="V413" s="26"/>
      <c r="W413" s="8"/>
      <c r="X413" s="611"/>
      <c r="Y413" s="26"/>
      <c r="Z413" s="8"/>
      <c r="AA413" s="611"/>
      <c r="AB413" s="26"/>
      <c r="AC413" s="8"/>
      <c r="AD413" s="26"/>
      <c r="AE413" s="26"/>
      <c r="AF413" s="26"/>
      <c r="AG413" s="26"/>
      <c r="AH413" s="26"/>
    </row>
    <row r="414" ht="12.75" customHeight="1">
      <c r="A414" s="24"/>
      <c r="B414" s="609"/>
      <c r="C414" s="24"/>
      <c r="D414" s="24"/>
      <c r="E414" s="610"/>
      <c r="F414" s="611"/>
      <c r="G414" s="26"/>
      <c r="H414" s="8"/>
      <c r="I414" s="611"/>
      <c r="J414" s="26"/>
      <c r="K414" s="8"/>
      <c r="L414" s="611"/>
      <c r="M414" s="26"/>
      <c r="N414" s="8"/>
      <c r="O414" s="611"/>
      <c r="P414" s="26"/>
      <c r="Q414" s="8"/>
      <c r="R414" s="611"/>
      <c r="S414" s="26"/>
      <c r="T414" s="8"/>
      <c r="U414" s="611"/>
      <c r="V414" s="26"/>
      <c r="W414" s="8"/>
      <c r="X414" s="611"/>
      <c r="Y414" s="26"/>
      <c r="Z414" s="8"/>
      <c r="AA414" s="611"/>
      <c r="AB414" s="26"/>
      <c r="AC414" s="8"/>
      <c r="AD414" s="26"/>
      <c r="AE414" s="26"/>
      <c r="AF414" s="26"/>
      <c r="AG414" s="26"/>
      <c r="AH414" s="26"/>
    </row>
    <row r="415" ht="12.75" customHeight="1">
      <c r="A415" s="24"/>
      <c r="B415" s="609"/>
      <c r="C415" s="24"/>
      <c r="D415" s="24"/>
      <c r="E415" s="610"/>
      <c r="F415" s="611"/>
      <c r="G415" s="26"/>
      <c r="H415" s="8"/>
      <c r="I415" s="611"/>
      <c r="J415" s="26"/>
      <c r="K415" s="8"/>
      <c r="L415" s="611"/>
      <c r="M415" s="26"/>
      <c r="N415" s="8"/>
      <c r="O415" s="611"/>
      <c r="P415" s="26"/>
      <c r="Q415" s="8"/>
      <c r="R415" s="611"/>
      <c r="S415" s="26"/>
      <c r="T415" s="8"/>
      <c r="U415" s="611"/>
      <c r="V415" s="26"/>
      <c r="W415" s="8"/>
      <c r="X415" s="611"/>
      <c r="Y415" s="26"/>
      <c r="Z415" s="8"/>
      <c r="AA415" s="611"/>
      <c r="AB415" s="26"/>
      <c r="AC415" s="8"/>
      <c r="AD415" s="26"/>
      <c r="AE415" s="26"/>
      <c r="AF415" s="26"/>
      <c r="AG415" s="26"/>
      <c r="AH415" s="26"/>
    </row>
    <row r="416" ht="12.75" customHeight="1">
      <c r="A416" s="24"/>
      <c r="B416" s="609"/>
      <c r="C416" s="24"/>
      <c r="D416" s="24"/>
      <c r="E416" s="610"/>
      <c r="F416" s="611"/>
      <c r="G416" s="26"/>
      <c r="H416" s="8"/>
      <c r="I416" s="611"/>
      <c r="J416" s="26"/>
      <c r="K416" s="8"/>
      <c r="L416" s="611"/>
      <c r="M416" s="26"/>
      <c r="N416" s="8"/>
      <c r="O416" s="611"/>
      <c r="P416" s="26"/>
      <c r="Q416" s="8"/>
      <c r="R416" s="611"/>
      <c r="S416" s="26"/>
      <c r="T416" s="8"/>
      <c r="U416" s="611"/>
      <c r="V416" s="26"/>
      <c r="W416" s="8"/>
      <c r="X416" s="611"/>
      <c r="Y416" s="26"/>
      <c r="Z416" s="8"/>
      <c r="AA416" s="611"/>
      <c r="AB416" s="26"/>
      <c r="AC416" s="8"/>
      <c r="AD416" s="26"/>
      <c r="AE416" s="26"/>
      <c r="AF416" s="26"/>
      <c r="AG416" s="26"/>
      <c r="AH416" s="26"/>
    </row>
    <row r="417" ht="12.75" customHeight="1">
      <c r="A417" s="24"/>
      <c r="B417" s="609"/>
      <c r="C417" s="24"/>
      <c r="D417" s="24"/>
      <c r="E417" s="610"/>
      <c r="F417" s="611"/>
      <c r="G417" s="26"/>
      <c r="H417" s="8"/>
      <c r="I417" s="611"/>
      <c r="J417" s="26"/>
      <c r="K417" s="8"/>
      <c r="L417" s="611"/>
      <c r="M417" s="26"/>
      <c r="N417" s="8"/>
      <c r="O417" s="611"/>
      <c r="P417" s="26"/>
      <c r="Q417" s="8"/>
      <c r="R417" s="611"/>
      <c r="S417" s="26"/>
      <c r="T417" s="8"/>
      <c r="U417" s="611"/>
      <c r="V417" s="26"/>
      <c r="W417" s="8"/>
      <c r="X417" s="611"/>
      <c r="Y417" s="26"/>
      <c r="Z417" s="8"/>
      <c r="AA417" s="611"/>
      <c r="AB417" s="26"/>
      <c r="AC417" s="8"/>
      <c r="AD417" s="26"/>
      <c r="AE417" s="26"/>
      <c r="AF417" s="26"/>
      <c r="AG417" s="26"/>
      <c r="AH417" s="26"/>
    </row>
    <row r="418" ht="12.75" customHeight="1">
      <c r="A418" s="24"/>
      <c r="B418" s="609"/>
      <c r="C418" s="24"/>
      <c r="D418" s="24"/>
      <c r="E418" s="610"/>
      <c r="F418" s="611"/>
      <c r="G418" s="26"/>
      <c r="H418" s="8"/>
      <c r="I418" s="611"/>
      <c r="J418" s="26"/>
      <c r="K418" s="8"/>
      <c r="L418" s="611"/>
      <c r="M418" s="26"/>
      <c r="N418" s="8"/>
      <c r="O418" s="611"/>
      <c r="P418" s="26"/>
      <c r="Q418" s="8"/>
      <c r="R418" s="611"/>
      <c r="S418" s="26"/>
      <c r="T418" s="8"/>
      <c r="U418" s="611"/>
      <c r="V418" s="26"/>
      <c r="W418" s="8"/>
      <c r="X418" s="611"/>
      <c r="Y418" s="26"/>
      <c r="Z418" s="8"/>
      <c r="AA418" s="611"/>
      <c r="AB418" s="26"/>
      <c r="AC418" s="8"/>
      <c r="AD418" s="26"/>
      <c r="AE418" s="26"/>
      <c r="AF418" s="26"/>
      <c r="AG418" s="26"/>
      <c r="AH418" s="26"/>
    </row>
    <row r="419" ht="12.75" customHeight="1">
      <c r="A419" s="24"/>
      <c r="B419" s="609"/>
      <c r="C419" s="24"/>
      <c r="D419" s="24"/>
      <c r="E419" s="610"/>
      <c r="F419" s="611"/>
      <c r="G419" s="26"/>
      <c r="H419" s="8"/>
      <c r="I419" s="611"/>
      <c r="J419" s="26"/>
      <c r="K419" s="8"/>
      <c r="L419" s="611"/>
      <c r="M419" s="26"/>
      <c r="N419" s="8"/>
      <c r="O419" s="611"/>
      <c r="P419" s="26"/>
      <c r="Q419" s="8"/>
      <c r="R419" s="611"/>
      <c r="S419" s="26"/>
      <c r="T419" s="8"/>
      <c r="U419" s="611"/>
      <c r="V419" s="26"/>
      <c r="W419" s="8"/>
      <c r="X419" s="611"/>
      <c r="Y419" s="26"/>
      <c r="Z419" s="8"/>
      <c r="AA419" s="611"/>
      <c r="AB419" s="26"/>
      <c r="AC419" s="8"/>
      <c r="AD419" s="26"/>
      <c r="AE419" s="26"/>
      <c r="AF419" s="26"/>
      <c r="AG419" s="26"/>
      <c r="AH419" s="26"/>
    </row>
    <row r="420" ht="12.75" customHeight="1">
      <c r="A420" s="24"/>
      <c r="B420" s="609"/>
      <c r="C420" s="24"/>
      <c r="D420" s="24"/>
      <c r="E420" s="610"/>
      <c r="F420" s="611"/>
      <c r="G420" s="26"/>
      <c r="H420" s="8"/>
      <c r="I420" s="611"/>
      <c r="J420" s="26"/>
      <c r="K420" s="8"/>
      <c r="L420" s="611"/>
      <c r="M420" s="26"/>
      <c r="N420" s="8"/>
      <c r="O420" s="611"/>
      <c r="P420" s="26"/>
      <c r="Q420" s="8"/>
      <c r="R420" s="611"/>
      <c r="S420" s="26"/>
      <c r="T420" s="8"/>
      <c r="U420" s="611"/>
      <c r="V420" s="26"/>
      <c r="W420" s="8"/>
      <c r="X420" s="611"/>
      <c r="Y420" s="26"/>
      <c r="Z420" s="8"/>
      <c r="AA420" s="611"/>
      <c r="AB420" s="26"/>
      <c r="AC420" s="8"/>
      <c r="AD420" s="26"/>
      <c r="AE420" s="26"/>
      <c r="AF420" s="26"/>
      <c r="AG420" s="26"/>
      <c r="AH420" s="26"/>
    </row>
    <row r="421" ht="12.75" customHeight="1">
      <c r="A421" s="24"/>
      <c r="B421" s="609"/>
      <c r="C421" s="24"/>
      <c r="D421" s="24"/>
      <c r="E421" s="610"/>
      <c r="F421" s="611"/>
      <c r="G421" s="26"/>
      <c r="H421" s="8"/>
      <c r="I421" s="611"/>
      <c r="J421" s="26"/>
      <c r="K421" s="8"/>
      <c r="L421" s="611"/>
      <c r="M421" s="26"/>
      <c r="N421" s="8"/>
      <c r="O421" s="611"/>
      <c r="P421" s="26"/>
      <c r="Q421" s="8"/>
      <c r="R421" s="611"/>
      <c r="S421" s="26"/>
      <c r="T421" s="8"/>
      <c r="U421" s="611"/>
      <c r="V421" s="26"/>
      <c r="W421" s="8"/>
      <c r="X421" s="611"/>
      <c r="Y421" s="26"/>
      <c r="Z421" s="8"/>
      <c r="AA421" s="611"/>
      <c r="AB421" s="26"/>
      <c r="AC421" s="8"/>
      <c r="AD421" s="26"/>
      <c r="AE421" s="26"/>
      <c r="AF421" s="26"/>
      <c r="AG421" s="26"/>
      <c r="AH421" s="26"/>
    </row>
    <row r="422" ht="12.75" customHeight="1">
      <c r="A422" s="24"/>
      <c r="B422" s="609"/>
      <c r="C422" s="24"/>
      <c r="D422" s="24"/>
      <c r="E422" s="610"/>
      <c r="F422" s="611"/>
      <c r="G422" s="26"/>
      <c r="H422" s="8"/>
      <c r="I422" s="611"/>
      <c r="J422" s="26"/>
      <c r="K422" s="8"/>
      <c r="L422" s="611"/>
      <c r="M422" s="26"/>
      <c r="N422" s="8"/>
      <c r="O422" s="611"/>
      <c r="P422" s="26"/>
      <c r="Q422" s="8"/>
      <c r="R422" s="611"/>
      <c r="S422" s="26"/>
      <c r="T422" s="8"/>
      <c r="U422" s="611"/>
      <c r="V422" s="26"/>
      <c r="W422" s="8"/>
      <c r="X422" s="611"/>
      <c r="Y422" s="26"/>
      <c r="Z422" s="8"/>
      <c r="AA422" s="611"/>
      <c r="AB422" s="26"/>
      <c r="AC422" s="8"/>
      <c r="AD422" s="26"/>
      <c r="AE422" s="26"/>
      <c r="AF422" s="26"/>
      <c r="AG422" s="26"/>
      <c r="AH422" s="26"/>
    </row>
    <row r="423" ht="12.75" customHeight="1">
      <c r="A423" s="24"/>
      <c r="B423" s="609"/>
      <c r="C423" s="24"/>
      <c r="D423" s="24"/>
      <c r="E423" s="610"/>
      <c r="F423" s="611"/>
      <c r="G423" s="26"/>
      <c r="H423" s="8"/>
      <c r="I423" s="611"/>
      <c r="J423" s="26"/>
      <c r="K423" s="8"/>
      <c r="L423" s="611"/>
      <c r="M423" s="26"/>
      <c r="N423" s="8"/>
      <c r="O423" s="611"/>
      <c r="P423" s="26"/>
      <c r="Q423" s="8"/>
      <c r="R423" s="611"/>
      <c r="S423" s="26"/>
      <c r="T423" s="8"/>
      <c r="U423" s="611"/>
      <c r="V423" s="26"/>
      <c r="W423" s="8"/>
      <c r="X423" s="611"/>
      <c r="Y423" s="26"/>
      <c r="Z423" s="8"/>
      <c r="AA423" s="611"/>
      <c r="AB423" s="26"/>
      <c r="AC423" s="8"/>
      <c r="AD423" s="26"/>
      <c r="AE423" s="26"/>
      <c r="AF423" s="26"/>
      <c r="AG423" s="26"/>
      <c r="AH423" s="26"/>
    </row>
    <row r="424" ht="12.75" customHeight="1">
      <c r="A424" s="24"/>
      <c r="B424" s="609"/>
      <c r="C424" s="24"/>
      <c r="D424" s="24"/>
      <c r="E424" s="610"/>
      <c r="F424" s="611"/>
      <c r="G424" s="26"/>
      <c r="H424" s="8"/>
      <c r="I424" s="611"/>
      <c r="J424" s="26"/>
      <c r="K424" s="8"/>
      <c r="L424" s="611"/>
      <c r="M424" s="26"/>
      <c r="N424" s="8"/>
      <c r="O424" s="611"/>
      <c r="P424" s="26"/>
      <c r="Q424" s="8"/>
      <c r="R424" s="611"/>
      <c r="S424" s="26"/>
      <c r="T424" s="8"/>
      <c r="U424" s="611"/>
      <c r="V424" s="26"/>
      <c r="W424" s="8"/>
      <c r="X424" s="611"/>
      <c r="Y424" s="26"/>
      <c r="Z424" s="8"/>
      <c r="AA424" s="611"/>
      <c r="AB424" s="26"/>
      <c r="AC424" s="8"/>
      <c r="AD424" s="26"/>
      <c r="AE424" s="26"/>
      <c r="AF424" s="26"/>
      <c r="AG424" s="26"/>
      <c r="AH424" s="26"/>
    </row>
    <row r="425" ht="12.75" customHeight="1">
      <c r="A425" s="24"/>
      <c r="B425" s="609"/>
      <c r="C425" s="24"/>
      <c r="D425" s="24"/>
      <c r="E425" s="610"/>
      <c r="F425" s="611"/>
      <c r="G425" s="26"/>
      <c r="H425" s="8"/>
      <c r="I425" s="611"/>
      <c r="J425" s="26"/>
      <c r="K425" s="8"/>
      <c r="L425" s="611"/>
      <c r="M425" s="26"/>
      <c r="N425" s="8"/>
      <c r="O425" s="611"/>
      <c r="P425" s="26"/>
      <c r="Q425" s="8"/>
      <c r="R425" s="611"/>
      <c r="S425" s="26"/>
      <c r="T425" s="8"/>
      <c r="U425" s="611"/>
      <c r="V425" s="26"/>
      <c r="W425" s="8"/>
      <c r="X425" s="611"/>
      <c r="Y425" s="26"/>
      <c r="Z425" s="8"/>
      <c r="AA425" s="611"/>
      <c r="AB425" s="26"/>
      <c r="AC425" s="8"/>
      <c r="AD425" s="26"/>
      <c r="AE425" s="26"/>
      <c r="AF425" s="26"/>
      <c r="AG425" s="26"/>
      <c r="AH425" s="26"/>
    </row>
    <row r="426" ht="12.75" customHeight="1">
      <c r="A426" s="24"/>
      <c r="B426" s="609"/>
      <c r="C426" s="24"/>
      <c r="D426" s="24"/>
      <c r="E426" s="610"/>
      <c r="F426" s="611"/>
      <c r="G426" s="26"/>
      <c r="H426" s="8"/>
      <c r="I426" s="611"/>
      <c r="J426" s="26"/>
      <c r="K426" s="8"/>
      <c r="L426" s="611"/>
      <c r="M426" s="26"/>
      <c r="N426" s="8"/>
      <c r="O426" s="611"/>
      <c r="P426" s="26"/>
      <c r="Q426" s="8"/>
      <c r="R426" s="611"/>
      <c r="S426" s="26"/>
      <c r="T426" s="8"/>
      <c r="U426" s="611"/>
      <c r="V426" s="26"/>
      <c r="W426" s="8"/>
      <c r="X426" s="611"/>
      <c r="Y426" s="26"/>
      <c r="Z426" s="8"/>
      <c r="AA426" s="611"/>
      <c r="AB426" s="26"/>
      <c r="AC426" s="8"/>
      <c r="AD426" s="26"/>
      <c r="AE426" s="26"/>
      <c r="AF426" s="26"/>
      <c r="AG426" s="26"/>
      <c r="AH426" s="26"/>
    </row>
    <row r="427" ht="12.75" customHeight="1">
      <c r="A427" s="24"/>
      <c r="B427" s="609"/>
      <c r="C427" s="24"/>
      <c r="D427" s="24"/>
      <c r="E427" s="610"/>
      <c r="F427" s="611"/>
      <c r="G427" s="26"/>
      <c r="H427" s="8"/>
      <c r="I427" s="611"/>
      <c r="J427" s="26"/>
      <c r="K427" s="8"/>
      <c r="L427" s="611"/>
      <c r="M427" s="26"/>
      <c r="N427" s="8"/>
      <c r="O427" s="611"/>
      <c r="P427" s="26"/>
      <c r="Q427" s="8"/>
      <c r="R427" s="611"/>
      <c r="S427" s="26"/>
      <c r="T427" s="8"/>
      <c r="U427" s="611"/>
      <c r="V427" s="26"/>
      <c r="W427" s="8"/>
      <c r="X427" s="611"/>
      <c r="Y427" s="26"/>
      <c r="Z427" s="8"/>
      <c r="AA427" s="611"/>
      <c r="AB427" s="26"/>
      <c r="AC427" s="8"/>
      <c r="AD427" s="26"/>
      <c r="AE427" s="26"/>
      <c r="AF427" s="26"/>
      <c r="AG427" s="26"/>
      <c r="AH427" s="26"/>
    </row>
    <row r="428" ht="12.75" customHeight="1">
      <c r="A428" s="24"/>
      <c r="B428" s="609"/>
      <c r="C428" s="24"/>
      <c r="D428" s="24"/>
      <c r="E428" s="610"/>
      <c r="F428" s="611"/>
      <c r="G428" s="26"/>
      <c r="H428" s="8"/>
      <c r="I428" s="611"/>
      <c r="J428" s="26"/>
      <c r="K428" s="8"/>
      <c r="L428" s="611"/>
      <c r="M428" s="26"/>
      <c r="N428" s="8"/>
      <c r="O428" s="611"/>
      <c r="P428" s="26"/>
      <c r="Q428" s="8"/>
      <c r="R428" s="611"/>
      <c r="S428" s="26"/>
      <c r="T428" s="8"/>
      <c r="U428" s="611"/>
      <c r="V428" s="26"/>
      <c r="W428" s="8"/>
      <c r="X428" s="611"/>
      <c r="Y428" s="26"/>
      <c r="Z428" s="8"/>
      <c r="AA428" s="611"/>
      <c r="AB428" s="26"/>
      <c r="AC428" s="8"/>
      <c r="AD428" s="26"/>
      <c r="AE428" s="26"/>
      <c r="AF428" s="26"/>
      <c r="AG428" s="26"/>
      <c r="AH428" s="26"/>
    </row>
    <row r="429" ht="12.75" customHeight="1">
      <c r="A429" s="24"/>
      <c r="B429" s="609"/>
      <c r="C429" s="24"/>
      <c r="D429" s="24"/>
      <c r="E429" s="610"/>
      <c r="F429" s="611"/>
      <c r="G429" s="26"/>
      <c r="H429" s="8"/>
      <c r="I429" s="611"/>
      <c r="J429" s="26"/>
      <c r="K429" s="8"/>
      <c r="L429" s="611"/>
      <c r="M429" s="26"/>
      <c r="N429" s="8"/>
      <c r="O429" s="611"/>
      <c r="P429" s="26"/>
      <c r="Q429" s="8"/>
      <c r="R429" s="611"/>
      <c r="S429" s="26"/>
      <c r="T429" s="8"/>
      <c r="U429" s="611"/>
      <c r="V429" s="26"/>
      <c r="W429" s="8"/>
      <c r="X429" s="611"/>
      <c r="Y429" s="26"/>
      <c r="Z429" s="8"/>
      <c r="AA429" s="611"/>
      <c r="AB429" s="26"/>
      <c r="AC429" s="8"/>
      <c r="AD429" s="26"/>
      <c r="AE429" s="26"/>
      <c r="AF429" s="26"/>
      <c r="AG429" s="26"/>
      <c r="AH429" s="26"/>
    </row>
    <row r="430" ht="12.75" customHeight="1">
      <c r="A430" s="24"/>
      <c r="B430" s="609"/>
      <c r="C430" s="24"/>
      <c r="D430" s="24"/>
      <c r="E430" s="610"/>
      <c r="F430" s="611"/>
      <c r="G430" s="26"/>
      <c r="H430" s="8"/>
      <c r="I430" s="611"/>
      <c r="J430" s="26"/>
      <c r="K430" s="8"/>
      <c r="L430" s="611"/>
      <c r="M430" s="26"/>
      <c r="N430" s="8"/>
      <c r="O430" s="611"/>
      <c r="P430" s="26"/>
      <c r="Q430" s="8"/>
      <c r="R430" s="611"/>
      <c r="S430" s="26"/>
      <c r="T430" s="8"/>
      <c r="U430" s="611"/>
      <c r="V430" s="26"/>
      <c r="W430" s="8"/>
      <c r="X430" s="611"/>
      <c r="Y430" s="26"/>
      <c r="Z430" s="8"/>
      <c r="AA430" s="611"/>
      <c r="AB430" s="26"/>
      <c r="AC430" s="8"/>
      <c r="AD430" s="26"/>
      <c r="AE430" s="26"/>
      <c r="AF430" s="26"/>
      <c r="AG430" s="26"/>
      <c r="AH430" s="26"/>
    </row>
    <row r="431" ht="12.75" customHeight="1">
      <c r="A431" s="24"/>
      <c r="B431" s="609"/>
      <c r="C431" s="24"/>
      <c r="D431" s="24"/>
      <c r="E431" s="610"/>
      <c r="F431" s="611"/>
      <c r="G431" s="26"/>
      <c r="H431" s="8"/>
      <c r="I431" s="611"/>
      <c r="J431" s="26"/>
      <c r="K431" s="8"/>
      <c r="L431" s="611"/>
      <c r="M431" s="26"/>
      <c r="N431" s="8"/>
      <c r="O431" s="611"/>
      <c r="P431" s="26"/>
      <c r="Q431" s="8"/>
      <c r="R431" s="611"/>
      <c r="S431" s="26"/>
      <c r="T431" s="8"/>
      <c r="U431" s="611"/>
      <c r="V431" s="26"/>
      <c r="W431" s="8"/>
      <c r="X431" s="611"/>
      <c r="Y431" s="26"/>
      <c r="Z431" s="8"/>
      <c r="AA431" s="611"/>
      <c r="AB431" s="26"/>
      <c r="AC431" s="8"/>
      <c r="AD431" s="26"/>
      <c r="AE431" s="26"/>
      <c r="AF431" s="26"/>
      <c r="AG431" s="26"/>
      <c r="AH431" s="26"/>
    </row>
    <row r="432" ht="12.75" customHeight="1">
      <c r="A432" s="24"/>
      <c r="B432" s="609"/>
      <c r="C432" s="24"/>
      <c r="D432" s="24"/>
      <c r="E432" s="610"/>
      <c r="F432" s="611"/>
      <c r="G432" s="26"/>
      <c r="H432" s="8"/>
      <c r="I432" s="611"/>
      <c r="J432" s="26"/>
      <c r="K432" s="8"/>
      <c r="L432" s="611"/>
      <c r="M432" s="26"/>
      <c r="N432" s="8"/>
      <c r="O432" s="611"/>
      <c r="P432" s="26"/>
      <c r="Q432" s="8"/>
      <c r="R432" s="611"/>
      <c r="S432" s="26"/>
      <c r="T432" s="8"/>
      <c r="U432" s="611"/>
      <c r="V432" s="26"/>
      <c r="W432" s="8"/>
      <c r="X432" s="611"/>
      <c r="Y432" s="26"/>
      <c r="Z432" s="8"/>
      <c r="AA432" s="611"/>
      <c r="AB432" s="26"/>
      <c r="AC432" s="8"/>
      <c r="AD432" s="26"/>
      <c r="AE432" s="26"/>
      <c r="AF432" s="26"/>
      <c r="AG432" s="26"/>
      <c r="AH432" s="26"/>
    </row>
    <row r="433" ht="12.75" customHeight="1">
      <c r="A433" s="24"/>
      <c r="B433" s="609"/>
      <c r="C433" s="24"/>
      <c r="D433" s="24"/>
      <c r="E433" s="610"/>
      <c r="F433" s="611"/>
      <c r="G433" s="26"/>
      <c r="H433" s="8"/>
      <c r="I433" s="611"/>
      <c r="J433" s="26"/>
      <c r="K433" s="8"/>
      <c r="L433" s="611"/>
      <c r="M433" s="26"/>
      <c r="N433" s="8"/>
      <c r="O433" s="611"/>
      <c r="P433" s="26"/>
      <c r="Q433" s="8"/>
      <c r="R433" s="611"/>
      <c r="S433" s="26"/>
      <c r="T433" s="8"/>
      <c r="U433" s="611"/>
      <c r="V433" s="26"/>
      <c r="W433" s="8"/>
      <c r="X433" s="611"/>
      <c r="Y433" s="26"/>
      <c r="Z433" s="8"/>
      <c r="AA433" s="611"/>
      <c r="AB433" s="26"/>
      <c r="AC433" s="8"/>
      <c r="AD433" s="26"/>
      <c r="AE433" s="26"/>
      <c r="AF433" s="26"/>
      <c r="AG433" s="26"/>
      <c r="AH433" s="26"/>
    </row>
    <row r="434" ht="12.75" customHeight="1">
      <c r="A434" s="24"/>
      <c r="B434" s="609"/>
      <c r="C434" s="24"/>
      <c r="D434" s="24"/>
      <c r="E434" s="610"/>
      <c r="F434" s="611"/>
      <c r="G434" s="26"/>
      <c r="H434" s="8"/>
      <c r="I434" s="611"/>
      <c r="J434" s="26"/>
      <c r="K434" s="8"/>
      <c r="L434" s="611"/>
      <c r="M434" s="26"/>
      <c r="N434" s="8"/>
      <c r="O434" s="611"/>
      <c r="P434" s="26"/>
      <c r="Q434" s="8"/>
      <c r="R434" s="611"/>
      <c r="S434" s="26"/>
      <c r="T434" s="8"/>
      <c r="U434" s="611"/>
      <c r="V434" s="26"/>
      <c r="W434" s="8"/>
      <c r="X434" s="611"/>
      <c r="Y434" s="26"/>
      <c r="Z434" s="8"/>
      <c r="AA434" s="611"/>
      <c r="AB434" s="26"/>
      <c r="AC434" s="8"/>
      <c r="AD434" s="26"/>
      <c r="AE434" s="26"/>
      <c r="AF434" s="26"/>
      <c r="AG434" s="26"/>
      <c r="AH434" s="26"/>
    </row>
    <row r="435" ht="12.75" customHeight="1">
      <c r="A435" s="24"/>
      <c r="B435" s="609"/>
      <c r="C435" s="24"/>
      <c r="D435" s="24"/>
      <c r="E435" s="610"/>
      <c r="F435" s="611"/>
      <c r="G435" s="26"/>
      <c r="H435" s="8"/>
      <c r="I435" s="611"/>
      <c r="J435" s="26"/>
      <c r="K435" s="8"/>
      <c r="L435" s="611"/>
      <c r="M435" s="26"/>
      <c r="N435" s="8"/>
      <c r="O435" s="611"/>
      <c r="P435" s="26"/>
      <c r="Q435" s="8"/>
      <c r="R435" s="611"/>
      <c r="S435" s="26"/>
      <c r="T435" s="8"/>
      <c r="U435" s="611"/>
      <c r="V435" s="26"/>
      <c r="W435" s="8"/>
      <c r="X435" s="611"/>
      <c r="Y435" s="26"/>
      <c r="Z435" s="8"/>
      <c r="AA435" s="611"/>
      <c r="AB435" s="26"/>
      <c r="AC435" s="8"/>
      <c r="AD435" s="26"/>
      <c r="AE435" s="26"/>
      <c r="AF435" s="26"/>
      <c r="AG435" s="26"/>
      <c r="AH435" s="26"/>
    </row>
    <row r="436" ht="12.75" customHeight="1">
      <c r="A436" s="24"/>
      <c r="B436" s="609"/>
      <c r="C436" s="24"/>
      <c r="D436" s="24"/>
      <c r="E436" s="610"/>
      <c r="F436" s="611"/>
      <c r="G436" s="26"/>
      <c r="H436" s="8"/>
      <c r="I436" s="611"/>
      <c r="J436" s="26"/>
      <c r="K436" s="8"/>
      <c r="L436" s="611"/>
      <c r="M436" s="26"/>
      <c r="N436" s="8"/>
      <c r="O436" s="611"/>
      <c r="P436" s="26"/>
      <c r="Q436" s="8"/>
      <c r="R436" s="611"/>
      <c r="S436" s="26"/>
      <c r="T436" s="8"/>
      <c r="U436" s="611"/>
      <c r="V436" s="26"/>
      <c r="W436" s="8"/>
      <c r="X436" s="611"/>
      <c r="Y436" s="26"/>
      <c r="Z436" s="8"/>
      <c r="AA436" s="611"/>
      <c r="AB436" s="26"/>
      <c r="AC436" s="8"/>
      <c r="AD436" s="26"/>
      <c r="AE436" s="26"/>
      <c r="AF436" s="26"/>
      <c r="AG436" s="26"/>
      <c r="AH436" s="26"/>
    </row>
    <row r="437" ht="12.75" customHeight="1">
      <c r="A437" s="24"/>
      <c r="B437" s="609"/>
      <c r="C437" s="24"/>
      <c r="D437" s="24"/>
      <c r="E437" s="610"/>
      <c r="F437" s="611"/>
      <c r="G437" s="26"/>
      <c r="H437" s="8"/>
      <c r="I437" s="611"/>
      <c r="J437" s="26"/>
      <c r="K437" s="8"/>
      <c r="L437" s="611"/>
      <c r="M437" s="26"/>
      <c r="N437" s="8"/>
      <c r="O437" s="611"/>
      <c r="P437" s="26"/>
      <c r="Q437" s="8"/>
      <c r="R437" s="611"/>
      <c r="S437" s="26"/>
      <c r="T437" s="8"/>
      <c r="U437" s="611"/>
      <c r="V437" s="26"/>
      <c r="W437" s="8"/>
      <c r="X437" s="611"/>
      <c r="Y437" s="26"/>
      <c r="Z437" s="8"/>
      <c r="AA437" s="611"/>
      <c r="AB437" s="26"/>
      <c r="AC437" s="8"/>
      <c r="AD437" s="26"/>
      <c r="AE437" s="26"/>
      <c r="AF437" s="26"/>
      <c r="AG437" s="26"/>
      <c r="AH437" s="26"/>
    </row>
    <row r="438" ht="12.75" customHeight="1">
      <c r="A438" s="24"/>
      <c r="B438" s="609"/>
      <c r="C438" s="24"/>
      <c r="D438" s="24"/>
      <c r="E438" s="610"/>
      <c r="F438" s="611"/>
      <c r="G438" s="26"/>
      <c r="H438" s="8"/>
      <c r="I438" s="611"/>
      <c r="J438" s="26"/>
      <c r="K438" s="8"/>
      <c r="L438" s="611"/>
      <c r="M438" s="26"/>
      <c r="N438" s="8"/>
      <c r="O438" s="611"/>
      <c r="P438" s="26"/>
      <c r="Q438" s="8"/>
      <c r="R438" s="611"/>
      <c r="S438" s="26"/>
      <c r="T438" s="8"/>
      <c r="U438" s="611"/>
      <c r="V438" s="26"/>
      <c r="W438" s="8"/>
      <c r="X438" s="611"/>
      <c r="Y438" s="26"/>
      <c r="Z438" s="8"/>
      <c r="AA438" s="611"/>
      <c r="AB438" s="26"/>
      <c r="AC438" s="8"/>
      <c r="AD438" s="26"/>
      <c r="AE438" s="26"/>
      <c r="AF438" s="26"/>
      <c r="AG438" s="26"/>
      <c r="AH438" s="26"/>
    </row>
    <row r="439" ht="12.75" customHeight="1">
      <c r="A439" s="24"/>
      <c r="B439" s="609"/>
      <c r="C439" s="24"/>
      <c r="D439" s="24"/>
      <c r="E439" s="610"/>
      <c r="F439" s="611"/>
      <c r="G439" s="26"/>
      <c r="H439" s="8"/>
      <c r="I439" s="611"/>
      <c r="J439" s="26"/>
      <c r="K439" s="8"/>
      <c r="L439" s="611"/>
      <c r="M439" s="26"/>
      <c r="N439" s="8"/>
      <c r="O439" s="611"/>
      <c r="P439" s="26"/>
      <c r="Q439" s="8"/>
      <c r="R439" s="611"/>
      <c r="S439" s="26"/>
      <c r="T439" s="8"/>
      <c r="U439" s="611"/>
      <c r="V439" s="26"/>
      <c r="W439" s="8"/>
      <c r="X439" s="611"/>
      <c r="Y439" s="26"/>
      <c r="Z439" s="8"/>
      <c r="AA439" s="611"/>
      <c r="AB439" s="26"/>
      <c r="AC439" s="8"/>
      <c r="AD439" s="26"/>
      <c r="AE439" s="26"/>
      <c r="AF439" s="26"/>
      <c r="AG439" s="26"/>
      <c r="AH439" s="26"/>
    </row>
    <row r="440" ht="12.75" customHeight="1">
      <c r="A440" s="24"/>
      <c r="B440" s="609"/>
      <c r="C440" s="24"/>
      <c r="D440" s="24"/>
      <c r="E440" s="610"/>
      <c r="F440" s="611"/>
      <c r="G440" s="26"/>
      <c r="H440" s="8"/>
      <c r="I440" s="611"/>
      <c r="J440" s="26"/>
      <c r="K440" s="8"/>
      <c r="L440" s="611"/>
      <c r="M440" s="26"/>
      <c r="N440" s="8"/>
      <c r="O440" s="611"/>
      <c r="P440" s="26"/>
      <c r="Q440" s="8"/>
      <c r="R440" s="611"/>
      <c r="S440" s="26"/>
      <c r="T440" s="8"/>
      <c r="U440" s="611"/>
      <c r="V440" s="26"/>
      <c r="W440" s="8"/>
      <c r="X440" s="611"/>
      <c r="Y440" s="26"/>
      <c r="Z440" s="8"/>
      <c r="AA440" s="611"/>
      <c r="AB440" s="26"/>
      <c r="AC440" s="8"/>
      <c r="AD440" s="26"/>
      <c r="AE440" s="26"/>
      <c r="AF440" s="26"/>
      <c r="AG440" s="26"/>
      <c r="AH440" s="26"/>
    </row>
    <row r="441" ht="12.75" customHeight="1">
      <c r="A441" s="24"/>
      <c r="B441" s="609"/>
      <c r="C441" s="24"/>
      <c r="D441" s="24"/>
      <c r="E441" s="610"/>
      <c r="F441" s="611"/>
      <c r="G441" s="26"/>
      <c r="H441" s="8"/>
      <c r="I441" s="611"/>
      <c r="J441" s="26"/>
      <c r="K441" s="8"/>
      <c r="L441" s="611"/>
      <c r="M441" s="26"/>
      <c r="N441" s="8"/>
      <c r="O441" s="611"/>
      <c r="P441" s="26"/>
      <c r="Q441" s="8"/>
      <c r="R441" s="611"/>
      <c r="S441" s="26"/>
      <c r="T441" s="8"/>
      <c r="U441" s="611"/>
      <c r="V441" s="26"/>
      <c r="W441" s="8"/>
      <c r="X441" s="611"/>
      <c r="Y441" s="26"/>
      <c r="Z441" s="8"/>
      <c r="AA441" s="611"/>
      <c r="AB441" s="26"/>
      <c r="AC441" s="8"/>
      <c r="AD441" s="26"/>
      <c r="AE441" s="26"/>
      <c r="AF441" s="26"/>
      <c r="AG441" s="26"/>
      <c r="AH441" s="26"/>
    </row>
    <row r="442" ht="12.75" customHeight="1">
      <c r="A442" s="24"/>
      <c r="B442" s="609"/>
      <c r="C442" s="24"/>
      <c r="D442" s="24"/>
      <c r="E442" s="610"/>
      <c r="F442" s="611"/>
      <c r="G442" s="26"/>
      <c r="H442" s="8"/>
      <c r="I442" s="611"/>
      <c r="J442" s="26"/>
      <c r="K442" s="8"/>
      <c r="L442" s="611"/>
      <c r="M442" s="26"/>
      <c r="N442" s="8"/>
      <c r="O442" s="611"/>
      <c r="P442" s="26"/>
      <c r="Q442" s="8"/>
      <c r="R442" s="611"/>
      <c r="S442" s="26"/>
      <c r="T442" s="8"/>
      <c r="U442" s="611"/>
      <c r="V442" s="26"/>
      <c r="W442" s="8"/>
      <c r="X442" s="611"/>
      <c r="Y442" s="26"/>
      <c r="Z442" s="8"/>
      <c r="AA442" s="611"/>
      <c r="AB442" s="26"/>
      <c r="AC442" s="8"/>
      <c r="AD442" s="26"/>
      <c r="AE442" s="26"/>
      <c r="AF442" s="26"/>
      <c r="AG442" s="26"/>
      <c r="AH442" s="26"/>
    </row>
    <row r="443" ht="12.75" customHeight="1">
      <c r="A443" s="24"/>
      <c r="B443" s="609"/>
      <c r="C443" s="24"/>
      <c r="D443" s="24"/>
      <c r="E443" s="610"/>
      <c r="F443" s="611"/>
      <c r="G443" s="26"/>
      <c r="H443" s="8"/>
      <c r="I443" s="611"/>
      <c r="J443" s="26"/>
      <c r="K443" s="8"/>
      <c r="L443" s="611"/>
      <c r="M443" s="26"/>
      <c r="N443" s="8"/>
      <c r="O443" s="611"/>
      <c r="P443" s="26"/>
      <c r="Q443" s="8"/>
      <c r="R443" s="611"/>
      <c r="S443" s="26"/>
      <c r="T443" s="8"/>
      <c r="U443" s="611"/>
      <c r="V443" s="26"/>
      <c r="W443" s="8"/>
      <c r="X443" s="611"/>
      <c r="Y443" s="26"/>
      <c r="Z443" s="8"/>
      <c r="AA443" s="611"/>
      <c r="AB443" s="26"/>
      <c r="AC443" s="8"/>
      <c r="AD443" s="26"/>
      <c r="AE443" s="26"/>
      <c r="AF443" s="26"/>
      <c r="AG443" s="26"/>
      <c r="AH443" s="26"/>
    </row>
    <row r="444" ht="12.75" customHeight="1">
      <c r="A444" s="24"/>
      <c r="B444" s="609"/>
      <c r="C444" s="24"/>
      <c r="D444" s="24"/>
      <c r="E444" s="610"/>
      <c r="F444" s="611"/>
      <c r="G444" s="26"/>
      <c r="H444" s="8"/>
      <c r="I444" s="611"/>
      <c r="J444" s="26"/>
      <c r="K444" s="8"/>
      <c r="L444" s="611"/>
      <c r="M444" s="26"/>
      <c r="N444" s="8"/>
      <c r="O444" s="611"/>
      <c r="P444" s="26"/>
      <c r="Q444" s="8"/>
      <c r="R444" s="611"/>
      <c r="S444" s="26"/>
      <c r="T444" s="8"/>
      <c r="U444" s="611"/>
      <c r="V444" s="26"/>
      <c r="W444" s="8"/>
      <c r="X444" s="611"/>
      <c r="Y444" s="26"/>
      <c r="Z444" s="8"/>
      <c r="AA444" s="611"/>
      <c r="AB444" s="26"/>
      <c r="AC444" s="8"/>
      <c r="AD444" s="26"/>
      <c r="AE444" s="26"/>
      <c r="AF444" s="26"/>
      <c r="AG444" s="26"/>
      <c r="AH444" s="26"/>
    </row>
    <row r="445" ht="12.75" customHeight="1">
      <c r="A445" s="24"/>
      <c r="B445" s="609"/>
      <c r="C445" s="24"/>
      <c r="D445" s="24"/>
      <c r="E445" s="610"/>
      <c r="F445" s="611"/>
      <c r="G445" s="26"/>
      <c r="H445" s="8"/>
      <c r="I445" s="611"/>
      <c r="J445" s="26"/>
      <c r="K445" s="8"/>
      <c r="L445" s="611"/>
      <c r="M445" s="26"/>
      <c r="N445" s="8"/>
      <c r="O445" s="611"/>
      <c r="P445" s="26"/>
      <c r="Q445" s="8"/>
      <c r="R445" s="611"/>
      <c r="S445" s="26"/>
      <c r="T445" s="8"/>
      <c r="U445" s="611"/>
      <c r="V445" s="26"/>
      <c r="W445" s="8"/>
      <c r="X445" s="611"/>
      <c r="Y445" s="26"/>
      <c r="Z445" s="8"/>
      <c r="AA445" s="611"/>
      <c r="AB445" s="26"/>
      <c r="AC445" s="8"/>
      <c r="AD445" s="26"/>
      <c r="AE445" s="26"/>
      <c r="AF445" s="26"/>
      <c r="AG445" s="26"/>
      <c r="AH445" s="26"/>
    </row>
    <row r="446" ht="12.75" customHeight="1">
      <c r="A446" s="24"/>
      <c r="B446" s="609"/>
      <c r="C446" s="24"/>
      <c r="D446" s="24"/>
      <c r="E446" s="610"/>
      <c r="F446" s="611"/>
      <c r="G446" s="26"/>
      <c r="H446" s="8"/>
      <c r="I446" s="611"/>
      <c r="J446" s="26"/>
      <c r="K446" s="8"/>
      <c r="L446" s="611"/>
      <c r="M446" s="26"/>
      <c r="N446" s="8"/>
      <c r="O446" s="611"/>
      <c r="P446" s="26"/>
      <c r="Q446" s="8"/>
      <c r="R446" s="611"/>
      <c r="S446" s="26"/>
      <c r="T446" s="8"/>
      <c r="U446" s="611"/>
      <c r="V446" s="26"/>
      <c r="W446" s="8"/>
      <c r="X446" s="611"/>
      <c r="Y446" s="26"/>
      <c r="Z446" s="8"/>
      <c r="AA446" s="611"/>
      <c r="AB446" s="26"/>
      <c r="AC446" s="8"/>
      <c r="AD446" s="26"/>
      <c r="AE446" s="26"/>
      <c r="AF446" s="26"/>
      <c r="AG446" s="26"/>
      <c r="AH446" s="26"/>
    </row>
    <row r="447" ht="12.75" customHeight="1">
      <c r="A447" s="24"/>
      <c r="B447" s="609"/>
      <c r="C447" s="24"/>
      <c r="D447" s="24"/>
      <c r="E447" s="610"/>
      <c r="F447" s="611"/>
      <c r="G447" s="26"/>
      <c r="H447" s="8"/>
      <c r="I447" s="611"/>
      <c r="J447" s="26"/>
      <c r="K447" s="8"/>
      <c r="L447" s="611"/>
      <c r="M447" s="26"/>
      <c r="N447" s="8"/>
      <c r="O447" s="611"/>
      <c r="P447" s="26"/>
      <c r="Q447" s="8"/>
      <c r="R447" s="611"/>
      <c r="S447" s="26"/>
      <c r="T447" s="8"/>
      <c r="U447" s="611"/>
      <c r="V447" s="26"/>
      <c r="W447" s="8"/>
      <c r="X447" s="611"/>
      <c r="Y447" s="26"/>
      <c r="Z447" s="8"/>
      <c r="AA447" s="611"/>
      <c r="AB447" s="26"/>
      <c r="AC447" s="8"/>
      <c r="AD447" s="26"/>
      <c r="AE447" s="26"/>
      <c r="AF447" s="26"/>
      <c r="AG447" s="26"/>
      <c r="AH447" s="26"/>
    </row>
    <row r="448" ht="12.75" customHeight="1">
      <c r="A448" s="24"/>
      <c r="B448" s="609"/>
      <c r="C448" s="24"/>
      <c r="D448" s="24"/>
      <c r="E448" s="610"/>
      <c r="F448" s="611"/>
      <c r="G448" s="26"/>
      <c r="H448" s="8"/>
      <c r="I448" s="611"/>
      <c r="J448" s="26"/>
      <c r="K448" s="8"/>
      <c r="L448" s="611"/>
      <c r="M448" s="26"/>
      <c r="N448" s="8"/>
      <c r="O448" s="611"/>
      <c r="P448" s="26"/>
      <c r="Q448" s="8"/>
      <c r="R448" s="611"/>
      <c r="S448" s="26"/>
      <c r="T448" s="8"/>
      <c r="U448" s="611"/>
      <c r="V448" s="26"/>
      <c r="W448" s="8"/>
      <c r="X448" s="611"/>
      <c r="Y448" s="26"/>
      <c r="Z448" s="8"/>
      <c r="AA448" s="611"/>
      <c r="AB448" s="26"/>
      <c r="AC448" s="8"/>
      <c r="AD448" s="26"/>
      <c r="AE448" s="26"/>
      <c r="AF448" s="26"/>
      <c r="AG448" s="26"/>
      <c r="AH448" s="26"/>
    </row>
    <row r="449" ht="12.75" customHeight="1">
      <c r="A449" s="24"/>
      <c r="B449" s="609"/>
      <c r="C449" s="24"/>
      <c r="D449" s="24"/>
      <c r="E449" s="610"/>
      <c r="F449" s="611"/>
      <c r="G449" s="26"/>
      <c r="H449" s="8"/>
      <c r="I449" s="611"/>
      <c r="J449" s="26"/>
      <c r="K449" s="8"/>
      <c r="L449" s="611"/>
      <c r="M449" s="26"/>
      <c r="N449" s="8"/>
      <c r="O449" s="611"/>
      <c r="P449" s="26"/>
      <c r="Q449" s="8"/>
      <c r="R449" s="611"/>
      <c r="S449" s="26"/>
      <c r="T449" s="8"/>
      <c r="U449" s="611"/>
      <c r="V449" s="26"/>
      <c r="W449" s="8"/>
      <c r="X449" s="611"/>
      <c r="Y449" s="26"/>
      <c r="Z449" s="8"/>
      <c r="AA449" s="611"/>
      <c r="AB449" s="26"/>
      <c r="AC449" s="8"/>
      <c r="AD449" s="26"/>
      <c r="AE449" s="26"/>
      <c r="AF449" s="26"/>
      <c r="AG449" s="26"/>
      <c r="AH449" s="26"/>
    </row>
    <row r="450" ht="12.75" customHeight="1">
      <c r="A450" s="24"/>
      <c r="B450" s="609"/>
      <c r="C450" s="24"/>
      <c r="D450" s="24"/>
      <c r="E450" s="610"/>
      <c r="F450" s="611"/>
      <c r="G450" s="26"/>
      <c r="H450" s="8"/>
      <c r="I450" s="611"/>
      <c r="J450" s="26"/>
      <c r="K450" s="8"/>
      <c r="L450" s="611"/>
      <c r="M450" s="26"/>
      <c r="N450" s="8"/>
      <c r="O450" s="611"/>
      <c r="P450" s="26"/>
      <c r="Q450" s="8"/>
      <c r="R450" s="611"/>
      <c r="S450" s="26"/>
      <c r="T450" s="8"/>
      <c r="U450" s="611"/>
      <c r="V450" s="26"/>
      <c r="W450" s="8"/>
      <c r="X450" s="611"/>
      <c r="Y450" s="26"/>
      <c r="Z450" s="8"/>
      <c r="AA450" s="611"/>
      <c r="AB450" s="26"/>
      <c r="AC450" s="8"/>
      <c r="AD450" s="26"/>
      <c r="AE450" s="26"/>
      <c r="AF450" s="26"/>
      <c r="AG450" s="26"/>
      <c r="AH450" s="26"/>
    </row>
    <row r="451" ht="12.75" customHeight="1">
      <c r="A451" s="24"/>
      <c r="B451" s="609"/>
      <c r="C451" s="24"/>
      <c r="D451" s="24"/>
      <c r="E451" s="610"/>
      <c r="F451" s="611"/>
      <c r="G451" s="26"/>
      <c r="H451" s="8"/>
      <c r="I451" s="611"/>
      <c r="J451" s="26"/>
      <c r="K451" s="8"/>
      <c r="L451" s="611"/>
      <c r="M451" s="26"/>
      <c r="N451" s="8"/>
      <c r="O451" s="611"/>
      <c r="P451" s="26"/>
      <c r="Q451" s="8"/>
      <c r="R451" s="611"/>
      <c r="S451" s="26"/>
      <c r="T451" s="8"/>
      <c r="U451" s="611"/>
      <c r="V451" s="26"/>
      <c r="W451" s="8"/>
      <c r="X451" s="611"/>
      <c r="Y451" s="26"/>
      <c r="Z451" s="8"/>
      <c r="AA451" s="611"/>
      <c r="AB451" s="26"/>
      <c r="AC451" s="8"/>
      <c r="AD451" s="26"/>
      <c r="AE451" s="26"/>
      <c r="AF451" s="26"/>
      <c r="AG451" s="26"/>
      <c r="AH451" s="26"/>
    </row>
    <row r="452" ht="12.75" customHeight="1">
      <c r="A452" s="24"/>
      <c r="B452" s="609"/>
      <c r="C452" s="24"/>
      <c r="D452" s="24"/>
      <c r="E452" s="610"/>
      <c r="F452" s="611"/>
      <c r="G452" s="26"/>
      <c r="H452" s="8"/>
      <c r="I452" s="611"/>
      <c r="J452" s="26"/>
      <c r="K452" s="8"/>
      <c r="L452" s="611"/>
      <c r="M452" s="26"/>
      <c r="N452" s="8"/>
      <c r="O452" s="611"/>
      <c r="P452" s="26"/>
      <c r="Q452" s="8"/>
      <c r="R452" s="611"/>
      <c r="S452" s="26"/>
      <c r="T452" s="8"/>
      <c r="U452" s="611"/>
      <c r="V452" s="26"/>
      <c r="W452" s="8"/>
      <c r="X452" s="611"/>
      <c r="Y452" s="26"/>
      <c r="Z452" s="8"/>
      <c r="AA452" s="611"/>
      <c r="AB452" s="26"/>
      <c r="AC452" s="8"/>
      <c r="AD452" s="26"/>
      <c r="AE452" s="26"/>
      <c r="AF452" s="26"/>
      <c r="AG452" s="26"/>
      <c r="AH452" s="26"/>
    </row>
    <row r="453" ht="12.75" customHeight="1">
      <c r="A453" s="24"/>
      <c r="B453" s="609"/>
      <c r="C453" s="24"/>
      <c r="D453" s="24"/>
      <c r="E453" s="610"/>
      <c r="F453" s="611"/>
      <c r="G453" s="26"/>
      <c r="H453" s="8"/>
      <c r="I453" s="611"/>
      <c r="J453" s="26"/>
      <c r="K453" s="8"/>
      <c r="L453" s="611"/>
      <c r="M453" s="26"/>
      <c r="N453" s="8"/>
      <c r="O453" s="611"/>
      <c r="P453" s="26"/>
      <c r="Q453" s="8"/>
      <c r="R453" s="611"/>
      <c r="S453" s="26"/>
      <c r="T453" s="8"/>
      <c r="U453" s="611"/>
      <c r="V453" s="26"/>
      <c r="W453" s="8"/>
      <c r="X453" s="611"/>
      <c r="Y453" s="26"/>
      <c r="Z453" s="8"/>
      <c r="AA453" s="611"/>
      <c r="AB453" s="26"/>
      <c r="AC453" s="8"/>
      <c r="AD453" s="26"/>
      <c r="AE453" s="26"/>
      <c r="AF453" s="26"/>
      <c r="AG453" s="26"/>
      <c r="AH453" s="26"/>
    </row>
    <row r="454" ht="12.75" customHeight="1">
      <c r="A454" s="24"/>
      <c r="B454" s="609"/>
      <c r="C454" s="24"/>
      <c r="D454" s="24"/>
      <c r="E454" s="610"/>
      <c r="F454" s="611"/>
      <c r="G454" s="26"/>
      <c r="H454" s="8"/>
      <c r="I454" s="611"/>
      <c r="J454" s="26"/>
      <c r="K454" s="8"/>
      <c r="L454" s="611"/>
      <c r="M454" s="26"/>
      <c r="N454" s="8"/>
      <c r="O454" s="611"/>
      <c r="P454" s="26"/>
      <c r="Q454" s="8"/>
      <c r="R454" s="611"/>
      <c r="S454" s="26"/>
      <c r="T454" s="8"/>
      <c r="U454" s="611"/>
      <c r="V454" s="26"/>
      <c r="W454" s="8"/>
      <c r="X454" s="611"/>
      <c r="Y454" s="26"/>
      <c r="Z454" s="8"/>
      <c r="AA454" s="611"/>
      <c r="AB454" s="26"/>
      <c r="AC454" s="8"/>
      <c r="AD454" s="26"/>
      <c r="AE454" s="26"/>
      <c r="AF454" s="26"/>
      <c r="AG454" s="26"/>
      <c r="AH454" s="26"/>
    </row>
    <row r="455" ht="12.75" customHeight="1">
      <c r="A455" s="24"/>
      <c r="B455" s="609"/>
      <c r="C455" s="24"/>
      <c r="D455" s="24"/>
      <c r="E455" s="610"/>
      <c r="F455" s="611"/>
      <c r="G455" s="26"/>
      <c r="H455" s="8"/>
      <c r="I455" s="611"/>
      <c r="J455" s="26"/>
      <c r="K455" s="8"/>
      <c r="L455" s="611"/>
      <c r="M455" s="26"/>
      <c r="N455" s="8"/>
      <c r="O455" s="611"/>
      <c r="P455" s="26"/>
      <c r="Q455" s="8"/>
      <c r="R455" s="611"/>
      <c r="S455" s="26"/>
      <c r="T455" s="8"/>
      <c r="U455" s="611"/>
      <c r="V455" s="26"/>
      <c r="W455" s="8"/>
      <c r="X455" s="611"/>
      <c r="Y455" s="26"/>
      <c r="Z455" s="8"/>
      <c r="AA455" s="611"/>
      <c r="AB455" s="26"/>
      <c r="AC455" s="8"/>
      <c r="AD455" s="26"/>
      <c r="AE455" s="26"/>
      <c r="AF455" s="26"/>
      <c r="AG455" s="26"/>
      <c r="AH455" s="26"/>
    </row>
    <row r="456" ht="12.75" customHeight="1">
      <c r="A456" s="24"/>
      <c r="B456" s="609"/>
      <c r="C456" s="24"/>
      <c r="D456" s="24"/>
      <c r="E456" s="610"/>
      <c r="F456" s="611"/>
      <c r="G456" s="26"/>
      <c r="H456" s="8"/>
      <c r="I456" s="611"/>
      <c r="J456" s="26"/>
      <c r="K456" s="8"/>
      <c r="L456" s="611"/>
      <c r="M456" s="26"/>
      <c r="N456" s="8"/>
      <c r="O456" s="611"/>
      <c r="P456" s="26"/>
      <c r="Q456" s="8"/>
      <c r="R456" s="611"/>
      <c r="S456" s="26"/>
      <c r="T456" s="8"/>
      <c r="U456" s="611"/>
      <c r="V456" s="26"/>
      <c r="W456" s="8"/>
      <c r="X456" s="611"/>
      <c r="Y456" s="26"/>
      <c r="Z456" s="8"/>
      <c r="AA456" s="611"/>
      <c r="AB456" s="26"/>
      <c r="AC456" s="8"/>
      <c r="AD456" s="26"/>
      <c r="AE456" s="26"/>
      <c r="AF456" s="26"/>
      <c r="AG456" s="26"/>
      <c r="AH456" s="26"/>
    </row>
    <row r="457" ht="12.75" customHeight="1">
      <c r="A457" s="24"/>
      <c r="B457" s="609"/>
      <c r="C457" s="24"/>
      <c r="D457" s="24"/>
      <c r="E457" s="610"/>
      <c r="F457" s="611"/>
      <c r="G457" s="26"/>
      <c r="H457" s="8"/>
      <c r="I457" s="611"/>
      <c r="J457" s="26"/>
      <c r="K457" s="8"/>
      <c r="L457" s="611"/>
      <c r="M457" s="26"/>
      <c r="N457" s="8"/>
      <c r="O457" s="611"/>
      <c r="P457" s="26"/>
      <c r="Q457" s="8"/>
      <c r="R457" s="611"/>
      <c r="S457" s="26"/>
      <c r="T457" s="8"/>
      <c r="U457" s="611"/>
      <c r="V457" s="26"/>
      <c r="W457" s="8"/>
      <c r="X457" s="611"/>
      <c r="Y457" s="26"/>
      <c r="Z457" s="8"/>
      <c r="AA457" s="611"/>
      <c r="AB457" s="26"/>
      <c r="AC457" s="8"/>
      <c r="AD457" s="26"/>
      <c r="AE457" s="26"/>
      <c r="AF457" s="26"/>
      <c r="AG457" s="26"/>
      <c r="AH457" s="26"/>
    </row>
    <row r="458" ht="12.75" customHeight="1">
      <c r="A458" s="24"/>
      <c r="B458" s="609"/>
      <c r="C458" s="24"/>
      <c r="D458" s="24"/>
      <c r="E458" s="610"/>
      <c r="F458" s="611"/>
      <c r="G458" s="26"/>
      <c r="H458" s="8"/>
      <c r="I458" s="611"/>
      <c r="J458" s="26"/>
      <c r="K458" s="8"/>
      <c r="L458" s="611"/>
      <c r="M458" s="26"/>
      <c r="N458" s="8"/>
      <c r="O458" s="611"/>
      <c r="P458" s="26"/>
      <c r="Q458" s="8"/>
      <c r="R458" s="611"/>
      <c r="S458" s="26"/>
      <c r="T458" s="8"/>
      <c r="U458" s="611"/>
      <c r="V458" s="26"/>
      <c r="W458" s="8"/>
      <c r="X458" s="611"/>
      <c r="Y458" s="26"/>
      <c r="Z458" s="8"/>
      <c r="AA458" s="611"/>
      <c r="AB458" s="26"/>
      <c r="AC458" s="8"/>
      <c r="AD458" s="26"/>
      <c r="AE458" s="26"/>
      <c r="AF458" s="26"/>
      <c r="AG458" s="26"/>
      <c r="AH458" s="26"/>
    </row>
    <row r="459" ht="12.75" customHeight="1">
      <c r="A459" s="24"/>
      <c r="B459" s="609"/>
      <c r="C459" s="24"/>
      <c r="D459" s="24"/>
      <c r="E459" s="610"/>
      <c r="F459" s="611"/>
      <c r="G459" s="26"/>
      <c r="H459" s="8"/>
      <c r="I459" s="611"/>
      <c r="J459" s="26"/>
      <c r="K459" s="8"/>
      <c r="L459" s="611"/>
      <c r="M459" s="26"/>
      <c r="N459" s="8"/>
      <c r="O459" s="611"/>
      <c r="P459" s="26"/>
      <c r="Q459" s="8"/>
      <c r="R459" s="611"/>
      <c r="S459" s="26"/>
      <c r="T459" s="8"/>
      <c r="U459" s="611"/>
      <c r="V459" s="26"/>
      <c r="W459" s="8"/>
      <c r="X459" s="611"/>
      <c r="Y459" s="26"/>
      <c r="Z459" s="8"/>
      <c r="AA459" s="611"/>
      <c r="AB459" s="26"/>
      <c r="AC459" s="8"/>
      <c r="AD459" s="26"/>
      <c r="AE459" s="26"/>
      <c r="AF459" s="26"/>
      <c r="AG459" s="26"/>
      <c r="AH459" s="26"/>
    </row>
    <row r="460" ht="12.75" customHeight="1">
      <c r="A460" s="24"/>
      <c r="B460" s="609"/>
      <c r="C460" s="24"/>
      <c r="D460" s="24"/>
      <c r="E460" s="610"/>
      <c r="F460" s="611"/>
      <c r="G460" s="26"/>
      <c r="H460" s="8"/>
      <c r="I460" s="611"/>
      <c r="J460" s="26"/>
      <c r="K460" s="8"/>
      <c r="L460" s="611"/>
      <c r="M460" s="26"/>
      <c r="N460" s="8"/>
      <c r="O460" s="611"/>
      <c r="P460" s="26"/>
      <c r="Q460" s="8"/>
      <c r="R460" s="611"/>
      <c r="S460" s="26"/>
      <c r="T460" s="8"/>
      <c r="U460" s="611"/>
      <c r="V460" s="26"/>
      <c r="W460" s="8"/>
      <c r="X460" s="611"/>
      <c r="Y460" s="26"/>
      <c r="Z460" s="8"/>
      <c r="AA460" s="611"/>
      <c r="AB460" s="26"/>
      <c r="AC460" s="8"/>
      <c r="AD460" s="26"/>
      <c r="AE460" s="26"/>
      <c r="AF460" s="26"/>
      <c r="AG460" s="26"/>
      <c r="AH460" s="26"/>
    </row>
    <row r="461" ht="12.75" customHeight="1">
      <c r="A461" s="24"/>
      <c r="B461" s="609"/>
      <c r="C461" s="24"/>
      <c r="D461" s="24"/>
      <c r="E461" s="610"/>
      <c r="F461" s="611"/>
      <c r="G461" s="26"/>
      <c r="H461" s="8"/>
      <c r="I461" s="611"/>
      <c r="J461" s="26"/>
      <c r="K461" s="8"/>
      <c r="L461" s="611"/>
      <c r="M461" s="26"/>
      <c r="N461" s="8"/>
      <c r="O461" s="611"/>
      <c r="P461" s="26"/>
      <c r="Q461" s="8"/>
      <c r="R461" s="611"/>
      <c r="S461" s="26"/>
      <c r="T461" s="8"/>
      <c r="U461" s="611"/>
      <c r="V461" s="26"/>
      <c r="W461" s="8"/>
      <c r="X461" s="611"/>
      <c r="Y461" s="26"/>
      <c r="Z461" s="8"/>
      <c r="AA461" s="611"/>
      <c r="AB461" s="26"/>
      <c r="AC461" s="8"/>
      <c r="AD461" s="26"/>
      <c r="AE461" s="26"/>
      <c r="AF461" s="26"/>
      <c r="AG461" s="26"/>
      <c r="AH461" s="26"/>
    </row>
    <row r="462" ht="12.75" customHeight="1">
      <c r="A462" s="24"/>
      <c r="B462" s="609"/>
      <c r="C462" s="24"/>
      <c r="D462" s="24"/>
      <c r="E462" s="610"/>
      <c r="F462" s="611"/>
      <c r="G462" s="26"/>
      <c r="H462" s="8"/>
      <c r="I462" s="611"/>
      <c r="J462" s="26"/>
      <c r="K462" s="8"/>
      <c r="L462" s="611"/>
      <c r="M462" s="26"/>
      <c r="N462" s="8"/>
      <c r="O462" s="611"/>
      <c r="P462" s="26"/>
      <c r="Q462" s="8"/>
      <c r="R462" s="611"/>
      <c r="S462" s="26"/>
      <c r="T462" s="8"/>
      <c r="U462" s="611"/>
      <c r="V462" s="26"/>
      <c r="W462" s="8"/>
      <c r="X462" s="611"/>
      <c r="Y462" s="26"/>
      <c r="Z462" s="8"/>
      <c r="AA462" s="611"/>
      <c r="AB462" s="26"/>
      <c r="AC462" s="8"/>
      <c r="AD462" s="26"/>
      <c r="AE462" s="26"/>
      <c r="AF462" s="26"/>
      <c r="AG462" s="26"/>
      <c r="AH462" s="26"/>
    </row>
    <row r="463" ht="12.75" customHeight="1">
      <c r="A463" s="24"/>
      <c r="B463" s="609"/>
      <c r="C463" s="24"/>
      <c r="D463" s="24"/>
      <c r="E463" s="610"/>
      <c r="F463" s="611"/>
      <c r="G463" s="26"/>
      <c r="H463" s="8"/>
      <c r="I463" s="611"/>
      <c r="J463" s="26"/>
      <c r="K463" s="8"/>
      <c r="L463" s="611"/>
      <c r="M463" s="26"/>
      <c r="N463" s="8"/>
      <c r="O463" s="611"/>
      <c r="P463" s="26"/>
      <c r="Q463" s="8"/>
      <c r="R463" s="611"/>
      <c r="S463" s="26"/>
      <c r="T463" s="8"/>
      <c r="U463" s="611"/>
      <c r="V463" s="26"/>
      <c r="W463" s="8"/>
      <c r="X463" s="611"/>
      <c r="Y463" s="26"/>
      <c r="Z463" s="8"/>
      <c r="AA463" s="611"/>
      <c r="AB463" s="26"/>
      <c r="AC463" s="8"/>
      <c r="AD463" s="26"/>
      <c r="AE463" s="26"/>
      <c r="AF463" s="26"/>
      <c r="AG463" s="26"/>
      <c r="AH463" s="26"/>
    </row>
    <row r="464" ht="12.75" customHeight="1">
      <c r="A464" s="24"/>
      <c r="B464" s="609"/>
      <c r="C464" s="24"/>
      <c r="D464" s="24"/>
      <c r="E464" s="610"/>
      <c r="F464" s="611"/>
      <c r="G464" s="26"/>
      <c r="H464" s="8"/>
      <c r="I464" s="611"/>
      <c r="J464" s="26"/>
      <c r="K464" s="8"/>
      <c r="L464" s="611"/>
      <c r="M464" s="26"/>
      <c r="N464" s="8"/>
      <c r="O464" s="611"/>
      <c r="P464" s="26"/>
      <c r="Q464" s="8"/>
      <c r="R464" s="611"/>
      <c r="S464" s="26"/>
      <c r="T464" s="8"/>
      <c r="U464" s="611"/>
      <c r="V464" s="26"/>
      <c r="W464" s="8"/>
      <c r="X464" s="611"/>
      <c r="Y464" s="26"/>
      <c r="Z464" s="8"/>
      <c r="AA464" s="611"/>
      <c r="AB464" s="26"/>
      <c r="AC464" s="8"/>
      <c r="AD464" s="26"/>
      <c r="AE464" s="26"/>
      <c r="AF464" s="26"/>
      <c r="AG464" s="26"/>
      <c r="AH464" s="26"/>
    </row>
    <row r="465" ht="12.75" customHeight="1">
      <c r="A465" s="24"/>
      <c r="B465" s="609"/>
      <c r="C465" s="24"/>
      <c r="D465" s="24"/>
      <c r="E465" s="610"/>
      <c r="F465" s="611"/>
      <c r="G465" s="26"/>
      <c r="H465" s="8"/>
      <c r="I465" s="611"/>
      <c r="J465" s="26"/>
      <c r="K465" s="8"/>
      <c r="L465" s="611"/>
      <c r="M465" s="26"/>
      <c r="N465" s="8"/>
      <c r="O465" s="611"/>
      <c r="P465" s="26"/>
      <c r="Q465" s="8"/>
      <c r="R465" s="611"/>
      <c r="S465" s="26"/>
      <c r="T465" s="8"/>
      <c r="U465" s="611"/>
      <c r="V465" s="26"/>
      <c r="W465" s="8"/>
      <c r="X465" s="611"/>
      <c r="Y465" s="26"/>
      <c r="Z465" s="8"/>
      <c r="AA465" s="611"/>
      <c r="AB465" s="26"/>
      <c r="AC465" s="8"/>
      <c r="AD465" s="26"/>
      <c r="AE465" s="26"/>
      <c r="AF465" s="26"/>
      <c r="AG465" s="26"/>
      <c r="AH465" s="26"/>
    </row>
    <row r="466" ht="12.75" customHeight="1">
      <c r="A466" s="24"/>
      <c r="B466" s="609"/>
      <c r="C466" s="24"/>
      <c r="D466" s="24"/>
      <c r="E466" s="610"/>
      <c r="F466" s="611"/>
      <c r="G466" s="26"/>
      <c r="H466" s="8"/>
      <c r="I466" s="611"/>
      <c r="J466" s="26"/>
      <c r="K466" s="8"/>
      <c r="L466" s="611"/>
      <c r="M466" s="26"/>
      <c r="N466" s="8"/>
      <c r="O466" s="611"/>
      <c r="P466" s="26"/>
      <c r="Q466" s="8"/>
      <c r="R466" s="611"/>
      <c r="S466" s="26"/>
      <c r="T466" s="8"/>
      <c r="U466" s="611"/>
      <c r="V466" s="26"/>
      <c r="W466" s="8"/>
      <c r="X466" s="611"/>
      <c r="Y466" s="26"/>
      <c r="Z466" s="8"/>
      <c r="AA466" s="611"/>
      <c r="AB466" s="26"/>
      <c r="AC466" s="8"/>
      <c r="AD466" s="26"/>
      <c r="AE466" s="26"/>
      <c r="AF466" s="26"/>
      <c r="AG466" s="26"/>
      <c r="AH466" s="26"/>
    </row>
    <row r="467" ht="12.75" customHeight="1">
      <c r="A467" s="24"/>
      <c r="B467" s="609"/>
      <c r="C467" s="24"/>
      <c r="D467" s="24"/>
      <c r="E467" s="610"/>
      <c r="F467" s="611"/>
      <c r="G467" s="26"/>
      <c r="H467" s="8"/>
      <c r="I467" s="611"/>
      <c r="J467" s="26"/>
      <c r="K467" s="8"/>
      <c r="L467" s="611"/>
      <c r="M467" s="26"/>
      <c r="N467" s="8"/>
      <c r="O467" s="611"/>
      <c r="P467" s="26"/>
      <c r="Q467" s="8"/>
      <c r="R467" s="611"/>
      <c r="S467" s="26"/>
      <c r="T467" s="8"/>
      <c r="U467" s="611"/>
      <c r="V467" s="26"/>
      <c r="W467" s="8"/>
      <c r="X467" s="611"/>
      <c r="Y467" s="26"/>
      <c r="Z467" s="8"/>
      <c r="AA467" s="611"/>
      <c r="AB467" s="26"/>
      <c r="AC467" s="8"/>
      <c r="AD467" s="26"/>
      <c r="AE467" s="26"/>
      <c r="AF467" s="26"/>
      <c r="AG467" s="26"/>
      <c r="AH467" s="26"/>
    </row>
    <row r="468" ht="12.75" customHeight="1">
      <c r="A468" s="24"/>
      <c r="B468" s="609"/>
      <c r="C468" s="24"/>
      <c r="D468" s="24"/>
      <c r="E468" s="610"/>
      <c r="F468" s="611"/>
      <c r="G468" s="26"/>
      <c r="H468" s="8"/>
      <c r="I468" s="611"/>
      <c r="J468" s="26"/>
      <c r="K468" s="8"/>
      <c r="L468" s="611"/>
      <c r="M468" s="26"/>
      <c r="N468" s="8"/>
      <c r="O468" s="611"/>
      <c r="P468" s="26"/>
      <c r="Q468" s="8"/>
      <c r="R468" s="611"/>
      <c r="S468" s="26"/>
      <c r="T468" s="8"/>
      <c r="U468" s="611"/>
      <c r="V468" s="26"/>
      <c r="W468" s="8"/>
      <c r="X468" s="611"/>
      <c r="Y468" s="26"/>
      <c r="Z468" s="8"/>
      <c r="AA468" s="611"/>
      <c r="AB468" s="26"/>
      <c r="AC468" s="8"/>
      <c r="AD468" s="26"/>
      <c r="AE468" s="26"/>
      <c r="AF468" s="26"/>
      <c r="AG468" s="26"/>
      <c r="AH468" s="26"/>
    </row>
    <row r="469" ht="12.75" customHeight="1">
      <c r="A469" s="24"/>
      <c r="B469" s="609"/>
      <c r="C469" s="24"/>
      <c r="D469" s="24"/>
      <c r="E469" s="610"/>
      <c r="F469" s="611"/>
      <c r="G469" s="26"/>
      <c r="H469" s="8"/>
      <c r="I469" s="611"/>
      <c r="J469" s="26"/>
      <c r="K469" s="8"/>
      <c r="L469" s="611"/>
      <c r="M469" s="26"/>
      <c r="N469" s="8"/>
      <c r="O469" s="611"/>
      <c r="P469" s="26"/>
      <c r="Q469" s="8"/>
      <c r="R469" s="611"/>
      <c r="S469" s="26"/>
      <c r="T469" s="8"/>
      <c r="U469" s="611"/>
      <c r="V469" s="26"/>
      <c r="W469" s="8"/>
      <c r="X469" s="611"/>
      <c r="Y469" s="26"/>
      <c r="Z469" s="8"/>
      <c r="AA469" s="611"/>
      <c r="AB469" s="26"/>
      <c r="AC469" s="8"/>
      <c r="AD469" s="26"/>
      <c r="AE469" s="26"/>
      <c r="AF469" s="26"/>
      <c r="AG469" s="26"/>
      <c r="AH469" s="26"/>
    </row>
    <row r="470" ht="12.75" customHeight="1">
      <c r="A470" s="24"/>
      <c r="B470" s="609"/>
      <c r="C470" s="24"/>
      <c r="D470" s="24"/>
      <c r="E470" s="610"/>
      <c r="F470" s="611"/>
      <c r="G470" s="26"/>
      <c r="H470" s="8"/>
      <c r="I470" s="611"/>
      <c r="J470" s="26"/>
      <c r="K470" s="8"/>
      <c r="L470" s="611"/>
      <c r="M470" s="26"/>
      <c r="N470" s="8"/>
      <c r="O470" s="611"/>
      <c r="P470" s="26"/>
      <c r="Q470" s="8"/>
      <c r="R470" s="611"/>
      <c r="S470" s="26"/>
      <c r="T470" s="8"/>
      <c r="U470" s="611"/>
      <c r="V470" s="26"/>
      <c r="W470" s="8"/>
      <c r="X470" s="611"/>
      <c r="Y470" s="26"/>
      <c r="Z470" s="8"/>
      <c r="AA470" s="611"/>
      <c r="AB470" s="26"/>
      <c r="AC470" s="8"/>
      <c r="AD470" s="26"/>
      <c r="AE470" s="26"/>
      <c r="AF470" s="26"/>
      <c r="AG470" s="26"/>
      <c r="AH470" s="26"/>
    </row>
    <row r="471" ht="12.75" customHeight="1">
      <c r="A471" s="24"/>
      <c r="B471" s="609"/>
      <c r="C471" s="24"/>
      <c r="D471" s="24"/>
      <c r="E471" s="610"/>
      <c r="F471" s="611"/>
      <c r="G471" s="26"/>
      <c r="H471" s="8"/>
      <c r="I471" s="611"/>
      <c r="J471" s="26"/>
      <c r="K471" s="8"/>
      <c r="L471" s="611"/>
      <c r="M471" s="26"/>
      <c r="N471" s="8"/>
      <c r="O471" s="611"/>
      <c r="P471" s="26"/>
      <c r="Q471" s="8"/>
      <c r="R471" s="611"/>
      <c r="S471" s="26"/>
      <c r="T471" s="8"/>
      <c r="U471" s="611"/>
      <c r="V471" s="26"/>
      <c r="W471" s="8"/>
      <c r="X471" s="611"/>
      <c r="Y471" s="26"/>
      <c r="Z471" s="8"/>
      <c r="AA471" s="611"/>
      <c r="AB471" s="26"/>
      <c r="AC471" s="8"/>
      <c r="AD471" s="26"/>
      <c r="AE471" s="26"/>
      <c r="AF471" s="26"/>
      <c r="AG471" s="26"/>
      <c r="AH471" s="26"/>
    </row>
    <row r="472" ht="12.75" customHeight="1">
      <c r="A472" s="24"/>
      <c r="B472" s="609"/>
      <c r="C472" s="24"/>
      <c r="D472" s="24"/>
      <c r="E472" s="610"/>
      <c r="F472" s="611"/>
      <c r="G472" s="26"/>
      <c r="H472" s="8"/>
      <c r="I472" s="611"/>
      <c r="J472" s="26"/>
      <c r="K472" s="8"/>
      <c r="L472" s="611"/>
      <c r="M472" s="26"/>
      <c r="N472" s="8"/>
      <c r="O472" s="611"/>
      <c r="P472" s="26"/>
      <c r="Q472" s="8"/>
      <c r="R472" s="611"/>
      <c r="S472" s="26"/>
      <c r="T472" s="8"/>
      <c r="U472" s="611"/>
      <c r="V472" s="26"/>
      <c r="W472" s="8"/>
      <c r="X472" s="611"/>
      <c r="Y472" s="26"/>
      <c r="Z472" s="8"/>
      <c r="AA472" s="611"/>
      <c r="AB472" s="26"/>
      <c r="AC472" s="8"/>
      <c r="AD472" s="26"/>
      <c r="AE472" s="26"/>
      <c r="AF472" s="26"/>
      <c r="AG472" s="26"/>
      <c r="AH472" s="26"/>
    </row>
    <row r="473" ht="12.75" customHeight="1">
      <c r="A473" s="24"/>
      <c r="B473" s="609"/>
      <c r="C473" s="24"/>
      <c r="D473" s="24"/>
      <c r="E473" s="610"/>
      <c r="F473" s="611"/>
      <c r="G473" s="26"/>
      <c r="H473" s="8"/>
      <c r="I473" s="611"/>
      <c r="J473" s="26"/>
      <c r="K473" s="8"/>
      <c r="L473" s="611"/>
      <c r="M473" s="26"/>
      <c r="N473" s="8"/>
      <c r="O473" s="611"/>
      <c r="P473" s="26"/>
      <c r="Q473" s="8"/>
      <c r="R473" s="611"/>
      <c r="S473" s="26"/>
      <c r="T473" s="8"/>
      <c r="U473" s="611"/>
      <c r="V473" s="26"/>
      <c r="W473" s="8"/>
      <c r="X473" s="611"/>
      <c r="Y473" s="26"/>
      <c r="Z473" s="8"/>
      <c r="AA473" s="611"/>
      <c r="AB473" s="26"/>
      <c r="AC473" s="8"/>
      <c r="AD473" s="26"/>
      <c r="AE473" s="26"/>
      <c r="AF473" s="26"/>
      <c r="AG473" s="26"/>
      <c r="AH473" s="26"/>
    </row>
    <row r="474" ht="12.75" customHeight="1">
      <c r="A474" s="24"/>
      <c r="B474" s="609"/>
      <c r="C474" s="24"/>
      <c r="D474" s="24"/>
      <c r="E474" s="610"/>
      <c r="F474" s="611"/>
      <c r="G474" s="26"/>
      <c r="H474" s="8"/>
      <c r="I474" s="611"/>
      <c r="J474" s="26"/>
      <c r="K474" s="8"/>
      <c r="L474" s="611"/>
      <c r="M474" s="26"/>
      <c r="N474" s="8"/>
      <c r="O474" s="611"/>
      <c r="P474" s="26"/>
      <c r="Q474" s="8"/>
      <c r="R474" s="611"/>
      <c r="S474" s="26"/>
      <c r="T474" s="8"/>
      <c r="U474" s="611"/>
      <c r="V474" s="26"/>
      <c r="W474" s="8"/>
      <c r="X474" s="611"/>
      <c r="Y474" s="26"/>
      <c r="Z474" s="8"/>
      <c r="AA474" s="611"/>
      <c r="AB474" s="26"/>
      <c r="AC474" s="8"/>
      <c r="AD474" s="26"/>
      <c r="AE474" s="26"/>
      <c r="AF474" s="26"/>
      <c r="AG474" s="26"/>
      <c r="AH474" s="26"/>
    </row>
    <row r="475" ht="12.75" customHeight="1">
      <c r="A475" s="24"/>
      <c r="B475" s="609"/>
      <c r="C475" s="24"/>
      <c r="D475" s="24"/>
      <c r="E475" s="610"/>
      <c r="F475" s="611"/>
      <c r="G475" s="26"/>
      <c r="H475" s="8"/>
      <c r="I475" s="611"/>
      <c r="J475" s="26"/>
      <c r="K475" s="8"/>
      <c r="L475" s="611"/>
      <c r="M475" s="26"/>
      <c r="N475" s="8"/>
      <c r="O475" s="611"/>
      <c r="P475" s="26"/>
      <c r="Q475" s="8"/>
      <c r="R475" s="611"/>
      <c r="S475" s="26"/>
      <c r="T475" s="8"/>
      <c r="U475" s="611"/>
      <c r="V475" s="26"/>
      <c r="W475" s="8"/>
      <c r="X475" s="611"/>
      <c r="Y475" s="26"/>
      <c r="Z475" s="8"/>
      <c r="AA475" s="611"/>
      <c r="AB475" s="26"/>
      <c r="AC475" s="8"/>
      <c r="AD475" s="26"/>
      <c r="AE475" s="26"/>
      <c r="AF475" s="26"/>
      <c r="AG475" s="26"/>
      <c r="AH475" s="26"/>
    </row>
    <row r="476" ht="12.75" customHeight="1">
      <c r="A476" s="24"/>
      <c r="B476" s="609"/>
      <c r="C476" s="24"/>
      <c r="D476" s="24"/>
      <c r="E476" s="610"/>
      <c r="F476" s="611"/>
      <c r="G476" s="26"/>
      <c r="H476" s="8"/>
      <c r="I476" s="611"/>
      <c r="J476" s="26"/>
      <c r="K476" s="8"/>
      <c r="L476" s="611"/>
      <c r="M476" s="26"/>
      <c r="N476" s="8"/>
      <c r="O476" s="611"/>
      <c r="P476" s="26"/>
      <c r="Q476" s="8"/>
      <c r="R476" s="611"/>
      <c r="S476" s="26"/>
      <c r="T476" s="8"/>
      <c r="U476" s="611"/>
      <c r="V476" s="26"/>
      <c r="W476" s="8"/>
      <c r="X476" s="611"/>
      <c r="Y476" s="26"/>
      <c r="Z476" s="8"/>
      <c r="AA476" s="611"/>
      <c r="AB476" s="26"/>
      <c r="AC476" s="8"/>
      <c r="AD476" s="26"/>
      <c r="AE476" s="26"/>
      <c r="AF476" s="26"/>
      <c r="AG476" s="26"/>
      <c r="AH476" s="26"/>
    </row>
    <row r="477" ht="12.75" customHeight="1">
      <c r="A477" s="24"/>
      <c r="B477" s="609"/>
      <c r="C477" s="24"/>
      <c r="D477" s="24"/>
      <c r="E477" s="610"/>
      <c r="F477" s="611"/>
      <c r="G477" s="26"/>
      <c r="H477" s="8"/>
      <c r="I477" s="611"/>
      <c r="J477" s="26"/>
      <c r="K477" s="8"/>
      <c r="L477" s="611"/>
      <c r="M477" s="26"/>
      <c r="N477" s="8"/>
      <c r="O477" s="611"/>
      <c r="P477" s="26"/>
      <c r="Q477" s="8"/>
      <c r="R477" s="611"/>
      <c r="S477" s="26"/>
      <c r="T477" s="8"/>
      <c r="U477" s="611"/>
      <c r="V477" s="26"/>
      <c r="W477" s="8"/>
      <c r="X477" s="611"/>
      <c r="Y477" s="26"/>
      <c r="Z477" s="8"/>
      <c r="AA477" s="611"/>
      <c r="AB477" s="26"/>
      <c r="AC477" s="8"/>
      <c r="AD477" s="26"/>
      <c r="AE477" s="26"/>
      <c r="AF477" s="26"/>
      <c r="AG477" s="26"/>
      <c r="AH477" s="26"/>
    </row>
    <row r="478" ht="12.75" customHeight="1">
      <c r="A478" s="24"/>
      <c r="B478" s="609"/>
      <c r="C478" s="24"/>
      <c r="D478" s="24"/>
      <c r="E478" s="610"/>
      <c r="F478" s="611"/>
      <c r="G478" s="26"/>
      <c r="H478" s="8"/>
      <c r="I478" s="611"/>
      <c r="J478" s="26"/>
      <c r="K478" s="8"/>
      <c r="L478" s="611"/>
      <c r="M478" s="26"/>
      <c r="N478" s="8"/>
      <c r="O478" s="611"/>
      <c r="P478" s="26"/>
      <c r="Q478" s="8"/>
      <c r="R478" s="611"/>
      <c r="S478" s="26"/>
      <c r="T478" s="8"/>
      <c r="U478" s="611"/>
      <c r="V478" s="26"/>
      <c r="W478" s="8"/>
      <c r="X478" s="611"/>
      <c r="Y478" s="26"/>
      <c r="Z478" s="8"/>
      <c r="AA478" s="611"/>
      <c r="AB478" s="26"/>
      <c r="AC478" s="8"/>
      <c r="AD478" s="26"/>
      <c r="AE478" s="26"/>
      <c r="AF478" s="26"/>
      <c r="AG478" s="26"/>
      <c r="AH478" s="26"/>
    </row>
    <row r="479" ht="12.75" customHeight="1">
      <c r="A479" s="24"/>
      <c r="B479" s="609"/>
      <c r="C479" s="24"/>
      <c r="D479" s="24"/>
      <c r="E479" s="610"/>
      <c r="F479" s="611"/>
      <c r="G479" s="26"/>
      <c r="H479" s="8"/>
      <c r="I479" s="611"/>
      <c r="J479" s="26"/>
      <c r="K479" s="8"/>
      <c r="L479" s="611"/>
      <c r="M479" s="26"/>
      <c r="N479" s="8"/>
      <c r="O479" s="611"/>
      <c r="P479" s="26"/>
      <c r="Q479" s="8"/>
      <c r="R479" s="611"/>
      <c r="S479" s="26"/>
      <c r="T479" s="8"/>
      <c r="U479" s="611"/>
      <c r="V479" s="26"/>
      <c r="W479" s="8"/>
      <c r="X479" s="611"/>
      <c r="Y479" s="26"/>
      <c r="Z479" s="8"/>
      <c r="AA479" s="611"/>
      <c r="AB479" s="26"/>
      <c r="AC479" s="8"/>
      <c r="AD479" s="26"/>
      <c r="AE479" s="26"/>
      <c r="AF479" s="26"/>
      <c r="AG479" s="26"/>
      <c r="AH479" s="26"/>
    </row>
    <row r="480" ht="12.75" customHeight="1">
      <c r="A480" s="24"/>
      <c r="B480" s="609"/>
      <c r="C480" s="24"/>
      <c r="D480" s="24"/>
      <c r="E480" s="610"/>
      <c r="F480" s="611"/>
      <c r="G480" s="26"/>
      <c r="H480" s="8"/>
      <c r="I480" s="611"/>
      <c r="J480" s="26"/>
      <c r="K480" s="8"/>
      <c r="L480" s="611"/>
      <c r="M480" s="26"/>
      <c r="N480" s="8"/>
      <c r="O480" s="611"/>
      <c r="P480" s="26"/>
      <c r="Q480" s="8"/>
      <c r="R480" s="611"/>
      <c r="S480" s="26"/>
      <c r="T480" s="8"/>
      <c r="U480" s="611"/>
      <c r="V480" s="26"/>
      <c r="W480" s="8"/>
      <c r="X480" s="611"/>
      <c r="Y480" s="26"/>
      <c r="Z480" s="8"/>
      <c r="AA480" s="611"/>
      <c r="AB480" s="26"/>
      <c r="AC480" s="8"/>
      <c r="AD480" s="26"/>
      <c r="AE480" s="26"/>
      <c r="AF480" s="26"/>
      <c r="AG480" s="26"/>
      <c r="AH480" s="26"/>
    </row>
    <row r="481" ht="12.75" customHeight="1">
      <c r="A481" s="24"/>
      <c r="B481" s="609"/>
      <c r="C481" s="24"/>
      <c r="D481" s="24"/>
      <c r="E481" s="610"/>
      <c r="F481" s="611"/>
      <c r="G481" s="26"/>
      <c r="H481" s="8"/>
      <c r="I481" s="611"/>
      <c r="J481" s="26"/>
      <c r="K481" s="8"/>
      <c r="L481" s="611"/>
      <c r="M481" s="26"/>
      <c r="N481" s="8"/>
      <c r="O481" s="611"/>
      <c r="P481" s="26"/>
      <c r="Q481" s="8"/>
      <c r="R481" s="611"/>
      <c r="S481" s="26"/>
      <c r="T481" s="8"/>
      <c r="U481" s="611"/>
      <c r="V481" s="26"/>
      <c r="W481" s="8"/>
      <c r="X481" s="611"/>
      <c r="Y481" s="26"/>
      <c r="Z481" s="8"/>
      <c r="AA481" s="611"/>
      <c r="AB481" s="26"/>
      <c r="AC481" s="8"/>
      <c r="AD481" s="26"/>
      <c r="AE481" s="26"/>
      <c r="AF481" s="26"/>
      <c r="AG481" s="26"/>
      <c r="AH481" s="26"/>
    </row>
    <row r="482" ht="12.75" customHeight="1">
      <c r="A482" s="24"/>
      <c r="B482" s="609"/>
      <c r="C482" s="24"/>
      <c r="D482" s="24"/>
      <c r="E482" s="610"/>
      <c r="F482" s="611"/>
      <c r="G482" s="26"/>
      <c r="H482" s="8"/>
      <c r="I482" s="611"/>
      <c r="J482" s="26"/>
      <c r="K482" s="8"/>
      <c r="L482" s="611"/>
      <c r="M482" s="26"/>
      <c r="N482" s="8"/>
      <c r="O482" s="611"/>
      <c r="P482" s="26"/>
      <c r="Q482" s="8"/>
      <c r="R482" s="611"/>
      <c r="S482" s="26"/>
      <c r="T482" s="8"/>
      <c r="U482" s="611"/>
      <c r="V482" s="26"/>
      <c r="W482" s="8"/>
      <c r="X482" s="611"/>
      <c r="Y482" s="26"/>
      <c r="Z482" s="8"/>
      <c r="AA482" s="611"/>
      <c r="AB482" s="26"/>
      <c r="AC482" s="8"/>
      <c r="AD482" s="26"/>
      <c r="AE482" s="26"/>
      <c r="AF482" s="26"/>
      <c r="AG482" s="26"/>
      <c r="AH482" s="26"/>
    </row>
    <row r="483" ht="12.75" customHeight="1">
      <c r="A483" s="24"/>
      <c r="B483" s="609"/>
      <c r="C483" s="24"/>
      <c r="D483" s="24"/>
      <c r="E483" s="610"/>
      <c r="F483" s="611"/>
      <c r="G483" s="26"/>
      <c r="H483" s="8"/>
      <c r="I483" s="611"/>
      <c r="J483" s="26"/>
      <c r="K483" s="8"/>
      <c r="L483" s="611"/>
      <c r="M483" s="26"/>
      <c r="N483" s="8"/>
      <c r="O483" s="611"/>
      <c r="P483" s="26"/>
      <c r="Q483" s="8"/>
      <c r="R483" s="611"/>
      <c r="S483" s="26"/>
      <c r="T483" s="8"/>
      <c r="U483" s="611"/>
      <c r="V483" s="26"/>
      <c r="W483" s="8"/>
      <c r="X483" s="611"/>
      <c r="Y483" s="26"/>
      <c r="Z483" s="8"/>
      <c r="AA483" s="611"/>
      <c r="AB483" s="26"/>
      <c r="AC483" s="8"/>
      <c r="AD483" s="26"/>
      <c r="AE483" s="26"/>
      <c r="AF483" s="26"/>
      <c r="AG483" s="26"/>
      <c r="AH483" s="26"/>
    </row>
    <row r="484" ht="12.75" customHeight="1">
      <c r="A484" s="24"/>
      <c r="B484" s="609"/>
      <c r="C484" s="24"/>
      <c r="D484" s="24"/>
      <c r="E484" s="610"/>
      <c r="F484" s="611"/>
      <c r="G484" s="26"/>
      <c r="H484" s="8"/>
      <c r="I484" s="611"/>
      <c r="J484" s="26"/>
      <c r="K484" s="8"/>
      <c r="L484" s="611"/>
      <c r="M484" s="26"/>
      <c r="N484" s="8"/>
      <c r="O484" s="611"/>
      <c r="P484" s="26"/>
      <c r="Q484" s="8"/>
      <c r="R484" s="611"/>
      <c r="S484" s="26"/>
      <c r="T484" s="8"/>
      <c r="U484" s="611"/>
      <c r="V484" s="26"/>
      <c r="W484" s="8"/>
      <c r="X484" s="611"/>
      <c r="Y484" s="26"/>
      <c r="Z484" s="8"/>
      <c r="AA484" s="611"/>
      <c r="AB484" s="26"/>
      <c r="AC484" s="8"/>
      <c r="AD484" s="26"/>
      <c r="AE484" s="26"/>
      <c r="AF484" s="26"/>
      <c r="AG484" s="26"/>
      <c r="AH484" s="26"/>
    </row>
    <row r="485" ht="12.75" customHeight="1">
      <c r="A485" s="24"/>
      <c r="B485" s="609"/>
      <c r="C485" s="24"/>
      <c r="D485" s="24"/>
      <c r="E485" s="610"/>
      <c r="F485" s="611"/>
      <c r="G485" s="26"/>
      <c r="H485" s="8"/>
      <c r="I485" s="611"/>
      <c r="J485" s="26"/>
      <c r="K485" s="8"/>
      <c r="L485" s="611"/>
      <c r="M485" s="26"/>
      <c r="N485" s="8"/>
      <c r="O485" s="611"/>
      <c r="P485" s="26"/>
      <c r="Q485" s="8"/>
      <c r="R485" s="611"/>
      <c r="S485" s="26"/>
      <c r="T485" s="8"/>
      <c r="U485" s="611"/>
      <c r="V485" s="26"/>
      <c r="W485" s="8"/>
      <c r="X485" s="611"/>
      <c r="Y485" s="26"/>
      <c r="Z485" s="8"/>
      <c r="AA485" s="611"/>
      <c r="AB485" s="26"/>
      <c r="AC485" s="8"/>
      <c r="AD485" s="26"/>
      <c r="AE485" s="26"/>
      <c r="AF485" s="26"/>
      <c r="AG485" s="26"/>
      <c r="AH485" s="26"/>
    </row>
    <row r="486" ht="12.75" customHeight="1">
      <c r="A486" s="24"/>
      <c r="B486" s="609"/>
      <c r="C486" s="24"/>
      <c r="D486" s="24"/>
      <c r="E486" s="610"/>
      <c r="F486" s="611"/>
      <c r="G486" s="26"/>
      <c r="H486" s="8"/>
      <c r="I486" s="611"/>
      <c r="J486" s="26"/>
      <c r="K486" s="8"/>
      <c r="L486" s="611"/>
      <c r="M486" s="26"/>
      <c r="N486" s="8"/>
      <c r="O486" s="611"/>
      <c r="P486" s="26"/>
      <c r="Q486" s="8"/>
      <c r="R486" s="611"/>
      <c r="S486" s="26"/>
      <c r="T486" s="8"/>
      <c r="U486" s="611"/>
      <c r="V486" s="26"/>
      <c r="W486" s="8"/>
      <c r="X486" s="611"/>
      <c r="Y486" s="26"/>
      <c r="Z486" s="8"/>
      <c r="AA486" s="611"/>
      <c r="AB486" s="26"/>
      <c r="AC486" s="8"/>
      <c r="AD486" s="26"/>
      <c r="AE486" s="26"/>
      <c r="AF486" s="26"/>
      <c r="AG486" s="26"/>
      <c r="AH486" s="26"/>
    </row>
    <row r="487" ht="12.75" customHeight="1">
      <c r="A487" s="24"/>
      <c r="B487" s="609"/>
      <c r="C487" s="24"/>
      <c r="D487" s="24"/>
      <c r="E487" s="610"/>
      <c r="F487" s="611"/>
      <c r="G487" s="26"/>
      <c r="H487" s="8"/>
      <c r="I487" s="611"/>
      <c r="J487" s="26"/>
      <c r="K487" s="8"/>
      <c r="L487" s="611"/>
      <c r="M487" s="26"/>
      <c r="N487" s="8"/>
      <c r="O487" s="611"/>
      <c r="P487" s="26"/>
      <c r="Q487" s="8"/>
      <c r="R487" s="611"/>
      <c r="S487" s="26"/>
      <c r="T487" s="8"/>
      <c r="U487" s="611"/>
      <c r="V487" s="26"/>
      <c r="W487" s="8"/>
      <c r="X487" s="611"/>
      <c r="Y487" s="26"/>
      <c r="Z487" s="8"/>
      <c r="AA487" s="611"/>
      <c r="AB487" s="26"/>
      <c r="AC487" s="8"/>
      <c r="AD487" s="26"/>
      <c r="AE487" s="26"/>
      <c r="AF487" s="26"/>
      <c r="AG487" s="26"/>
      <c r="AH487" s="26"/>
    </row>
    <row r="488" ht="12.75" customHeight="1">
      <c r="A488" s="24"/>
      <c r="B488" s="609"/>
      <c r="C488" s="24"/>
      <c r="D488" s="24"/>
      <c r="E488" s="610"/>
      <c r="F488" s="611"/>
      <c r="G488" s="26"/>
      <c r="H488" s="8"/>
      <c r="I488" s="611"/>
      <c r="J488" s="26"/>
      <c r="K488" s="8"/>
      <c r="L488" s="611"/>
      <c r="M488" s="26"/>
      <c r="N488" s="8"/>
      <c r="O488" s="611"/>
      <c r="P488" s="26"/>
      <c r="Q488" s="8"/>
      <c r="R488" s="611"/>
      <c r="S488" s="26"/>
      <c r="T488" s="8"/>
      <c r="U488" s="611"/>
      <c r="V488" s="26"/>
      <c r="W488" s="8"/>
      <c r="X488" s="611"/>
      <c r="Y488" s="26"/>
      <c r="Z488" s="8"/>
      <c r="AA488" s="611"/>
      <c r="AB488" s="26"/>
      <c r="AC488" s="8"/>
      <c r="AD488" s="26"/>
      <c r="AE488" s="26"/>
      <c r="AF488" s="26"/>
      <c r="AG488" s="26"/>
      <c r="AH488" s="26"/>
    </row>
    <row r="489" ht="12.75" customHeight="1">
      <c r="A489" s="24"/>
      <c r="B489" s="609"/>
      <c r="C489" s="24"/>
      <c r="D489" s="24"/>
      <c r="E489" s="610"/>
      <c r="F489" s="611"/>
      <c r="G489" s="26"/>
      <c r="H489" s="8"/>
      <c r="I489" s="611"/>
      <c r="J489" s="26"/>
      <c r="K489" s="8"/>
      <c r="L489" s="611"/>
      <c r="M489" s="26"/>
      <c r="N489" s="8"/>
      <c r="O489" s="611"/>
      <c r="P489" s="26"/>
      <c r="Q489" s="8"/>
      <c r="R489" s="611"/>
      <c r="S489" s="26"/>
      <c r="T489" s="8"/>
      <c r="U489" s="611"/>
      <c r="V489" s="26"/>
      <c r="W489" s="8"/>
      <c r="X489" s="611"/>
      <c r="Y489" s="26"/>
      <c r="Z489" s="8"/>
      <c r="AA489" s="611"/>
      <c r="AB489" s="26"/>
      <c r="AC489" s="8"/>
      <c r="AD489" s="26"/>
      <c r="AE489" s="26"/>
      <c r="AF489" s="26"/>
      <c r="AG489" s="26"/>
      <c r="AH489" s="26"/>
    </row>
    <row r="490" ht="12.75" customHeight="1">
      <c r="A490" s="24"/>
      <c r="B490" s="609"/>
      <c r="C490" s="24"/>
      <c r="D490" s="24"/>
      <c r="E490" s="610"/>
      <c r="F490" s="611"/>
      <c r="G490" s="26"/>
      <c r="H490" s="8"/>
      <c r="I490" s="611"/>
      <c r="J490" s="26"/>
      <c r="K490" s="8"/>
      <c r="L490" s="611"/>
      <c r="M490" s="26"/>
      <c r="N490" s="8"/>
      <c r="O490" s="611"/>
      <c r="P490" s="26"/>
      <c r="Q490" s="8"/>
      <c r="R490" s="611"/>
      <c r="S490" s="26"/>
      <c r="T490" s="8"/>
      <c r="U490" s="611"/>
      <c r="V490" s="26"/>
      <c r="W490" s="8"/>
      <c r="X490" s="611"/>
      <c r="Y490" s="26"/>
      <c r="Z490" s="8"/>
      <c r="AA490" s="611"/>
      <c r="AB490" s="26"/>
      <c r="AC490" s="8"/>
      <c r="AD490" s="26"/>
      <c r="AE490" s="26"/>
      <c r="AF490" s="26"/>
      <c r="AG490" s="26"/>
      <c r="AH490" s="26"/>
    </row>
    <row r="491" ht="12.75" customHeight="1">
      <c r="A491" s="24"/>
      <c r="B491" s="609"/>
      <c r="C491" s="24"/>
      <c r="D491" s="24"/>
      <c r="E491" s="610"/>
      <c r="F491" s="611"/>
      <c r="G491" s="26"/>
      <c r="H491" s="8"/>
      <c r="I491" s="611"/>
      <c r="J491" s="26"/>
      <c r="K491" s="8"/>
      <c r="L491" s="611"/>
      <c r="M491" s="26"/>
      <c r="N491" s="8"/>
      <c r="O491" s="611"/>
      <c r="P491" s="26"/>
      <c r="Q491" s="8"/>
      <c r="R491" s="611"/>
      <c r="S491" s="26"/>
      <c r="T491" s="8"/>
      <c r="U491" s="611"/>
      <c r="V491" s="26"/>
      <c r="W491" s="8"/>
      <c r="X491" s="611"/>
      <c r="Y491" s="26"/>
      <c r="Z491" s="8"/>
      <c r="AA491" s="611"/>
      <c r="AB491" s="26"/>
      <c r="AC491" s="8"/>
      <c r="AD491" s="26"/>
      <c r="AE491" s="26"/>
      <c r="AF491" s="26"/>
      <c r="AG491" s="26"/>
      <c r="AH491" s="26"/>
    </row>
    <row r="492" ht="12.75" customHeight="1">
      <c r="A492" s="24"/>
      <c r="B492" s="609"/>
      <c r="C492" s="24"/>
      <c r="D492" s="24"/>
      <c r="E492" s="610"/>
      <c r="F492" s="611"/>
      <c r="G492" s="26"/>
      <c r="H492" s="8"/>
      <c r="I492" s="611"/>
      <c r="J492" s="26"/>
      <c r="K492" s="8"/>
      <c r="L492" s="611"/>
      <c r="M492" s="26"/>
      <c r="N492" s="8"/>
      <c r="O492" s="611"/>
      <c r="P492" s="26"/>
      <c r="Q492" s="8"/>
      <c r="R492" s="611"/>
      <c r="S492" s="26"/>
      <c r="T492" s="8"/>
      <c r="U492" s="611"/>
      <c r="V492" s="26"/>
      <c r="W492" s="8"/>
      <c r="X492" s="611"/>
      <c r="Y492" s="26"/>
      <c r="Z492" s="8"/>
      <c r="AA492" s="611"/>
      <c r="AB492" s="26"/>
      <c r="AC492" s="8"/>
      <c r="AD492" s="26"/>
      <c r="AE492" s="26"/>
      <c r="AF492" s="26"/>
      <c r="AG492" s="26"/>
      <c r="AH492" s="26"/>
    </row>
    <row r="493" ht="12.75" customHeight="1">
      <c r="A493" s="24"/>
      <c r="B493" s="609"/>
      <c r="C493" s="24"/>
      <c r="D493" s="24"/>
      <c r="E493" s="610"/>
      <c r="F493" s="611"/>
      <c r="G493" s="26"/>
      <c r="H493" s="8"/>
      <c r="I493" s="611"/>
      <c r="J493" s="26"/>
      <c r="K493" s="8"/>
      <c r="L493" s="611"/>
      <c r="M493" s="26"/>
      <c r="N493" s="8"/>
      <c r="O493" s="611"/>
      <c r="P493" s="26"/>
      <c r="Q493" s="8"/>
      <c r="R493" s="611"/>
      <c r="S493" s="26"/>
      <c r="T493" s="8"/>
      <c r="U493" s="611"/>
      <c r="V493" s="26"/>
      <c r="W493" s="8"/>
      <c r="X493" s="611"/>
      <c r="Y493" s="26"/>
      <c r="Z493" s="8"/>
      <c r="AA493" s="611"/>
      <c r="AB493" s="26"/>
      <c r="AC493" s="8"/>
      <c r="AD493" s="26"/>
      <c r="AE493" s="26"/>
      <c r="AF493" s="26"/>
      <c r="AG493" s="26"/>
      <c r="AH493" s="26"/>
    </row>
    <row r="494" ht="12.75" customHeight="1">
      <c r="A494" s="24"/>
      <c r="B494" s="609"/>
      <c r="C494" s="24"/>
      <c r="D494" s="24"/>
      <c r="E494" s="610"/>
      <c r="F494" s="611"/>
      <c r="G494" s="26"/>
      <c r="H494" s="8"/>
      <c r="I494" s="611"/>
      <c r="J494" s="26"/>
      <c r="K494" s="8"/>
      <c r="L494" s="611"/>
      <c r="M494" s="26"/>
      <c r="N494" s="8"/>
      <c r="O494" s="611"/>
      <c r="P494" s="26"/>
      <c r="Q494" s="8"/>
      <c r="R494" s="611"/>
      <c r="S494" s="26"/>
      <c r="T494" s="8"/>
      <c r="U494" s="611"/>
      <c r="V494" s="26"/>
      <c r="W494" s="8"/>
      <c r="X494" s="611"/>
      <c r="Y494" s="26"/>
      <c r="Z494" s="8"/>
      <c r="AA494" s="611"/>
      <c r="AB494" s="26"/>
      <c r="AC494" s="8"/>
      <c r="AD494" s="26"/>
      <c r="AE494" s="26"/>
      <c r="AF494" s="26"/>
      <c r="AG494" s="26"/>
      <c r="AH494" s="26"/>
    </row>
    <row r="495" ht="12.75" customHeight="1">
      <c r="A495" s="24"/>
      <c r="B495" s="609"/>
      <c r="C495" s="24"/>
      <c r="D495" s="24"/>
      <c r="E495" s="610"/>
      <c r="F495" s="611"/>
      <c r="G495" s="26"/>
      <c r="H495" s="8"/>
      <c r="I495" s="611"/>
      <c r="J495" s="26"/>
      <c r="K495" s="8"/>
      <c r="L495" s="611"/>
      <c r="M495" s="26"/>
      <c r="N495" s="8"/>
      <c r="O495" s="611"/>
      <c r="P495" s="26"/>
      <c r="Q495" s="8"/>
      <c r="R495" s="611"/>
      <c r="S495" s="26"/>
      <c r="T495" s="8"/>
      <c r="U495" s="611"/>
      <c r="V495" s="26"/>
      <c r="W495" s="8"/>
      <c r="X495" s="611"/>
      <c r="Y495" s="26"/>
      <c r="Z495" s="8"/>
      <c r="AA495" s="611"/>
      <c r="AB495" s="26"/>
      <c r="AC495" s="8"/>
      <c r="AD495" s="26"/>
      <c r="AE495" s="26"/>
      <c r="AF495" s="26"/>
      <c r="AG495" s="26"/>
      <c r="AH495" s="26"/>
    </row>
    <row r="496" ht="12.75" customHeight="1">
      <c r="A496" s="24"/>
      <c r="B496" s="609"/>
      <c r="C496" s="24"/>
      <c r="D496" s="24"/>
      <c r="E496" s="610"/>
      <c r="F496" s="611"/>
      <c r="G496" s="26"/>
      <c r="H496" s="8"/>
      <c r="I496" s="611"/>
      <c r="J496" s="26"/>
      <c r="K496" s="8"/>
      <c r="L496" s="611"/>
      <c r="M496" s="26"/>
      <c r="N496" s="8"/>
      <c r="O496" s="611"/>
      <c r="P496" s="26"/>
      <c r="Q496" s="8"/>
      <c r="R496" s="611"/>
      <c r="S496" s="26"/>
      <c r="T496" s="8"/>
      <c r="U496" s="611"/>
      <c r="V496" s="26"/>
      <c r="W496" s="8"/>
      <c r="X496" s="611"/>
      <c r="Y496" s="26"/>
      <c r="Z496" s="8"/>
      <c r="AA496" s="611"/>
      <c r="AB496" s="26"/>
      <c r="AC496" s="8"/>
      <c r="AD496" s="26"/>
      <c r="AE496" s="26"/>
      <c r="AF496" s="26"/>
      <c r="AG496" s="26"/>
      <c r="AH496" s="26"/>
    </row>
    <row r="497" ht="12.75" customHeight="1">
      <c r="A497" s="24"/>
      <c r="B497" s="609"/>
      <c r="C497" s="24"/>
      <c r="D497" s="24"/>
      <c r="E497" s="610"/>
      <c r="F497" s="611"/>
      <c r="G497" s="26"/>
      <c r="H497" s="8"/>
      <c r="I497" s="611"/>
      <c r="J497" s="26"/>
      <c r="K497" s="8"/>
      <c r="L497" s="611"/>
      <c r="M497" s="26"/>
      <c r="N497" s="8"/>
      <c r="O497" s="611"/>
      <c r="P497" s="26"/>
      <c r="Q497" s="8"/>
      <c r="R497" s="611"/>
      <c r="S497" s="26"/>
      <c r="T497" s="8"/>
      <c r="U497" s="611"/>
      <c r="V497" s="26"/>
      <c r="W497" s="8"/>
      <c r="X497" s="611"/>
      <c r="Y497" s="26"/>
      <c r="Z497" s="8"/>
      <c r="AA497" s="611"/>
      <c r="AB497" s="26"/>
      <c r="AC497" s="8"/>
      <c r="AD497" s="26"/>
      <c r="AE497" s="26"/>
      <c r="AF497" s="26"/>
      <c r="AG497" s="26"/>
      <c r="AH497" s="26"/>
    </row>
    <row r="498" ht="12.75" customHeight="1">
      <c r="A498" s="24"/>
      <c r="B498" s="609"/>
      <c r="C498" s="24"/>
      <c r="D498" s="24"/>
      <c r="E498" s="610"/>
      <c r="F498" s="611"/>
      <c r="G498" s="26"/>
      <c r="H498" s="8"/>
      <c r="I498" s="611"/>
      <c r="J498" s="26"/>
      <c r="K498" s="8"/>
      <c r="L498" s="611"/>
      <c r="M498" s="26"/>
      <c r="N498" s="8"/>
      <c r="O498" s="611"/>
      <c r="P498" s="26"/>
      <c r="Q498" s="8"/>
      <c r="R498" s="611"/>
      <c r="S498" s="26"/>
      <c r="T498" s="8"/>
      <c r="U498" s="611"/>
      <c r="V498" s="26"/>
      <c r="W498" s="8"/>
      <c r="X498" s="611"/>
      <c r="Y498" s="26"/>
      <c r="Z498" s="8"/>
      <c r="AA498" s="611"/>
      <c r="AB498" s="26"/>
      <c r="AC498" s="8"/>
      <c r="AD498" s="26"/>
      <c r="AE498" s="26"/>
      <c r="AF498" s="26"/>
      <c r="AG498" s="26"/>
      <c r="AH498" s="26"/>
    </row>
    <row r="499" ht="12.75" customHeight="1">
      <c r="A499" s="24"/>
      <c r="B499" s="609"/>
      <c r="C499" s="24"/>
      <c r="D499" s="24"/>
      <c r="E499" s="610"/>
      <c r="F499" s="611"/>
      <c r="G499" s="26"/>
      <c r="H499" s="8"/>
      <c r="I499" s="611"/>
      <c r="J499" s="26"/>
      <c r="K499" s="8"/>
      <c r="L499" s="611"/>
      <c r="M499" s="26"/>
      <c r="N499" s="8"/>
      <c r="O499" s="611"/>
      <c r="P499" s="26"/>
      <c r="Q499" s="8"/>
      <c r="R499" s="611"/>
      <c r="S499" s="26"/>
      <c r="T499" s="8"/>
      <c r="U499" s="611"/>
      <c r="V499" s="26"/>
      <c r="W499" s="8"/>
      <c r="X499" s="611"/>
      <c r="Y499" s="26"/>
      <c r="Z499" s="8"/>
      <c r="AA499" s="611"/>
      <c r="AB499" s="26"/>
      <c r="AC499" s="8"/>
      <c r="AD499" s="26"/>
      <c r="AE499" s="26"/>
      <c r="AF499" s="26"/>
      <c r="AG499" s="26"/>
      <c r="AH499" s="26"/>
    </row>
    <row r="500" ht="12.75" customHeight="1">
      <c r="A500" s="24"/>
      <c r="B500" s="609"/>
      <c r="C500" s="24"/>
      <c r="D500" s="24"/>
      <c r="E500" s="610"/>
      <c r="F500" s="611"/>
      <c r="G500" s="26"/>
      <c r="H500" s="8"/>
      <c r="I500" s="611"/>
      <c r="J500" s="26"/>
      <c r="K500" s="8"/>
      <c r="L500" s="611"/>
      <c r="M500" s="26"/>
      <c r="N500" s="8"/>
      <c r="O500" s="611"/>
      <c r="P500" s="26"/>
      <c r="Q500" s="8"/>
      <c r="R500" s="611"/>
      <c r="S500" s="26"/>
      <c r="T500" s="8"/>
      <c r="U500" s="611"/>
      <c r="V500" s="26"/>
      <c r="W500" s="8"/>
      <c r="X500" s="611"/>
      <c r="Y500" s="26"/>
      <c r="Z500" s="8"/>
      <c r="AA500" s="611"/>
      <c r="AB500" s="26"/>
      <c r="AC500" s="8"/>
      <c r="AD500" s="26"/>
      <c r="AE500" s="26"/>
      <c r="AF500" s="26"/>
      <c r="AG500" s="26"/>
      <c r="AH500" s="26"/>
    </row>
    <row r="501" ht="12.75" customHeight="1">
      <c r="A501" s="24"/>
      <c r="B501" s="609"/>
      <c r="C501" s="24"/>
      <c r="D501" s="24"/>
      <c r="E501" s="610"/>
      <c r="F501" s="611"/>
      <c r="G501" s="26"/>
      <c r="H501" s="8"/>
      <c r="I501" s="611"/>
      <c r="J501" s="26"/>
      <c r="K501" s="8"/>
      <c r="L501" s="611"/>
      <c r="M501" s="26"/>
      <c r="N501" s="8"/>
      <c r="O501" s="611"/>
      <c r="P501" s="26"/>
      <c r="Q501" s="8"/>
      <c r="R501" s="611"/>
      <c r="S501" s="26"/>
      <c r="T501" s="8"/>
      <c r="U501" s="611"/>
      <c r="V501" s="26"/>
      <c r="W501" s="8"/>
      <c r="X501" s="611"/>
      <c r="Y501" s="26"/>
      <c r="Z501" s="8"/>
      <c r="AA501" s="611"/>
      <c r="AB501" s="26"/>
      <c r="AC501" s="8"/>
      <c r="AD501" s="26"/>
      <c r="AE501" s="26"/>
      <c r="AF501" s="26"/>
      <c r="AG501" s="26"/>
      <c r="AH501" s="26"/>
    </row>
    <row r="502" ht="12.75" customHeight="1">
      <c r="A502" s="24"/>
      <c r="B502" s="609"/>
      <c r="C502" s="24"/>
      <c r="D502" s="24"/>
      <c r="E502" s="610"/>
      <c r="F502" s="611"/>
      <c r="G502" s="26"/>
      <c r="H502" s="8"/>
      <c r="I502" s="611"/>
      <c r="J502" s="26"/>
      <c r="K502" s="8"/>
      <c r="L502" s="611"/>
      <c r="M502" s="26"/>
      <c r="N502" s="8"/>
      <c r="O502" s="611"/>
      <c r="P502" s="26"/>
      <c r="Q502" s="8"/>
      <c r="R502" s="611"/>
      <c r="S502" s="26"/>
      <c r="T502" s="8"/>
      <c r="U502" s="611"/>
      <c r="V502" s="26"/>
      <c r="W502" s="8"/>
      <c r="X502" s="611"/>
      <c r="Y502" s="26"/>
      <c r="Z502" s="8"/>
      <c r="AA502" s="611"/>
      <c r="AB502" s="26"/>
      <c r="AC502" s="8"/>
      <c r="AD502" s="26"/>
      <c r="AE502" s="26"/>
      <c r="AF502" s="26"/>
      <c r="AG502" s="26"/>
      <c r="AH502" s="26"/>
    </row>
    <row r="503" ht="12.75" customHeight="1">
      <c r="A503" s="24"/>
      <c r="B503" s="609"/>
      <c r="C503" s="24"/>
      <c r="D503" s="24"/>
      <c r="E503" s="610"/>
      <c r="F503" s="611"/>
      <c r="G503" s="26"/>
      <c r="H503" s="8"/>
      <c r="I503" s="611"/>
      <c r="J503" s="26"/>
      <c r="K503" s="8"/>
      <c r="L503" s="611"/>
      <c r="M503" s="26"/>
      <c r="N503" s="8"/>
      <c r="O503" s="611"/>
      <c r="P503" s="26"/>
      <c r="Q503" s="8"/>
      <c r="R503" s="611"/>
      <c r="S503" s="26"/>
      <c r="T503" s="8"/>
      <c r="U503" s="611"/>
      <c r="V503" s="26"/>
      <c r="W503" s="8"/>
      <c r="X503" s="611"/>
      <c r="Y503" s="26"/>
      <c r="Z503" s="8"/>
      <c r="AA503" s="611"/>
      <c r="AB503" s="26"/>
      <c r="AC503" s="8"/>
      <c r="AD503" s="26"/>
      <c r="AE503" s="26"/>
      <c r="AF503" s="26"/>
      <c r="AG503" s="26"/>
      <c r="AH503" s="26"/>
    </row>
    <row r="504" ht="12.75" customHeight="1">
      <c r="A504" s="24"/>
      <c r="B504" s="609"/>
      <c r="C504" s="24"/>
      <c r="D504" s="24"/>
      <c r="E504" s="610"/>
      <c r="F504" s="611"/>
      <c r="G504" s="26"/>
      <c r="H504" s="8"/>
      <c r="I504" s="611"/>
      <c r="J504" s="26"/>
      <c r="K504" s="8"/>
      <c r="L504" s="611"/>
      <c r="M504" s="26"/>
      <c r="N504" s="8"/>
      <c r="O504" s="611"/>
      <c r="P504" s="26"/>
      <c r="Q504" s="8"/>
      <c r="R504" s="611"/>
      <c r="S504" s="26"/>
      <c r="T504" s="8"/>
      <c r="U504" s="611"/>
      <c r="V504" s="26"/>
      <c r="W504" s="8"/>
      <c r="X504" s="611"/>
      <c r="Y504" s="26"/>
      <c r="Z504" s="8"/>
      <c r="AA504" s="611"/>
      <c r="AB504" s="26"/>
      <c r="AC504" s="8"/>
      <c r="AD504" s="26"/>
      <c r="AE504" s="26"/>
      <c r="AF504" s="26"/>
      <c r="AG504" s="26"/>
      <c r="AH504" s="26"/>
    </row>
    <row r="505" ht="12.75" customHeight="1">
      <c r="A505" s="24"/>
      <c r="B505" s="609"/>
      <c r="C505" s="24"/>
      <c r="D505" s="24"/>
      <c r="E505" s="610"/>
      <c r="F505" s="611"/>
      <c r="G505" s="26"/>
      <c r="H505" s="8"/>
      <c r="I505" s="611"/>
      <c r="J505" s="26"/>
      <c r="K505" s="8"/>
      <c r="L505" s="611"/>
      <c r="M505" s="26"/>
      <c r="N505" s="8"/>
      <c r="O505" s="611"/>
      <c r="P505" s="26"/>
      <c r="Q505" s="8"/>
      <c r="R505" s="611"/>
      <c r="S505" s="26"/>
      <c r="T505" s="8"/>
      <c r="U505" s="611"/>
      <c r="V505" s="26"/>
      <c r="W505" s="8"/>
      <c r="X505" s="611"/>
      <c r="Y505" s="26"/>
      <c r="Z505" s="8"/>
      <c r="AA505" s="611"/>
      <c r="AB505" s="26"/>
      <c r="AC505" s="8"/>
      <c r="AD505" s="26"/>
      <c r="AE505" s="26"/>
      <c r="AF505" s="26"/>
      <c r="AG505" s="26"/>
      <c r="AH505" s="26"/>
    </row>
    <row r="506" ht="12.75" customHeight="1">
      <c r="A506" s="24"/>
      <c r="B506" s="609"/>
      <c r="C506" s="24"/>
      <c r="D506" s="24"/>
      <c r="E506" s="610"/>
      <c r="F506" s="611"/>
      <c r="G506" s="26"/>
      <c r="H506" s="8"/>
      <c r="I506" s="611"/>
      <c r="J506" s="26"/>
      <c r="K506" s="8"/>
      <c r="L506" s="611"/>
      <c r="M506" s="26"/>
      <c r="N506" s="8"/>
      <c r="O506" s="611"/>
      <c r="P506" s="26"/>
      <c r="Q506" s="8"/>
      <c r="R506" s="611"/>
      <c r="S506" s="26"/>
      <c r="T506" s="8"/>
      <c r="U506" s="611"/>
      <c r="V506" s="26"/>
      <c r="W506" s="8"/>
      <c r="X506" s="611"/>
      <c r="Y506" s="26"/>
      <c r="Z506" s="8"/>
      <c r="AA506" s="611"/>
      <c r="AB506" s="26"/>
      <c r="AC506" s="8"/>
      <c r="AD506" s="26"/>
      <c r="AE506" s="26"/>
      <c r="AF506" s="26"/>
      <c r="AG506" s="26"/>
      <c r="AH506" s="26"/>
    </row>
    <row r="507" ht="12.75" customHeight="1">
      <c r="A507" s="24"/>
      <c r="B507" s="609"/>
      <c r="C507" s="24"/>
      <c r="D507" s="24"/>
      <c r="E507" s="610"/>
      <c r="F507" s="611"/>
      <c r="G507" s="26"/>
      <c r="H507" s="8"/>
      <c r="I507" s="611"/>
      <c r="J507" s="26"/>
      <c r="K507" s="8"/>
      <c r="L507" s="611"/>
      <c r="M507" s="26"/>
      <c r="N507" s="8"/>
      <c r="O507" s="611"/>
      <c r="P507" s="26"/>
      <c r="Q507" s="8"/>
      <c r="R507" s="611"/>
      <c r="S507" s="26"/>
      <c r="T507" s="8"/>
      <c r="U507" s="611"/>
      <c r="V507" s="26"/>
      <c r="W507" s="8"/>
      <c r="X507" s="611"/>
      <c r="Y507" s="26"/>
      <c r="Z507" s="8"/>
      <c r="AA507" s="611"/>
      <c r="AB507" s="26"/>
      <c r="AC507" s="8"/>
      <c r="AD507" s="26"/>
      <c r="AE507" s="26"/>
      <c r="AF507" s="26"/>
      <c r="AG507" s="26"/>
      <c r="AH507" s="26"/>
    </row>
    <row r="508" ht="12.75" customHeight="1">
      <c r="A508" s="24"/>
      <c r="B508" s="609"/>
      <c r="C508" s="24"/>
      <c r="D508" s="24"/>
      <c r="E508" s="610"/>
      <c r="F508" s="611"/>
      <c r="G508" s="26"/>
      <c r="H508" s="8"/>
      <c r="I508" s="611"/>
      <c r="J508" s="26"/>
      <c r="K508" s="8"/>
      <c r="L508" s="611"/>
      <c r="M508" s="26"/>
      <c r="N508" s="8"/>
      <c r="O508" s="611"/>
      <c r="P508" s="26"/>
      <c r="Q508" s="8"/>
      <c r="R508" s="611"/>
      <c r="S508" s="26"/>
      <c r="T508" s="8"/>
      <c r="U508" s="611"/>
      <c r="V508" s="26"/>
      <c r="W508" s="8"/>
      <c r="X508" s="611"/>
      <c r="Y508" s="26"/>
      <c r="Z508" s="8"/>
      <c r="AA508" s="611"/>
      <c r="AB508" s="26"/>
      <c r="AC508" s="8"/>
      <c r="AD508" s="26"/>
      <c r="AE508" s="26"/>
      <c r="AF508" s="26"/>
      <c r="AG508" s="26"/>
      <c r="AH508" s="26"/>
    </row>
    <row r="509" ht="12.75" customHeight="1">
      <c r="A509" s="24"/>
      <c r="B509" s="609"/>
      <c r="C509" s="24"/>
      <c r="D509" s="24"/>
      <c r="E509" s="610"/>
      <c r="F509" s="611"/>
      <c r="G509" s="26"/>
      <c r="H509" s="8"/>
      <c r="I509" s="611"/>
      <c r="J509" s="26"/>
      <c r="K509" s="8"/>
      <c r="L509" s="611"/>
      <c r="M509" s="26"/>
      <c r="N509" s="8"/>
      <c r="O509" s="611"/>
      <c r="P509" s="26"/>
      <c r="Q509" s="8"/>
      <c r="R509" s="611"/>
      <c r="S509" s="26"/>
      <c r="T509" s="8"/>
      <c r="U509" s="611"/>
      <c r="V509" s="26"/>
      <c r="W509" s="8"/>
      <c r="X509" s="611"/>
      <c r="Y509" s="26"/>
      <c r="Z509" s="8"/>
      <c r="AA509" s="611"/>
      <c r="AB509" s="26"/>
      <c r="AC509" s="8"/>
      <c r="AD509" s="26"/>
      <c r="AE509" s="26"/>
      <c r="AF509" s="26"/>
      <c r="AG509" s="26"/>
      <c r="AH509" s="26"/>
    </row>
    <row r="510" ht="12.75" customHeight="1">
      <c r="A510" s="24"/>
      <c r="B510" s="609"/>
      <c r="C510" s="24"/>
      <c r="D510" s="24"/>
      <c r="E510" s="610"/>
      <c r="F510" s="611"/>
      <c r="G510" s="26"/>
      <c r="H510" s="8"/>
      <c r="I510" s="611"/>
      <c r="J510" s="26"/>
      <c r="K510" s="8"/>
      <c r="L510" s="611"/>
      <c r="M510" s="26"/>
      <c r="N510" s="8"/>
      <c r="O510" s="611"/>
      <c r="P510" s="26"/>
      <c r="Q510" s="8"/>
      <c r="R510" s="611"/>
      <c r="S510" s="26"/>
      <c r="T510" s="8"/>
      <c r="U510" s="611"/>
      <c r="V510" s="26"/>
      <c r="W510" s="8"/>
      <c r="X510" s="611"/>
      <c r="Y510" s="26"/>
      <c r="Z510" s="8"/>
      <c r="AA510" s="611"/>
      <c r="AB510" s="26"/>
      <c r="AC510" s="8"/>
      <c r="AD510" s="26"/>
      <c r="AE510" s="26"/>
      <c r="AF510" s="26"/>
      <c r="AG510" s="26"/>
      <c r="AH510" s="26"/>
    </row>
    <row r="511" ht="12.75" customHeight="1">
      <c r="A511" s="24"/>
      <c r="B511" s="609"/>
      <c r="C511" s="24"/>
      <c r="D511" s="24"/>
      <c r="E511" s="610"/>
      <c r="F511" s="611"/>
      <c r="G511" s="26"/>
      <c r="H511" s="8"/>
      <c r="I511" s="611"/>
      <c r="J511" s="26"/>
      <c r="K511" s="8"/>
      <c r="L511" s="611"/>
      <c r="M511" s="26"/>
      <c r="N511" s="8"/>
      <c r="O511" s="611"/>
      <c r="P511" s="26"/>
      <c r="Q511" s="8"/>
      <c r="R511" s="611"/>
      <c r="S511" s="26"/>
      <c r="T511" s="8"/>
      <c r="U511" s="611"/>
      <c r="V511" s="26"/>
      <c r="W511" s="8"/>
      <c r="X511" s="611"/>
      <c r="Y511" s="26"/>
      <c r="Z511" s="8"/>
      <c r="AA511" s="611"/>
      <c r="AB511" s="26"/>
      <c r="AC511" s="8"/>
      <c r="AD511" s="26"/>
      <c r="AE511" s="26"/>
      <c r="AF511" s="26"/>
      <c r="AG511" s="26"/>
      <c r="AH511" s="26"/>
    </row>
    <row r="512" ht="12.75" customHeight="1">
      <c r="A512" s="24"/>
      <c r="B512" s="609"/>
      <c r="C512" s="24"/>
      <c r="D512" s="24"/>
      <c r="E512" s="610"/>
      <c r="F512" s="611"/>
      <c r="G512" s="26"/>
      <c r="H512" s="8"/>
      <c r="I512" s="611"/>
      <c r="J512" s="26"/>
      <c r="K512" s="8"/>
      <c r="L512" s="611"/>
      <c r="M512" s="26"/>
      <c r="N512" s="8"/>
      <c r="O512" s="611"/>
      <c r="P512" s="26"/>
      <c r="Q512" s="8"/>
      <c r="R512" s="611"/>
      <c r="S512" s="26"/>
      <c r="T512" s="8"/>
      <c r="U512" s="611"/>
      <c r="V512" s="26"/>
      <c r="W512" s="8"/>
      <c r="X512" s="611"/>
      <c r="Y512" s="26"/>
      <c r="Z512" s="8"/>
      <c r="AA512" s="611"/>
      <c r="AB512" s="26"/>
      <c r="AC512" s="8"/>
      <c r="AD512" s="26"/>
      <c r="AE512" s="26"/>
      <c r="AF512" s="26"/>
      <c r="AG512" s="26"/>
      <c r="AH512" s="26"/>
    </row>
    <row r="513" ht="12.75" customHeight="1">
      <c r="A513" s="24"/>
      <c r="B513" s="609"/>
      <c r="C513" s="24"/>
      <c r="D513" s="24"/>
      <c r="E513" s="610"/>
      <c r="F513" s="611"/>
      <c r="G513" s="26"/>
      <c r="H513" s="8"/>
      <c r="I513" s="611"/>
      <c r="J513" s="26"/>
      <c r="K513" s="8"/>
      <c r="L513" s="611"/>
      <c r="M513" s="26"/>
      <c r="N513" s="8"/>
      <c r="O513" s="611"/>
      <c r="P513" s="26"/>
      <c r="Q513" s="8"/>
      <c r="R513" s="611"/>
      <c r="S513" s="26"/>
      <c r="T513" s="8"/>
      <c r="U513" s="611"/>
      <c r="V513" s="26"/>
      <c r="W513" s="8"/>
      <c r="X513" s="611"/>
      <c r="Y513" s="26"/>
      <c r="Z513" s="8"/>
      <c r="AA513" s="611"/>
      <c r="AB513" s="26"/>
      <c r="AC513" s="8"/>
      <c r="AD513" s="26"/>
      <c r="AE513" s="26"/>
      <c r="AF513" s="26"/>
      <c r="AG513" s="26"/>
      <c r="AH513" s="26"/>
    </row>
    <row r="514" ht="12.75" customHeight="1">
      <c r="A514" s="24"/>
      <c r="B514" s="609"/>
      <c r="C514" s="24"/>
      <c r="D514" s="24"/>
      <c r="E514" s="610"/>
      <c r="F514" s="611"/>
      <c r="G514" s="26"/>
      <c r="H514" s="8"/>
      <c r="I514" s="611"/>
      <c r="J514" s="26"/>
      <c r="K514" s="8"/>
      <c r="L514" s="611"/>
      <c r="M514" s="26"/>
      <c r="N514" s="8"/>
      <c r="O514" s="611"/>
      <c r="P514" s="26"/>
      <c r="Q514" s="8"/>
      <c r="R514" s="611"/>
      <c r="S514" s="26"/>
      <c r="T514" s="8"/>
      <c r="U514" s="611"/>
      <c r="V514" s="26"/>
      <c r="W514" s="8"/>
      <c r="X514" s="611"/>
      <c r="Y514" s="26"/>
      <c r="Z514" s="8"/>
      <c r="AA514" s="611"/>
      <c r="AB514" s="26"/>
      <c r="AC514" s="8"/>
      <c r="AD514" s="26"/>
      <c r="AE514" s="26"/>
      <c r="AF514" s="26"/>
      <c r="AG514" s="26"/>
      <c r="AH514" s="26"/>
    </row>
    <row r="515" ht="12.75" customHeight="1">
      <c r="A515" s="24"/>
      <c r="B515" s="609"/>
      <c r="C515" s="24"/>
      <c r="D515" s="24"/>
      <c r="E515" s="610"/>
      <c r="F515" s="611"/>
      <c r="G515" s="26"/>
      <c r="H515" s="8"/>
      <c r="I515" s="611"/>
      <c r="J515" s="26"/>
      <c r="K515" s="8"/>
      <c r="L515" s="611"/>
      <c r="M515" s="26"/>
      <c r="N515" s="8"/>
      <c r="O515" s="611"/>
      <c r="P515" s="26"/>
      <c r="Q515" s="8"/>
      <c r="R515" s="611"/>
      <c r="S515" s="26"/>
      <c r="T515" s="8"/>
      <c r="U515" s="611"/>
      <c r="V515" s="26"/>
      <c r="W515" s="8"/>
      <c r="X515" s="611"/>
      <c r="Y515" s="26"/>
      <c r="Z515" s="8"/>
      <c r="AA515" s="611"/>
      <c r="AB515" s="26"/>
      <c r="AC515" s="8"/>
      <c r="AD515" s="26"/>
      <c r="AE515" s="26"/>
      <c r="AF515" s="26"/>
      <c r="AG515" s="26"/>
      <c r="AH515" s="26"/>
    </row>
    <row r="516" ht="12.75" customHeight="1">
      <c r="A516" s="24"/>
      <c r="B516" s="609"/>
      <c r="C516" s="24"/>
      <c r="D516" s="24"/>
      <c r="E516" s="610"/>
      <c r="F516" s="611"/>
      <c r="G516" s="26"/>
      <c r="H516" s="8"/>
      <c r="I516" s="611"/>
      <c r="J516" s="26"/>
      <c r="K516" s="8"/>
      <c r="L516" s="611"/>
      <c r="M516" s="26"/>
      <c r="N516" s="8"/>
      <c r="O516" s="611"/>
      <c r="P516" s="26"/>
      <c r="Q516" s="8"/>
      <c r="R516" s="611"/>
      <c r="S516" s="26"/>
      <c r="T516" s="8"/>
      <c r="U516" s="611"/>
      <c r="V516" s="26"/>
      <c r="W516" s="8"/>
      <c r="X516" s="611"/>
      <c r="Y516" s="26"/>
      <c r="Z516" s="8"/>
      <c r="AA516" s="611"/>
      <c r="AB516" s="26"/>
      <c r="AC516" s="8"/>
      <c r="AD516" s="26"/>
      <c r="AE516" s="26"/>
      <c r="AF516" s="26"/>
      <c r="AG516" s="26"/>
      <c r="AH516" s="26"/>
    </row>
    <row r="517" ht="12.75" customHeight="1">
      <c r="A517" s="24"/>
      <c r="B517" s="609"/>
      <c r="C517" s="24"/>
      <c r="D517" s="24"/>
      <c r="E517" s="610"/>
      <c r="F517" s="611"/>
      <c r="G517" s="26"/>
      <c r="H517" s="8"/>
      <c r="I517" s="611"/>
      <c r="J517" s="26"/>
      <c r="K517" s="8"/>
      <c r="L517" s="611"/>
      <c r="M517" s="26"/>
      <c r="N517" s="8"/>
      <c r="O517" s="611"/>
      <c r="P517" s="26"/>
      <c r="Q517" s="8"/>
      <c r="R517" s="611"/>
      <c r="S517" s="26"/>
      <c r="T517" s="8"/>
      <c r="U517" s="611"/>
      <c r="V517" s="26"/>
      <c r="W517" s="8"/>
      <c r="X517" s="611"/>
      <c r="Y517" s="26"/>
      <c r="Z517" s="8"/>
      <c r="AA517" s="611"/>
      <c r="AB517" s="26"/>
      <c r="AC517" s="8"/>
      <c r="AD517" s="26"/>
      <c r="AE517" s="26"/>
      <c r="AF517" s="26"/>
      <c r="AG517" s="26"/>
      <c r="AH517" s="26"/>
    </row>
    <row r="518" ht="12.75" customHeight="1">
      <c r="A518" s="24"/>
      <c r="B518" s="609"/>
      <c r="C518" s="24"/>
      <c r="D518" s="24"/>
      <c r="E518" s="610"/>
      <c r="F518" s="611"/>
      <c r="G518" s="26"/>
      <c r="H518" s="8"/>
      <c r="I518" s="611"/>
      <c r="J518" s="26"/>
      <c r="K518" s="8"/>
      <c r="L518" s="611"/>
      <c r="M518" s="26"/>
      <c r="N518" s="8"/>
      <c r="O518" s="611"/>
      <c r="P518" s="26"/>
      <c r="Q518" s="8"/>
      <c r="R518" s="611"/>
      <c r="S518" s="26"/>
      <c r="T518" s="8"/>
      <c r="U518" s="611"/>
      <c r="V518" s="26"/>
      <c r="W518" s="8"/>
      <c r="X518" s="611"/>
      <c r="Y518" s="26"/>
      <c r="Z518" s="8"/>
      <c r="AA518" s="611"/>
      <c r="AB518" s="26"/>
      <c r="AC518" s="8"/>
      <c r="AD518" s="26"/>
      <c r="AE518" s="26"/>
      <c r="AF518" s="26"/>
      <c r="AG518" s="26"/>
      <c r="AH518" s="26"/>
    </row>
    <row r="519" ht="12.75" customHeight="1">
      <c r="A519" s="24"/>
      <c r="B519" s="609"/>
      <c r="C519" s="24"/>
      <c r="D519" s="24"/>
      <c r="E519" s="610"/>
      <c r="F519" s="611"/>
      <c r="G519" s="26"/>
      <c r="H519" s="8"/>
      <c r="I519" s="611"/>
      <c r="J519" s="26"/>
      <c r="K519" s="8"/>
      <c r="L519" s="611"/>
      <c r="M519" s="26"/>
      <c r="N519" s="8"/>
      <c r="O519" s="611"/>
      <c r="P519" s="26"/>
      <c r="Q519" s="8"/>
      <c r="R519" s="611"/>
      <c r="S519" s="26"/>
      <c r="T519" s="8"/>
      <c r="U519" s="611"/>
      <c r="V519" s="26"/>
      <c r="W519" s="8"/>
      <c r="X519" s="611"/>
      <c r="Y519" s="26"/>
      <c r="Z519" s="8"/>
      <c r="AA519" s="611"/>
      <c r="AB519" s="26"/>
      <c r="AC519" s="8"/>
      <c r="AD519" s="26"/>
      <c r="AE519" s="26"/>
      <c r="AF519" s="26"/>
      <c r="AG519" s="26"/>
      <c r="AH519" s="26"/>
    </row>
    <row r="520" ht="12.75" customHeight="1">
      <c r="A520" s="24"/>
      <c r="B520" s="609"/>
      <c r="C520" s="24"/>
      <c r="D520" s="24"/>
      <c r="E520" s="610"/>
      <c r="F520" s="611"/>
      <c r="G520" s="26"/>
      <c r="H520" s="8"/>
      <c r="I520" s="611"/>
      <c r="J520" s="26"/>
      <c r="K520" s="8"/>
      <c r="L520" s="611"/>
      <c r="M520" s="26"/>
      <c r="N520" s="8"/>
      <c r="O520" s="611"/>
      <c r="P520" s="26"/>
      <c r="Q520" s="8"/>
      <c r="R520" s="611"/>
      <c r="S520" s="26"/>
      <c r="T520" s="8"/>
      <c r="U520" s="611"/>
      <c r="V520" s="26"/>
      <c r="W520" s="8"/>
      <c r="X520" s="611"/>
      <c r="Y520" s="26"/>
      <c r="Z520" s="8"/>
      <c r="AA520" s="611"/>
      <c r="AB520" s="26"/>
      <c r="AC520" s="8"/>
      <c r="AD520" s="26"/>
      <c r="AE520" s="26"/>
      <c r="AF520" s="26"/>
      <c r="AG520" s="26"/>
      <c r="AH520" s="26"/>
    </row>
    <row r="521" ht="12.75" customHeight="1">
      <c r="A521" s="24"/>
      <c r="B521" s="609"/>
      <c r="C521" s="24"/>
      <c r="D521" s="24"/>
      <c r="E521" s="610"/>
      <c r="F521" s="611"/>
      <c r="G521" s="26"/>
      <c r="H521" s="8"/>
      <c r="I521" s="611"/>
      <c r="J521" s="26"/>
      <c r="K521" s="8"/>
      <c r="L521" s="611"/>
      <c r="M521" s="26"/>
      <c r="N521" s="8"/>
      <c r="O521" s="611"/>
      <c r="P521" s="26"/>
      <c r="Q521" s="8"/>
      <c r="R521" s="611"/>
      <c r="S521" s="26"/>
      <c r="T521" s="8"/>
      <c r="U521" s="611"/>
      <c r="V521" s="26"/>
      <c r="W521" s="8"/>
      <c r="X521" s="611"/>
      <c r="Y521" s="26"/>
      <c r="Z521" s="8"/>
      <c r="AA521" s="611"/>
      <c r="AB521" s="26"/>
      <c r="AC521" s="8"/>
      <c r="AD521" s="26"/>
      <c r="AE521" s="26"/>
      <c r="AF521" s="26"/>
      <c r="AG521" s="26"/>
      <c r="AH521" s="26"/>
    </row>
    <row r="522" ht="12.75" customHeight="1">
      <c r="A522" s="24"/>
      <c r="B522" s="609"/>
      <c r="C522" s="24"/>
      <c r="D522" s="24"/>
      <c r="E522" s="610"/>
      <c r="F522" s="611"/>
      <c r="G522" s="26"/>
      <c r="H522" s="8"/>
      <c r="I522" s="611"/>
      <c r="J522" s="26"/>
      <c r="K522" s="8"/>
      <c r="L522" s="611"/>
      <c r="M522" s="26"/>
      <c r="N522" s="8"/>
      <c r="O522" s="611"/>
      <c r="P522" s="26"/>
      <c r="Q522" s="8"/>
      <c r="R522" s="611"/>
      <c r="S522" s="26"/>
      <c r="T522" s="8"/>
      <c r="U522" s="611"/>
      <c r="V522" s="26"/>
      <c r="W522" s="8"/>
      <c r="X522" s="611"/>
      <c r="Y522" s="26"/>
      <c r="Z522" s="8"/>
      <c r="AA522" s="611"/>
      <c r="AB522" s="26"/>
      <c r="AC522" s="8"/>
      <c r="AD522" s="26"/>
      <c r="AE522" s="26"/>
      <c r="AF522" s="26"/>
      <c r="AG522" s="26"/>
      <c r="AH522" s="26"/>
    </row>
    <row r="523" ht="12.75" customHeight="1">
      <c r="A523" s="24"/>
      <c r="B523" s="609"/>
      <c r="C523" s="24"/>
      <c r="D523" s="24"/>
      <c r="E523" s="610"/>
      <c r="F523" s="611"/>
      <c r="G523" s="26"/>
      <c r="H523" s="8"/>
      <c r="I523" s="611"/>
      <c r="J523" s="26"/>
      <c r="K523" s="8"/>
      <c r="L523" s="611"/>
      <c r="M523" s="26"/>
      <c r="N523" s="8"/>
      <c r="O523" s="611"/>
      <c r="P523" s="26"/>
      <c r="Q523" s="8"/>
      <c r="R523" s="611"/>
      <c r="S523" s="26"/>
      <c r="T523" s="8"/>
      <c r="U523" s="611"/>
      <c r="V523" s="26"/>
      <c r="W523" s="8"/>
      <c r="X523" s="611"/>
      <c r="Y523" s="26"/>
      <c r="Z523" s="8"/>
      <c r="AA523" s="611"/>
      <c r="AB523" s="26"/>
      <c r="AC523" s="8"/>
      <c r="AD523" s="26"/>
      <c r="AE523" s="26"/>
      <c r="AF523" s="26"/>
      <c r="AG523" s="26"/>
      <c r="AH523" s="26"/>
    </row>
    <row r="524" ht="12.75" customHeight="1">
      <c r="A524" s="24"/>
      <c r="B524" s="609"/>
      <c r="C524" s="24"/>
      <c r="D524" s="24"/>
      <c r="E524" s="610"/>
      <c r="F524" s="611"/>
      <c r="G524" s="26"/>
      <c r="H524" s="8"/>
      <c r="I524" s="611"/>
      <c r="J524" s="26"/>
      <c r="K524" s="8"/>
      <c r="L524" s="611"/>
      <c r="M524" s="26"/>
      <c r="N524" s="8"/>
      <c r="O524" s="611"/>
      <c r="P524" s="26"/>
      <c r="Q524" s="8"/>
      <c r="R524" s="611"/>
      <c r="S524" s="26"/>
      <c r="T524" s="8"/>
      <c r="U524" s="611"/>
      <c r="V524" s="26"/>
      <c r="W524" s="8"/>
      <c r="X524" s="611"/>
      <c r="Y524" s="26"/>
      <c r="Z524" s="8"/>
      <c r="AA524" s="611"/>
      <c r="AB524" s="26"/>
      <c r="AC524" s="8"/>
      <c r="AD524" s="26"/>
      <c r="AE524" s="26"/>
      <c r="AF524" s="26"/>
      <c r="AG524" s="26"/>
      <c r="AH524" s="26"/>
    </row>
    <row r="525" ht="12.75" customHeight="1">
      <c r="A525" s="24"/>
      <c r="B525" s="609"/>
      <c r="C525" s="24"/>
      <c r="D525" s="24"/>
      <c r="E525" s="610"/>
      <c r="F525" s="611"/>
      <c r="G525" s="26"/>
      <c r="H525" s="8"/>
      <c r="I525" s="611"/>
      <c r="J525" s="26"/>
      <c r="K525" s="8"/>
      <c r="L525" s="611"/>
      <c r="M525" s="26"/>
      <c r="N525" s="8"/>
      <c r="O525" s="611"/>
      <c r="P525" s="26"/>
      <c r="Q525" s="8"/>
      <c r="R525" s="611"/>
      <c r="S525" s="26"/>
      <c r="T525" s="8"/>
      <c r="U525" s="611"/>
      <c r="V525" s="26"/>
      <c r="W525" s="8"/>
      <c r="X525" s="611"/>
      <c r="Y525" s="26"/>
      <c r="Z525" s="8"/>
      <c r="AA525" s="611"/>
      <c r="AB525" s="26"/>
      <c r="AC525" s="8"/>
      <c r="AD525" s="26"/>
      <c r="AE525" s="26"/>
      <c r="AF525" s="26"/>
      <c r="AG525" s="26"/>
      <c r="AH525" s="26"/>
    </row>
    <row r="526" ht="12.75" customHeight="1">
      <c r="A526" s="24"/>
      <c r="B526" s="609"/>
      <c r="C526" s="24"/>
      <c r="D526" s="24"/>
      <c r="E526" s="610"/>
      <c r="F526" s="611"/>
      <c r="G526" s="26"/>
      <c r="H526" s="8"/>
      <c r="I526" s="611"/>
      <c r="J526" s="26"/>
      <c r="K526" s="8"/>
      <c r="L526" s="611"/>
      <c r="M526" s="26"/>
      <c r="N526" s="8"/>
      <c r="O526" s="611"/>
      <c r="P526" s="26"/>
      <c r="Q526" s="8"/>
      <c r="R526" s="611"/>
      <c r="S526" s="26"/>
      <c r="T526" s="8"/>
      <c r="U526" s="611"/>
      <c r="V526" s="26"/>
      <c r="W526" s="8"/>
      <c r="X526" s="611"/>
      <c r="Y526" s="26"/>
      <c r="Z526" s="8"/>
      <c r="AA526" s="611"/>
      <c r="AB526" s="26"/>
      <c r="AC526" s="8"/>
      <c r="AD526" s="26"/>
      <c r="AE526" s="26"/>
      <c r="AF526" s="26"/>
      <c r="AG526" s="26"/>
      <c r="AH526" s="26"/>
    </row>
    <row r="527" ht="12.75" customHeight="1">
      <c r="A527" s="24"/>
      <c r="B527" s="609"/>
      <c r="C527" s="24"/>
      <c r="D527" s="24"/>
      <c r="E527" s="610"/>
      <c r="F527" s="611"/>
      <c r="G527" s="26"/>
      <c r="H527" s="8"/>
      <c r="I527" s="611"/>
      <c r="J527" s="26"/>
      <c r="K527" s="8"/>
      <c r="L527" s="611"/>
      <c r="M527" s="26"/>
      <c r="N527" s="8"/>
      <c r="O527" s="611"/>
      <c r="P527" s="26"/>
      <c r="Q527" s="8"/>
      <c r="R527" s="611"/>
      <c r="S527" s="26"/>
      <c r="T527" s="8"/>
      <c r="U527" s="611"/>
      <c r="V527" s="26"/>
      <c r="W527" s="8"/>
      <c r="X527" s="611"/>
      <c r="Y527" s="26"/>
      <c r="Z527" s="8"/>
      <c r="AA527" s="611"/>
      <c r="AB527" s="26"/>
      <c r="AC527" s="8"/>
      <c r="AD527" s="26"/>
      <c r="AE527" s="26"/>
      <c r="AF527" s="26"/>
      <c r="AG527" s="26"/>
      <c r="AH527" s="26"/>
    </row>
    <row r="528" ht="12.75" customHeight="1">
      <c r="A528" s="24"/>
      <c r="B528" s="609"/>
      <c r="C528" s="24"/>
      <c r="D528" s="24"/>
      <c r="E528" s="610"/>
      <c r="F528" s="611"/>
      <c r="G528" s="26"/>
      <c r="H528" s="8"/>
      <c r="I528" s="611"/>
      <c r="J528" s="26"/>
      <c r="K528" s="8"/>
      <c r="L528" s="611"/>
      <c r="M528" s="26"/>
      <c r="N528" s="8"/>
      <c r="O528" s="611"/>
      <c r="P528" s="26"/>
      <c r="Q528" s="8"/>
      <c r="R528" s="611"/>
      <c r="S528" s="26"/>
      <c r="T528" s="8"/>
      <c r="U528" s="611"/>
      <c r="V528" s="26"/>
      <c r="W528" s="8"/>
      <c r="X528" s="611"/>
      <c r="Y528" s="26"/>
      <c r="Z528" s="8"/>
      <c r="AA528" s="611"/>
      <c r="AB528" s="26"/>
      <c r="AC528" s="8"/>
      <c r="AD528" s="26"/>
      <c r="AE528" s="26"/>
      <c r="AF528" s="26"/>
      <c r="AG528" s="26"/>
      <c r="AH528" s="26"/>
    </row>
    <row r="529" ht="12.75" customHeight="1">
      <c r="A529" s="24"/>
      <c r="B529" s="609"/>
      <c r="C529" s="24"/>
      <c r="D529" s="24"/>
      <c r="E529" s="610"/>
      <c r="F529" s="611"/>
      <c r="G529" s="26"/>
      <c r="H529" s="8"/>
      <c r="I529" s="611"/>
      <c r="J529" s="26"/>
      <c r="K529" s="8"/>
      <c r="L529" s="611"/>
      <c r="M529" s="26"/>
      <c r="N529" s="8"/>
      <c r="O529" s="611"/>
      <c r="P529" s="26"/>
      <c r="Q529" s="8"/>
      <c r="R529" s="611"/>
      <c r="S529" s="26"/>
      <c r="T529" s="8"/>
      <c r="U529" s="611"/>
      <c r="V529" s="26"/>
      <c r="W529" s="8"/>
      <c r="X529" s="611"/>
      <c r="Y529" s="26"/>
      <c r="Z529" s="8"/>
      <c r="AA529" s="611"/>
      <c r="AB529" s="26"/>
      <c r="AC529" s="8"/>
      <c r="AD529" s="26"/>
      <c r="AE529" s="26"/>
      <c r="AF529" s="26"/>
      <c r="AG529" s="26"/>
      <c r="AH529" s="26"/>
    </row>
    <row r="530" ht="12.75" customHeight="1">
      <c r="A530" s="24"/>
      <c r="B530" s="609"/>
      <c r="C530" s="24"/>
      <c r="D530" s="24"/>
      <c r="E530" s="610"/>
      <c r="F530" s="611"/>
      <c r="G530" s="26"/>
      <c r="H530" s="8"/>
      <c r="I530" s="611"/>
      <c r="J530" s="26"/>
      <c r="K530" s="8"/>
      <c r="L530" s="611"/>
      <c r="M530" s="26"/>
      <c r="N530" s="8"/>
      <c r="O530" s="611"/>
      <c r="P530" s="26"/>
      <c r="Q530" s="8"/>
      <c r="R530" s="611"/>
      <c r="S530" s="26"/>
      <c r="T530" s="8"/>
      <c r="U530" s="611"/>
      <c r="V530" s="26"/>
      <c r="W530" s="8"/>
      <c r="X530" s="611"/>
      <c r="Y530" s="26"/>
      <c r="Z530" s="8"/>
      <c r="AA530" s="611"/>
      <c r="AB530" s="26"/>
      <c r="AC530" s="8"/>
      <c r="AD530" s="26"/>
      <c r="AE530" s="26"/>
      <c r="AF530" s="26"/>
      <c r="AG530" s="26"/>
      <c r="AH530" s="26"/>
    </row>
    <row r="531" ht="12.75" customHeight="1">
      <c r="A531" s="24"/>
      <c r="B531" s="609"/>
      <c r="C531" s="24"/>
      <c r="D531" s="24"/>
      <c r="E531" s="610"/>
      <c r="F531" s="611"/>
      <c r="G531" s="26"/>
      <c r="H531" s="8"/>
      <c r="I531" s="611"/>
      <c r="J531" s="26"/>
      <c r="K531" s="8"/>
      <c r="L531" s="611"/>
      <c r="M531" s="26"/>
      <c r="N531" s="8"/>
      <c r="O531" s="611"/>
      <c r="P531" s="26"/>
      <c r="Q531" s="8"/>
      <c r="R531" s="611"/>
      <c r="S531" s="26"/>
      <c r="T531" s="8"/>
      <c r="U531" s="611"/>
      <c r="V531" s="26"/>
      <c r="W531" s="8"/>
      <c r="X531" s="611"/>
      <c r="Y531" s="26"/>
      <c r="Z531" s="8"/>
      <c r="AA531" s="611"/>
      <c r="AB531" s="26"/>
      <c r="AC531" s="8"/>
      <c r="AD531" s="26"/>
      <c r="AE531" s="26"/>
      <c r="AF531" s="26"/>
      <c r="AG531" s="26"/>
      <c r="AH531" s="26"/>
    </row>
    <row r="532" ht="12.75" customHeight="1">
      <c r="A532" s="24"/>
      <c r="B532" s="609"/>
      <c r="C532" s="24"/>
      <c r="D532" s="24"/>
      <c r="E532" s="610"/>
      <c r="F532" s="611"/>
      <c r="G532" s="26"/>
      <c r="H532" s="8"/>
      <c r="I532" s="611"/>
      <c r="J532" s="26"/>
      <c r="K532" s="8"/>
      <c r="L532" s="611"/>
      <c r="M532" s="26"/>
      <c r="N532" s="8"/>
      <c r="O532" s="611"/>
      <c r="P532" s="26"/>
      <c r="Q532" s="8"/>
      <c r="R532" s="611"/>
      <c r="S532" s="26"/>
      <c r="T532" s="8"/>
      <c r="U532" s="611"/>
      <c r="V532" s="26"/>
      <c r="W532" s="8"/>
      <c r="X532" s="611"/>
      <c r="Y532" s="26"/>
      <c r="Z532" s="8"/>
      <c r="AA532" s="611"/>
      <c r="AB532" s="26"/>
      <c r="AC532" s="8"/>
      <c r="AD532" s="26"/>
      <c r="AE532" s="26"/>
      <c r="AF532" s="26"/>
      <c r="AG532" s="26"/>
      <c r="AH532" s="26"/>
    </row>
    <row r="533" ht="12.75" customHeight="1">
      <c r="A533" s="24"/>
      <c r="B533" s="609"/>
      <c r="C533" s="24"/>
      <c r="D533" s="24"/>
      <c r="E533" s="610"/>
      <c r="F533" s="611"/>
      <c r="G533" s="26"/>
      <c r="H533" s="8"/>
      <c r="I533" s="611"/>
      <c r="J533" s="26"/>
      <c r="K533" s="8"/>
      <c r="L533" s="611"/>
      <c r="M533" s="26"/>
      <c r="N533" s="8"/>
      <c r="O533" s="611"/>
      <c r="P533" s="26"/>
      <c r="Q533" s="8"/>
      <c r="R533" s="611"/>
      <c r="S533" s="26"/>
      <c r="T533" s="8"/>
      <c r="U533" s="611"/>
      <c r="V533" s="26"/>
      <c r="W533" s="8"/>
      <c r="X533" s="611"/>
      <c r="Y533" s="26"/>
      <c r="Z533" s="8"/>
      <c r="AA533" s="611"/>
      <c r="AB533" s="26"/>
      <c r="AC533" s="8"/>
      <c r="AD533" s="26"/>
      <c r="AE533" s="26"/>
      <c r="AF533" s="26"/>
      <c r="AG533" s="26"/>
      <c r="AH533" s="26"/>
    </row>
    <row r="534" ht="12.75" customHeight="1">
      <c r="A534" s="24"/>
      <c r="B534" s="609"/>
      <c r="C534" s="24"/>
      <c r="D534" s="24"/>
      <c r="E534" s="610"/>
      <c r="F534" s="611"/>
      <c r="G534" s="26"/>
      <c r="H534" s="8"/>
      <c r="I534" s="611"/>
      <c r="J534" s="26"/>
      <c r="K534" s="8"/>
      <c r="L534" s="611"/>
      <c r="M534" s="26"/>
      <c r="N534" s="8"/>
      <c r="O534" s="611"/>
      <c r="P534" s="26"/>
      <c r="Q534" s="8"/>
      <c r="R534" s="611"/>
      <c r="S534" s="26"/>
      <c r="T534" s="8"/>
      <c r="U534" s="611"/>
      <c r="V534" s="26"/>
      <c r="W534" s="8"/>
      <c r="X534" s="611"/>
      <c r="Y534" s="26"/>
      <c r="Z534" s="8"/>
      <c r="AA534" s="611"/>
      <c r="AB534" s="26"/>
      <c r="AC534" s="8"/>
      <c r="AD534" s="26"/>
      <c r="AE534" s="26"/>
      <c r="AF534" s="26"/>
      <c r="AG534" s="26"/>
      <c r="AH534" s="26"/>
    </row>
    <row r="535" ht="12.75" customHeight="1">
      <c r="A535" s="24"/>
      <c r="B535" s="609"/>
      <c r="C535" s="24"/>
      <c r="D535" s="24"/>
      <c r="E535" s="610"/>
      <c r="F535" s="611"/>
      <c r="G535" s="26"/>
      <c r="H535" s="8"/>
      <c r="I535" s="611"/>
      <c r="J535" s="26"/>
      <c r="K535" s="8"/>
      <c r="L535" s="611"/>
      <c r="M535" s="26"/>
      <c r="N535" s="8"/>
      <c r="O535" s="611"/>
      <c r="P535" s="26"/>
      <c r="Q535" s="8"/>
      <c r="R535" s="611"/>
      <c r="S535" s="26"/>
      <c r="T535" s="8"/>
      <c r="U535" s="611"/>
      <c r="V535" s="26"/>
      <c r="W535" s="8"/>
      <c r="X535" s="611"/>
      <c r="Y535" s="26"/>
      <c r="Z535" s="8"/>
      <c r="AA535" s="611"/>
      <c r="AB535" s="26"/>
      <c r="AC535" s="8"/>
      <c r="AD535" s="26"/>
      <c r="AE535" s="26"/>
      <c r="AF535" s="26"/>
      <c r="AG535" s="26"/>
      <c r="AH535" s="26"/>
    </row>
    <row r="536" ht="12.75" customHeight="1">
      <c r="A536" s="24"/>
      <c r="B536" s="609"/>
      <c r="C536" s="24"/>
      <c r="D536" s="24"/>
      <c r="E536" s="610"/>
      <c r="F536" s="611"/>
      <c r="G536" s="26"/>
      <c r="H536" s="8"/>
      <c r="I536" s="611"/>
      <c r="J536" s="26"/>
      <c r="K536" s="8"/>
      <c r="L536" s="611"/>
      <c r="M536" s="26"/>
      <c r="N536" s="8"/>
      <c r="O536" s="611"/>
      <c r="P536" s="26"/>
      <c r="Q536" s="8"/>
      <c r="R536" s="611"/>
      <c r="S536" s="26"/>
      <c r="T536" s="8"/>
      <c r="U536" s="611"/>
      <c r="V536" s="26"/>
      <c r="W536" s="8"/>
      <c r="X536" s="611"/>
      <c r="Y536" s="26"/>
      <c r="Z536" s="8"/>
      <c r="AA536" s="611"/>
      <c r="AB536" s="26"/>
      <c r="AC536" s="8"/>
      <c r="AD536" s="26"/>
      <c r="AE536" s="26"/>
      <c r="AF536" s="26"/>
      <c r="AG536" s="26"/>
      <c r="AH536" s="26"/>
    </row>
    <row r="537" ht="12.75" customHeight="1">
      <c r="A537" s="24"/>
      <c r="B537" s="609"/>
      <c r="C537" s="24"/>
      <c r="D537" s="24"/>
      <c r="E537" s="610"/>
      <c r="F537" s="611"/>
      <c r="G537" s="26"/>
      <c r="H537" s="8"/>
      <c r="I537" s="611"/>
      <c r="J537" s="26"/>
      <c r="K537" s="8"/>
      <c r="L537" s="611"/>
      <c r="M537" s="26"/>
      <c r="N537" s="8"/>
      <c r="O537" s="611"/>
      <c r="P537" s="26"/>
      <c r="Q537" s="8"/>
      <c r="R537" s="611"/>
      <c r="S537" s="26"/>
      <c r="T537" s="8"/>
      <c r="U537" s="611"/>
      <c r="V537" s="26"/>
      <c r="W537" s="8"/>
      <c r="X537" s="611"/>
      <c r="Y537" s="26"/>
      <c r="Z537" s="8"/>
      <c r="AA537" s="611"/>
      <c r="AB537" s="26"/>
      <c r="AC537" s="8"/>
      <c r="AD537" s="26"/>
      <c r="AE537" s="26"/>
      <c r="AF537" s="26"/>
      <c r="AG537" s="26"/>
      <c r="AH537" s="26"/>
    </row>
    <row r="538" ht="12.75" customHeight="1">
      <c r="A538" s="24"/>
      <c r="B538" s="609"/>
      <c r="C538" s="24"/>
      <c r="D538" s="24"/>
      <c r="E538" s="610"/>
      <c r="F538" s="611"/>
      <c r="G538" s="26"/>
      <c r="H538" s="8"/>
      <c r="I538" s="611"/>
      <c r="J538" s="26"/>
      <c r="K538" s="8"/>
      <c r="L538" s="611"/>
      <c r="M538" s="26"/>
      <c r="N538" s="8"/>
      <c r="O538" s="611"/>
      <c r="P538" s="26"/>
      <c r="Q538" s="8"/>
      <c r="R538" s="611"/>
      <c r="S538" s="26"/>
      <c r="T538" s="8"/>
      <c r="U538" s="611"/>
      <c r="V538" s="26"/>
      <c r="W538" s="8"/>
      <c r="X538" s="611"/>
      <c r="Y538" s="26"/>
      <c r="Z538" s="8"/>
      <c r="AA538" s="611"/>
      <c r="AB538" s="26"/>
      <c r="AC538" s="8"/>
      <c r="AD538" s="26"/>
      <c r="AE538" s="26"/>
      <c r="AF538" s="26"/>
      <c r="AG538" s="26"/>
      <c r="AH538" s="26"/>
    </row>
    <row r="539" ht="12.75" customHeight="1">
      <c r="A539" s="24"/>
      <c r="B539" s="609"/>
      <c r="C539" s="24"/>
      <c r="D539" s="24"/>
      <c r="E539" s="610"/>
      <c r="F539" s="611"/>
      <c r="G539" s="26"/>
      <c r="H539" s="8"/>
      <c r="I539" s="611"/>
      <c r="J539" s="26"/>
      <c r="K539" s="8"/>
      <c r="L539" s="611"/>
      <c r="M539" s="26"/>
      <c r="N539" s="8"/>
      <c r="O539" s="611"/>
      <c r="P539" s="26"/>
      <c r="Q539" s="8"/>
      <c r="R539" s="611"/>
      <c r="S539" s="26"/>
      <c r="T539" s="8"/>
      <c r="U539" s="611"/>
      <c r="V539" s="26"/>
      <c r="W539" s="8"/>
      <c r="X539" s="611"/>
      <c r="Y539" s="26"/>
      <c r="Z539" s="8"/>
      <c r="AA539" s="611"/>
      <c r="AB539" s="26"/>
      <c r="AC539" s="8"/>
      <c r="AD539" s="26"/>
      <c r="AE539" s="26"/>
      <c r="AF539" s="26"/>
      <c r="AG539" s="26"/>
      <c r="AH539" s="26"/>
    </row>
    <row r="540" ht="12.75" customHeight="1">
      <c r="A540" s="24"/>
      <c r="B540" s="609"/>
      <c r="C540" s="24"/>
      <c r="D540" s="24"/>
      <c r="E540" s="610"/>
      <c r="F540" s="611"/>
      <c r="G540" s="26"/>
      <c r="H540" s="8"/>
      <c r="I540" s="611"/>
      <c r="J540" s="26"/>
      <c r="K540" s="8"/>
      <c r="L540" s="611"/>
      <c r="M540" s="26"/>
      <c r="N540" s="8"/>
      <c r="O540" s="611"/>
      <c r="P540" s="26"/>
      <c r="Q540" s="8"/>
      <c r="R540" s="611"/>
      <c r="S540" s="26"/>
      <c r="T540" s="8"/>
      <c r="U540" s="611"/>
      <c r="V540" s="26"/>
      <c r="W540" s="8"/>
      <c r="X540" s="611"/>
      <c r="Y540" s="26"/>
      <c r="Z540" s="8"/>
      <c r="AA540" s="611"/>
      <c r="AB540" s="26"/>
      <c r="AC540" s="8"/>
      <c r="AD540" s="26"/>
      <c r="AE540" s="26"/>
      <c r="AF540" s="26"/>
      <c r="AG540" s="26"/>
      <c r="AH540" s="26"/>
    </row>
    <row r="541" ht="12.75" customHeight="1">
      <c r="A541" s="24"/>
      <c r="B541" s="609"/>
      <c r="C541" s="24"/>
      <c r="D541" s="24"/>
      <c r="E541" s="610"/>
      <c r="F541" s="611"/>
      <c r="G541" s="26"/>
      <c r="H541" s="8"/>
      <c r="I541" s="611"/>
      <c r="J541" s="26"/>
      <c r="K541" s="8"/>
      <c r="L541" s="611"/>
      <c r="M541" s="26"/>
      <c r="N541" s="8"/>
      <c r="O541" s="611"/>
      <c r="P541" s="26"/>
      <c r="Q541" s="8"/>
      <c r="R541" s="611"/>
      <c r="S541" s="26"/>
      <c r="T541" s="8"/>
      <c r="U541" s="611"/>
      <c r="V541" s="26"/>
      <c r="W541" s="8"/>
      <c r="X541" s="611"/>
      <c r="Y541" s="26"/>
      <c r="Z541" s="8"/>
      <c r="AA541" s="611"/>
      <c r="AB541" s="26"/>
      <c r="AC541" s="8"/>
      <c r="AD541" s="26"/>
      <c r="AE541" s="26"/>
      <c r="AF541" s="26"/>
      <c r="AG541" s="26"/>
      <c r="AH541" s="26"/>
    </row>
    <row r="542" ht="12.75" customHeight="1">
      <c r="A542" s="24"/>
      <c r="B542" s="609"/>
      <c r="C542" s="24"/>
      <c r="D542" s="24"/>
      <c r="E542" s="610"/>
      <c r="F542" s="611"/>
      <c r="G542" s="26"/>
      <c r="H542" s="8"/>
      <c r="I542" s="611"/>
      <c r="J542" s="26"/>
      <c r="K542" s="8"/>
      <c r="L542" s="611"/>
      <c r="M542" s="26"/>
      <c r="N542" s="8"/>
      <c r="O542" s="611"/>
      <c r="P542" s="26"/>
      <c r="Q542" s="8"/>
      <c r="R542" s="611"/>
      <c r="S542" s="26"/>
      <c r="T542" s="8"/>
      <c r="U542" s="611"/>
      <c r="V542" s="26"/>
      <c r="W542" s="8"/>
      <c r="X542" s="611"/>
      <c r="Y542" s="26"/>
      <c r="Z542" s="8"/>
      <c r="AA542" s="611"/>
      <c r="AB542" s="26"/>
      <c r="AC542" s="8"/>
      <c r="AD542" s="26"/>
      <c r="AE542" s="26"/>
      <c r="AF542" s="26"/>
      <c r="AG542" s="26"/>
      <c r="AH542" s="26"/>
    </row>
    <row r="543" ht="12.75" customHeight="1">
      <c r="A543" s="24"/>
      <c r="B543" s="609"/>
      <c r="C543" s="24"/>
      <c r="D543" s="24"/>
      <c r="E543" s="610"/>
      <c r="F543" s="611"/>
      <c r="G543" s="26"/>
      <c r="H543" s="8"/>
      <c r="I543" s="611"/>
      <c r="J543" s="26"/>
      <c r="K543" s="8"/>
      <c r="L543" s="611"/>
      <c r="M543" s="26"/>
      <c r="N543" s="8"/>
      <c r="O543" s="611"/>
      <c r="P543" s="26"/>
      <c r="Q543" s="8"/>
      <c r="R543" s="611"/>
      <c r="S543" s="26"/>
      <c r="T543" s="8"/>
      <c r="U543" s="611"/>
      <c r="V543" s="26"/>
      <c r="W543" s="8"/>
      <c r="X543" s="611"/>
      <c r="Y543" s="26"/>
      <c r="Z543" s="8"/>
      <c r="AA543" s="611"/>
      <c r="AB543" s="26"/>
      <c r="AC543" s="8"/>
      <c r="AD543" s="26"/>
      <c r="AE543" s="26"/>
      <c r="AF543" s="26"/>
      <c r="AG543" s="26"/>
      <c r="AH543" s="26"/>
    </row>
    <row r="544" ht="12.75" customHeight="1">
      <c r="A544" s="24"/>
      <c r="B544" s="609"/>
      <c r="C544" s="24"/>
      <c r="D544" s="24"/>
      <c r="E544" s="610"/>
      <c r="F544" s="611"/>
      <c r="G544" s="26"/>
      <c r="H544" s="8"/>
      <c r="I544" s="611"/>
      <c r="J544" s="26"/>
      <c r="K544" s="8"/>
      <c r="L544" s="611"/>
      <c r="M544" s="26"/>
      <c r="N544" s="8"/>
      <c r="O544" s="611"/>
      <c r="P544" s="26"/>
      <c r="Q544" s="8"/>
      <c r="R544" s="611"/>
      <c r="S544" s="26"/>
      <c r="T544" s="8"/>
      <c r="U544" s="611"/>
      <c r="V544" s="26"/>
      <c r="W544" s="8"/>
      <c r="X544" s="611"/>
      <c r="Y544" s="26"/>
      <c r="Z544" s="8"/>
      <c r="AA544" s="611"/>
      <c r="AB544" s="26"/>
      <c r="AC544" s="8"/>
      <c r="AD544" s="26"/>
      <c r="AE544" s="26"/>
      <c r="AF544" s="26"/>
      <c r="AG544" s="26"/>
      <c r="AH544" s="26"/>
    </row>
    <row r="545" ht="12.75" customHeight="1">
      <c r="A545" s="24"/>
      <c r="B545" s="609"/>
      <c r="C545" s="24"/>
      <c r="D545" s="24"/>
      <c r="E545" s="610"/>
      <c r="F545" s="611"/>
      <c r="G545" s="26"/>
      <c r="H545" s="8"/>
      <c r="I545" s="611"/>
      <c r="J545" s="26"/>
      <c r="K545" s="8"/>
      <c r="L545" s="611"/>
      <c r="M545" s="26"/>
      <c r="N545" s="8"/>
      <c r="O545" s="611"/>
      <c r="P545" s="26"/>
      <c r="Q545" s="8"/>
      <c r="R545" s="611"/>
      <c r="S545" s="26"/>
      <c r="T545" s="8"/>
      <c r="U545" s="611"/>
      <c r="V545" s="26"/>
      <c r="W545" s="8"/>
      <c r="X545" s="611"/>
      <c r="Y545" s="26"/>
      <c r="Z545" s="8"/>
      <c r="AA545" s="611"/>
      <c r="AB545" s="26"/>
      <c r="AC545" s="8"/>
      <c r="AD545" s="26"/>
      <c r="AE545" s="26"/>
      <c r="AF545" s="26"/>
      <c r="AG545" s="26"/>
      <c r="AH545" s="26"/>
    </row>
    <row r="546" ht="12.75" customHeight="1">
      <c r="A546" s="24"/>
      <c r="B546" s="609"/>
      <c r="C546" s="24"/>
      <c r="D546" s="24"/>
      <c r="E546" s="610"/>
      <c r="F546" s="611"/>
      <c r="G546" s="26"/>
      <c r="H546" s="8"/>
      <c r="I546" s="611"/>
      <c r="J546" s="26"/>
      <c r="K546" s="8"/>
      <c r="L546" s="611"/>
      <c r="M546" s="26"/>
      <c r="N546" s="8"/>
      <c r="O546" s="611"/>
      <c r="P546" s="26"/>
      <c r="Q546" s="8"/>
      <c r="R546" s="611"/>
      <c r="S546" s="26"/>
      <c r="T546" s="8"/>
      <c r="U546" s="611"/>
      <c r="V546" s="26"/>
      <c r="W546" s="8"/>
      <c r="X546" s="611"/>
      <c r="Y546" s="26"/>
      <c r="Z546" s="8"/>
      <c r="AA546" s="611"/>
      <c r="AB546" s="26"/>
      <c r="AC546" s="8"/>
      <c r="AD546" s="26"/>
      <c r="AE546" s="26"/>
      <c r="AF546" s="26"/>
      <c r="AG546" s="26"/>
      <c r="AH546" s="26"/>
    </row>
    <row r="547" ht="12.75" customHeight="1">
      <c r="A547" s="24"/>
      <c r="B547" s="609"/>
      <c r="C547" s="24"/>
      <c r="D547" s="24"/>
      <c r="E547" s="610"/>
      <c r="F547" s="611"/>
      <c r="G547" s="26"/>
      <c r="H547" s="8"/>
      <c r="I547" s="611"/>
      <c r="J547" s="26"/>
      <c r="K547" s="8"/>
      <c r="L547" s="611"/>
      <c r="M547" s="26"/>
      <c r="N547" s="8"/>
      <c r="O547" s="611"/>
      <c r="P547" s="26"/>
      <c r="Q547" s="8"/>
      <c r="R547" s="611"/>
      <c r="S547" s="26"/>
      <c r="T547" s="8"/>
      <c r="U547" s="611"/>
      <c r="V547" s="26"/>
      <c r="W547" s="8"/>
      <c r="X547" s="611"/>
      <c r="Y547" s="26"/>
      <c r="Z547" s="8"/>
      <c r="AA547" s="611"/>
      <c r="AB547" s="26"/>
      <c r="AC547" s="8"/>
      <c r="AD547" s="26"/>
      <c r="AE547" s="26"/>
      <c r="AF547" s="26"/>
      <c r="AG547" s="26"/>
      <c r="AH547" s="26"/>
    </row>
    <row r="548" ht="12.75" customHeight="1">
      <c r="A548" s="24"/>
      <c r="B548" s="609"/>
      <c r="C548" s="24"/>
      <c r="D548" s="24"/>
      <c r="E548" s="610"/>
      <c r="F548" s="611"/>
      <c r="G548" s="26"/>
      <c r="H548" s="8"/>
      <c r="I548" s="611"/>
      <c r="J548" s="26"/>
      <c r="K548" s="8"/>
      <c r="L548" s="611"/>
      <c r="M548" s="26"/>
      <c r="N548" s="8"/>
      <c r="O548" s="611"/>
      <c r="P548" s="26"/>
      <c r="Q548" s="8"/>
      <c r="R548" s="611"/>
      <c r="S548" s="26"/>
      <c r="T548" s="8"/>
      <c r="U548" s="611"/>
      <c r="V548" s="26"/>
      <c r="W548" s="8"/>
      <c r="X548" s="611"/>
      <c r="Y548" s="26"/>
      <c r="Z548" s="8"/>
      <c r="AA548" s="611"/>
      <c r="AB548" s="26"/>
      <c r="AC548" s="8"/>
      <c r="AD548" s="26"/>
      <c r="AE548" s="26"/>
      <c r="AF548" s="26"/>
      <c r="AG548" s="26"/>
      <c r="AH548" s="26"/>
    </row>
    <row r="549" ht="12.75" customHeight="1">
      <c r="A549" s="24"/>
      <c r="B549" s="609"/>
      <c r="C549" s="24"/>
      <c r="D549" s="24"/>
      <c r="E549" s="610"/>
      <c r="F549" s="611"/>
      <c r="G549" s="26"/>
      <c r="H549" s="8"/>
      <c r="I549" s="611"/>
      <c r="J549" s="26"/>
      <c r="K549" s="8"/>
      <c r="L549" s="611"/>
      <c r="M549" s="26"/>
      <c r="N549" s="8"/>
      <c r="O549" s="611"/>
      <c r="P549" s="26"/>
      <c r="Q549" s="8"/>
      <c r="R549" s="611"/>
      <c r="S549" s="26"/>
      <c r="T549" s="8"/>
      <c r="U549" s="611"/>
      <c r="V549" s="26"/>
      <c r="W549" s="8"/>
      <c r="X549" s="611"/>
      <c r="Y549" s="26"/>
      <c r="Z549" s="8"/>
      <c r="AA549" s="611"/>
      <c r="AB549" s="26"/>
      <c r="AC549" s="8"/>
      <c r="AD549" s="26"/>
      <c r="AE549" s="26"/>
      <c r="AF549" s="26"/>
      <c r="AG549" s="26"/>
      <c r="AH549" s="26"/>
    </row>
    <row r="550" ht="12.75" customHeight="1">
      <c r="A550" s="24"/>
      <c r="B550" s="609"/>
      <c r="C550" s="24"/>
      <c r="D550" s="24"/>
      <c r="E550" s="610"/>
      <c r="F550" s="611"/>
      <c r="G550" s="26"/>
      <c r="H550" s="8"/>
      <c r="I550" s="611"/>
      <c r="J550" s="26"/>
      <c r="K550" s="8"/>
      <c r="L550" s="611"/>
      <c r="M550" s="26"/>
      <c r="N550" s="8"/>
      <c r="O550" s="611"/>
      <c r="P550" s="26"/>
      <c r="Q550" s="8"/>
      <c r="R550" s="611"/>
      <c r="S550" s="26"/>
      <c r="T550" s="8"/>
      <c r="U550" s="611"/>
      <c r="V550" s="26"/>
      <c r="W550" s="8"/>
      <c r="X550" s="611"/>
      <c r="Y550" s="26"/>
      <c r="Z550" s="8"/>
      <c r="AA550" s="611"/>
      <c r="AB550" s="26"/>
      <c r="AC550" s="8"/>
      <c r="AD550" s="26"/>
      <c r="AE550" s="26"/>
      <c r="AF550" s="26"/>
      <c r="AG550" s="26"/>
      <c r="AH550" s="26"/>
    </row>
    <row r="551" ht="12.75" customHeight="1">
      <c r="A551" s="24"/>
      <c r="B551" s="609"/>
      <c r="C551" s="24"/>
      <c r="D551" s="24"/>
      <c r="E551" s="610"/>
      <c r="F551" s="611"/>
      <c r="G551" s="26"/>
      <c r="H551" s="8"/>
      <c r="I551" s="611"/>
      <c r="J551" s="26"/>
      <c r="K551" s="8"/>
      <c r="L551" s="611"/>
      <c r="M551" s="26"/>
      <c r="N551" s="8"/>
      <c r="O551" s="611"/>
      <c r="P551" s="26"/>
      <c r="Q551" s="8"/>
      <c r="R551" s="611"/>
      <c r="S551" s="26"/>
      <c r="T551" s="8"/>
      <c r="U551" s="611"/>
      <c r="V551" s="26"/>
      <c r="W551" s="8"/>
      <c r="X551" s="611"/>
      <c r="Y551" s="26"/>
      <c r="Z551" s="8"/>
      <c r="AA551" s="611"/>
      <c r="AB551" s="26"/>
      <c r="AC551" s="8"/>
      <c r="AD551" s="26"/>
      <c r="AE551" s="26"/>
      <c r="AF551" s="26"/>
      <c r="AG551" s="26"/>
      <c r="AH551" s="26"/>
    </row>
    <row r="552" ht="12.75" customHeight="1">
      <c r="A552" s="24"/>
      <c r="B552" s="609"/>
      <c r="C552" s="24"/>
      <c r="D552" s="24"/>
      <c r="E552" s="610"/>
      <c r="F552" s="611"/>
      <c r="G552" s="26"/>
      <c r="H552" s="8"/>
      <c r="I552" s="611"/>
      <c r="J552" s="26"/>
      <c r="K552" s="8"/>
      <c r="L552" s="611"/>
      <c r="M552" s="26"/>
      <c r="N552" s="8"/>
      <c r="O552" s="611"/>
      <c r="P552" s="26"/>
      <c r="Q552" s="8"/>
      <c r="R552" s="611"/>
      <c r="S552" s="26"/>
      <c r="T552" s="8"/>
      <c r="U552" s="611"/>
      <c r="V552" s="26"/>
      <c r="W552" s="8"/>
      <c r="X552" s="611"/>
      <c r="Y552" s="26"/>
      <c r="Z552" s="8"/>
      <c r="AA552" s="611"/>
      <c r="AB552" s="26"/>
      <c r="AC552" s="8"/>
      <c r="AD552" s="26"/>
      <c r="AE552" s="26"/>
      <c r="AF552" s="26"/>
      <c r="AG552" s="26"/>
      <c r="AH552" s="26"/>
    </row>
    <row r="553" ht="12.75" customHeight="1">
      <c r="A553" s="24"/>
      <c r="B553" s="609"/>
      <c r="C553" s="24"/>
      <c r="D553" s="24"/>
      <c r="E553" s="610"/>
      <c r="F553" s="611"/>
      <c r="G553" s="26"/>
      <c r="H553" s="8"/>
      <c r="I553" s="611"/>
      <c r="J553" s="26"/>
      <c r="K553" s="8"/>
      <c r="L553" s="611"/>
      <c r="M553" s="26"/>
      <c r="N553" s="8"/>
      <c r="O553" s="611"/>
      <c r="P553" s="26"/>
      <c r="Q553" s="8"/>
      <c r="R553" s="611"/>
      <c r="S553" s="26"/>
      <c r="T553" s="8"/>
      <c r="U553" s="611"/>
      <c r="V553" s="26"/>
      <c r="W553" s="8"/>
      <c r="X553" s="611"/>
      <c r="Y553" s="26"/>
      <c r="Z553" s="8"/>
      <c r="AA553" s="611"/>
      <c r="AB553" s="26"/>
      <c r="AC553" s="8"/>
      <c r="AD553" s="26"/>
      <c r="AE553" s="26"/>
      <c r="AF553" s="26"/>
      <c r="AG553" s="26"/>
      <c r="AH553" s="26"/>
    </row>
    <row r="554" ht="12.75" customHeight="1">
      <c r="A554" s="24"/>
      <c r="B554" s="609"/>
      <c r="C554" s="24"/>
      <c r="D554" s="24"/>
      <c r="E554" s="610"/>
      <c r="F554" s="611"/>
      <c r="G554" s="26"/>
      <c r="H554" s="8"/>
      <c r="I554" s="611"/>
      <c r="J554" s="26"/>
      <c r="K554" s="8"/>
      <c r="L554" s="611"/>
      <c r="M554" s="26"/>
      <c r="N554" s="8"/>
      <c r="O554" s="611"/>
      <c r="P554" s="26"/>
      <c r="Q554" s="8"/>
      <c r="R554" s="611"/>
      <c r="S554" s="26"/>
      <c r="T554" s="8"/>
      <c r="U554" s="611"/>
      <c r="V554" s="26"/>
      <c r="W554" s="8"/>
      <c r="X554" s="611"/>
      <c r="Y554" s="26"/>
      <c r="Z554" s="8"/>
      <c r="AA554" s="611"/>
      <c r="AB554" s="26"/>
      <c r="AC554" s="8"/>
      <c r="AD554" s="26"/>
      <c r="AE554" s="26"/>
      <c r="AF554" s="26"/>
      <c r="AG554" s="26"/>
      <c r="AH554" s="26"/>
    </row>
    <row r="555" ht="12.75" customHeight="1">
      <c r="A555" s="24"/>
      <c r="B555" s="609"/>
      <c r="C555" s="24"/>
      <c r="D555" s="24"/>
      <c r="E555" s="610"/>
      <c r="F555" s="611"/>
      <c r="G555" s="26"/>
      <c r="H555" s="8"/>
      <c r="I555" s="611"/>
      <c r="J555" s="26"/>
      <c r="K555" s="8"/>
      <c r="L555" s="611"/>
      <c r="M555" s="26"/>
      <c r="N555" s="8"/>
      <c r="O555" s="611"/>
      <c r="P555" s="26"/>
      <c r="Q555" s="8"/>
      <c r="R555" s="611"/>
      <c r="S555" s="26"/>
      <c r="T555" s="8"/>
      <c r="U555" s="611"/>
      <c r="V555" s="26"/>
      <c r="W555" s="8"/>
      <c r="X555" s="611"/>
      <c r="Y555" s="26"/>
      <c r="Z555" s="8"/>
      <c r="AA555" s="611"/>
      <c r="AB555" s="26"/>
      <c r="AC555" s="8"/>
      <c r="AD555" s="26"/>
      <c r="AE555" s="26"/>
      <c r="AF555" s="26"/>
      <c r="AG555" s="26"/>
      <c r="AH555" s="26"/>
    </row>
    <row r="556" ht="12.75" customHeight="1">
      <c r="A556" s="24"/>
      <c r="B556" s="609"/>
      <c r="C556" s="24"/>
      <c r="D556" s="24"/>
      <c r="E556" s="610"/>
      <c r="F556" s="611"/>
      <c r="G556" s="26"/>
      <c r="H556" s="8"/>
      <c r="I556" s="611"/>
      <c r="J556" s="26"/>
      <c r="K556" s="8"/>
      <c r="L556" s="611"/>
      <c r="M556" s="26"/>
      <c r="N556" s="8"/>
      <c r="O556" s="611"/>
      <c r="P556" s="26"/>
      <c r="Q556" s="8"/>
      <c r="R556" s="611"/>
      <c r="S556" s="26"/>
      <c r="T556" s="8"/>
      <c r="U556" s="611"/>
      <c r="V556" s="26"/>
      <c r="W556" s="8"/>
      <c r="X556" s="611"/>
      <c r="Y556" s="26"/>
      <c r="Z556" s="8"/>
      <c r="AA556" s="611"/>
      <c r="AB556" s="26"/>
      <c r="AC556" s="8"/>
      <c r="AD556" s="26"/>
      <c r="AE556" s="26"/>
      <c r="AF556" s="26"/>
      <c r="AG556" s="26"/>
      <c r="AH556" s="26"/>
    </row>
    <row r="557" ht="12.75" customHeight="1">
      <c r="A557" s="24"/>
      <c r="B557" s="609"/>
      <c r="C557" s="24"/>
      <c r="D557" s="24"/>
      <c r="E557" s="610"/>
      <c r="F557" s="611"/>
      <c r="G557" s="26"/>
      <c r="H557" s="8"/>
      <c r="I557" s="611"/>
      <c r="J557" s="26"/>
      <c r="K557" s="8"/>
      <c r="L557" s="611"/>
      <c r="M557" s="26"/>
      <c r="N557" s="8"/>
      <c r="O557" s="611"/>
      <c r="P557" s="26"/>
      <c r="Q557" s="8"/>
      <c r="R557" s="611"/>
      <c r="S557" s="26"/>
      <c r="T557" s="8"/>
      <c r="U557" s="611"/>
      <c r="V557" s="26"/>
      <c r="W557" s="8"/>
      <c r="X557" s="611"/>
      <c r="Y557" s="26"/>
      <c r="Z557" s="8"/>
      <c r="AA557" s="611"/>
      <c r="AB557" s="26"/>
      <c r="AC557" s="8"/>
      <c r="AD557" s="26"/>
      <c r="AE557" s="26"/>
      <c r="AF557" s="26"/>
      <c r="AG557" s="26"/>
      <c r="AH557" s="26"/>
    </row>
    <row r="558" ht="12.75" customHeight="1">
      <c r="A558" s="24"/>
      <c r="B558" s="609"/>
      <c r="C558" s="24"/>
      <c r="D558" s="24"/>
      <c r="E558" s="610"/>
      <c r="F558" s="611"/>
      <c r="G558" s="26"/>
      <c r="H558" s="8"/>
      <c r="I558" s="611"/>
      <c r="J558" s="26"/>
      <c r="K558" s="8"/>
      <c r="L558" s="611"/>
      <c r="M558" s="26"/>
      <c r="N558" s="8"/>
      <c r="O558" s="611"/>
      <c r="P558" s="26"/>
      <c r="Q558" s="8"/>
      <c r="R558" s="611"/>
      <c r="S558" s="26"/>
      <c r="T558" s="8"/>
      <c r="U558" s="611"/>
      <c r="V558" s="26"/>
      <c r="W558" s="8"/>
      <c r="X558" s="611"/>
      <c r="Y558" s="26"/>
      <c r="Z558" s="8"/>
      <c r="AA558" s="611"/>
      <c r="AB558" s="26"/>
      <c r="AC558" s="8"/>
      <c r="AD558" s="26"/>
      <c r="AE558" s="26"/>
      <c r="AF558" s="26"/>
      <c r="AG558" s="26"/>
      <c r="AH558" s="26"/>
    </row>
    <row r="559" ht="12.75" customHeight="1">
      <c r="A559" s="24"/>
      <c r="B559" s="609"/>
      <c r="C559" s="24"/>
      <c r="D559" s="24"/>
      <c r="E559" s="610"/>
      <c r="F559" s="611"/>
      <c r="G559" s="26"/>
      <c r="H559" s="8"/>
      <c r="I559" s="611"/>
      <c r="J559" s="26"/>
      <c r="K559" s="8"/>
      <c r="L559" s="611"/>
      <c r="M559" s="26"/>
      <c r="N559" s="8"/>
      <c r="O559" s="611"/>
      <c r="P559" s="26"/>
      <c r="Q559" s="8"/>
      <c r="R559" s="611"/>
      <c r="S559" s="26"/>
      <c r="T559" s="8"/>
      <c r="U559" s="611"/>
      <c r="V559" s="26"/>
      <c r="W559" s="8"/>
      <c r="X559" s="611"/>
      <c r="Y559" s="26"/>
      <c r="Z559" s="8"/>
      <c r="AA559" s="611"/>
      <c r="AB559" s="26"/>
      <c r="AC559" s="8"/>
      <c r="AD559" s="26"/>
      <c r="AE559" s="26"/>
      <c r="AF559" s="26"/>
      <c r="AG559" s="26"/>
      <c r="AH559" s="26"/>
    </row>
    <row r="560" ht="12.75" customHeight="1">
      <c r="A560" s="24"/>
      <c r="B560" s="609"/>
      <c r="C560" s="24"/>
      <c r="D560" s="24"/>
      <c r="E560" s="610"/>
      <c r="F560" s="611"/>
      <c r="G560" s="26"/>
      <c r="H560" s="8"/>
      <c r="I560" s="611"/>
      <c r="J560" s="26"/>
      <c r="K560" s="8"/>
      <c r="L560" s="611"/>
      <c r="M560" s="26"/>
      <c r="N560" s="8"/>
      <c r="O560" s="611"/>
      <c r="P560" s="26"/>
      <c r="Q560" s="8"/>
      <c r="R560" s="611"/>
      <c r="S560" s="26"/>
      <c r="T560" s="8"/>
      <c r="U560" s="611"/>
      <c r="V560" s="26"/>
      <c r="W560" s="8"/>
      <c r="X560" s="611"/>
      <c r="Y560" s="26"/>
      <c r="Z560" s="8"/>
      <c r="AA560" s="611"/>
      <c r="AB560" s="26"/>
      <c r="AC560" s="8"/>
      <c r="AD560" s="26"/>
      <c r="AE560" s="26"/>
      <c r="AF560" s="26"/>
      <c r="AG560" s="26"/>
      <c r="AH560" s="26"/>
    </row>
    <row r="561" ht="12.75" customHeight="1">
      <c r="A561" s="24"/>
      <c r="B561" s="609"/>
      <c r="C561" s="24"/>
      <c r="D561" s="24"/>
      <c r="E561" s="610"/>
      <c r="F561" s="611"/>
      <c r="G561" s="26"/>
      <c r="H561" s="8"/>
      <c r="I561" s="611"/>
      <c r="J561" s="26"/>
      <c r="K561" s="8"/>
      <c r="L561" s="611"/>
      <c r="M561" s="26"/>
      <c r="N561" s="8"/>
      <c r="O561" s="611"/>
      <c r="P561" s="26"/>
      <c r="Q561" s="8"/>
      <c r="R561" s="611"/>
      <c r="S561" s="26"/>
      <c r="T561" s="8"/>
      <c r="U561" s="611"/>
      <c r="V561" s="26"/>
      <c r="W561" s="8"/>
      <c r="X561" s="611"/>
      <c r="Y561" s="26"/>
      <c r="Z561" s="8"/>
      <c r="AA561" s="611"/>
      <c r="AB561" s="26"/>
      <c r="AC561" s="8"/>
      <c r="AD561" s="26"/>
      <c r="AE561" s="26"/>
      <c r="AF561" s="26"/>
      <c r="AG561" s="26"/>
      <c r="AH561" s="26"/>
    </row>
    <row r="562" ht="12.75" customHeight="1">
      <c r="A562" s="24"/>
      <c r="B562" s="609"/>
      <c r="C562" s="24"/>
      <c r="D562" s="24"/>
      <c r="E562" s="610"/>
      <c r="F562" s="611"/>
      <c r="G562" s="26"/>
      <c r="H562" s="8"/>
      <c r="I562" s="611"/>
      <c r="J562" s="26"/>
      <c r="K562" s="8"/>
      <c r="L562" s="611"/>
      <c r="M562" s="26"/>
      <c r="N562" s="8"/>
      <c r="O562" s="611"/>
      <c r="P562" s="26"/>
      <c r="Q562" s="8"/>
      <c r="R562" s="611"/>
      <c r="S562" s="26"/>
      <c r="T562" s="8"/>
      <c r="U562" s="611"/>
      <c r="V562" s="26"/>
      <c r="W562" s="8"/>
      <c r="X562" s="611"/>
      <c r="Y562" s="26"/>
      <c r="Z562" s="8"/>
      <c r="AA562" s="611"/>
      <c r="AB562" s="26"/>
      <c r="AC562" s="8"/>
      <c r="AD562" s="26"/>
      <c r="AE562" s="26"/>
      <c r="AF562" s="26"/>
      <c r="AG562" s="26"/>
      <c r="AH562" s="26"/>
    </row>
    <row r="563" ht="12.75" customHeight="1">
      <c r="A563" s="24"/>
      <c r="B563" s="609"/>
      <c r="C563" s="24"/>
      <c r="D563" s="24"/>
      <c r="E563" s="610"/>
      <c r="F563" s="611"/>
      <c r="G563" s="26"/>
      <c r="H563" s="8"/>
      <c r="I563" s="611"/>
      <c r="J563" s="26"/>
      <c r="K563" s="8"/>
      <c r="L563" s="611"/>
      <c r="M563" s="26"/>
      <c r="N563" s="8"/>
      <c r="O563" s="611"/>
      <c r="P563" s="26"/>
      <c r="Q563" s="8"/>
      <c r="R563" s="611"/>
      <c r="S563" s="26"/>
      <c r="T563" s="8"/>
      <c r="U563" s="611"/>
      <c r="V563" s="26"/>
      <c r="W563" s="8"/>
      <c r="X563" s="611"/>
      <c r="Y563" s="26"/>
      <c r="Z563" s="8"/>
      <c r="AA563" s="611"/>
      <c r="AB563" s="26"/>
      <c r="AC563" s="8"/>
      <c r="AD563" s="26"/>
      <c r="AE563" s="26"/>
      <c r="AF563" s="26"/>
      <c r="AG563" s="26"/>
      <c r="AH563" s="26"/>
    </row>
    <row r="564" ht="12.75" customHeight="1">
      <c r="A564" s="24"/>
      <c r="B564" s="609"/>
      <c r="C564" s="24"/>
      <c r="D564" s="24"/>
      <c r="E564" s="610"/>
      <c r="F564" s="611"/>
      <c r="G564" s="26"/>
      <c r="H564" s="8"/>
      <c r="I564" s="611"/>
      <c r="J564" s="26"/>
      <c r="K564" s="8"/>
      <c r="L564" s="611"/>
      <c r="M564" s="26"/>
      <c r="N564" s="8"/>
      <c r="O564" s="611"/>
      <c r="P564" s="26"/>
      <c r="Q564" s="8"/>
      <c r="R564" s="611"/>
      <c r="S564" s="26"/>
      <c r="T564" s="8"/>
      <c r="U564" s="611"/>
      <c r="V564" s="26"/>
      <c r="W564" s="8"/>
      <c r="X564" s="611"/>
      <c r="Y564" s="26"/>
      <c r="Z564" s="8"/>
      <c r="AA564" s="611"/>
      <c r="AB564" s="26"/>
      <c r="AC564" s="8"/>
      <c r="AD564" s="26"/>
      <c r="AE564" s="26"/>
      <c r="AF564" s="26"/>
      <c r="AG564" s="26"/>
      <c r="AH564" s="26"/>
    </row>
    <row r="565" ht="12.75" customHeight="1">
      <c r="A565" s="24"/>
      <c r="B565" s="609"/>
      <c r="C565" s="24"/>
      <c r="D565" s="24"/>
      <c r="E565" s="610"/>
      <c r="F565" s="611"/>
      <c r="G565" s="26"/>
      <c r="H565" s="8"/>
      <c r="I565" s="611"/>
      <c r="J565" s="26"/>
      <c r="K565" s="8"/>
      <c r="L565" s="611"/>
      <c r="M565" s="26"/>
      <c r="N565" s="8"/>
      <c r="O565" s="611"/>
      <c r="P565" s="26"/>
      <c r="Q565" s="8"/>
      <c r="R565" s="611"/>
      <c r="S565" s="26"/>
      <c r="T565" s="8"/>
      <c r="U565" s="611"/>
      <c r="V565" s="26"/>
      <c r="W565" s="8"/>
      <c r="X565" s="611"/>
      <c r="Y565" s="26"/>
      <c r="Z565" s="8"/>
      <c r="AA565" s="611"/>
      <c r="AB565" s="26"/>
      <c r="AC565" s="8"/>
      <c r="AD565" s="26"/>
      <c r="AE565" s="26"/>
      <c r="AF565" s="26"/>
      <c r="AG565" s="26"/>
      <c r="AH565" s="26"/>
    </row>
    <row r="566" ht="12.75" customHeight="1">
      <c r="A566" s="24"/>
      <c r="B566" s="609"/>
      <c r="C566" s="24"/>
      <c r="D566" s="24"/>
      <c r="E566" s="610"/>
      <c r="F566" s="611"/>
      <c r="G566" s="26"/>
      <c r="H566" s="8"/>
      <c r="I566" s="611"/>
      <c r="J566" s="26"/>
      <c r="K566" s="8"/>
      <c r="L566" s="611"/>
      <c r="M566" s="26"/>
      <c r="N566" s="8"/>
      <c r="O566" s="611"/>
      <c r="P566" s="26"/>
      <c r="Q566" s="8"/>
      <c r="R566" s="611"/>
      <c r="S566" s="26"/>
      <c r="T566" s="8"/>
      <c r="U566" s="611"/>
      <c r="V566" s="26"/>
      <c r="W566" s="8"/>
      <c r="X566" s="611"/>
      <c r="Y566" s="26"/>
      <c r="Z566" s="8"/>
      <c r="AA566" s="611"/>
      <c r="AB566" s="26"/>
      <c r="AC566" s="8"/>
      <c r="AD566" s="26"/>
      <c r="AE566" s="26"/>
      <c r="AF566" s="26"/>
      <c r="AG566" s="26"/>
      <c r="AH566" s="26"/>
    </row>
    <row r="567" ht="12.75" customHeight="1">
      <c r="A567" s="24"/>
      <c r="B567" s="609"/>
      <c r="C567" s="24"/>
      <c r="D567" s="24"/>
      <c r="E567" s="610"/>
      <c r="F567" s="611"/>
      <c r="G567" s="26"/>
      <c r="H567" s="8"/>
      <c r="I567" s="611"/>
      <c r="J567" s="26"/>
      <c r="K567" s="8"/>
      <c r="L567" s="611"/>
      <c r="M567" s="26"/>
      <c r="N567" s="8"/>
      <c r="O567" s="611"/>
      <c r="P567" s="26"/>
      <c r="Q567" s="8"/>
      <c r="R567" s="611"/>
      <c r="S567" s="26"/>
      <c r="T567" s="8"/>
      <c r="U567" s="611"/>
      <c r="V567" s="26"/>
      <c r="W567" s="8"/>
      <c r="X567" s="611"/>
      <c r="Y567" s="26"/>
      <c r="Z567" s="8"/>
      <c r="AA567" s="611"/>
      <c r="AB567" s="26"/>
      <c r="AC567" s="8"/>
      <c r="AD567" s="26"/>
      <c r="AE567" s="26"/>
      <c r="AF567" s="26"/>
      <c r="AG567" s="26"/>
      <c r="AH567" s="26"/>
    </row>
    <row r="568" ht="12.75" customHeight="1">
      <c r="A568" s="24"/>
      <c r="B568" s="609"/>
      <c r="C568" s="24"/>
      <c r="D568" s="24"/>
      <c r="E568" s="610"/>
      <c r="F568" s="611"/>
      <c r="G568" s="26"/>
      <c r="H568" s="8"/>
      <c r="I568" s="611"/>
      <c r="J568" s="26"/>
      <c r="K568" s="8"/>
      <c r="L568" s="611"/>
      <c r="M568" s="26"/>
      <c r="N568" s="8"/>
      <c r="O568" s="611"/>
      <c r="P568" s="26"/>
      <c r="Q568" s="8"/>
      <c r="R568" s="611"/>
      <c r="S568" s="26"/>
      <c r="T568" s="8"/>
      <c r="U568" s="611"/>
      <c r="V568" s="26"/>
      <c r="W568" s="8"/>
      <c r="X568" s="611"/>
      <c r="Y568" s="26"/>
      <c r="Z568" s="8"/>
      <c r="AA568" s="611"/>
      <c r="AB568" s="26"/>
      <c r="AC568" s="8"/>
      <c r="AD568" s="26"/>
      <c r="AE568" s="26"/>
      <c r="AF568" s="26"/>
      <c r="AG568" s="26"/>
      <c r="AH568" s="26"/>
    </row>
    <row r="569" ht="12.75" customHeight="1">
      <c r="A569" s="24"/>
      <c r="B569" s="609"/>
      <c r="C569" s="24"/>
      <c r="D569" s="24"/>
      <c r="E569" s="610"/>
      <c r="F569" s="611"/>
      <c r="G569" s="26"/>
      <c r="H569" s="8"/>
      <c r="I569" s="611"/>
      <c r="J569" s="26"/>
      <c r="K569" s="8"/>
      <c r="L569" s="611"/>
      <c r="M569" s="26"/>
      <c r="N569" s="8"/>
      <c r="O569" s="611"/>
      <c r="P569" s="26"/>
      <c r="Q569" s="8"/>
      <c r="R569" s="611"/>
      <c r="S569" s="26"/>
      <c r="T569" s="8"/>
      <c r="U569" s="611"/>
      <c r="V569" s="26"/>
      <c r="W569" s="8"/>
      <c r="X569" s="611"/>
      <c r="Y569" s="26"/>
      <c r="Z569" s="8"/>
      <c r="AA569" s="611"/>
      <c r="AB569" s="26"/>
      <c r="AC569" s="8"/>
      <c r="AD569" s="26"/>
      <c r="AE569" s="26"/>
      <c r="AF569" s="26"/>
      <c r="AG569" s="26"/>
      <c r="AH569" s="26"/>
    </row>
    <row r="570" ht="12.75" customHeight="1">
      <c r="A570" s="24"/>
      <c r="B570" s="609"/>
      <c r="C570" s="24"/>
      <c r="D570" s="24"/>
      <c r="E570" s="610"/>
      <c r="F570" s="611"/>
      <c r="G570" s="26"/>
      <c r="H570" s="8"/>
      <c r="I570" s="611"/>
      <c r="J570" s="26"/>
      <c r="K570" s="8"/>
      <c r="L570" s="611"/>
      <c r="M570" s="26"/>
      <c r="N570" s="8"/>
      <c r="O570" s="611"/>
      <c r="P570" s="26"/>
      <c r="Q570" s="8"/>
      <c r="R570" s="611"/>
      <c r="S570" s="26"/>
      <c r="T570" s="8"/>
      <c r="U570" s="611"/>
      <c r="V570" s="26"/>
      <c r="W570" s="8"/>
      <c r="X570" s="611"/>
      <c r="Y570" s="26"/>
      <c r="Z570" s="8"/>
      <c r="AA570" s="611"/>
      <c r="AB570" s="26"/>
      <c r="AC570" s="8"/>
      <c r="AD570" s="26"/>
      <c r="AE570" s="26"/>
      <c r="AF570" s="26"/>
      <c r="AG570" s="26"/>
      <c r="AH570" s="26"/>
    </row>
    <row r="571" ht="12.75" customHeight="1">
      <c r="A571" s="24"/>
      <c r="B571" s="609"/>
      <c r="C571" s="24"/>
      <c r="D571" s="24"/>
      <c r="E571" s="610"/>
      <c r="F571" s="611"/>
      <c r="G571" s="26"/>
      <c r="H571" s="8"/>
      <c r="I571" s="611"/>
      <c r="J571" s="26"/>
      <c r="K571" s="8"/>
      <c r="L571" s="611"/>
      <c r="M571" s="26"/>
      <c r="N571" s="8"/>
      <c r="O571" s="611"/>
      <c r="P571" s="26"/>
      <c r="Q571" s="8"/>
      <c r="R571" s="611"/>
      <c r="S571" s="26"/>
      <c r="T571" s="8"/>
      <c r="U571" s="611"/>
      <c r="V571" s="26"/>
      <c r="W571" s="8"/>
      <c r="X571" s="611"/>
      <c r="Y571" s="26"/>
      <c r="Z571" s="8"/>
      <c r="AA571" s="611"/>
      <c r="AB571" s="26"/>
      <c r="AC571" s="8"/>
      <c r="AD571" s="26"/>
      <c r="AE571" s="26"/>
      <c r="AF571" s="26"/>
      <c r="AG571" s="26"/>
      <c r="AH571" s="26"/>
    </row>
    <row r="572" ht="12.75" customHeight="1">
      <c r="A572" s="24"/>
      <c r="B572" s="609"/>
      <c r="C572" s="24"/>
      <c r="D572" s="24"/>
      <c r="E572" s="610"/>
      <c r="F572" s="611"/>
      <c r="G572" s="26"/>
      <c r="H572" s="8"/>
      <c r="I572" s="611"/>
      <c r="J572" s="26"/>
      <c r="K572" s="8"/>
      <c r="L572" s="611"/>
      <c r="M572" s="26"/>
      <c r="N572" s="8"/>
      <c r="O572" s="611"/>
      <c r="P572" s="26"/>
      <c r="Q572" s="8"/>
      <c r="R572" s="611"/>
      <c r="S572" s="26"/>
      <c r="T572" s="8"/>
      <c r="U572" s="611"/>
      <c r="V572" s="26"/>
      <c r="W572" s="8"/>
      <c r="X572" s="611"/>
      <c r="Y572" s="26"/>
      <c r="Z572" s="8"/>
      <c r="AA572" s="611"/>
      <c r="AB572" s="26"/>
      <c r="AC572" s="8"/>
      <c r="AD572" s="26"/>
      <c r="AE572" s="26"/>
      <c r="AF572" s="26"/>
      <c r="AG572" s="26"/>
      <c r="AH572" s="26"/>
    </row>
    <row r="573" ht="12.75" customHeight="1">
      <c r="A573" s="24"/>
      <c r="B573" s="609"/>
      <c r="C573" s="24"/>
      <c r="D573" s="24"/>
      <c r="E573" s="610"/>
      <c r="F573" s="611"/>
      <c r="G573" s="26"/>
      <c r="H573" s="8"/>
      <c r="I573" s="611"/>
      <c r="J573" s="26"/>
      <c r="K573" s="8"/>
      <c r="L573" s="611"/>
      <c r="M573" s="26"/>
      <c r="N573" s="8"/>
      <c r="O573" s="611"/>
      <c r="P573" s="26"/>
      <c r="Q573" s="8"/>
      <c r="R573" s="611"/>
      <c r="S573" s="26"/>
      <c r="T573" s="8"/>
      <c r="U573" s="611"/>
      <c r="V573" s="26"/>
      <c r="W573" s="8"/>
      <c r="X573" s="611"/>
      <c r="Y573" s="26"/>
      <c r="Z573" s="8"/>
      <c r="AA573" s="611"/>
      <c r="AB573" s="26"/>
      <c r="AC573" s="8"/>
      <c r="AD573" s="26"/>
      <c r="AE573" s="26"/>
      <c r="AF573" s="26"/>
      <c r="AG573" s="26"/>
      <c r="AH573" s="26"/>
    </row>
    <row r="574" ht="12.75" customHeight="1">
      <c r="A574" s="24"/>
      <c r="B574" s="609"/>
      <c r="C574" s="24"/>
      <c r="D574" s="24"/>
      <c r="E574" s="610"/>
      <c r="F574" s="611"/>
      <c r="G574" s="26"/>
      <c r="H574" s="8"/>
      <c r="I574" s="611"/>
      <c r="J574" s="26"/>
      <c r="K574" s="8"/>
      <c r="L574" s="611"/>
      <c r="M574" s="26"/>
      <c r="N574" s="8"/>
      <c r="O574" s="611"/>
      <c r="P574" s="26"/>
      <c r="Q574" s="8"/>
      <c r="R574" s="611"/>
      <c r="S574" s="26"/>
      <c r="T574" s="8"/>
      <c r="U574" s="611"/>
      <c r="V574" s="26"/>
      <c r="W574" s="8"/>
      <c r="X574" s="611"/>
      <c r="Y574" s="26"/>
      <c r="Z574" s="8"/>
      <c r="AA574" s="611"/>
      <c r="AB574" s="26"/>
      <c r="AC574" s="8"/>
      <c r="AD574" s="26"/>
      <c r="AE574" s="26"/>
      <c r="AF574" s="26"/>
      <c r="AG574" s="26"/>
      <c r="AH574" s="26"/>
    </row>
    <row r="575" ht="12.75" customHeight="1">
      <c r="A575" s="24"/>
      <c r="B575" s="609"/>
      <c r="C575" s="24"/>
      <c r="D575" s="24"/>
      <c r="E575" s="610"/>
      <c r="F575" s="611"/>
      <c r="G575" s="26"/>
      <c r="H575" s="8"/>
      <c r="I575" s="611"/>
      <c r="J575" s="26"/>
      <c r="K575" s="8"/>
      <c r="L575" s="611"/>
      <c r="M575" s="26"/>
      <c r="N575" s="8"/>
      <c r="O575" s="611"/>
      <c r="P575" s="26"/>
      <c r="Q575" s="8"/>
      <c r="R575" s="611"/>
      <c r="S575" s="26"/>
      <c r="T575" s="8"/>
      <c r="U575" s="611"/>
      <c r="V575" s="26"/>
      <c r="W575" s="8"/>
      <c r="X575" s="611"/>
      <c r="Y575" s="26"/>
      <c r="Z575" s="8"/>
      <c r="AA575" s="611"/>
      <c r="AB575" s="26"/>
      <c r="AC575" s="8"/>
      <c r="AD575" s="26"/>
      <c r="AE575" s="26"/>
      <c r="AF575" s="26"/>
      <c r="AG575" s="26"/>
      <c r="AH575" s="26"/>
    </row>
    <row r="576" ht="12.75" customHeight="1">
      <c r="A576" s="24"/>
      <c r="B576" s="609"/>
      <c r="C576" s="24"/>
      <c r="D576" s="24"/>
      <c r="E576" s="610"/>
      <c r="F576" s="611"/>
      <c r="G576" s="26"/>
      <c r="H576" s="8"/>
      <c r="I576" s="611"/>
      <c r="J576" s="26"/>
      <c r="K576" s="8"/>
      <c r="L576" s="611"/>
      <c r="M576" s="26"/>
      <c r="N576" s="8"/>
      <c r="O576" s="611"/>
      <c r="P576" s="26"/>
      <c r="Q576" s="8"/>
      <c r="R576" s="611"/>
      <c r="S576" s="26"/>
      <c r="T576" s="8"/>
      <c r="U576" s="611"/>
      <c r="V576" s="26"/>
      <c r="W576" s="8"/>
      <c r="X576" s="611"/>
      <c r="Y576" s="26"/>
      <c r="Z576" s="8"/>
      <c r="AA576" s="611"/>
      <c r="AB576" s="26"/>
      <c r="AC576" s="8"/>
      <c r="AD576" s="26"/>
      <c r="AE576" s="26"/>
      <c r="AF576" s="26"/>
      <c r="AG576" s="26"/>
      <c r="AH576" s="26"/>
    </row>
    <row r="577" ht="12.75" customHeight="1">
      <c r="A577" s="24"/>
      <c r="B577" s="609"/>
      <c r="C577" s="24"/>
      <c r="D577" s="24"/>
      <c r="E577" s="610"/>
      <c r="F577" s="611"/>
      <c r="G577" s="26"/>
      <c r="H577" s="8"/>
      <c r="I577" s="611"/>
      <c r="J577" s="26"/>
      <c r="K577" s="8"/>
      <c r="L577" s="611"/>
      <c r="M577" s="26"/>
      <c r="N577" s="8"/>
      <c r="O577" s="611"/>
      <c r="P577" s="26"/>
      <c r="Q577" s="8"/>
      <c r="R577" s="611"/>
      <c r="S577" s="26"/>
      <c r="T577" s="8"/>
      <c r="U577" s="611"/>
      <c r="V577" s="26"/>
      <c r="W577" s="8"/>
      <c r="X577" s="611"/>
      <c r="Y577" s="26"/>
      <c r="Z577" s="8"/>
      <c r="AA577" s="611"/>
      <c r="AB577" s="26"/>
      <c r="AC577" s="8"/>
      <c r="AD577" s="26"/>
      <c r="AE577" s="26"/>
      <c r="AF577" s="26"/>
      <c r="AG577" s="26"/>
      <c r="AH577" s="26"/>
    </row>
    <row r="578" ht="12.75" customHeight="1">
      <c r="A578" s="24"/>
      <c r="B578" s="609"/>
      <c r="C578" s="24"/>
      <c r="D578" s="24"/>
      <c r="E578" s="610"/>
      <c r="F578" s="611"/>
      <c r="G578" s="26"/>
      <c r="H578" s="8"/>
      <c r="I578" s="611"/>
      <c r="J578" s="26"/>
      <c r="K578" s="8"/>
      <c r="L578" s="611"/>
      <c r="M578" s="26"/>
      <c r="N578" s="8"/>
      <c r="O578" s="611"/>
      <c r="P578" s="26"/>
      <c r="Q578" s="8"/>
      <c r="R578" s="611"/>
      <c r="S578" s="26"/>
      <c r="T578" s="8"/>
      <c r="U578" s="611"/>
      <c r="V578" s="26"/>
      <c r="W578" s="8"/>
      <c r="X578" s="611"/>
      <c r="Y578" s="26"/>
      <c r="Z578" s="8"/>
      <c r="AA578" s="611"/>
      <c r="AB578" s="26"/>
      <c r="AC578" s="8"/>
      <c r="AD578" s="26"/>
      <c r="AE578" s="26"/>
      <c r="AF578" s="26"/>
      <c r="AG578" s="26"/>
      <c r="AH578" s="26"/>
    </row>
    <row r="579" ht="12.75" customHeight="1">
      <c r="A579" s="24"/>
      <c r="B579" s="609"/>
      <c r="C579" s="24"/>
      <c r="D579" s="24"/>
      <c r="E579" s="610"/>
      <c r="F579" s="611"/>
      <c r="G579" s="26"/>
      <c r="H579" s="8"/>
      <c r="I579" s="611"/>
      <c r="J579" s="26"/>
      <c r="K579" s="8"/>
      <c r="L579" s="611"/>
      <c r="M579" s="26"/>
      <c r="N579" s="8"/>
      <c r="O579" s="611"/>
      <c r="P579" s="26"/>
      <c r="Q579" s="8"/>
      <c r="R579" s="611"/>
      <c r="S579" s="26"/>
      <c r="T579" s="8"/>
      <c r="U579" s="611"/>
      <c r="V579" s="26"/>
      <c r="W579" s="8"/>
      <c r="X579" s="611"/>
      <c r="Y579" s="26"/>
      <c r="Z579" s="8"/>
      <c r="AA579" s="611"/>
      <c r="AB579" s="26"/>
      <c r="AC579" s="8"/>
      <c r="AD579" s="26"/>
      <c r="AE579" s="26"/>
      <c r="AF579" s="26"/>
      <c r="AG579" s="26"/>
      <c r="AH579" s="26"/>
    </row>
    <row r="580" ht="12.75" customHeight="1">
      <c r="A580" s="24"/>
      <c r="B580" s="609"/>
      <c r="C580" s="24"/>
      <c r="D580" s="24"/>
      <c r="E580" s="610"/>
      <c r="F580" s="611"/>
      <c r="G580" s="26"/>
      <c r="H580" s="8"/>
      <c r="I580" s="611"/>
      <c r="J580" s="26"/>
      <c r="K580" s="8"/>
      <c r="L580" s="611"/>
      <c r="M580" s="26"/>
      <c r="N580" s="8"/>
      <c r="O580" s="611"/>
      <c r="P580" s="26"/>
      <c r="Q580" s="8"/>
      <c r="R580" s="611"/>
      <c r="S580" s="26"/>
      <c r="T580" s="8"/>
      <c r="U580" s="611"/>
      <c r="V580" s="26"/>
      <c r="W580" s="8"/>
      <c r="X580" s="611"/>
      <c r="Y580" s="26"/>
      <c r="Z580" s="8"/>
      <c r="AA580" s="611"/>
      <c r="AB580" s="26"/>
      <c r="AC580" s="8"/>
      <c r="AD580" s="26"/>
      <c r="AE580" s="26"/>
      <c r="AF580" s="26"/>
      <c r="AG580" s="26"/>
      <c r="AH580" s="26"/>
    </row>
    <row r="581" ht="12.75" customHeight="1">
      <c r="A581" s="24"/>
      <c r="B581" s="609"/>
      <c r="C581" s="24"/>
      <c r="D581" s="24"/>
      <c r="E581" s="610"/>
      <c r="F581" s="611"/>
      <c r="G581" s="26"/>
      <c r="H581" s="8"/>
      <c r="I581" s="611"/>
      <c r="J581" s="26"/>
      <c r="K581" s="8"/>
      <c r="L581" s="611"/>
      <c r="M581" s="26"/>
      <c r="N581" s="8"/>
      <c r="O581" s="611"/>
      <c r="P581" s="26"/>
      <c r="Q581" s="8"/>
      <c r="R581" s="611"/>
      <c r="S581" s="26"/>
      <c r="T581" s="8"/>
      <c r="U581" s="611"/>
      <c r="V581" s="26"/>
      <c r="W581" s="8"/>
      <c r="X581" s="611"/>
      <c r="Y581" s="26"/>
      <c r="Z581" s="8"/>
      <c r="AA581" s="611"/>
      <c r="AB581" s="26"/>
      <c r="AC581" s="8"/>
      <c r="AD581" s="26"/>
      <c r="AE581" s="26"/>
      <c r="AF581" s="26"/>
      <c r="AG581" s="26"/>
      <c r="AH581" s="26"/>
    </row>
    <row r="582" ht="12.75" customHeight="1">
      <c r="A582" s="24"/>
      <c r="B582" s="609"/>
      <c r="C582" s="24"/>
      <c r="D582" s="24"/>
      <c r="E582" s="610"/>
      <c r="F582" s="611"/>
      <c r="G582" s="26"/>
      <c r="H582" s="8"/>
      <c r="I582" s="611"/>
      <c r="J582" s="26"/>
      <c r="K582" s="8"/>
      <c r="L582" s="611"/>
      <c r="M582" s="26"/>
      <c r="N582" s="8"/>
      <c r="O582" s="611"/>
      <c r="P582" s="26"/>
      <c r="Q582" s="8"/>
      <c r="R582" s="611"/>
      <c r="S582" s="26"/>
      <c r="T582" s="8"/>
      <c r="U582" s="611"/>
      <c r="V582" s="26"/>
      <c r="W582" s="8"/>
      <c r="X582" s="611"/>
      <c r="Y582" s="26"/>
      <c r="Z582" s="8"/>
      <c r="AA582" s="611"/>
      <c r="AB582" s="26"/>
      <c r="AC582" s="8"/>
      <c r="AD582" s="26"/>
      <c r="AE582" s="26"/>
      <c r="AF582" s="26"/>
      <c r="AG582" s="26"/>
      <c r="AH582" s="26"/>
    </row>
    <row r="583" ht="12.75" customHeight="1">
      <c r="A583" s="24"/>
      <c r="B583" s="609"/>
      <c r="C583" s="24"/>
      <c r="D583" s="24"/>
      <c r="E583" s="610"/>
      <c r="F583" s="611"/>
      <c r="G583" s="26"/>
      <c r="H583" s="8"/>
      <c r="I583" s="611"/>
      <c r="J583" s="26"/>
      <c r="K583" s="8"/>
      <c r="L583" s="611"/>
      <c r="M583" s="26"/>
      <c r="N583" s="8"/>
      <c r="O583" s="611"/>
      <c r="P583" s="26"/>
      <c r="Q583" s="8"/>
      <c r="R583" s="611"/>
      <c r="S583" s="26"/>
      <c r="T583" s="8"/>
      <c r="U583" s="611"/>
      <c r="V583" s="26"/>
      <c r="W583" s="8"/>
      <c r="X583" s="611"/>
      <c r="Y583" s="26"/>
      <c r="Z583" s="8"/>
      <c r="AA583" s="611"/>
      <c r="AB583" s="26"/>
      <c r="AC583" s="8"/>
      <c r="AD583" s="26"/>
      <c r="AE583" s="26"/>
      <c r="AF583" s="26"/>
      <c r="AG583" s="26"/>
      <c r="AH583" s="26"/>
    </row>
    <row r="584" ht="12.75" customHeight="1">
      <c r="A584" s="24"/>
      <c r="B584" s="609"/>
      <c r="C584" s="24"/>
      <c r="D584" s="24"/>
      <c r="E584" s="610"/>
      <c r="F584" s="611"/>
      <c r="G584" s="26"/>
      <c r="H584" s="8"/>
      <c r="I584" s="611"/>
      <c r="J584" s="26"/>
      <c r="K584" s="8"/>
      <c r="L584" s="611"/>
      <c r="M584" s="26"/>
      <c r="N584" s="8"/>
      <c r="O584" s="611"/>
      <c r="P584" s="26"/>
      <c r="Q584" s="8"/>
      <c r="R584" s="611"/>
      <c r="S584" s="26"/>
      <c r="T584" s="8"/>
      <c r="U584" s="611"/>
      <c r="V584" s="26"/>
      <c r="W584" s="8"/>
      <c r="X584" s="611"/>
      <c r="Y584" s="26"/>
      <c r="Z584" s="8"/>
      <c r="AA584" s="611"/>
      <c r="AB584" s="26"/>
      <c r="AC584" s="8"/>
      <c r="AD584" s="26"/>
      <c r="AE584" s="26"/>
      <c r="AF584" s="26"/>
      <c r="AG584" s="26"/>
      <c r="AH584" s="26"/>
    </row>
    <row r="585" ht="12.75" customHeight="1">
      <c r="A585" s="24"/>
      <c r="B585" s="609"/>
      <c r="C585" s="24"/>
      <c r="D585" s="24"/>
      <c r="E585" s="610"/>
      <c r="F585" s="611"/>
      <c r="G585" s="26"/>
      <c r="H585" s="8"/>
      <c r="I585" s="611"/>
      <c r="J585" s="26"/>
      <c r="K585" s="8"/>
      <c r="L585" s="611"/>
      <c r="M585" s="26"/>
      <c r="N585" s="8"/>
      <c r="O585" s="611"/>
      <c r="P585" s="26"/>
      <c r="Q585" s="8"/>
      <c r="R585" s="611"/>
      <c r="S585" s="26"/>
      <c r="T585" s="8"/>
      <c r="U585" s="611"/>
      <c r="V585" s="26"/>
      <c r="W585" s="8"/>
      <c r="X585" s="611"/>
      <c r="Y585" s="26"/>
      <c r="Z585" s="8"/>
      <c r="AA585" s="611"/>
      <c r="AB585" s="26"/>
      <c r="AC585" s="8"/>
      <c r="AD585" s="26"/>
      <c r="AE585" s="26"/>
      <c r="AF585" s="26"/>
      <c r="AG585" s="26"/>
      <c r="AH585" s="26"/>
    </row>
    <row r="586" ht="12.75" customHeight="1">
      <c r="A586" s="24"/>
      <c r="B586" s="609"/>
      <c r="C586" s="24"/>
      <c r="D586" s="24"/>
      <c r="E586" s="610"/>
      <c r="F586" s="611"/>
      <c r="G586" s="26"/>
      <c r="H586" s="8"/>
      <c r="I586" s="611"/>
      <c r="J586" s="26"/>
      <c r="K586" s="8"/>
      <c r="L586" s="611"/>
      <c r="M586" s="26"/>
      <c r="N586" s="8"/>
      <c r="O586" s="611"/>
      <c r="P586" s="26"/>
      <c r="Q586" s="8"/>
      <c r="R586" s="611"/>
      <c r="S586" s="26"/>
      <c r="T586" s="8"/>
      <c r="U586" s="611"/>
      <c r="V586" s="26"/>
      <c r="W586" s="8"/>
      <c r="X586" s="611"/>
      <c r="Y586" s="26"/>
      <c r="Z586" s="8"/>
      <c r="AA586" s="611"/>
      <c r="AB586" s="26"/>
      <c r="AC586" s="8"/>
      <c r="AD586" s="26"/>
      <c r="AE586" s="26"/>
      <c r="AF586" s="26"/>
      <c r="AG586" s="26"/>
      <c r="AH586" s="26"/>
    </row>
    <row r="587" ht="12.75" customHeight="1">
      <c r="A587" s="24"/>
      <c r="B587" s="609"/>
      <c r="C587" s="24"/>
      <c r="D587" s="24"/>
      <c r="E587" s="610"/>
      <c r="F587" s="611"/>
      <c r="G587" s="26"/>
      <c r="H587" s="8"/>
      <c r="I587" s="611"/>
      <c r="J587" s="26"/>
      <c r="K587" s="8"/>
      <c r="L587" s="611"/>
      <c r="M587" s="26"/>
      <c r="N587" s="8"/>
      <c r="O587" s="611"/>
      <c r="P587" s="26"/>
      <c r="Q587" s="8"/>
      <c r="R587" s="611"/>
      <c r="S587" s="26"/>
      <c r="T587" s="8"/>
      <c r="U587" s="611"/>
      <c r="V587" s="26"/>
      <c r="W587" s="8"/>
      <c r="X587" s="611"/>
      <c r="Y587" s="26"/>
      <c r="Z587" s="8"/>
      <c r="AA587" s="611"/>
      <c r="AB587" s="26"/>
      <c r="AC587" s="8"/>
      <c r="AD587" s="26"/>
      <c r="AE587" s="26"/>
      <c r="AF587" s="26"/>
      <c r="AG587" s="26"/>
      <c r="AH587" s="26"/>
    </row>
    <row r="588" ht="12.75" customHeight="1">
      <c r="A588" s="24"/>
      <c r="B588" s="609"/>
      <c r="C588" s="24"/>
      <c r="D588" s="24"/>
      <c r="E588" s="610"/>
      <c r="F588" s="611"/>
      <c r="G588" s="26"/>
      <c r="H588" s="8"/>
      <c r="I588" s="611"/>
      <c r="J588" s="26"/>
      <c r="K588" s="8"/>
      <c r="L588" s="611"/>
      <c r="M588" s="26"/>
      <c r="N588" s="8"/>
      <c r="O588" s="611"/>
      <c r="P588" s="26"/>
      <c r="Q588" s="8"/>
      <c r="R588" s="611"/>
      <c r="S588" s="26"/>
      <c r="T588" s="8"/>
      <c r="U588" s="611"/>
      <c r="V588" s="26"/>
      <c r="W588" s="8"/>
      <c r="X588" s="611"/>
      <c r="Y588" s="26"/>
      <c r="Z588" s="8"/>
      <c r="AA588" s="611"/>
      <c r="AB588" s="26"/>
      <c r="AC588" s="8"/>
      <c r="AD588" s="26"/>
      <c r="AE588" s="26"/>
      <c r="AF588" s="26"/>
      <c r="AG588" s="26"/>
      <c r="AH588" s="26"/>
    </row>
    <row r="589" ht="12.75" customHeight="1">
      <c r="A589" s="24"/>
      <c r="B589" s="609"/>
      <c r="C589" s="24"/>
      <c r="D589" s="24"/>
      <c r="E589" s="610"/>
      <c r="F589" s="611"/>
      <c r="G589" s="26"/>
      <c r="H589" s="8"/>
      <c r="I589" s="611"/>
      <c r="J589" s="26"/>
      <c r="K589" s="8"/>
      <c r="L589" s="611"/>
      <c r="M589" s="26"/>
      <c r="N589" s="8"/>
      <c r="O589" s="611"/>
      <c r="P589" s="26"/>
      <c r="Q589" s="8"/>
      <c r="R589" s="611"/>
      <c r="S589" s="26"/>
      <c r="T589" s="8"/>
      <c r="U589" s="611"/>
      <c r="V589" s="26"/>
      <c r="W589" s="8"/>
      <c r="X589" s="611"/>
      <c r="Y589" s="26"/>
      <c r="Z589" s="8"/>
      <c r="AA589" s="611"/>
      <c r="AB589" s="26"/>
      <c r="AC589" s="8"/>
      <c r="AD589" s="26"/>
      <c r="AE589" s="26"/>
      <c r="AF589" s="26"/>
      <c r="AG589" s="26"/>
      <c r="AH589" s="26"/>
    </row>
    <row r="590" ht="12.75" customHeight="1">
      <c r="A590" s="24"/>
      <c r="B590" s="609"/>
      <c r="C590" s="24"/>
      <c r="D590" s="24"/>
      <c r="E590" s="610"/>
      <c r="F590" s="611"/>
      <c r="G590" s="26"/>
      <c r="H590" s="8"/>
      <c r="I590" s="611"/>
      <c r="J590" s="26"/>
      <c r="K590" s="8"/>
      <c r="L590" s="611"/>
      <c r="M590" s="26"/>
      <c r="N590" s="8"/>
      <c r="O590" s="611"/>
      <c r="P590" s="26"/>
      <c r="Q590" s="8"/>
      <c r="R590" s="611"/>
      <c r="S590" s="26"/>
      <c r="T590" s="8"/>
      <c r="U590" s="611"/>
      <c r="V590" s="26"/>
      <c r="W590" s="8"/>
      <c r="X590" s="611"/>
      <c r="Y590" s="26"/>
      <c r="Z590" s="8"/>
      <c r="AA590" s="611"/>
      <c r="AB590" s="26"/>
      <c r="AC590" s="8"/>
      <c r="AD590" s="26"/>
      <c r="AE590" s="26"/>
      <c r="AF590" s="26"/>
      <c r="AG590" s="26"/>
      <c r="AH590" s="26"/>
    </row>
    <row r="591" ht="12.75" customHeight="1">
      <c r="A591" s="24"/>
      <c r="B591" s="609"/>
      <c r="C591" s="24"/>
      <c r="D591" s="24"/>
      <c r="E591" s="610"/>
      <c r="F591" s="611"/>
      <c r="G591" s="26"/>
      <c r="H591" s="8"/>
      <c r="I591" s="611"/>
      <c r="J591" s="26"/>
      <c r="K591" s="8"/>
      <c r="L591" s="611"/>
      <c r="M591" s="26"/>
      <c r="N591" s="8"/>
      <c r="O591" s="611"/>
      <c r="P591" s="26"/>
      <c r="Q591" s="8"/>
      <c r="R591" s="611"/>
      <c r="S591" s="26"/>
      <c r="T591" s="8"/>
      <c r="U591" s="611"/>
      <c r="V591" s="26"/>
      <c r="W591" s="8"/>
      <c r="X591" s="611"/>
      <c r="Y591" s="26"/>
      <c r="Z591" s="8"/>
      <c r="AA591" s="611"/>
      <c r="AB591" s="26"/>
      <c r="AC591" s="8"/>
      <c r="AD591" s="26"/>
      <c r="AE591" s="26"/>
      <c r="AF591" s="26"/>
      <c r="AG591" s="26"/>
      <c r="AH591" s="26"/>
    </row>
    <row r="592" ht="12.75" customHeight="1">
      <c r="A592" s="24"/>
      <c r="B592" s="609"/>
      <c r="C592" s="24"/>
      <c r="D592" s="24"/>
      <c r="E592" s="610"/>
      <c r="F592" s="611"/>
      <c r="G592" s="26"/>
      <c r="H592" s="8"/>
      <c r="I592" s="611"/>
      <c r="J592" s="26"/>
      <c r="K592" s="8"/>
      <c r="L592" s="611"/>
      <c r="M592" s="26"/>
      <c r="N592" s="8"/>
      <c r="O592" s="611"/>
      <c r="P592" s="26"/>
      <c r="Q592" s="8"/>
      <c r="R592" s="611"/>
      <c r="S592" s="26"/>
      <c r="T592" s="8"/>
      <c r="U592" s="611"/>
      <c r="V592" s="26"/>
      <c r="W592" s="8"/>
      <c r="X592" s="611"/>
      <c r="Y592" s="26"/>
      <c r="Z592" s="8"/>
      <c r="AA592" s="611"/>
      <c r="AB592" s="26"/>
      <c r="AC592" s="8"/>
      <c r="AD592" s="26"/>
      <c r="AE592" s="26"/>
      <c r="AF592" s="26"/>
      <c r="AG592" s="26"/>
      <c r="AH592" s="26"/>
    </row>
    <row r="593" ht="12.75" customHeight="1">
      <c r="A593" s="24"/>
      <c r="B593" s="609"/>
      <c r="C593" s="24"/>
      <c r="D593" s="24"/>
      <c r="E593" s="610"/>
      <c r="F593" s="611"/>
      <c r="G593" s="26"/>
      <c r="H593" s="8"/>
      <c r="I593" s="611"/>
      <c r="J593" s="26"/>
      <c r="K593" s="8"/>
      <c r="L593" s="611"/>
      <c r="M593" s="26"/>
      <c r="N593" s="8"/>
      <c r="O593" s="611"/>
      <c r="P593" s="26"/>
      <c r="Q593" s="8"/>
      <c r="R593" s="611"/>
      <c r="S593" s="26"/>
      <c r="T593" s="8"/>
      <c r="U593" s="611"/>
      <c r="V593" s="26"/>
      <c r="W593" s="8"/>
      <c r="X593" s="611"/>
      <c r="Y593" s="26"/>
      <c r="Z593" s="8"/>
      <c r="AA593" s="611"/>
      <c r="AB593" s="26"/>
      <c r="AC593" s="8"/>
      <c r="AD593" s="26"/>
      <c r="AE593" s="26"/>
      <c r="AF593" s="26"/>
      <c r="AG593" s="26"/>
      <c r="AH593" s="26"/>
    </row>
    <row r="594" ht="12.75" customHeight="1">
      <c r="A594" s="24"/>
      <c r="B594" s="609"/>
      <c r="C594" s="24"/>
      <c r="D594" s="24"/>
      <c r="E594" s="610"/>
      <c r="F594" s="611"/>
      <c r="G594" s="26"/>
      <c r="H594" s="8"/>
      <c r="I594" s="611"/>
      <c r="J594" s="26"/>
      <c r="K594" s="8"/>
      <c r="L594" s="611"/>
      <c r="M594" s="26"/>
      <c r="N594" s="8"/>
      <c r="O594" s="611"/>
      <c r="P594" s="26"/>
      <c r="Q594" s="8"/>
      <c r="R594" s="611"/>
      <c r="S594" s="26"/>
      <c r="T594" s="8"/>
      <c r="U594" s="611"/>
      <c r="V594" s="26"/>
      <c r="W594" s="8"/>
      <c r="X594" s="611"/>
      <c r="Y594" s="26"/>
      <c r="Z594" s="8"/>
      <c r="AA594" s="611"/>
      <c r="AB594" s="26"/>
      <c r="AC594" s="8"/>
      <c r="AD594" s="26"/>
      <c r="AE594" s="26"/>
      <c r="AF594" s="26"/>
      <c r="AG594" s="26"/>
      <c r="AH594" s="26"/>
    </row>
    <row r="595" ht="12.75" customHeight="1">
      <c r="A595" s="24"/>
      <c r="B595" s="609"/>
      <c r="C595" s="24"/>
      <c r="D595" s="24"/>
      <c r="E595" s="610"/>
      <c r="F595" s="611"/>
      <c r="G595" s="26"/>
      <c r="H595" s="8"/>
      <c r="I595" s="611"/>
      <c r="J595" s="26"/>
      <c r="K595" s="8"/>
      <c r="L595" s="611"/>
      <c r="M595" s="26"/>
      <c r="N595" s="8"/>
      <c r="O595" s="611"/>
      <c r="P595" s="26"/>
      <c r="Q595" s="8"/>
      <c r="R595" s="611"/>
      <c r="S595" s="26"/>
      <c r="T595" s="8"/>
      <c r="U595" s="611"/>
      <c r="V595" s="26"/>
      <c r="W595" s="8"/>
      <c r="X595" s="611"/>
      <c r="Y595" s="26"/>
      <c r="Z595" s="8"/>
      <c r="AA595" s="611"/>
      <c r="AB595" s="26"/>
      <c r="AC595" s="8"/>
      <c r="AD595" s="26"/>
      <c r="AE595" s="26"/>
      <c r="AF595" s="26"/>
      <c r="AG595" s="26"/>
      <c r="AH595" s="26"/>
    </row>
    <row r="596" ht="12.75" customHeight="1">
      <c r="A596" s="24"/>
      <c r="B596" s="609"/>
      <c r="C596" s="24"/>
      <c r="D596" s="24"/>
      <c r="E596" s="610"/>
      <c r="F596" s="611"/>
      <c r="G596" s="26"/>
      <c r="H596" s="8"/>
      <c r="I596" s="611"/>
      <c r="J596" s="26"/>
      <c r="K596" s="8"/>
      <c r="L596" s="611"/>
      <c r="M596" s="26"/>
      <c r="N596" s="8"/>
      <c r="O596" s="611"/>
      <c r="P596" s="26"/>
      <c r="Q596" s="8"/>
      <c r="R596" s="611"/>
      <c r="S596" s="26"/>
      <c r="T596" s="8"/>
      <c r="U596" s="611"/>
      <c r="V596" s="26"/>
      <c r="W596" s="8"/>
      <c r="X596" s="611"/>
      <c r="Y596" s="26"/>
      <c r="Z596" s="8"/>
      <c r="AA596" s="611"/>
      <c r="AB596" s="26"/>
      <c r="AC596" s="8"/>
      <c r="AD596" s="26"/>
      <c r="AE596" s="26"/>
      <c r="AF596" s="26"/>
      <c r="AG596" s="26"/>
      <c r="AH596" s="26"/>
    </row>
    <row r="597" ht="12.75" customHeight="1">
      <c r="A597" s="24"/>
      <c r="B597" s="609"/>
      <c r="C597" s="24"/>
      <c r="D597" s="24"/>
      <c r="E597" s="610"/>
      <c r="F597" s="611"/>
      <c r="G597" s="26"/>
      <c r="H597" s="8"/>
      <c r="I597" s="611"/>
      <c r="J597" s="26"/>
      <c r="K597" s="8"/>
      <c r="L597" s="611"/>
      <c r="M597" s="26"/>
      <c r="N597" s="8"/>
      <c r="O597" s="611"/>
      <c r="P597" s="26"/>
      <c r="Q597" s="8"/>
      <c r="R597" s="611"/>
      <c r="S597" s="26"/>
      <c r="T597" s="8"/>
      <c r="U597" s="611"/>
      <c r="V597" s="26"/>
      <c r="W597" s="8"/>
      <c r="X597" s="611"/>
      <c r="Y597" s="26"/>
      <c r="Z597" s="8"/>
      <c r="AA597" s="611"/>
      <c r="AB597" s="26"/>
      <c r="AC597" s="8"/>
      <c r="AD597" s="26"/>
      <c r="AE597" s="26"/>
      <c r="AF597" s="26"/>
      <c r="AG597" s="26"/>
      <c r="AH597" s="26"/>
    </row>
    <row r="598" ht="12.75" customHeight="1">
      <c r="A598" s="24"/>
      <c r="B598" s="609"/>
      <c r="C598" s="24"/>
      <c r="D598" s="24"/>
      <c r="E598" s="610"/>
      <c r="F598" s="611"/>
      <c r="G598" s="26"/>
      <c r="H598" s="8"/>
      <c r="I598" s="611"/>
      <c r="J598" s="26"/>
      <c r="K598" s="8"/>
      <c r="L598" s="611"/>
      <c r="M598" s="26"/>
      <c r="N598" s="8"/>
      <c r="O598" s="611"/>
      <c r="P598" s="26"/>
      <c r="Q598" s="8"/>
      <c r="R598" s="611"/>
      <c r="S598" s="26"/>
      <c r="T598" s="8"/>
      <c r="U598" s="611"/>
      <c r="V598" s="26"/>
      <c r="W598" s="8"/>
      <c r="X598" s="611"/>
      <c r="Y598" s="26"/>
      <c r="Z598" s="8"/>
      <c r="AA598" s="611"/>
      <c r="AB598" s="26"/>
      <c r="AC598" s="8"/>
      <c r="AD598" s="26"/>
      <c r="AE598" s="26"/>
      <c r="AF598" s="26"/>
      <c r="AG598" s="26"/>
      <c r="AH598" s="26"/>
    </row>
    <row r="599" ht="12.75" customHeight="1">
      <c r="A599" s="24"/>
      <c r="B599" s="609"/>
      <c r="C599" s="24"/>
      <c r="D599" s="24"/>
      <c r="E599" s="610"/>
      <c r="F599" s="611"/>
      <c r="G599" s="26"/>
      <c r="H599" s="8"/>
      <c r="I599" s="611"/>
      <c r="J599" s="26"/>
      <c r="K599" s="8"/>
      <c r="L599" s="611"/>
      <c r="M599" s="26"/>
      <c r="N599" s="8"/>
      <c r="O599" s="611"/>
      <c r="P599" s="26"/>
      <c r="Q599" s="8"/>
      <c r="R599" s="611"/>
      <c r="S599" s="26"/>
      <c r="T599" s="8"/>
      <c r="U599" s="611"/>
      <c r="V599" s="26"/>
      <c r="W599" s="8"/>
      <c r="X599" s="611"/>
      <c r="Y599" s="26"/>
      <c r="Z599" s="8"/>
      <c r="AA599" s="611"/>
      <c r="AB599" s="26"/>
      <c r="AC599" s="8"/>
      <c r="AD599" s="26"/>
      <c r="AE599" s="26"/>
      <c r="AF599" s="26"/>
      <c r="AG599" s="26"/>
      <c r="AH599" s="26"/>
    </row>
    <row r="600" ht="12.75" customHeight="1">
      <c r="A600" s="24"/>
      <c r="B600" s="609"/>
      <c r="C600" s="24"/>
      <c r="D600" s="24"/>
      <c r="E600" s="610"/>
      <c r="F600" s="611"/>
      <c r="G600" s="26"/>
      <c r="H600" s="8"/>
      <c r="I600" s="611"/>
      <c r="J600" s="26"/>
      <c r="K600" s="8"/>
      <c r="L600" s="611"/>
      <c r="M600" s="26"/>
      <c r="N600" s="8"/>
      <c r="O600" s="611"/>
      <c r="P600" s="26"/>
      <c r="Q600" s="8"/>
      <c r="R600" s="611"/>
      <c r="S600" s="26"/>
      <c r="T600" s="8"/>
      <c r="U600" s="611"/>
      <c r="V600" s="26"/>
      <c r="W600" s="8"/>
      <c r="X600" s="611"/>
      <c r="Y600" s="26"/>
      <c r="Z600" s="8"/>
      <c r="AA600" s="611"/>
      <c r="AB600" s="26"/>
      <c r="AC600" s="8"/>
      <c r="AD600" s="26"/>
      <c r="AE600" s="26"/>
      <c r="AF600" s="26"/>
      <c r="AG600" s="26"/>
      <c r="AH600" s="26"/>
    </row>
    <row r="601" ht="12.75" customHeight="1">
      <c r="A601" s="24"/>
      <c r="B601" s="609"/>
      <c r="C601" s="24"/>
      <c r="D601" s="24"/>
      <c r="E601" s="610"/>
      <c r="F601" s="611"/>
      <c r="G601" s="26"/>
      <c r="H601" s="8"/>
      <c r="I601" s="611"/>
      <c r="J601" s="26"/>
      <c r="K601" s="8"/>
      <c r="L601" s="611"/>
      <c r="M601" s="26"/>
      <c r="N601" s="8"/>
      <c r="O601" s="611"/>
      <c r="P601" s="26"/>
      <c r="Q601" s="8"/>
      <c r="R601" s="611"/>
      <c r="S601" s="26"/>
      <c r="T601" s="8"/>
      <c r="U601" s="611"/>
      <c r="V601" s="26"/>
      <c r="W601" s="8"/>
      <c r="X601" s="611"/>
      <c r="Y601" s="26"/>
      <c r="Z601" s="8"/>
      <c r="AA601" s="611"/>
      <c r="AB601" s="26"/>
      <c r="AC601" s="8"/>
      <c r="AD601" s="26"/>
      <c r="AE601" s="26"/>
      <c r="AF601" s="26"/>
      <c r="AG601" s="26"/>
      <c r="AH601" s="26"/>
    </row>
    <row r="602" ht="12.75" customHeight="1">
      <c r="A602" s="24"/>
      <c r="B602" s="609"/>
      <c r="C602" s="24"/>
      <c r="D602" s="24"/>
      <c r="E602" s="610"/>
      <c r="F602" s="611"/>
      <c r="G602" s="26"/>
      <c r="H602" s="8"/>
      <c r="I602" s="611"/>
      <c r="J602" s="26"/>
      <c r="K602" s="8"/>
      <c r="L602" s="611"/>
      <c r="M602" s="26"/>
      <c r="N602" s="8"/>
      <c r="O602" s="611"/>
      <c r="P602" s="26"/>
      <c r="Q602" s="8"/>
      <c r="R602" s="611"/>
      <c r="S602" s="26"/>
      <c r="T602" s="8"/>
      <c r="U602" s="611"/>
      <c r="V602" s="26"/>
      <c r="W602" s="8"/>
      <c r="X602" s="611"/>
      <c r="Y602" s="26"/>
      <c r="Z602" s="8"/>
      <c r="AA602" s="611"/>
      <c r="AB602" s="26"/>
      <c r="AC602" s="8"/>
      <c r="AD602" s="26"/>
      <c r="AE602" s="26"/>
      <c r="AF602" s="26"/>
      <c r="AG602" s="26"/>
      <c r="AH602" s="26"/>
    </row>
    <row r="603" ht="12.75" customHeight="1">
      <c r="A603" s="24"/>
      <c r="B603" s="609"/>
      <c r="C603" s="24"/>
      <c r="D603" s="24"/>
      <c r="E603" s="610"/>
      <c r="F603" s="611"/>
      <c r="G603" s="26"/>
      <c r="H603" s="8"/>
      <c r="I603" s="611"/>
      <c r="J603" s="26"/>
      <c r="K603" s="8"/>
      <c r="L603" s="611"/>
      <c r="M603" s="26"/>
      <c r="N603" s="8"/>
      <c r="O603" s="611"/>
      <c r="P603" s="26"/>
      <c r="Q603" s="8"/>
      <c r="R603" s="611"/>
      <c r="S603" s="26"/>
      <c r="T603" s="8"/>
      <c r="U603" s="611"/>
      <c r="V603" s="26"/>
      <c r="W603" s="8"/>
      <c r="X603" s="611"/>
      <c r="Y603" s="26"/>
      <c r="Z603" s="8"/>
      <c r="AA603" s="611"/>
      <c r="AB603" s="26"/>
      <c r="AC603" s="8"/>
      <c r="AD603" s="26"/>
      <c r="AE603" s="26"/>
      <c r="AF603" s="26"/>
      <c r="AG603" s="26"/>
      <c r="AH603" s="26"/>
    </row>
    <row r="604" ht="12.75" customHeight="1">
      <c r="A604" s="24"/>
      <c r="B604" s="609"/>
      <c r="C604" s="24"/>
      <c r="D604" s="24"/>
      <c r="E604" s="610"/>
      <c r="F604" s="611"/>
      <c r="G604" s="26"/>
      <c r="H604" s="8"/>
      <c r="I604" s="611"/>
      <c r="J604" s="26"/>
      <c r="K604" s="8"/>
      <c r="L604" s="611"/>
      <c r="M604" s="26"/>
      <c r="N604" s="8"/>
      <c r="O604" s="611"/>
      <c r="P604" s="26"/>
      <c r="Q604" s="8"/>
      <c r="R604" s="611"/>
      <c r="S604" s="26"/>
      <c r="T604" s="8"/>
      <c r="U604" s="611"/>
      <c r="V604" s="26"/>
      <c r="W604" s="8"/>
      <c r="X604" s="611"/>
      <c r="Y604" s="26"/>
      <c r="Z604" s="8"/>
      <c r="AA604" s="611"/>
      <c r="AB604" s="26"/>
      <c r="AC604" s="8"/>
      <c r="AD604" s="26"/>
      <c r="AE604" s="26"/>
      <c r="AF604" s="26"/>
      <c r="AG604" s="26"/>
      <c r="AH604" s="26"/>
    </row>
    <row r="605" ht="12.75" customHeight="1">
      <c r="A605" s="24"/>
      <c r="B605" s="609"/>
      <c r="C605" s="24"/>
      <c r="D605" s="24"/>
      <c r="E605" s="610"/>
      <c r="F605" s="611"/>
      <c r="G605" s="26"/>
      <c r="H605" s="8"/>
      <c r="I605" s="611"/>
      <c r="J605" s="26"/>
      <c r="K605" s="8"/>
      <c r="L605" s="611"/>
      <c r="M605" s="26"/>
      <c r="N605" s="8"/>
      <c r="O605" s="611"/>
      <c r="P605" s="26"/>
      <c r="Q605" s="8"/>
      <c r="R605" s="611"/>
      <c r="S605" s="26"/>
      <c r="T605" s="8"/>
      <c r="U605" s="611"/>
      <c r="V605" s="26"/>
      <c r="W605" s="8"/>
      <c r="X605" s="611"/>
      <c r="Y605" s="26"/>
      <c r="Z605" s="8"/>
      <c r="AA605" s="611"/>
      <c r="AB605" s="26"/>
      <c r="AC605" s="8"/>
      <c r="AD605" s="26"/>
      <c r="AE605" s="26"/>
      <c r="AF605" s="26"/>
      <c r="AG605" s="26"/>
      <c r="AH605" s="26"/>
    </row>
    <row r="606" ht="12.75" customHeight="1">
      <c r="A606" s="24"/>
      <c r="B606" s="609"/>
      <c r="C606" s="24"/>
      <c r="D606" s="24"/>
      <c r="E606" s="610"/>
      <c r="F606" s="611"/>
      <c r="G606" s="26"/>
      <c r="H606" s="8"/>
      <c r="I606" s="611"/>
      <c r="J606" s="26"/>
      <c r="K606" s="8"/>
      <c r="L606" s="611"/>
      <c r="M606" s="26"/>
      <c r="N606" s="8"/>
      <c r="O606" s="611"/>
      <c r="P606" s="26"/>
      <c r="Q606" s="8"/>
      <c r="R606" s="611"/>
      <c r="S606" s="26"/>
      <c r="T606" s="8"/>
      <c r="U606" s="611"/>
      <c r="V606" s="26"/>
      <c r="W606" s="8"/>
      <c r="X606" s="611"/>
      <c r="Y606" s="26"/>
      <c r="Z606" s="8"/>
      <c r="AA606" s="611"/>
      <c r="AB606" s="26"/>
      <c r="AC606" s="8"/>
      <c r="AD606" s="26"/>
      <c r="AE606" s="26"/>
      <c r="AF606" s="26"/>
      <c r="AG606" s="26"/>
      <c r="AH606" s="26"/>
    </row>
    <row r="607" ht="12.75" customHeight="1">
      <c r="A607" s="24"/>
      <c r="B607" s="609"/>
      <c r="C607" s="24"/>
      <c r="D607" s="24"/>
      <c r="E607" s="610"/>
      <c r="F607" s="611"/>
      <c r="G607" s="26"/>
      <c r="H607" s="8"/>
      <c r="I607" s="611"/>
      <c r="J607" s="26"/>
      <c r="K607" s="8"/>
      <c r="L607" s="611"/>
      <c r="M607" s="26"/>
      <c r="N607" s="8"/>
      <c r="O607" s="611"/>
      <c r="P607" s="26"/>
      <c r="Q607" s="8"/>
      <c r="R607" s="611"/>
      <c r="S607" s="26"/>
      <c r="T607" s="8"/>
      <c r="U607" s="611"/>
      <c r="V607" s="26"/>
      <c r="W607" s="8"/>
      <c r="X607" s="611"/>
      <c r="Y607" s="26"/>
      <c r="Z607" s="8"/>
      <c r="AA607" s="611"/>
      <c r="AB607" s="26"/>
      <c r="AC607" s="8"/>
      <c r="AD607" s="26"/>
      <c r="AE607" s="26"/>
      <c r="AF607" s="26"/>
      <c r="AG607" s="26"/>
      <c r="AH607" s="26"/>
    </row>
    <row r="608" ht="12.75" customHeight="1">
      <c r="A608" s="24"/>
      <c r="B608" s="609"/>
      <c r="C608" s="24"/>
      <c r="D608" s="24"/>
      <c r="E608" s="610"/>
      <c r="F608" s="611"/>
      <c r="G608" s="26"/>
      <c r="H608" s="8"/>
      <c r="I608" s="611"/>
      <c r="J608" s="26"/>
      <c r="K608" s="8"/>
      <c r="L608" s="611"/>
      <c r="M608" s="26"/>
      <c r="N608" s="8"/>
      <c r="O608" s="611"/>
      <c r="P608" s="26"/>
      <c r="Q608" s="8"/>
      <c r="R608" s="611"/>
      <c r="S608" s="26"/>
      <c r="T608" s="8"/>
      <c r="U608" s="611"/>
      <c r="V608" s="26"/>
      <c r="W608" s="8"/>
      <c r="X608" s="611"/>
      <c r="Y608" s="26"/>
      <c r="Z608" s="8"/>
      <c r="AA608" s="611"/>
      <c r="AB608" s="26"/>
      <c r="AC608" s="8"/>
      <c r="AD608" s="26"/>
      <c r="AE608" s="26"/>
      <c r="AF608" s="26"/>
      <c r="AG608" s="26"/>
      <c r="AH608" s="26"/>
    </row>
    <row r="609" ht="12.75" customHeight="1">
      <c r="A609" s="24"/>
      <c r="B609" s="609"/>
      <c r="C609" s="24"/>
      <c r="D609" s="24"/>
      <c r="E609" s="610"/>
      <c r="F609" s="611"/>
      <c r="G609" s="26"/>
      <c r="H609" s="8"/>
      <c r="I609" s="611"/>
      <c r="J609" s="26"/>
      <c r="K609" s="8"/>
      <c r="L609" s="611"/>
      <c r="M609" s="26"/>
      <c r="N609" s="8"/>
      <c r="O609" s="611"/>
      <c r="P609" s="26"/>
      <c r="Q609" s="8"/>
      <c r="R609" s="611"/>
      <c r="S609" s="26"/>
      <c r="T609" s="8"/>
      <c r="U609" s="611"/>
      <c r="V609" s="26"/>
      <c r="W609" s="8"/>
      <c r="X609" s="611"/>
      <c r="Y609" s="26"/>
      <c r="Z609" s="8"/>
      <c r="AA609" s="611"/>
      <c r="AB609" s="26"/>
      <c r="AC609" s="8"/>
      <c r="AD609" s="26"/>
      <c r="AE609" s="26"/>
      <c r="AF609" s="26"/>
      <c r="AG609" s="26"/>
      <c r="AH609" s="26"/>
    </row>
    <row r="610" ht="12.75" customHeight="1">
      <c r="A610" s="24"/>
      <c r="B610" s="609"/>
      <c r="C610" s="24"/>
      <c r="D610" s="24"/>
      <c r="E610" s="610"/>
      <c r="F610" s="611"/>
      <c r="G610" s="26"/>
      <c r="H610" s="8"/>
      <c r="I610" s="611"/>
      <c r="J610" s="26"/>
      <c r="K610" s="8"/>
      <c r="L610" s="611"/>
      <c r="M610" s="26"/>
      <c r="N610" s="8"/>
      <c r="O610" s="611"/>
      <c r="P610" s="26"/>
      <c r="Q610" s="8"/>
      <c r="R610" s="611"/>
      <c r="S610" s="26"/>
      <c r="T610" s="8"/>
      <c r="U610" s="611"/>
      <c r="V610" s="26"/>
      <c r="W610" s="8"/>
      <c r="X610" s="611"/>
      <c r="Y610" s="26"/>
      <c r="Z610" s="8"/>
      <c r="AA610" s="611"/>
      <c r="AB610" s="26"/>
      <c r="AC610" s="8"/>
      <c r="AD610" s="26"/>
      <c r="AE610" s="26"/>
      <c r="AF610" s="26"/>
      <c r="AG610" s="26"/>
      <c r="AH610" s="26"/>
    </row>
    <row r="611" ht="12.75" customHeight="1">
      <c r="A611" s="24"/>
      <c r="B611" s="609"/>
      <c r="C611" s="24"/>
      <c r="D611" s="24"/>
      <c r="E611" s="610"/>
      <c r="F611" s="611"/>
      <c r="G611" s="26"/>
      <c r="H611" s="8"/>
      <c r="I611" s="611"/>
      <c r="J611" s="26"/>
      <c r="K611" s="8"/>
      <c r="L611" s="611"/>
      <c r="M611" s="26"/>
      <c r="N611" s="8"/>
      <c r="O611" s="611"/>
      <c r="P611" s="26"/>
      <c r="Q611" s="8"/>
      <c r="R611" s="611"/>
      <c r="S611" s="26"/>
      <c r="T611" s="8"/>
      <c r="U611" s="611"/>
      <c r="V611" s="26"/>
      <c r="W611" s="8"/>
      <c r="X611" s="611"/>
      <c r="Y611" s="26"/>
      <c r="Z611" s="8"/>
      <c r="AA611" s="611"/>
      <c r="AB611" s="26"/>
      <c r="AC611" s="8"/>
      <c r="AD611" s="26"/>
      <c r="AE611" s="26"/>
      <c r="AF611" s="26"/>
      <c r="AG611" s="26"/>
      <c r="AH611" s="26"/>
    </row>
    <row r="612" ht="12.75" customHeight="1">
      <c r="A612" s="24"/>
      <c r="B612" s="609"/>
      <c r="C612" s="24"/>
      <c r="D612" s="24"/>
      <c r="E612" s="610"/>
      <c r="F612" s="611"/>
      <c r="G612" s="26"/>
      <c r="H612" s="8"/>
      <c r="I612" s="611"/>
      <c r="J612" s="26"/>
      <c r="K612" s="8"/>
      <c r="L612" s="611"/>
      <c r="M612" s="26"/>
      <c r="N612" s="8"/>
      <c r="O612" s="611"/>
      <c r="P612" s="26"/>
      <c r="Q612" s="8"/>
      <c r="R612" s="611"/>
      <c r="S612" s="26"/>
      <c r="T612" s="8"/>
      <c r="U612" s="611"/>
      <c r="V612" s="26"/>
      <c r="W612" s="8"/>
      <c r="X612" s="611"/>
      <c r="Y612" s="26"/>
      <c r="Z612" s="8"/>
      <c r="AA612" s="611"/>
      <c r="AB612" s="26"/>
      <c r="AC612" s="8"/>
      <c r="AD612" s="26"/>
      <c r="AE612" s="26"/>
      <c r="AF612" s="26"/>
      <c r="AG612" s="26"/>
      <c r="AH612" s="26"/>
    </row>
    <row r="613" ht="12.75" customHeight="1">
      <c r="A613" s="24"/>
      <c r="B613" s="609"/>
      <c r="C613" s="24"/>
      <c r="D613" s="24"/>
      <c r="E613" s="610"/>
      <c r="F613" s="611"/>
      <c r="G613" s="26"/>
      <c r="H613" s="8"/>
      <c r="I613" s="611"/>
      <c r="J613" s="26"/>
      <c r="K613" s="8"/>
      <c r="L613" s="611"/>
      <c r="M613" s="26"/>
      <c r="N613" s="8"/>
      <c r="O613" s="611"/>
      <c r="P613" s="26"/>
      <c r="Q613" s="8"/>
      <c r="R613" s="611"/>
      <c r="S613" s="26"/>
      <c r="T613" s="8"/>
      <c r="U613" s="611"/>
      <c r="V613" s="26"/>
      <c r="W613" s="8"/>
      <c r="X613" s="611"/>
      <c r="Y613" s="26"/>
      <c r="Z613" s="8"/>
      <c r="AA613" s="611"/>
      <c r="AB613" s="26"/>
      <c r="AC613" s="8"/>
      <c r="AD613" s="26"/>
      <c r="AE613" s="26"/>
      <c r="AF613" s="26"/>
      <c r="AG613" s="26"/>
      <c r="AH613" s="26"/>
    </row>
    <row r="614" ht="12.75" customHeight="1">
      <c r="A614" s="24"/>
      <c r="B614" s="609"/>
      <c r="C614" s="24"/>
      <c r="D614" s="24"/>
      <c r="E614" s="610"/>
      <c r="F614" s="611"/>
      <c r="G614" s="26"/>
      <c r="H614" s="8"/>
      <c r="I614" s="611"/>
      <c r="J614" s="26"/>
      <c r="K614" s="8"/>
      <c r="L614" s="611"/>
      <c r="M614" s="26"/>
      <c r="N614" s="8"/>
      <c r="O614" s="611"/>
      <c r="P614" s="26"/>
      <c r="Q614" s="8"/>
      <c r="R614" s="611"/>
      <c r="S614" s="26"/>
      <c r="T614" s="8"/>
      <c r="U614" s="611"/>
      <c r="V614" s="26"/>
      <c r="W614" s="8"/>
      <c r="X614" s="611"/>
      <c r="Y614" s="26"/>
      <c r="Z614" s="8"/>
      <c r="AA614" s="611"/>
      <c r="AB614" s="26"/>
      <c r="AC614" s="8"/>
      <c r="AD614" s="26"/>
      <c r="AE614" s="26"/>
      <c r="AF614" s="26"/>
      <c r="AG614" s="26"/>
      <c r="AH614" s="26"/>
    </row>
    <row r="615" ht="12.75" customHeight="1">
      <c r="A615" s="24"/>
      <c r="B615" s="609"/>
      <c r="C615" s="24"/>
      <c r="D615" s="24"/>
      <c r="E615" s="610"/>
      <c r="F615" s="611"/>
      <c r="G615" s="26"/>
      <c r="H615" s="8"/>
      <c r="I615" s="611"/>
      <c r="J615" s="26"/>
      <c r="K615" s="8"/>
      <c r="L615" s="611"/>
      <c r="M615" s="26"/>
      <c r="N615" s="8"/>
      <c r="O615" s="611"/>
      <c r="P615" s="26"/>
      <c r="Q615" s="8"/>
      <c r="R615" s="611"/>
      <c r="S615" s="26"/>
      <c r="T615" s="8"/>
      <c r="U615" s="611"/>
      <c r="V615" s="26"/>
      <c r="W615" s="8"/>
      <c r="X615" s="611"/>
      <c r="Y615" s="26"/>
      <c r="Z615" s="8"/>
      <c r="AA615" s="611"/>
      <c r="AB615" s="26"/>
      <c r="AC615" s="8"/>
      <c r="AD615" s="26"/>
      <c r="AE615" s="26"/>
      <c r="AF615" s="26"/>
      <c r="AG615" s="26"/>
      <c r="AH615" s="26"/>
    </row>
    <row r="616" ht="12.75" customHeight="1">
      <c r="A616" s="24"/>
      <c r="B616" s="609"/>
      <c r="C616" s="24"/>
      <c r="D616" s="24"/>
      <c r="E616" s="610"/>
      <c r="F616" s="611"/>
      <c r="G616" s="26"/>
      <c r="H616" s="8"/>
      <c r="I616" s="611"/>
      <c r="J616" s="26"/>
      <c r="K616" s="8"/>
      <c r="L616" s="611"/>
      <c r="M616" s="26"/>
      <c r="N616" s="8"/>
      <c r="O616" s="611"/>
      <c r="P616" s="26"/>
      <c r="Q616" s="8"/>
      <c r="R616" s="611"/>
      <c r="S616" s="26"/>
      <c r="T616" s="8"/>
      <c r="U616" s="611"/>
      <c r="V616" s="26"/>
      <c r="W616" s="8"/>
      <c r="X616" s="611"/>
      <c r="Y616" s="26"/>
      <c r="Z616" s="8"/>
      <c r="AA616" s="611"/>
      <c r="AB616" s="26"/>
      <c r="AC616" s="8"/>
      <c r="AD616" s="26"/>
      <c r="AE616" s="26"/>
      <c r="AF616" s="26"/>
      <c r="AG616" s="26"/>
      <c r="AH616" s="26"/>
    </row>
    <row r="617" ht="12.75" customHeight="1">
      <c r="A617" s="24"/>
      <c r="B617" s="609"/>
      <c r="C617" s="24"/>
      <c r="D617" s="24"/>
      <c r="E617" s="610"/>
      <c r="F617" s="611"/>
      <c r="G617" s="26"/>
      <c r="H617" s="8"/>
      <c r="I617" s="611"/>
      <c r="J617" s="26"/>
      <c r="K617" s="8"/>
      <c r="L617" s="611"/>
      <c r="M617" s="26"/>
      <c r="N617" s="8"/>
      <c r="O617" s="611"/>
      <c r="P617" s="26"/>
      <c r="Q617" s="8"/>
      <c r="R617" s="611"/>
      <c r="S617" s="26"/>
      <c r="T617" s="8"/>
      <c r="U617" s="611"/>
      <c r="V617" s="26"/>
      <c r="W617" s="8"/>
      <c r="X617" s="611"/>
      <c r="Y617" s="26"/>
      <c r="Z617" s="8"/>
      <c r="AA617" s="611"/>
      <c r="AB617" s="26"/>
      <c r="AC617" s="8"/>
      <c r="AD617" s="26"/>
      <c r="AE617" s="26"/>
      <c r="AF617" s="26"/>
      <c r="AG617" s="26"/>
      <c r="AH617" s="26"/>
    </row>
    <row r="618" ht="12.75" customHeight="1">
      <c r="A618" s="24"/>
      <c r="B618" s="609"/>
      <c r="C618" s="24"/>
      <c r="D618" s="24"/>
      <c r="E618" s="610"/>
      <c r="F618" s="611"/>
      <c r="G618" s="26"/>
      <c r="H618" s="8"/>
      <c r="I618" s="611"/>
      <c r="J618" s="26"/>
      <c r="K618" s="8"/>
      <c r="L618" s="611"/>
      <c r="M618" s="26"/>
      <c r="N618" s="8"/>
      <c r="O618" s="611"/>
      <c r="P618" s="26"/>
      <c r="Q618" s="8"/>
      <c r="R618" s="611"/>
      <c r="S618" s="26"/>
      <c r="T618" s="8"/>
      <c r="U618" s="611"/>
      <c r="V618" s="26"/>
      <c r="W618" s="8"/>
      <c r="X618" s="611"/>
      <c r="Y618" s="26"/>
      <c r="Z618" s="8"/>
      <c r="AA618" s="611"/>
      <c r="AB618" s="26"/>
      <c r="AC618" s="8"/>
      <c r="AD618" s="26"/>
      <c r="AE618" s="26"/>
      <c r="AF618" s="26"/>
      <c r="AG618" s="26"/>
      <c r="AH618" s="26"/>
    </row>
    <row r="619" ht="12.75" customHeight="1">
      <c r="A619" s="24"/>
      <c r="B619" s="609"/>
      <c r="C619" s="24"/>
      <c r="D619" s="24"/>
      <c r="E619" s="610"/>
      <c r="F619" s="611"/>
      <c r="G619" s="26"/>
      <c r="H619" s="8"/>
      <c r="I619" s="611"/>
      <c r="J619" s="26"/>
      <c r="K619" s="8"/>
      <c r="L619" s="611"/>
      <c r="M619" s="26"/>
      <c r="N619" s="8"/>
      <c r="O619" s="611"/>
      <c r="P619" s="26"/>
      <c r="Q619" s="8"/>
      <c r="R619" s="611"/>
      <c r="S619" s="26"/>
      <c r="T619" s="8"/>
      <c r="U619" s="611"/>
      <c r="V619" s="26"/>
      <c r="W619" s="8"/>
      <c r="X619" s="611"/>
      <c r="Y619" s="26"/>
      <c r="Z619" s="8"/>
      <c r="AA619" s="611"/>
      <c r="AB619" s="26"/>
      <c r="AC619" s="8"/>
      <c r="AD619" s="26"/>
      <c r="AE619" s="26"/>
      <c r="AF619" s="26"/>
      <c r="AG619" s="26"/>
      <c r="AH619" s="26"/>
    </row>
    <row r="620" ht="12.75" customHeight="1">
      <c r="A620" s="24"/>
      <c r="B620" s="609"/>
      <c r="C620" s="24"/>
      <c r="D620" s="24"/>
      <c r="E620" s="610"/>
      <c r="F620" s="611"/>
      <c r="G620" s="26"/>
      <c r="H620" s="8"/>
      <c r="I620" s="611"/>
      <c r="J620" s="26"/>
      <c r="K620" s="8"/>
      <c r="L620" s="611"/>
      <c r="M620" s="26"/>
      <c r="N620" s="8"/>
      <c r="O620" s="611"/>
      <c r="P620" s="26"/>
      <c r="Q620" s="8"/>
      <c r="R620" s="611"/>
      <c r="S620" s="26"/>
      <c r="T620" s="8"/>
      <c r="U620" s="611"/>
      <c r="V620" s="26"/>
      <c r="W620" s="8"/>
      <c r="X620" s="611"/>
      <c r="Y620" s="26"/>
      <c r="Z620" s="8"/>
      <c r="AA620" s="611"/>
      <c r="AB620" s="26"/>
      <c r="AC620" s="8"/>
      <c r="AD620" s="26"/>
      <c r="AE620" s="26"/>
      <c r="AF620" s="26"/>
      <c r="AG620" s="26"/>
      <c r="AH620" s="26"/>
    </row>
    <row r="621" ht="12.75" customHeight="1">
      <c r="A621" s="24"/>
      <c r="B621" s="609"/>
      <c r="C621" s="24"/>
      <c r="D621" s="24"/>
      <c r="E621" s="610"/>
      <c r="F621" s="611"/>
      <c r="G621" s="26"/>
      <c r="H621" s="8"/>
      <c r="I621" s="611"/>
      <c r="J621" s="26"/>
      <c r="K621" s="8"/>
      <c r="L621" s="611"/>
      <c r="M621" s="26"/>
      <c r="N621" s="8"/>
      <c r="O621" s="611"/>
      <c r="P621" s="26"/>
      <c r="Q621" s="8"/>
      <c r="R621" s="611"/>
      <c r="S621" s="26"/>
      <c r="T621" s="8"/>
      <c r="U621" s="611"/>
      <c r="V621" s="26"/>
      <c r="W621" s="8"/>
      <c r="X621" s="611"/>
      <c r="Y621" s="26"/>
      <c r="Z621" s="8"/>
      <c r="AA621" s="611"/>
      <c r="AB621" s="26"/>
      <c r="AC621" s="8"/>
      <c r="AD621" s="26"/>
      <c r="AE621" s="26"/>
      <c r="AF621" s="26"/>
      <c r="AG621" s="26"/>
      <c r="AH621" s="26"/>
    </row>
    <row r="622" ht="12.75" customHeight="1">
      <c r="A622" s="24"/>
      <c r="B622" s="609"/>
      <c r="C622" s="24"/>
      <c r="D622" s="24"/>
      <c r="E622" s="610"/>
      <c r="F622" s="611"/>
      <c r="G622" s="26"/>
      <c r="H622" s="8"/>
      <c r="I622" s="611"/>
      <c r="J622" s="26"/>
      <c r="K622" s="8"/>
      <c r="L622" s="611"/>
      <c r="M622" s="26"/>
      <c r="N622" s="8"/>
      <c r="O622" s="611"/>
      <c r="P622" s="26"/>
      <c r="Q622" s="8"/>
      <c r="R622" s="611"/>
      <c r="S622" s="26"/>
      <c r="T622" s="8"/>
      <c r="U622" s="611"/>
      <c r="V622" s="26"/>
      <c r="W622" s="8"/>
      <c r="X622" s="611"/>
      <c r="Y622" s="26"/>
      <c r="Z622" s="8"/>
      <c r="AA622" s="611"/>
      <c r="AB622" s="26"/>
      <c r="AC622" s="8"/>
      <c r="AD622" s="26"/>
      <c r="AE622" s="26"/>
      <c r="AF622" s="26"/>
      <c r="AG622" s="26"/>
      <c r="AH622" s="26"/>
    </row>
    <row r="623" ht="12.75" customHeight="1">
      <c r="A623" s="24"/>
      <c r="B623" s="609"/>
      <c r="C623" s="24"/>
      <c r="D623" s="24"/>
      <c r="E623" s="610"/>
      <c r="F623" s="611"/>
      <c r="G623" s="26"/>
      <c r="H623" s="8"/>
      <c r="I623" s="611"/>
      <c r="J623" s="26"/>
      <c r="K623" s="8"/>
      <c r="L623" s="611"/>
      <c r="M623" s="26"/>
      <c r="N623" s="8"/>
      <c r="O623" s="611"/>
      <c r="P623" s="26"/>
      <c r="Q623" s="8"/>
      <c r="R623" s="611"/>
      <c r="S623" s="26"/>
      <c r="T623" s="8"/>
      <c r="U623" s="611"/>
      <c r="V623" s="26"/>
      <c r="W623" s="8"/>
      <c r="X623" s="611"/>
      <c r="Y623" s="26"/>
      <c r="Z623" s="8"/>
      <c r="AA623" s="611"/>
      <c r="AB623" s="26"/>
      <c r="AC623" s="8"/>
      <c r="AD623" s="26"/>
      <c r="AE623" s="26"/>
      <c r="AF623" s="26"/>
      <c r="AG623" s="26"/>
      <c r="AH623" s="26"/>
    </row>
    <row r="624" ht="12.75" customHeight="1">
      <c r="A624" s="24"/>
      <c r="B624" s="609"/>
      <c r="C624" s="24"/>
      <c r="D624" s="24"/>
      <c r="E624" s="610"/>
      <c r="F624" s="611"/>
      <c r="G624" s="26"/>
      <c r="H624" s="8"/>
      <c r="I624" s="611"/>
      <c r="J624" s="26"/>
      <c r="K624" s="8"/>
      <c r="L624" s="611"/>
      <c r="M624" s="26"/>
      <c r="N624" s="8"/>
      <c r="O624" s="611"/>
      <c r="P624" s="26"/>
      <c r="Q624" s="8"/>
      <c r="R624" s="611"/>
      <c r="S624" s="26"/>
      <c r="T624" s="8"/>
      <c r="U624" s="611"/>
      <c r="V624" s="26"/>
      <c r="W624" s="8"/>
      <c r="X624" s="611"/>
      <c r="Y624" s="26"/>
      <c r="Z624" s="8"/>
      <c r="AA624" s="611"/>
      <c r="AB624" s="26"/>
      <c r="AC624" s="8"/>
      <c r="AD624" s="26"/>
      <c r="AE624" s="26"/>
      <c r="AF624" s="26"/>
      <c r="AG624" s="26"/>
      <c r="AH624" s="26"/>
    </row>
    <row r="625" ht="12.75" customHeight="1">
      <c r="A625" s="24"/>
      <c r="B625" s="609"/>
      <c r="C625" s="24"/>
      <c r="D625" s="24"/>
      <c r="E625" s="610"/>
      <c r="F625" s="611"/>
      <c r="G625" s="26"/>
      <c r="H625" s="8"/>
      <c r="I625" s="611"/>
      <c r="J625" s="26"/>
      <c r="K625" s="8"/>
      <c r="L625" s="611"/>
      <c r="M625" s="26"/>
      <c r="N625" s="8"/>
      <c r="O625" s="611"/>
      <c r="P625" s="26"/>
      <c r="Q625" s="8"/>
      <c r="R625" s="611"/>
      <c r="S625" s="26"/>
      <c r="T625" s="8"/>
      <c r="U625" s="611"/>
      <c r="V625" s="26"/>
      <c r="W625" s="8"/>
      <c r="X625" s="611"/>
      <c r="Y625" s="26"/>
      <c r="Z625" s="8"/>
      <c r="AA625" s="611"/>
      <c r="AB625" s="26"/>
      <c r="AC625" s="8"/>
      <c r="AD625" s="26"/>
      <c r="AE625" s="26"/>
      <c r="AF625" s="26"/>
      <c r="AG625" s="26"/>
      <c r="AH625" s="26"/>
    </row>
    <row r="626" ht="12.75" customHeight="1">
      <c r="A626" s="24"/>
      <c r="B626" s="609"/>
      <c r="C626" s="24"/>
      <c r="D626" s="24"/>
      <c r="E626" s="610"/>
      <c r="F626" s="611"/>
      <c r="G626" s="26"/>
      <c r="H626" s="8"/>
      <c r="I626" s="611"/>
      <c r="J626" s="26"/>
      <c r="K626" s="8"/>
      <c r="L626" s="611"/>
      <c r="M626" s="26"/>
      <c r="N626" s="8"/>
      <c r="O626" s="611"/>
      <c r="P626" s="26"/>
      <c r="Q626" s="8"/>
      <c r="R626" s="611"/>
      <c r="S626" s="26"/>
      <c r="T626" s="8"/>
      <c r="U626" s="611"/>
      <c r="V626" s="26"/>
      <c r="W626" s="8"/>
      <c r="X626" s="611"/>
      <c r="Y626" s="26"/>
      <c r="Z626" s="8"/>
      <c r="AA626" s="611"/>
      <c r="AB626" s="26"/>
      <c r="AC626" s="8"/>
      <c r="AD626" s="26"/>
      <c r="AE626" s="26"/>
      <c r="AF626" s="26"/>
      <c r="AG626" s="26"/>
      <c r="AH626" s="26"/>
    </row>
    <row r="627" ht="12.75" customHeight="1">
      <c r="A627" s="24"/>
      <c r="B627" s="609"/>
      <c r="C627" s="24"/>
      <c r="D627" s="24"/>
      <c r="E627" s="610"/>
      <c r="F627" s="611"/>
      <c r="G627" s="26"/>
      <c r="H627" s="8"/>
      <c r="I627" s="611"/>
      <c r="J627" s="26"/>
      <c r="K627" s="8"/>
      <c r="L627" s="611"/>
      <c r="M627" s="26"/>
      <c r="N627" s="8"/>
      <c r="O627" s="611"/>
      <c r="P627" s="26"/>
      <c r="Q627" s="8"/>
      <c r="R627" s="611"/>
      <c r="S627" s="26"/>
      <c r="T627" s="8"/>
      <c r="U627" s="611"/>
      <c r="V627" s="26"/>
      <c r="W627" s="8"/>
      <c r="X627" s="611"/>
      <c r="Y627" s="26"/>
      <c r="Z627" s="8"/>
      <c r="AA627" s="611"/>
      <c r="AB627" s="26"/>
      <c r="AC627" s="8"/>
      <c r="AD627" s="26"/>
      <c r="AE627" s="26"/>
      <c r="AF627" s="26"/>
      <c r="AG627" s="26"/>
      <c r="AH627" s="26"/>
    </row>
    <row r="628" ht="12.75" customHeight="1">
      <c r="A628" s="24"/>
      <c r="B628" s="609"/>
      <c r="C628" s="24"/>
      <c r="D628" s="24"/>
      <c r="E628" s="610"/>
      <c r="F628" s="611"/>
      <c r="G628" s="26"/>
      <c r="H628" s="8"/>
      <c r="I628" s="611"/>
      <c r="J628" s="26"/>
      <c r="K628" s="8"/>
      <c r="L628" s="611"/>
      <c r="M628" s="26"/>
      <c r="N628" s="8"/>
      <c r="O628" s="611"/>
      <c r="P628" s="26"/>
      <c r="Q628" s="8"/>
      <c r="R628" s="611"/>
      <c r="S628" s="26"/>
      <c r="T628" s="8"/>
      <c r="U628" s="611"/>
      <c r="V628" s="26"/>
      <c r="W628" s="8"/>
      <c r="X628" s="611"/>
      <c r="Y628" s="26"/>
      <c r="Z628" s="8"/>
      <c r="AA628" s="611"/>
      <c r="AB628" s="26"/>
      <c r="AC628" s="8"/>
      <c r="AD628" s="26"/>
      <c r="AE628" s="26"/>
      <c r="AF628" s="26"/>
      <c r="AG628" s="26"/>
      <c r="AH628" s="26"/>
    </row>
    <row r="629" ht="12.75" customHeight="1">
      <c r="A629" s="24"/>
      <c r="B629" s="609"/>
      <c r="C629" s="24"/>
      <c r="D629" s="24"/>
      <c r="E629" s="610"/>
      <c r="F629" s="611"/>
      <c r="G629" s="26"/>
      <c r="H629" s="8"/>
      <c r="I629" s="611"/>
      <c r="J629" s="26"/>
      <c r="K629" s="8"/>
      <c r="L629" s="611"/>
      <c r="M629" s="26"/>
      <c r="N629" s="8"/>
      <c r="O629" s="611"/>
      <c r="P629" s="26"/>
      <c r="Q629" s="8"/>
      <c r="R629" s="611"/>
      <c r="S629" s="26"/>
      <c r="T629" s="8"/>
      <c r="U629" s="611"/>
      <c r="V629" s="26"/>
      <c r="W629" s="8"/>
      <c r="X629" s="611"/>
      <c r="Y629" s="26"/>
      <c r="Z629" s="8"/>
      <c r="AA629" s="611"/>
      <c r="AB629" s="26"/>
      <c r="AC629" s="8"/>
      <c r="AD629" s="26"/>
      <c r="AE629" s="26"/>
      <c r="AF629" s="26"/>
      <c r="AG629" s="26"/>
      <c r="AH629" s="26"/>
    </row>
    <row r="630" ht="12.75" customHeight="1">
      <c r="A630" s="24"/>
      <c r="B630" s="609"/>
      <c r="C630" s="24"/>
      <c r="D630" s="24"/>
      <c r="E630" s="610"/>
      <c r="F630" s="611"/>
      <c r="G630" s="26"/>
      <c r="H630" s="8"/>
      <c r="I630" s="611"/>
      <c r="J630" s="26"/>
      <c r="K630" s="8"/>
      <c r="L630" s="611"/>
      <c r="M630" s="26"/>
      <c r="N630" s="8"/>
      <c r="O630" s="611"/>
      <c r="P630" s="26"/>
      <c r="Q630" s="8"/>
      <c r="R630" s="611"/>
      <c r="S630" s="26"/>
      <c r="T630" s="8"/>
      <c r="U630" s="611"/>
      <c r="V630" s="26"/>
      <c r="W630" s="8"/>
      <c r="X630" s="611"/>
      <c r="Y630" s="26"/>
      <c r="Z630" s="8"/>
      <c r="AA630" s="611"/>
      <c r="AB630" s="26"/>
      <c r="AC630" s="8"/>
      <c r="AD630" s="26"/>
      <c r="AE630" s="26"/>
      <c r="AF630" s="26"/>
      <c r="AG630" s="26"/>
      <c r="AH630" s="26"/>
    </row>
    <row r="631" ht="12.75" customHeight="1">
      <c r="A631" s="24"/>
      <c r="B631" s="609"/>
      <c r="C631" s="24"/>
      <c r="D631" s="24"/>
      <c r="E631" s="610"/>
      <c r="F631" s="611"/>
      <c r="G631" s="26"/>
      <c r="H631" s="8"/>
      <c r="I631" s="611"/>
      <c r="J631" s="26"/>
      <c r="K631" s="8"/>
      <c r="L631" s="611"/>
      <c r="M631" s="26"/>
      <c r="N631" s="8"/>
      <c r="O631" s="611"/>
      <c r="P631" s="26"/>
      <c r="Q631" s="8"/>
      <c r="R631" s="611"/>
      <c r="S631" s="26"/>
      <c r="T631" s="8"/>
      <c r="U631" s="611"/>
      <c r="V631" s="26"/>
      <c r="W631" s="8"/>
      <c r="X631" s="611"/>
      <c r="Y631" s="26"/>
      <c r="Z631" s="8"/>
      <c r="AA631" s="611"/>
      <c r="AB631" s="26"/>
      <c r="AC631" s="8"/>
      <c r="AD631" s="26"/>
      <c r="AE631" s="26"/>
      <c r="AF631" s="26"/>
      <c r="AG631" s="26"/>
      <c r="AH631" s="26"/>
    </row>
    <row r="632" ht="12.75" customHeight="1">
      <c r="A632" s="24"/>
      <c r="B632" s="609"/>
      <c r="C632" s="24"/>
      <c r="D632" s="24"/>
      <c r="E632" s="610"/>
      <c r="F632" s="611"/>
      <c r="G632" s="26"/>
      <c r="H632" s="8"/>
      <c r="I632" s="611"/>
      <c r="J632" s="26"/>
      <c r="K632" s="8"/>
      <c r="L632" s="611"/>
      <c r="M632" s="26"/>
      <c r="N632" s="8"/>
      <c r="O632" s="611"/>
      <c r="P632" s="26"/>
      <c r="Q632" s="8"/>
      <c r="R632" s="611"/>
      <c r="S632" s="26"/>
      <c r="T632" s="8"/>
      <c r="U632" s="611"/>
      <c r="V632" s="26"/>
      <c r="W632" s="8"/>
      <c r="X632" s="611"/>
      <c r="Y632" s="26"/>
      <c r="Z632" s="8"/>
      <c r="AA632" s="611"/>
      <c r="AB632" s="26"/>
      <c r="AC632" s="8"/>
      <c r="AD632" s="26"/>
      <c r="AE632" s="26"/>
      <c r="AF632" s="26"/>
      <c r="AG632" s="26"/>
      <c r="AH632" s="26"/>
    </row>
    <row r="633" ht="12.75" customHeight="1">
      <c r="A633" s="24"/>
      <c r="B633" s="609"/>
      <c r="C633" s="24"/>
      <c r="D633" s="24"/>
      <c r="E633" s="610"/>
      <c r="F633" s="611"/>
      <c r="G633" s="26"/>
      <c r="H633" s="8"/>
      <c r="I633" s="611"/>
      <c r="J633" s="26"/>
      <c r="K633" s="8"/>
      <c r="L633" s="611"/>
      <c r="M633" s="26"/>
      <c r="N633" s="8"/>
      <c r="O633" s="611"/>
      <c r="P633" s="26"/>
      <c r="Q633" s="8"/>
      <c r="R633" s="611"/>
      <c r="S633" s="26"/>
      <c r="T633" s="8"/>
      <c r="U633" s="611"/>
      <c r="V633" s="26"/>
      <c r="W633" s="8"/>
      <c r="X633" s="611"/>
      <c r="Y633" s="26"/>
      <c r="Z633" s="8"/>
      <c r="AA633" s="611"/>
      <c r="AB633" s="26"/>
      <c r="AC633" s="8"/>
      <c r="AD633" s="26"/>
      <c r="AE633" s="26"/>
      <c r="AF633" s="26"/>
      <c r="AG633" s="26"/>
      <c r="AH633" s="26"/>
    </row>
    <row r="634" ht="12.75" customHeight="1">
      <c r="A634" s="24"/>
      <c r="B634" s="609"/>
      <c r="C634" s="24"/>
      <c r="D634" s="24"/>
      <c r="E634" s="610"/>
      <c r="F634" s="611"/>
      <c r="G634" s="26"/>
      <c r="H634" s="8"/>
      <c r="I634" s="611"/>
      <c r="J634" s="26"/>
      <c r="K634" s="8"/>
      <c r="L634" s="611"/>
      <c r="M634" s="26"/>
      <c r="N634" s="8"/>
      <c r="O634" s="611"/>
      <c r="P634" s="26"/>
      <c r="Q634" s="8"/>
      <c r="R634" s="611"/>
      <c r="S634" s="26"/>
      <c r="T634" s="8"/>
      <c r="U634" s="611"/>
      <c r="V634" s="26"/>
      <c r="W634" s="8"/>
      <c r="X634" s="611"/>
      <c r="Y634" s="26"/>
      <c r="Z634" s="8"/>
      <c r="AA634" s="611"/>
      <c r="AB634" s="26"/>
      <c r="AC634" s="8"/>
      <c r="AD634" s="26"/>
      <c r="AE634" s="26"/>
      <c r="AF634" s="26"/>
      <c r="AG634" s="26"/>
      <c r="AH634" s="26"/>
    </row>
    <row r="635" ht="12.75" customHeight="1">
      <c r="A635" s="24"/>
      <c r="B635" s="609"/>
      <c r="C635" s="24"/>
      <c r="D635" s="24"/>
      <c r="E635" s="610"/>
      <c r="F635" s="611"/>
      <c r="G635" s="26"/>
      <c r="H635" s="8"/>
      <c r="I635" s="611"/>
      <c r="J635" s="26"/>
      <c r="K635" s="8"/>
      <c r="L635" s="611"/>
      <c r="M635" s="26"/>
      <c r="N635" s="8"/>
      <c r="O635" s="611"/>
      <c r="P635" s="26"/>
      <c r="Q635" s="8"/>
      <c r="R635" s="611"/>
      <c r="S635" s="26"/>
      <c r="T635" s="8"/>
      <c r="U635" s="611"/>
      <c r="V635" s="26"/>
      <c r="W635" s="8"/>
      <c r="X635" s="611"/>
      <c r="Y635" s="26"/>
      <c r="Z635" s="8"/>
      <c r="AA635" s="611"/>
      <c r="AB635" s="26"/>
      <c r="AC635" s="8"/>
      <c r="AD635" s="26"/>
      <c r="AE635" s="26"/>
      <c r="AF635" s="26"/>
      <c r="AG635" s="26"/>
      <c r="AH635" s="26"/>
    </row>
    <row r="636" ht="12.75" customHeight="1">
      <c r="A636" s="24"/>
      <c r="B636" s="609"/>
      <c r="C636" s="24"/>
      <c r="D636" s="24"/>
      <c r="E636" s="610"/>
      <c r="F636" s="611"/>
      <c r="G636" s="26"/>
      <c r="H636" s="8"/>
      <c r="I636" s="611"/>
      <c r="J636" s="26"/>
      <c r="K636" s="8"/>
      <c r="L636" s="611"/>
      <c r="M636" s="26"/>
      <c r="N636" s="8"/>
      <c r="O636" s="611"/>
      <c r="P636" s="26"/>
      <c r="Q636" s="8"/>
      <c r="R636" s="611"/>
      <c r="S636" s="26"/>
      <c r="T636" s="8"/>
      <c r="U636" s="611"/>
      <c r="V636" s="26"/>
      <c r="W636" s="8"/>
      <c r="X636" s="611"/>
      <c r="Y636" s="26"/>
      <c r="Z636" s="8"/>
      <c r="AA636" s="611"/>
      <c r="AB636" s="26"/>
      <c r="AC636" s="8"/>
      <c r="AD636" s="26"/>
      <c r="AE636" s="26"/>
      <c r="AF636" s="26"/>
      <c r="AG636" s="26"/>
      <c r="AH636" s="26"/>
    </row>
    <row r="637" ht="12.75" customHeight="1">
      <c r="A637" s="24"/>
      <c r="B637" s="609"/>
      <c r="C637" s="24"/>
      <c r="D637" s="24"/>
      <c r="E637" s="610"/>
      <c r="F637" s="611"/>
      <c r="G637" s="26"/>
      <c r="H637" s="8"/>
      <c r="I637" s="611"/>
      <c r="J637" s="26"/>
      <c r="K637" s="8"/>
      <c r="L637" s="611"/>
      <c r="M637" s="26"/>
      <c r="N637" s="8"/>
      <c r="O637" s="611"/>
      <c r="P637" s="26"/>
      <c r="Q637" s="8"/>
      <c r="R637" s="611"/>
      <c r="S637" s="26"/>
      <c r="T637" s="8"/>
      <c r="U637" s="611"/>
      <c r="V637" s="26"/>
      <c r="W637" s="8"/>
      <c r="X637" s="611"/>
      <c r="Y637" s="26"/>
      <c r="Z637" s="8"/>
      <c r="AA637" s="611"/>
      <c r="AB637" s="26"/>
      <c r="AC637" s="8"/>
      <c r="AD637" s="26"/>
      <c r="AE637" s="26"/>
      <c r="AF637" s="26"/>
      <c r="AG637" s="26"/>
      <c r="AH637" s="26"/>
    </row>
    <row r="638" ht="12.75" customHeight="1">
      <c r="A638" s="24"/>
      <c r="B638" s="609"/>
      <c r="C638" s="24"/>
      <c r="D638" s="24"/>
      <c r="E638" s="610"/>
      <c r="F638" s="611"/>
      <c r="G638" s="26"/>
      <c r="H638" s="8"/>
      <c r="I638" s="611"/>
      <c r="J638" s="26"/>
      <c r="K638" s="8"/>
      <c r="L638" s="611"/>
      <c r="M638" s="26"/>
      <c r="N638" s="8"/>
      <c r="O638" s="611"/>
      <c r="P638" s="26"/>
      <c r="Q638" s="8"/>
      <c r="R638" s="611"/>
      <c r="S638" s="26"/>
      <c r="T638" s="8"/>
      <c r="U638" s="611"/>
      <c r="V638" s="26"/>
      <c r="W638" s="8"/>
      <c r="X638" s="611"/>
      <c r="Y638" s="26"/>
      <c r="Z638" s="8"/>
      <c r="AA638" s="611"/>
      <c r="AB638" s="26"/>
      <c r="AC638" s="8"/>
      <c r="AD638" s="26"/>
      <c r="AE638" s="26"/>
      <c r="AF638" s="26"/>
      <c r="AG638" s="26"/>
      <c r="AH638" s="26"/>
    </row>
    <row r="639" ht="12.75" customHeight="1">
      <c r="A639" s="24"/>
      <c r="B639" s="609"/>
      <c r="C639" s="24"/>
      <c r="D639" s="24"/>
      <c r="E639" s="610"/>
      <c r="F639" s="611"/>
      <c r="G639" s="26"/>
      <c r="H639" s="8"/>
      <c r="I639" s="611"/>
      <c r="J639" s="26"/>
      <c r="K639" s="8"/>
      <c r="L639" s="611"/>
      <c r="M639" s="26"/>
      <c r="N639" s="8"/>
      <c r="O639" s="611"/>
      <c r="P639" s="26"/>
      <c r="Q639" s="8"/>
      <c r="R639" s="611"/>
      <c r="S639" s="26"/>
      <c r="T639" s="8"/>
      <c r="U639" s="611"/>
      <c r="V639" s="26"/>
      <c r="W639" s="8"/>
      <c r="X639" s="611"/>
      <c r="Y639" s="26"/>
      <c r="Z639" s="8"/>
      <c r="AA639" s="611"/>
      <c r="AB639" s="26"/>
      <c r="AC639" s="8"/>
      <c r="AD639" s="26"/>
      <c r="AE639" s="26"/>
      <c r="AF639" s="26"/>
      <c r="AG639" s="26"/>
      <c r="AH639" s="26"/>
    </row>
    <row r="640" ht="12.75" customHeight="1">
      <c r="A640" s="24"/>
      <c r="B640" s="609"/>
      <c r="C640" s="24"/>
      <c r="D640" s="24"/>
      <c r="E640" s="610"/>
      <c r="F640" s="611"/>
      <c r="G640" s="26"/>
      <c r="H640" s="8"/>
      <c r="I640" s="611"/>
      <c r="J640" s="26"/>
      <c r="K640" s="8"/>
      <c r="L640" s="611"/>
      <c r="M640" s="26"/>
      <c r="N640" s="8"/>
      <c r="O640" s="611"/>
      <c r="P640" s="26"/>
      <c r="Q640" s="8"/>
      <c r="R640" s="611"/>
      <c r="S640" s="26"/>
      <c r="T640" s="8"/>
      <c r="U640" s="611"/>
      <c r="V640" s="26"/>
      <c r="W640" s="8"/>
      <c r="X640" s="611"/>
      <c r="Y640" s="26"/>
      <c r="Z640" s="8"/>
      <c r="AA640" s="611"/>
      <c r="AB640" s="26"/>
      <c r="AC640" s="8"/>
      <c r="AD640" s="26"/>
      <c r="AE640" s="26"/>
      <c r="AF640" s="26"/>
      <c r="AG640" s="26"/>
      <c r="AH640" s="26"/>
    </row>
    <row r="641" ht="12.75" customHeight="1">
      <c r="A641" s="24"/>
      <c r="B641" s="609"/>
      <c r="C641" s="24"/>
      <c r="D641" s="24"/>
      <c r="E641" s="610"/>
      <c r="F641" s="611"/>
      <c r="G641" s="26"/>
      <c r="H641" s="8"/>
      <c r="I641" s="611"/>
      <c r="J641" s="26"/>
      <c r="K641" s="8"/>
      <c r="L641" s="611"/>
      <c r="M641" s="26"/>
      <c r="N641" s="8"/>
      <c r="O641" s="611"/>
      <c r="P641" s="26"/>
      <c r="Q641" s="8"/>
      <c r="R641" s="611"/>
      <c r="S641" s="26"/>
      <c r="T641" s="8"/>
      <c r="U641" s="611"/>
      <c r="V641" s="26"/>
      <c r="W641" s="8"/>
      <c r="X641" s="611"/>
      <c r="Y641" s="26"/>
      <c r="Z641" s="8"/>
      <c r="AA641" s="611"/>
      <c r="AB641" s="26"/>
      <c r="AC641" s="8"/>
      <c r="AD641" s="26"/>
      <c r="AE641" s="26"/>
      <c r="AF641" s="26"/>
      <c r="AG641" s="26"/>
      <c r="AH641" s="26"/>
    </row>
    <row r="642" ht="12.75" customHeight="1">
      <c r="A642" s="24"/>
      <c r="B642" s="609"/>
      <c r="C642" s="24"/>
      <c r="D642" s="24"/>
      <c r="E642" s="610"/>
      <c r="F642" s="611"/>
      <c r="G642" s="26"/>
      <c r="H642" s="8"/>
      <c r="I642" s="611"/>
      <c r="J642" s="26"/>
      <c r="K642" s="8"/>
      <c r="L642" s="611"/>
      <c r="M642" s="26"/>
      <c r="N642" s="8"/>
      <c r="O642" s="611"/>
      <c r="P642" s="26"/>
      <c r="Q642" s="8"/>
      <c r="R642" s="611"/>
      <c r="S642" s="26"/>
      <c r="T642" s="8"/>
      <c r="U642" s="611"/>
      <c r="V642" s="26"/>
      <c r="W642" s="8"/>
      <c r="X642" s="611"/>
      <c r="Y642" s="26"/>
      <c r="Z642" s="8"/>
      <c r="AA642" s="611"/>
      <c r="AB642" s="26"/>
      <c r="AC642" s="8"/>
      <c r="AD642" s="26"/>
      <c r="AE642" s="26"/>
      <c r="AF642" s="26"/>
      <c r="AG642" s="26"/>
      <c r="AH642" s="26"/>
    </row>
    <row r="643" ht="12.75" customHeight="1">
      <c r="A643" s="24"/>
      <c r="B643" s="609"/>
      <c r="C643" s="24"/>
      <c r="D643" s="24"/>
      <c r="E643" s="610"/>
      <c r="F643" s="611"/>
      <c r="G643" s="26"/>
      <c r="H643" s="8"/>
      <c r="I643" s="611"/>
      <c r="J643" s="26"/>
      <c r="K643" s="8"/>
      <c r="L643" s="611"/>
      <c r="M643" s="26"/>
      <c r="N643" s="8"/>
      <c r="O643" s="611"/>
      <c r="P643" s="26"/>
      <c r="Q643" s="8"/>
      <c r="R643" s="611"/>
      <c r="S643" s="26"/>
      <c r="T643" s="8"/>
      <c r="U643" s="611"/>
      <c r="V643" s="26"/>
      <c r="W643" s="8"/>
      <c r="X643" s="611"/>
      <c r="Y643" s="26"/>
      <c r="Z643" s="8"/>
      <c r="AA643" s="611"/>
      <c r="AB643" s="26"/>
      <c r="AC643" s="8"/>
      <c r="AD643" s="26"/>
      <c r="AE643" s="26"/>
      <c r="AF643" s="26"/>
      <c r="AG643" s="26"/>
      <c r="AH643" s="26"/>
    </row>
    <row r="644" ht="12.75" customHeight="1">
      <c r="A644" s="24"/>
      <c r="B644" s="609"/>
      <c r="C644" s="24"/>
      <c r="D644" s="24"/>
      <c r="E644" s="610"/>
      <c r="F644" s="611"/>
      <c r="G644" s="26"/>
      <c r="H644" s="8"/>
      <c r="I644" s="611"/>
      <c r="J644" s="26"/>
      <c r="K644" s="8"/>
      <c r="L644" s="611"/>
      <c r="M644" s="26"/>
      <c r="N644" s="8"/>
      <c r="O644" s="611"/>
      <c r="P644" s="26"/>
      <c r="Q644" s="8"/>
      <c r="R644" s="611"/>
      <c r="S644" s="26"/>
      <c r="T644" s="8"/>
      <c r="U644" s="611"/>
      <c r="V644" s="26"/>
      <c r="W644" s="8"/>
      <c r="X644" s="611"/>
      <c r="Y644" s="26"/>
      <c r="Z644" s="8"/>
      <c r="AA644" s="611"/>
      <c r="AB644" s="26"/>
      <c r="AC644" s="8"/>
      <c r="AD644" s="26"/>
      <c r="AE644" s="26"/>
      <c r="AF644" s="26"/>
      <c r="AG644" s="26"/>
      <c r="AH644" s="26"/>
    </row>
    <row r="645" ht="12.75" customHeight="1">
      <c r="A645" s="24"/>
      <c r="B645" s="609"/>
      <c r="C645" s="24"/>
      <c r="D645" s="24"/>
      <c r="E645" s="610"/>
      <c r="F645" s="611"/>
      <c r="G645" s="26"/>
      <c r="H645" s="8"/>
      <c r="I645" s="611"/>
      <c r="J645" s="26"/>
      <c r="K645" s="8"/>
      <c r="L645" s="611"/>
      <c r="M645" s="26"/>
      <c r="N645" s="8"/>
      <c r="O645" s="611"/>
      <c r="P645" s="26"/>
      <c r="Q645" s="8"/>
      <c r="R645" s="611"/>
      <c r="S645" s="26"/>
      <c r="T645" s="8"/>
      <c r="U645" s="611"/>
      <c r="V645" s="26"/>
      <c r="W645" s="8"/>
      <c r="X645" s="611"/>
      <c r="Y645" s="26"/>
      <c r="Z645" s="8"/>
      <c r="AA645" s="611"/>
      <c r="AB645" s="26"/>
      <c r="AC645" s="8"/>
      <c r="AD645" s="26"/>
      <c r="AE645" s="26"/>
      <c r="AF645" s="26"/>
      <c r="AG645" s="26"/>
      <c r="AH645" s="26"/>
    </row>
    <row r="646" ht="12.75" customHeight="1">
      <c r="A646" s="24"/>
      <c r="B646" s="609"/>
      <c r="C646" s="24"/>
      <c r="D646" s="24"/>
      <c r="E646" s="610"/>
      <c r="F646" s="611"/>
      <c r="G646" s="26"/>
      <c r="H646" s="8"/>
      <c r="I646" s="611"/>
      <c r="J646" s="26"/>
      <c r="K646" s="8"/>
      <c r="L646" s="611"/>
      <c r="M646" s="26"/>
      <c r="N646" s="8"/>
      <c r="O646" s="611"/>
      <c r="P646" s="26"/>
      <c r="Q646" s="8"/>
      <c r="R646" s="611"/>
      <c r="S646" s="26"/>
      <c r="T646" s="8"/>
      <c r="U646" s="611"/>
      <c r="V646" s="26"/>
      <c r="W646" s="8"/>
      <c r="X646" s="611"/>
      <c r="Y646" s="26"/>
      <c r="Z646" s="8"/>
      <c r="AA646" s="611"/>
      <c r="AB646" s="26"/>
      <c r="AC646" s="8"/>
      <c r="AD646" s="26"/>
      <c r="AE646" s="26"/>
      <c r="AF646" s="26"/>
      <c r="AG646" s="26"/>
      <c r="AH646" s="26"/>
    </row>
    <row r="647" ht="12.75" customHeight="1">
      <c r="A647" s="24"/>
      <c r="B647" s="609"/>
      <c r="C647" s="24"/>
      <c r="D647" s="24"/>
      <c r="E647" s="610"/>
      <c r="F647" s="611"/>
      <c r="G647" s="26"/>
      <c r="H647" s="8"/>
      <c r="I647" s="611"/>
      <c r="J647" s="26"/>
      <c r="K647" s="8"/>
      <c r="L647" s="611"/>
      <c r="M647" s="26"/>
      <c r="N647" s="8"/>
      <c r="O647" s="611"/>
      <c r="P647" s="26"/>
      <c r="Q647" s="8"/>
      <c r="R647" s="611"/>
      <c r="S647" s="26"/>
      <c r="T647" s="8"/>
      <c r="U647" s="611"/>
      <c r="V647" s="26"/>
      <c r="W647" s="8"/>
      <c r="X647" s="611"/>
      <c r="Y647" s="26"/>
      <c r="Z647" s="8"/>
      <c r="AA647" s="611"/>
      <c r="AB647" s="26"/>
      <c r="AC647" s="8"/>
      <c r="AD647" s="26"/>
      <c r="AE647" s="26"/>
      <c r="AF647" s="26"/>
      <c r="AG647" s="26"/>
      <c r="AH647" s="26"/>
    </row>
    <row r="648" ht="12.75" customHeight="1">
      <c r="A648" s="24"/>
      <c r="B648" s="609"/>
      <c r="C648" s="24"/>
      <c r="D648" s="24"/>
      <c r="E648" s="610"/>
      <c r="F648" s="611"/>
      <c r="G648" s="26"/>
      <c r="H648" s="8"/>
      <c r="I648" s="611"/>
      <c r="J648" s="26"/>
      <c r="K648" s="8"/>
      <c r="L648" s="611"/>
      <c r="M648" s="26"/>
      <c r="N648" s="8"/>
      <c r="O648" s="611"/>
      <c r="P648" s="26"/>
      <c r="Q648" s="8"/>
      <c r="R648" s="611"/>
      <c r="S648" s="26"/>
      <c r="T648" s="8"/>
      <c r="U648" s="611"/>
      <c r="V648" s="26"/>
      <c r="W648" s="8"/>
      <c r="X648" s="611"/>
      <c r="Y648" s="26"/>
      <c r="Z648" s="8"/>
      <c r="AA648" s="611"/>
      <c r="AB648" s="26"/>
      <c r="AC648" s="8"/>
      <c r="AD648" s="26"/>
      <c r="AE648" s="26"/>
      <c r="AF648" s="26"/>
      <c r="AG648" s="26"/>
      <c r="AH648" s="26"/>
    </row>
    <row r="649" ht="12.75" customHeight="1">
      <c r="A649" s="24"/>
      <c r="B649" s="609"/>
      <c r="C649" s="24"/>
      <c r="D649" s="24"/>
      <c r="E649" s="610"/>
      <c r="F649" s="611"/>
      <c r="G649" s="26"/>
      <c r="H649" s="8"/>
      <c r="I649" s="611"/>
      <c r="J649" s="26"/>
      <c r="K649" s="8"/>
      <c r="L649" s="611"/>
      <c r="M649" s="26"/>
      <c r="N649" s="8"/>
      <c r="O649" s="611"/>
      <c r="P649" s="26"/>
      <c r="Q649" s="8"/>
      <c r="R649" s="611"/>
      <c r="S649" s="26"/>
      <c r="T649" s="8"/>
      <c r="U649" s="611"/>
      <c r="V649" s="26"/>
      <c r="W649" s="8"/>
      <c r="X649" s="611"/>
      <c r="Y649" s="26"/>
      <c r="Z649" s="8"/>
      <c r="AA649" s="611"/>
      <c r="AB649" s="26"/>
      <c r="AC649" s="8"/>
      <c r="AD649" s="26"/>
      <c r="AE649" s="26"/>
      <c r="AF649" s="26"/>
      <c r="AG649" s="26"/>
      <c r="AH649" s="26"/>
    </row>
    <row r="650" ht="12.75" customHeight="1">
      <c r="A650" s="24"/>
      <c r="B650" s="609"/>
      <c r="C650" s="24"/>
      <c r="D650" s="24"/>
      <c r="E650" s="610"/>
      <c r="F650" s="611"/>
      <c r="G650" s="26"/>
      <c r="H650" s="8"/>
      <c r="I650" s="611"/>
      <c r="J650" s="26"/>
      <c r="K650" s="8"/>
      <c r="L650" s="611"/>
      <c r="M650" s="26"/>
      <c r="N650" s="8"/>
      <c r="O650" s="611"/>
      <c r="P650" s="26"/>
      <c r="Q650" s="8"/>
      <c r="R650" s="611"/>
      <c r="S650" s="26"/>
      <c r="T650" s="8"/>
      <c r="U650" s="611"/>
      <c r="V650" s="26"/>
      <c r="W650" s="8"/>
      <c r="X650" s="611"/>
      <c r="Y650" s="26"/>
      <c r="Z650" s="8"/>
      <c r="AA650" s="611"/>
      <c r="AB650" s="26"/>
      <c r="AC650" s="8"/>
      <c r="AD650" s="26"/>
      <c r="AE650" s="26"/>
      <c r="AF650" s="26"/>
      <c r="AG650" s="26"/>
      <c r="AH650" s="26"/>
    </row>
    <row r="651" ht="12.75" customHeight="1">
      <c r="A651" s="24"/>
      <c r="B651" s="609"/>
      <c r="C651" s="24"/>
      <c r="D651" s="24"/>
      <c r="E651" s="610"/>
      <c r="F651" s="611"/>
      <c r="G651" s="26"/>
      <c r="H651" s="8"/>
      <c r="I651" s="611"/>
      <c r="J651" s="26"/>
      <c r="K651" s="8"/>
      <c r="L651" s="611"/>
      <c r="M651" s="26"/>
      <c r="N651" s="8"/>
      <c r="O651" s="611"/>
      <c r="P651" s="26"/>
      <c r="Q651" s="8"/>
      <c r="R651" s="611"/>
      <c r="S651" s="26"/>
      <c r="T651" s="8"/>
      <c r="U651" s="611"/>
      <c r="V651" s="26"/>
      <c r="W651" s="8"/>
      <c r="X651" s="611"/>
      <c r="Y651" s="26"/>
      <c r="Z651" s="8"/>
      <c r="AA651" s="611"/>
      <c r="AB651" s="26"/>
      <c r="AC651" s="8"/>
      <c r="AD651" s="26"/>
      <c r="AE651" s="26"/>
      <c r="AF651" s="26"/>
      <c r="AG651" s="26"/>
      <c r="AH651" s="26"/>
    </row>
    <row r="652" ht="12.75" customHeight="1">
      <c r="A652" s="24"/>
      <c r="B652" s="609"/>
      <c r="C652" s="24"/>
      <c r="D652" s="24"/>
      <c r="E652" s="610"/>
      <c r="F652" s="611"/>
      <c r="G652" s="26"/>
      <c r="H652" s="8"/>
      <c r="I652" s="611"/>
      <c r="J652" s="26"/>
      <c r="K652" s="8"/>
      <c r="L652" s="611"/>
      <c r="M652" s="26"/>
      <c r="N652" s="8"/>
      <c r="O652" s="611"/>
      <c r="P652" s="26"/>
      <c r="Q652" s="8"/>
      <c r="R652" s="611"/>
      <c r="S652" s="26"/>
      <c r="T652" s="8"/>
      <c r="U652" s="611"/>
      <c r="V652" s="26"/>
      <c r="W652" s="8"/>
      <c r="X652" s="611"/>
      <c r="Y652" s="26"/>
      <c r="Z652" s="8"/>
      <c r="AA652" s="611"/>
      <c r="AB652" s="26"/>
      <c r="AC652" s="8"/>
      <c r="AD652" s="26"/>
      <c r="AE652" s="26"/>
      <c r="AF652" s="26"/>
      <c r="AG652" s="26"/>
      <c r="AH652" s="26"/>
    </row>
    <row r="653" ht="12.75" customHeight="1">
      <c r="A653" s="24"/>
      <c r="B653" s="609"/>
      <c r="C653" s="24"/>
      <c r="D653" s="24"/>
      <c r="E653" s="610"/>
      <c r="F653" s="611"/>
      <c r="G653" s="26"/>
      <c r="H653" s="8"/>
      <c r="I653" s="611"/>
      <c r="J653" s="26"/>
      <c r="K653" s="8"/>
      <c r="L653" s="611"/>
      <c r="M653" s="26"/>
      <c r="N653" s="8"/>
      <c r="O653" s="611"/>
      <c r="P653" s="26"/>
      <c r="Q653" s="8"/>
      <c r="R653" s="611"/>
      <c r="S653" s="26"/>
      <c r="T653" s="8"/>
      <c r="U653" s="611"/>
      <c r="V653" s="26"/>
      <c r="W653" s="8"/>
      <c r="X653" s="611"/>
      <c r="Y653" s="26"/>
      <c r="Z653" s="8"/>
      <c r="AA653" s="611"/>
      <c r="AB653" s="26"/>
      <c r="AC653" s="8"/>
      <c r="AD653" s="26"/>
      <c r="AE653" s="26"/>
      <c r="AF653" s="26"/>
      <c r="AG653" s="26"/>
      <c r="AH653" s="26"/>
    </row>
    <row r="654" ht="12.75" customHeight="1">
      <c r="A654" s="24"/>
      <c r="B654" s="609"/>
      <c r="C654" s="24"/>
      <c r="D654" s="24"/>
      <c r="E654" s="610"/>
      <c r="F654" s="611"/>
      <c r="G654" s="26"/>
      <c r="H654" s="8"/>
      <c r="I654" s="611"/>
      <c r="J654" s="26"/>
      <c r="K654" s="8"/>
      <c r="L654" s="611"/>
      <c r="M654" s="26"/>
      <c r="N654" s="8"/>
      <c r="O654" s="611"/>
      <c r="P654" s="26"/>
      <c r="Q654" s="8"/>
      <c r="R654" s="611"/>
      <c r="S654" s="26"/>
      <c r="T654" s="8"/>
      <c r="U654" s="611"/>
      <c r="V654" s="26"/>
      <c r="W654" s="8"/>
      <c r="X654" s="611"/>
      <c r="Y654" s="26"/>
      <c r="Z654" s="8"/>
      <c r="AA654" s="611"/>
      <c r="AB654" s="26"/>
      <c r="AC654" s="8"/>
      <c r="AD654" s="26"/>
      <c r="AE654" s="26"/>
      <c r="AF654" s="26"/>
      <c r="AG654" s="26"/>
      <c r="AH654" s="26"/>
    </row>
    <row r="655" ht="12.75" customHeight="1">
      <c r="A655" s="24"/>
      <c r="B655" s="609"/>
      <c r="C655" s="24"/>
      <c r="D655" s="24"/>
      <c r="E655" s="610"/>
      <c r="F655" s="611"/>
      <c r="G655" s="26"/>
      <c r="H655" s="8"/>
      <c r="I655" s="611"/>
      <c r="J655" s="26"/>
      <c r="K655" s="8"/>
      <c r="L655" s="611"/>
      <c r="M655" s="26"/>
      <c r="N655" s="8"/>
      <c r="O655" s="611"/>
      <c r="P655" s="26"/>
      <c r="Q655" s="8"/>
      <c r="R655" s="611"/>
      <c r="S655" s="26"/>
      <c r="T655" s="8"/>
      <c r="U655" s="611"/>
      <c r="V655" s="26"/>
      <c r="W655" s="8"/>
      <c r="X655" s="611"/>
      <c r="Y655" s="26"/>
      <c r="Z655" s="8"/>
      <c r="AA655" s="611"/>
      <c r="AB655" s="26"/>
      <c r="AC655" s="8"/>
      <c r="AD655" s="26"/>
      <c r="AE655" s="26"/>
      <c r="AF655" s="26"/>
      <c r="AG655" s="26"/>
      <c r="AH655" s="26"/>
    </row>
    <row r="656" ht="12.75" customHeight="1">
      <c r="A656" s="24"/>
      <c r="B656" s="609"/>
      <c r="C656" s="24"/>
      <c r="D656" s="24"/>
      <c r="E656" s="610"/>
      <c r="F656" s="611"/>
      <c r="G656" s="26"/>
      <c r="H656" s="8"/>
      <c r="I656" s="611"/>
      <c r="J656" s="26"/>
      <c r="K656" s="8"/>
      <c r="L656" s="611"/>
      <c r="M656" s="26"/>
      <c r="N656" s="8"/>
      <c r="O656" s="611"/>
      <c r="P656" s="26"/>
      <c r="Q656" s="8"/>
      <c r="R656" s="611"/>
      <c r="S656" s="26"/>
      <c r="T656" s="8"/>
      <c r="U656" s="611"/>
      <c r="V656" s="26"/>
      <c r="W656" s="8"/>
      <c r="X656" s="611"/>
      <c r="Y656" s="26"/>
      <c r="Z656" s="8"/>
      <c r="AA656" s="611"/>
      <c r="AB656" s="26"/>
      <c r="AC656" s="8"/>
      <c r="AD656" s="26"/>
      <c r="AE656" s="26"/>
      <c r="AF656" s="26"/>
      <c r="AG656" s="26"/>
      <c r="AH656" s="26"/>
    </row>
    <row r="657" ht="12.75" customHeight="1">
      <c r="A657" s="24"/>
      <c r="B657" s="609"/>
      <c r="C657" s="24"/>
      <c r="D657" s="24"/>
      <c r="E657" s="610"/>
      <c r="F657" s="611"/>
      <c r="G657" s="26"/>
      <c r="H657" s="8"/>
      <c r="I657" s="611"/>
      <c r="J657" s="26"/>
      <c r="K657" s="8"/>
      <c r="L657" s="611"/>
      <c r="M657" s="26"/>
      <c r="N657" s="8"/>
      <c r="O657" s="611"/>
      <c r="P657" s="26"/>
      <c r="Q657" s="8"/>
      <c r="R657" s="611"/>
      <c r="S657" s="26"/>
      <c r="T657" s="8"/>
      <c r="U657" s="611"/>
      <c r="V657" s="26"/>
      <c r="W657" s="8"/>
      <c r="X657" s="611"/>
      <c r="Y657" s="26"/>
      <c r="Z657" s="8"/>
      <c r="AA657" s="611"/>
      <c r="AB657" s="26"/>
      <c r="AC657" s="8"/>
      <c r="AD657" s="26"/>
      <c r="AE657" s="26"/>
      <c r="AF657" s="26"/>
      <c r="AG657" s="26"/>
      <c r="AH657" s="26"/>
    </row>
    <row r="658" ht="12.75" customHeight="1">
      <c r="A658" s="24"/>
      <c r="B658" s="609"/>
      <c r="C658" s="24"/>
      <c r="D658" s="24"/>
      <c r="E658" s="610"/>
      <c r="F658" s="611"/>
      <c r="G658" s="26"/>
      <c r="H658" s="8"/>
      <c r="I658" s="611"/>
      <c r="J658" s="26"/>
      <c r="K658" s="8"/>
      <c r="L658" s="611"/>
      <c r="M658" s="26"/>
      <c r="N658" s="8"/>
      <c r="O658" s="611"/>
      <c r="P658" s="26"/>
      <c r="Q658" s="8"/>
      <c r="R658" s="611"/>
      <c r="S658" s="26"/>
      <c r="T658" s="8"/>
      <c r="U658" s="611"/>
      <c r="V658" s="26"/>
      <c r="W658" s="8"/>
      <c r="X658" s="611"/>
      <c r="Y658" s="26"/>
      <c r="Z658" s="8"/>
      <c r="AA658" s="611"/>
      <c r="AB658" s="26"/>
      <c r="AC658" s="8"/>
      <c r="AD658" s="26"/>
      <c r="AE658" s="26"/>
      <c r="AF658" s="26"/>
      <c r="AG658" s="26"/>
      <c r="AH658" s="26"/>
    </row>
    <row r="659" ht="12.75" customHeight="1">
      <c r="A659" s="24"/>
      <c r="B659" s="609"/>
      <c r="C659" s="24"/>
      <c r="D659" s="24"/>
      <c r="E659" s="610"/>
      <c r="F659" s="611"/>
      <c r="G659" s="26"/>
      <c r="H659" s="8"/>
      <c r="I659" s="611"/>
      <c r="J659" s="26"/>
      <c r="K659" s="8"/>
      <c r="L659" s="611"/>
      <c r="M659" s="26"/>
      <c r="N659" s="8"/>
      <c r="O659" s="611"/>
      <c r="P659" s="26"/>
      <c r="Q659" s="8"/>
      <c r="R659" s="611"/>
      <c r="S659" s="26"/>
      <c r="T659" s="8"/>
      <c r="U659" s="611"/>
      <c r="V659" s="26"/>
      <c r="W659" s="8"/>
      <c r="X659" s="611"/>
      <c r="Y659" s="26"/>
      <c r="Z659" s="8"/>
      <c r="AA659" s="611"/>
      <c r="AB659" s="26"/>
      <c r="AC659" s="8"/>
      <c r="AD659" s="26"/>
      <c r="AE659" s="26"/>
      <c r="AF659" s="26"/>
      <c r="AG659" s="26"/>
      <c r="AH659" s="26"/>
    </row>
    <row r="660" ht="12.75" customHeight="1">
      <c r="A660" s="24"/>
      <c r="B660" s="609"/>
      <c r="C660" s="24"/>
      <c r="D660" s="24"/>
      <c r="E660" s="610"/>
      <c r="F660" s="611"/>
      <c r="G660" s="26"/>
      <c r="H660" s="8"/>
      <c r="I660" s="611"/>
      <c r="J660" s="26"/>
      <c r="K660" s="8"/>
      <c r="L660" s="611"/>
      <c r="M660" s="26"/>
      <c r="N660" s="8"/>
      <c r="O660" s="611"/>
      <c r="P660" s="26"/>
      <c r="Q660" s="8"/>
      <c r="R660" s="611"/>
      <c r="S660" s="26"/>
      <c r="T660" s="8"/>
      <c r="U660" s="611"/>
      <c r="V660" s="26"/>
      <c r="W660" s="8"/>
      <c r="X660" s="611"/>
      <c r="Y660" s="26"/>
      <c r="Z660" s="8"/>
      <c r="AA660" s="611"/>
      <c r="AB660" s="26"/>
      <c r="AC660" s="8"/>
      <c r="AD660" s="26"/>
      <c r="AE660" s="26"/>
      <c r="AF660" s="26"/>
      <c r="AG660" s="26"/>
      <c r="AH660" s="26"/>
    </row>
    <row r="661" ht="12.75" customHeight="1">
      <c r="A661" s="24"/>
      <c r="B661" s="609"/>
      <c r="C661" s="24"/>
      <c r="D661" s="24"/>
      <c r="E661" s="610"/>
      <c r="F661" s="611"/>
      <c r="G661" s="26"/>
      <c r="H661" s="8"/>
      <c r="I661" s="611"/>
      <c r="J661" s="26"/>
      <c r="K661" s="8"/>
      <c r="L661" s="611"/>
      <c r="M661" s="26"/>
      <c r="N661" s="8"/>
      <c r="O661" s="611"/>
      <c r="P661" s="26"/>
      <c r="Q661" s="8"/>
      <c r="R661" s="611"/>
      <c r="S661" s="26"/>
      <c r="T661" s="8"/>
      <c r="U661" s="611"/>
      <c r="V661" s="26"/>
      <c r="W661" s="8"/>
      <c r="X661" s="611"/>
      <c r="Y661" s="26"/>
      <c r="Z661" s="8"/>
      <c r="AA661" s="611"/>
      <c r="AB661" s="26"/>
      <c r="AC661" s="8"/>
      <c r="AD661" s="26"/>
      <c r="AE661" s="26"/>
      <c r="AF661" s="26"/>
      <c r="AG661" s="26"/>
      <c r="AH661" s="26"/>
    </row>
    <row r="662" ht="12.75" customHeight="1">
      <c r="A662" s="24"/>
      <c r="B662" s="609"/>
      <c r="C662" s="24"/>
      <c r="D662" s="24"/>
      <c r="E662" s="610"/>
      <c r="F662" s="611"/>
      <c r="G662" s="26"/>
      <c r="H662" s="8"/>
      <c r="I662" s="611"/>
      <c r="J662" s="26"/>
      <c r="K662" s="8"/>
      <c r="L662" s="611"/>
      <c r="M662" s="26"/>
      <c r="N662" s="8"/>
      <c r="O662" s="611"/>
      <c r="P662" s="26"/>
      <c r="Q662" s="8"/>
      <c r="R662" s="611"/>
      <c r="S662" s="26"/>
      <c r="T662" s="8"/>
      <c r="U662" s="611"/>
      <c r="V662" s="26"/>
      <c r="W662" s="8"/>
      <c r="X662" s="611"/>
      <c r="Y662" s="26"/>
      <c r="Z662" s="8"/>
      <c r="AA662" s="611"/>
      <c r="AB662" s="26"/>
      <c r="AC662" s="8"/>
      <c r="AD662" s="26"/>
      <c r="AE662" s="26"/>
      <c r="AF662" s="26"/>
      <c r="AG662" s="26"/>
      <c r="AH662" s="26"/>
    </row>
    <row r="663" ht="12.75" customHeight="1">
      <c r="A663" s="24"/>
      <c r="B663" s="609"/>
      <c r="C663" s="24"/>
      <c r="D663" s="24"/>
      <c r="E663" s="610"/>
      <c r="F663" s="611"/>
      <c r="G663" s="26"/>
      <c r="H663" s="8"/>
      <c r="I663" s="611"/>
      <c r="J663" s="26"/>
      <c r="K663" s="8"/>
      <c r="L663" s="611"/>
      <c r="M663" s="26"/>
      <c r="N663" s="8"/>
      <c r="O663" s="611"/>
      <c r="P663" s="26"/>
      <c r="Q663" s="8"/>
      <c r="R663" s="611"/>
      <c r="S663" s="26"/>
      <c r="T663" s="8"/>
      <c r="U663" s="611"/>
      <c r="V663" s="26"/>
      <c r="W663" s="8"/>
      <c r="X663" s="611"/>
      <c r="Y663" s="26"/>
      <c r="Z663" s="8"/>
      <c r="AA663" s="611"/>
      <c r="AB663" s="26"/>
      <c r="AC663" s="8"/>
      <c r="AD663" s="26"/>
      <c r="AE663" s="26"/>
      <c r="AF663" s="26"/>
      <c r="AG663" s="26"/>
      <c r="AH663" s="26"/>
    </row>
    <row r="664" ht="12.75" customHeight="1">
      <c r="A664" s="24"/>
      <c r="B664" s="609"/>
      <c r="C664" s="24"/>
      <c r="D664" s="24"/>
      <c r="E664" s="610"/>
      <c r="F664" s="611"/>
      <c r="G664" s="26"/>
      <c r="H664" s="8"/>
      <c r="I664" s="611"/>
      <c r="J664" s="26"/>
      <c r="K664" s="8"/>
      <c r="L664" s="611"/>
      <c r="M664" s="26"/>
      <c r="N664" s="8"/>
      <c r="O664" s="611"/>
      <c r="P664" s="26"/>
      <c r="Q664" s="8"/>
      <c r="R664" s="611"/>
      <c r="S664" s="26"/>
      <c r="T664" s="8"/>
      <c r="U664" s="611"/>
      <c r="V664" s="26"/>
      <c r="W664" s="8"/>
      <c r="X664" s="611"/>
      <c r="Y664" s="26"/>
      <c r="Z664" s="8"/>
      <c r="AA664" s="611"/>
      <c r="AB664" s="26"/>
      <c r="AC664" s="8"/>
      <c r="AD664" s="26"/>
      <c r="AE664" s="26"/>
      <c r="AF664" s="26"/>
      <c r="AG664" s="26"/>
      <c r="AH664" s="26"/>
    </row>
    <row r="665" ht="12.75" customHeight="1">
      <c r="A665" s="24"/>
      <c r="B665" s="609"/>
      <c r="C665" s="24"/>
      <c r="D665" s="24"/>
      <c r="E665" s="610"/>
      <c r="F665" s="611"/>
      <c r="G665" s="26"/>
      <c r="H665" s="8"/>
      <c r="I665" s="611"/>
      <c r="J665" s="26"/>
      <c r="K665" s="8"/>
      <c r="L665" s="611"/>
      <c r="M665" s="26"/>
      <c r="N665" s="8"/>
      <c r="O665" s="611"/>
      <c r="P665" s="26"/>
      <c r="Q665" s="8"/>
      <c r="R665" s="611"/>
      <c r="S665" s="26"/>
      <c r="T665" s="8"/>
      <c r="U665" s="611"/>
      <c r="V665" s="26"/>
      <c r="W665" s="8"/>
      <c r="X665" s="611"/>
      <c r="Y665" s="26"/>
      <c r="Z665" s="8"/>
      <c r="AA665" s="611"/>
      <c r="AB665" s="26"/>
      <c r="AC665" s="8"/>
      <c r="AD665" s="26"/>
      <c r="AE665" s="26"/>
      <c r="AF665" s="26"/>
      <c r="AG665" s="26"/>
      <c r="AH665" s="26"/>
    </row>
    <row r="666" ht="12.75" customHeight="1">
      <c r="A666" s="24"/>
      <c r="B666" s="609"/>
      <c r="C666" s="24"/>
      <c r="D666" s="24"/>
      <c r="E666" s="610"/>
      <c r="F666" s="611"/>
      <c r="G666" s="26"/>
      <c r="H666" s="8"/>
      <c r="I666" s="611"/>
      <c r="J666" s="26"/>
      <c r="K666" s="8"/>
      <c r="L666" s="611"/>
      <c r="M666" s="26"/>
      <c r="N666" s="8"/>
      <c r="O666" s="611"/>
      <c r="P666" s="26"/>
      <c r="Q666" s="8"/>
      <c r="R666" s="611"/>
      <c r="S666" s="26"/>
      <c r="T666" s="8"/>
      <c r="U666" s="611"/>
      <c r="V666" s="26"/>
      <c r="W666" s="8"/>
      <c r="X666" s="611"/>
      <c r="Y666" s="26"/>
      <c r="Z666" s="8"/>
      <c r="AA666" s="611"/>
      <c r="AB666" s="26"/>
      <c r="AC666" s="8"/>
      <c r="AD666" s="26"/>
      <c r="AE666" s="26"/>
      <c r="AF666" s="26"/>
      <c r="AG666" s="26"/>
      <c r="AH666" s="26"/>
    </row>
    <row r="667" ht="12.75" customHeight="1">
      <c r="A667" s="24"/>
      <c r="B667" s="609"/>
      <c r="C667" s="24"/>
      <c r="D667" s="24"/>
      <c r="E667" s="610"/>
      <c r="F667" s="611"/>
      <c r="G667" s="26"/>
      <c r="H667" s="8"/>
      <c r="I667" s="611"/>
      <c r="J667" s="26"/>
      <c r="K667" s="8"/>
      <c r="L667" s="611"/>
      <c r="M667" s="26"/>
      <c r="N667" s="8"/>
      <c r="O667" s="611"/>
      <c r="P667" s="26"/>
      <c r="Q667" s="8"/>
      <c r="R667" s="611"/>
      <c r="S667" s="26"/>
      <c r="T667" s="8"/>
      <c r="U667" s="611"/>
      <c r="V667" s="26"/>
      <c r="W667" s="8"/>
      <c r="X667" s="611"/>
      <c r="Y667" s="26"/>
      <c r="Z667" s="8"/>
      <c r="AA667" s="611"/>
      <c r="AB667" s="26"/>
      <c r="AC667" s="8"/>
      <c r="AD667" s="26"/>
      <c r="AE667" s="26"/>
      <c r="AF667" s="26"/>
      <c r="AG667" s="26"/>
      <c r="AH667" s="26"/>
    </row>
    <row r="668" ht="12.75" customHeight="1">
      <c r="A668" s="24"/>
      <c r="B668" s="609"/>
      <c r="C668" s="24"/>
      <c r="D668" s="24"/>
      <c r="E668" s="610"/>
      <c r="F668" s="611"/>
      <c r="G668" s="26"/>
      <c r="H668" s="8"/>
      <c r="I668" s="611"/>
      <c r="J668" s="26"/>
      <c r="K668" s="8"/>
      <c r="L668" s="611"/>
      <c r="M668" s="26"/>
      <c r="N668" s="8"/>
      <c r="O668" s="611"/>
      <c r="P668" s="26"/>
      <c r="Q668" s="8"/>
      <c r="R668" s="611"/>
      <c r="S668" s="26"/>
      <c r="T668" s="8"/>
      <c r="U668" s="611"/>
      <c r="V668" s="26"/>
      <c r="W668" s="8"/>
      <c r="X668" s="611"/>
      <c r="Y668" s="26"/>
      <c r="Z668" s="8"/>
      <c r="AA668" s="611"/>
      <c r="AB668" s="26"/>
      <c r="AC668" s="8"/>
      <c r="AD668" s="26"/>
      <c r="AE668" s="26"/>
      <c r="AF668" s="26"/>
      <c r="AG668" s="26"/>
      <c r="AH668" s="26"/>
    </row>
    <row r="669" ht="12.75" customHeight="1">
      <c r="A669" s="24"/>
      <c r="B669" s="609"/>
      <c r="C669" s="24"/>
      <c r="D669" s="24"/>
      <c r="E669" s="610"/>
      <c r="F669" s="611"/>
      <c r="G669" s="26"/>
      <c r="H669" s="8"/>
      <c r="I669" s="611"/>
      <c r="J669" s="26"/>
      <c r="K669" s="8"/>
      <c r="L669" s="611"/>
      <c r="M669" s="26"/>
      <c r="N669" s="8"/>
      <c r="O669" s="611"/>
      <c r="P669" s="26"/>
      <c r="Q669" s="8"/>
      <c r="R669" s="611"/>
      <c r="S669" s="26"/>
      <c r="T669" s="8"/>
      <c r="U669" s="611"/>
      <c r="V669" s="26"/>
      <c r="W669" s="8"/>
      <c r="X669" s="611"/>
      <c r="Y669" s="26"/>
      <c r="Z669" s="8"/>
      <c r="AA669" s="611"/>
      <c r="AB669" s="26"/>
      <c r="AC669" s="8"/>
      <c r="AD669" s="26"/>
      <c r="AE669" s="26"/>
      <c r="AF669" s="26"/>
      <c r="AG669" s="26"/>
      <c r="AH669" s="26"/>
    </row>
    <row r="670" ht="12.75" customHeight="1">
      <c r="A670" s="24"/>
      <c r="B670" s="609"/>
      <c r="C670" s="24"/>
      <c r="D670" s="24"/>
      <c r="E670" s="610"/>
      <c r="F670" s="611"/>
      <c r="G670" s="26"/>
      <c r="H670" s="8"/>
      <c r="I670" s="611"/>
      <c r="J670" s="26"/>
      <c r="K670" s="8"/>
      <c r="L670" s="611"/>
      <c r="M670" s="26"/>
      <c r="N670" s="8"/>
      <c r="O670" s="611"/>
      <c r="P670" s="26"/>
      <c r="Q670" s="8"/>
      <c r="R670" s="611"/>
      <c r="S670" s="26"/>
      <c r="T670" s="8"/>
      <c r="U670" s="611"/>
      <c r="V670" s="26"/>
      <c r="W670" s="8"/>
      <c r="X670" s="611"/>
      <c r="Y670" s="26"/>
      <c r="Z670" s="8"/>
      <c r="AA670" s="611"/>
      <c r="AB670" s="26"/>
      <c r="AC670" s="8"/>
      <c r="AD670" s="26"/>
      <c r="AE670" s="26"/>
      <c r="AF670" s="26"/>
      <c r="AG670" s="26"/>
      <c r="AH670" s="26"/>
    </row>
    <row r="671" ht="12.75" customHeight="1">
      <c r="A671" s="24"/>
      <c r="B671" s="609"/>
      <c r="C671" s="24"/>
      <c r="D671" s="24"/>
      <c r="E671" s="610"/>
      <c r="F671" s="611"/>
      <c r="G671" s="26"/>
      <c r="H671" s="8"/>
      <c r="I671" s="611"/>
      <c r="J671" s="26"/>
      <c r="K671" s="8"/>
      <c r="L671" s="611"/>
      <c r="M671" s="26"/>
      <c r="N671" s="8"/>
      <c r="O671" s="611"/>
      <c r="P671" s="26"/>
      <c r="Q671" s="8"/>
      <c r="R671" s="611"/>
      <c r="S671" s="26"/>
      <c r="T671" s="8"/>
      <c r="U671" s="611"/>
      <c r="V671" s="26"/>
      <c r="W671" s="8"/>
      <c r="X671" s="611"/>
      <c r="Y671" s="26"/>
      <c r="Z671" s="8"/>
      <c r="AA671" s="611"/>
      <c r="AB671" s="26"/>
      <c r="AC671" s="8"/>
      <c r="AD671" s="26"/>
      <c r="AE671" s="26"/>
      <c r="AF671" s="26"/>
      <c r="AG671" s="26"/>
      <c r="AH671" s="26"/>
    </row>
    <row r="672" ht="12.75" customHeight="1">
      <c r="A672" s="24"/>
      <c r="B672" s="609"/>
      <c r="C672" s="24"/>
      <c r="D672" s="24"/>
      <c r="E672" s="610"/>
      <c r="F672" s="611"/>
      <c r="G672" s="26"/>
      <c r="H672" s="8"/>
      <c r="I672" s="611"/>
      <c r="J672" s="26"/>
      <c r="K672" s="8"/>
      <c r="L672" s="611"/>
      <c r="M672" s="26"/>
      <c r="N672" s="8"/>
      <c r="O672" s="611"/>
      <c r="P672" s="26"/>
      <c r="Q672" s="8"/>
      <c r="R672" s="611"/>
      <c r="S672" s="26"/>
      <c r="T672" s="8"/>
      <c r="U672" s="611"/>
      <c r="V672" s="26"/>
      <c r="W672" s="8"/>
      <c r="X672" s="611"/>
      <c r="Y672" s="26"/>
      <c r="Z672" s="8"/>
      <c r="AA672" s="611"/>
      <c r="AB672" s="26"/>
      <c r="AC672" s="8"/>
      <c r="AD672" s="26"/>
      <c r="AE672" s="26"/>
      <c r="AF672" s="26"/>
      <c r="AG672" s="26"/>
      <c r="AH672" s="26"/>
    </row>
    <row r="673" ht="12.75" customHeight="1">
      <c r="A673" s="24"/>
      <c r="B673" s="609"/>
      <c r="C673" s="24"/>
      <c r="D673" s="24"/>
      <c r="E673" s="610"/>
      <c r="F673" s="611"/>
      <c r="G673" s="26"/>
      <c r="H673" s="8"/>
      <c r="I673" s="611"/>
      <c r="J673" s="26"/>
      <c r="K673" s="8"/>
      <c r="L673" s="611"/>
      <c r="M673" s="26"/>
      <c r="N673" s="8"/>
      <c r="O673" s="611"/>
      <c r="P673" s="26"/>
      <c r="Q673" s="8"/>
      <c r="R673" s="611"/>
      <c r="S673" s="26"/>
      <c r="T673" s="8"/>
      <c r="U673" s="611"/>
      <c r="V673" s="26"/>
      <c r="W673" s="8"/>
      <c r="X673" s="611"/>
      <c r="Y673" s="26"/>
      <c r="Z673" s="8"/>
      <c r="AA673" s="611"/>
      <c r="AB673" s="26"/>
      <c r="AC673" s="8"/>
      <c r="AD673" s="26"/>
      <c r="AE673" s="26"/>
      <c r="AF673" s="26"/>
      <c r="AG673" s="26"/>
      <c r="AH673" s="26"/>
    </row>
    <row r="674" ht="12.75" customHeight="1">
      <c r="A674" s="24"/>
      <c r="B674" s="609"/>
      <c r="C674" s="24"/>
      <c r="D674" s="24"/>
      <c r="E674" s="610"/>
      <c r="F674" s="611"/>
      <c r="G674" s="26"/>
      <c r="H674" s="8"/>
      <c r="I674" s="611"/>
      <c r="J674" s="26"/>
      <c r="K674" s="8"/>
      <c r="L674" s="611"/>
      <c r="M674" s="26"/>
      <c r="N674" s="8"/>
      <c r="O674" s="611"/>
      <c r="P674" s="26"/>
      <c r="Q674" s="8"/>
      <c r="R674" s="611"/>
      <c r="S674" s="26"/>
      <c r="T674" s="8"/>
      <c r="U674" s="611"/>
      <c r="V674" s="26"/>
      <c r="W674" s="8"/>
      <c r="X674" s="611"/>
      <c r="Y674" s="26"/>
      <c r="Z674" s="8"/>
      <c r="AA674" s="611"/>
      <c r="AB674" s="26"/>
      <c r="AC674" s="8"/>
      <c r="AD674" s="26"/>
      <c r="AE674" s="26"/>
      <c r="AF674" s="26"/>
      <c r="AG674" s="26"/>
      <c r="AH674" s="26"/>
    </row>
    <row r="675" ht="12.75" customHeight="1">
      <c r="A675" s="24"/>
      <c r="B675" s="609"/>
      <c r="C675" s="24"/>
      <c r="D675" s="24"/>
      <c r="E675" s="610"/>
      <c r="F675" s="611"/>
      <c r="G675" s="26"/>
      <c r="H675" s="8"/>
      <c r="I675" s="611"/>
      <c r="J675" s="26"/>
      <c r="K675" s="8"/>
      <c r="L675" s="611"/>
      <c r="M675" s="26"/>
      <c r="N675" s="8"/>
      <c r="O675" s="611"/>
      <c r="P675" s="26"/>
      <c r="Q675" s="8"/>
      <c r="R675" s="611"/>
      <c r="S675" s="26"/>
      <c r="T675" s="8"/>
      <c r="U675" s="611"/>
      <c r="V675" s="26"/>
      <c r="W675" s="8"/>
      <c r="X675" s="611"/>
      <c r="Y675" s="26"/>
      <c r="Z675" s="8"/>
      <c r="AA675" s="611"/>
      <c r="AB675" s="26"/>
      <c r="AC675" s="8"/>
      <c r="AD675" s="26"/>
      <c r="AE675" s="26"/>
      <c r="AF675" s="26"/>
      <c r="AG675" s="26"/>
      <c r="AH675" s="26"/>
    </row>
    <row r="676" ht="12.75" customHeight="1">
      <c r="A676" s="24"/>
      <c r="B676" s="609"/>
      <c r="C676" s="24"/>
      <c r="D676" s="24"/>
      <c r="E676" s="610"/>
      <c r="F676" s="611"/>
      <c r="G676" s="26"/>
      <c r="H676" s="8"/>
      <c r="I676" s="611"/>
      <c r="J676" s="26"/>
      <c r="K676" s="8"/>
      <c r="L676" s="611"/>
      <c r="M676" s="26"/>
      <c r="N676" s="8"/>
      <c r="O676" s="611"/>
      <c r="P676" s="26"/>
      <c r="Q676" s="8"/>
      <c r="R676" s="611"/>
      <c r="S676" s="26"/>
      <c r="T676" s="8"/>
      <c r="U676" s="611"/>
      <c r="V676" s="26"/>
      <c r="W676" s="8"/>
      <c r="X676" s="611"/>
      <c r="Y676" s="26"/>
      <c r="Z676" s="8"/>
      <c r="AA676" s="611"/>
      <c r="AB676" s="26"/>
      <c r="AC676" s="8"/>
      <c r="AD676" s="26"/>
      <c r="AE676" s="26"/>
      <c r="AF676" s="26"/>
      <c r="AG676" s="26"/>
      <c r="AH676" s="26"/>
    </row>
    <row r="677" ht="12.75" customHeight="1">
      <c r="A677" s="24"/>
      <c r="B677" s="609"/>
      <c r="C677" s="24"/>
      <c r="D677" s="24"/>
      <c r="E677" s="610"/>
      <c r="F677" s="611"/>
      <c r="G677" s="26"/>
      <c r="H677" s="8"/>
      <c r="I677" s="611"/>
      <c r="J677" s="26"/>
      <c r="K677" s="8"/>
      <c r="L677" s="611"/>
      <c r="M677" s="26"/>
      <c r="N677" s="8"/>
      <c r="O677" s="611"/>
      <c r="P677" s="26"/>
      <c r="Q677" s="8"/>
      <c r="R677" s="611"/>
      <c r="S677" s="26"/>
      <c r="T677" s="8"/>
      <c r="U677" s="611"/>
      <c r="V677" s="26"/>
      <c r="W677" s="8"/>
      <c r="X677" s="611"/>
      <c r="Y677" s="26"/>
      <c r="Z677" s="8"/>
      <c r="AA677" s="611"/>
      <c r="AB677" s="26"/>
      <c r="AC677" s="8"/>
      <c r="AD677" s="26"/>
      <c r="AE677" s="26"/>
      <c r="AF677" s="26"/>
      <c r="AG677" s="26"/>
      <c r="AH677" s="26"/>
    </row>
    <row r="678" ht="12.75" customHeight="1">
      <c r="A678" s="24"/>
      <c r="B678" s="609"/>
      <c r="C678" s="24"/>
      <c r="D678" s="24"/>
      <c r="E678" s="610"/>
      <c r="F678" s="611"/>
      <c r="G678" s="26"/>
      <c r="H678" s="8"/>
      <c r="I678" s="611"/>
      <c r="J678" s="26"/>
      <c r="K678" s="8"/>
      <c r="L678" s="611"/>
      <c r="M678" s="26"/>
      <c r="N678" s="8"/>
      <c r="O678" s="611"/>
      <c r="P678" s="26"/>
      <c r="Q678" s="8"/>
      <c r="R678" s="611"/>
      <c r="S678" s="26"/>
      <c r="T678" s="8"/>
      <c r="U678" s="611"/>
      <c r="V678" s="26"/>
      <c r="W678" s="8"/>
      <c r="X678" s="611"/>
      <c r="Y678" s="26"/>
      <c r="Z678" s="8"/>
      <c r="AA678" s="611"/>
      <c r="AB678" s="26"/>
      <c r="AC678" s="8"/>
      <c r="AD678" s="26"/>
      <c r="AE678" s="26"/>
      <c r="AF678" s="26"/>
      <c r="AG678" s="26"/>
      <c r="AH678" s="26"/>
    </row>
    <row r="679" ht="12.75" customHeight="1">
      <c r="A679" s="24"/>
      <c r="B679" s="609"/>
      <c r="C679" s="24"/>
      <c r="D679" s="24"/>
      <c r="E679" s="610"/>
      <c r="F679" s="611"/>
      <c r="G679" s="26"/>
      <c r="H679" s="8"/>
      <c r="I679" s="611"/>
      <c r="J679" s="26"/>
      <c r="K679" s="8"/>
      <c r="L679" s="611"/>
      <c r="M679" s="26"/>
      <c r="N679" s="8"/>
      <c r="O679" s="611"/>
      <c r="P679" s="26"/>
      <c r="Q679" s="8"/>
      <c r="R679" s="611"/>
      <c r="S679" s="26"/>
      <c r="T679" s="8"/>
      <c r="U679" s="611"/>
      <c r="V679" s="26"/>
      <c r="W679" s="8"/>
      <c r="X679" s="611"/>
      <c r="Y679" s="26"/>
      <c r="Z679" s="8"/>
      <c r="AA679" s="611"/>
      <c r="AB679" s="26"/>
      <c r="AC679" s="8"/>
      <c r="AD679" s="26"/>
      <c r="AE679" s="26"/>
      <c r="AF679" s="26"/>
      <c r="AG679" s="26"/>
      <c r="AH679" s="26"/>
    </row>
    <row r="680" ht="12.75" customHeight="1">
      <c r="A680" s="24"/>
      <c r="B680" s="609"/>
      <c r="C680" s="24"/>
      <c r="D680" s="24"/>
      <c r="E680" s="610"/>
      <c r="F680" s="611"/>
      <c r="G680" s="26"/>
      <c r="H680" s="8"/>
      <c r="I680" s="611"/>
      <c r="J680" s="26"/>
      <c r="K680" s="8"/>
      <c r="L680" s="611"/>
      <c r="M680" s="26"/>
      <c r="N680" s="8"/>
      <c r="O680" s="611"/>
      <c r="P680" s="26"/>
      <c r="Q680" s="8"/>
      <c r="R680" s="611"/>
      <c r="S680" s="26"/>
      <c r="T680" s="8"/>
      <c r="U680" s="611"/>
      <c r="V680" s="26"/>
      <c r="W680" s="8"/>
      <c r="X680" s="611"/>
      <c r="Y680" s="26"/>
      <c r="Z680" s="8"/>
      <c r="AA680" s="611"/>
      <c r="AB680" s="26"/>
      <c r="AC680" s="8"/>
      <c r="AD680" s="26"/>
      <c r="AE680" s="26"/>
      <c r="AF680" s="26"/>
      <c r="AG680" s="26"/>
      <c r="AH680" s="26"/>
    </row>
    <row r="681" ht="12.75" customHeight="1">
      <c r="A681" s="24"/>
      <c r="B681" s="609"/>
      <c r="C681" s="24"/>
      <c r="D681" s="24"/>
      <c r="E681" s="610"/>
      <c r="F681" s="611"/>
      <c r="G681" s="26"/>
      <c r="H681" s="8"/>
      <c r="I681" s="611"/>
      <c r="J681" s="26"/>
      <c r="K681" s="8"/>
      <c r="L681" s="611"/>
      <c r="M681" s="26"/>
      <c r="N681" s="8"/>
      <c r="O681" s="611"/>
      <c r="P681" s="26"/>
      <c r="Q681" s="8"/>
      <c r="R681" s="611"/>
      <c r="S681" s="26"/>
      <c r="T681" s="8"/>
      <c r="U681" s="611"/>
      <c r="V681" s="26"/>
      <c r="W681" s="8"/>
      <c r="X681" s="611"/>
      <c r="Y681" s="26"/>
      <c r="Z681" s="8"/>
      <c r="AA681" s="611"/>
      <c r="AB681" s="26"/>
      <c r="AC681" s="8"/>
      <c r="AD681" s="26"/>
      <c r="AE681" s="26"/>
      <c r="AF681" s="26"/>
      <c r="AG681" s="26"/>
      <c r="AH681" s="26"/>
    </row>
    <row r="682" ht="12.75" customHeight="1">
      <c r="A682" s="24"/>
      <c r="B682" s="609"/>
      <c r="C682" s="24"/>
      <c r="D682" s="24"/>
      <c r="E682" s="610"/>
      <c r="F682" s="611"/>
      <c r="G682" s="26"/>
      <c r="H682" s="8"/>
      <c r="I682" s="611"/>
      <c r="J682" s="26"/>
      <c r="K682" s="8"/>
      <c r="L682" s="611"/>
      <c r="M682" s="26"/>
      <c r="N682" s="8"/>
      <c r="O682" s="611"/>
      <c r="P682" s="26"/>
      <c r="Q682" s="8"/>
      <c r="R682" s="611"/>
      <c r="S682" s="26"/>
      <c r="T682" s="8"/>
      <c r="U682" s="611"/>
      <c r="V682" s="26"/>
      <c r="W682" s="8"/>
      <c r="X682" s="611"/>
      <c r="Y682" s="26"/>
      <c r="Z682" s="8"/>
      <c r="AA682" s="611"/>
      <c r="AB682" s="26"/>
      <c r="AC682" s="8"/>
      <c r="AD682" s="26"/>
      <c r="AE682" s="26"/>
      <c r="AF682" s="26"/>
      <c r="AG682" s="26"/>
      <c r="AH682" s="26"/>
    </row>
    <row r="683" ht="12.75" customHeight="1">
      <c r="A683" s="24"/>
      <c r="B683" s="609"/>
      <c r="C683" s="24"/>
      <c r="D683" s="24"/>
      <c r="E683" s="610"/>
      <c r="F683" s="611"/>
      <c r="G683" s="26"/>
      <c r="H683" s="8"/>
      <c r="I683" s="611"/>
      <c r="J683" s="26"/>
      <c r="K683" s="8"/>
      <c r="L683" s="611"/>
      <c r="M683" s="26"/>
      <c r="N683" s="8"/>
      <c r="O683" s="611"/>
      <c r="P683" s="26"/>
      <c r="Q683" s="8"/>
      <c r="R683" s="611"/>
      <c r="S683" s="26"/>
      <c r="T683" s="8"/>
      <c r="U683" s="611"/>
      <c r="V683" s="26"/>
      <c r="W683" s="8"/>
      <c r="X683" s="611"/>
      <c r="Y683" s="26"/>
      <c r="Z683" s="8"/>
      <c r="AA683" s="611"/>
      <c r="AB683" s="26"/>
      <c r="AC683" s="8"/>
      <c r="AD683" s="26"/>
      <c r="AE683" s="26"/>
      <c r="AF683" s="26"/>
      <c r="AG683" s="26"/>
      <c r="AH683" s="26"/>
    </row>
    <row r="684" ht="12.75" customHeight="1">
      <c r="A684" s="24"/>
      <c r="B684" s="609"/>
      <c r="C684" s="24"/>
      <c r="D684" s="24"/>
      <c r="E684" s="610"/>
      <c r="F684" s="611"/>
      <c r="G684" s="26"/>
      <c r="H684" s="8"/>
      <c r="I684" s="611"/>
      <c r="J684" s="26"/>
      <c r="K684" s="8"/>
      <c r="L684" s="611"/>
      <c r="M684" s="26"/>
      <c r="N684" s="8"/>
      <c r="O684" s="611"/>
      <c r="P684" s="26"/>
      <c r="Q684" s="8"/>
      <c r="R684" s="611"/>
      <c r="S684" s="26"/>
      <c r="T684" s="8"/>
      <c r="U684" s="611"/>
      <c r="V684" s="26"/>
      <c r="W684" s="8"/>
      <c r="X684" s="611"/>
      <c r="Y684" s="26"/>
      <c r="Z684" s="8"/>
      <c r="AA684" s="611"/>
      <c r="AB684" s="26"/>
      <c r="AC684" s="8"/>
      <c r="AD684" s="26"/>
      <c r="AE684" s="26"/>
      <c r="AF684" s="26"/>
      <c r="AG684" s="26"/>
      <c r="AH684" s="26"/>
    </row>
    <row r="685" ht="12.75" customHeight="1">
      <c r="A685" s="24"/>
      <c r="B685" s="609"/>
      <c r="C685" s="24"/>
      <c r="D685" s="24"/>
      <c r="E685" s="610"/>
      <c r="F685" s="611"/>
      <c r="G685" s="26"/>
      <c r="H685" s="8"/>
      <c r="I685" s="611"/>
      <c r="J685" s="26"/>
      <c r="K685" s="8"/>
      <c r="L685" s="611"/>
      <c r="M685" s="26"/>
      <c r="N685" s="8"/>
      <c r="O685" s="611"/>
      <c r="P685" s="26"/>
      <c r="Q685" s="8"/>
      <c r="R685" s="611"/>
      <c r="S685" s="26"/>
      <c r="T685" s="8"/>
      <c r="U685" s="611"/>
      <c r="V685" s="26"/>
      <c r="W685" s="8"/>
      <c r="X685" s="611"/>
      <c r="Y685" s="26"/>
      <c r="Z685" s="8"/>
      <c r="AA685" s="611"/>
      <c r="AB685" s="26"/>
      <c r="AC685" s="8"/>
      <c r="AD685" s="26"/>
      <c r="AE685" s="26"/>
      <c r="AF685" s="26"/>
      <c r="AG685" s="26"/>
      <c r="AH685" s="26"/>
    </row>
    <row r="686" ht="12.75" customHeight="1">
      <c r="A686" s="24"/>
      <c r="B686" s="609"/>
      <c r="C686" s="24"/>
      <c r="D686" s="24"/>
      <c r="E686" s="610"/>
      <c r="F686" s="611"/>
      <c r="G686" s="26"/>
      <c r="H686" s="8"/>
      <c r="I686" s="611"/>
      <c r="J686" s="26"/>
      <c r="K686" s="8"/>
      <c r="L686" s="611"/>
      <c r="M686" s="26"/>
      <c r="N686" s="8"/>
      <c r="O686" s="611"/>
      <c r="P686" s="26"/>
      <c r="Q686" s="8"/>
      <c r="R686" s="611"/>
      <c r="S686" s="26"/>
      <c r="T686" s="8"/>
      <c r="U686" s="611"/>
      <c r="V686" s="26"/>
      <c r="W686" s="8"/>
      <c r="X686" s="611"/>
      <c r="Y686" s="26"/>
      <c r="Z686" s="8"/>
      <c r="AA686" s="611"/>
      <c r="AB686" s="26"/>
      <c r="AC686" s="8"/>
      <c r="AD686" s="26"/>
      <c r="AE686" s="26"/>
      <c r="AF686" s="26"/>
      <c r="AG686" s="26"/>
      <c r="AH686" s="26"/>
    </row>
    <row r="687" ht="12.75" customHeight="1">
      <c r="A687" s="24"/>
      <c r="B687" s="609"/>
      <c r="C687" s="24"/>
      <c r="D687" s="24"/>
      <c r="E687" s="610"/>
      <c r="F687" s="611"/>
      <c r="G687" s="26"/>
      <c r="H687" s="8"/>
      <c r="I687" s="611"/>
      <c r="J687" s="26"/>
      <c r="K687" s="8"/>
      <c r="L687" s="611"/>
      <c r="M687" s="26"/>
      <c r="N687" s="8"/>
      <c r="O687" s="611"/>
      <c r="P687" s="26"/>
      <c r="Q687" s="8"/>
      <c r="R687" s="611"/>
      <c r="S687" s="26"/>
      <c r="T687" s="8"/>
      <c r="U687" s="611"/>
      <c r="V687" s="26"/>
      <c r="W687" s="8"/>
      <c r="X687" s="611"/>
      <c r="Y687" s="26"/>
      <c r="Z687" s="8"/>
      <c r="AA687" s="611"/>
      <c r="AB687" s="26"/>
      <c r="AC687" s="8"/>
      <c r="AD687" s="26"/>
      <c r="AE687" s="26"/>
      <c r="AF687" s="26"/>
      <c r="AG687" s="26"/>
      <c r="AH687" s="26"/>
    </row>
    <row r="688" ht="12.75" customHeight="1">
      <c r="A688" s="24"/>
      <c r="B688" s="609"/>
      <c r="C688" s="24"/>
      <c r="D688" s="24"/>
      <c r="E688" s="610"/>
      <c r="F688" s="611"/>
      <c r="G688" s="26"/>
      <c r="H688" s="8"/>
      <c r="I688" s="611"/>
      <c r="J688" s="26"/>
      <c r="K688" s="8"/>
      <c r="L688" s="611"/>
      <c r="M688" s="26"/>
      <c r="N688" s="8"/>
      <c r="O688" s="611"/>
      <c r="P688" s="26"/>
      <c r="Q688" s="8"/>
      <c r="R688" s="611"/>
      <c r="S688" s="26"/>
      <c r="T688" s="8"/>
      <c r="U688" s="611"/>
      <c r="V688" s="26"/>
      <c r="W688" s="8"/>
      <c r="X688" s="611"/>
      <c r="Y688" s="26"/>
      <c r="Z688" s="8"/>
      <c r="AA688" s="611"/>
      <c r="AB688" s="26"/>
      <c r="AC688" s="8"/>
      <c r="AD688" s="26"/>
      <c r="AE688" s="26"/>
      <c r="AF688" s="26"/>
      <c r="AG688" s="26"/>
      <c r="AH688" s="26"/>
    </row>
    <row r="689" ht="12.75" customHeight="1">
      <c r="A689" s="24"/>
      <c r="B689" s="609"/>
      <c r="C689" s="24"/>
      <c r="D689" s="24"/>
      <c r="E689" s="610"/>
      <c r="F689" s="611"/>
      <c r="G689" s="26"/>
      <c r="H689" s="8"/>
      <c r="I689" s="611"/>
      <c r="J689" s="26"/>
      <c r="K689" s="8"/>
      <c r="L689" s="611"/>
      <c r="M689" s="26"/>
      <c r="N689" s="8"/>
      <c r="O689" s="611"/>
      <c r="P689" s="26"/>
      <c r="Q689" s="8"/>
      <c r="R689" s="611"/>
      <c r="S689" s="26"/>
      <c r="T689" s="8"/>
      <c r="U689" s="611"/>
      <c r="V689" s="26"/>
      <c r="W689" s="8"/>
      <c r="X689" s="611"/>
      <c r="Y689" s="26"/>
      <c r="Z689" s="8"/>
      <c r="AA689" s="611"/>
      <c r="AB689" s="26"/>
      <c r="AC689" s="8"/>
      <c r="AD689" s="26"/>
      <c r="AE689" s="26"/>
      <c r="AF689" s="26"/>
      <c r="AG689" s="26"/>
      <c r="AH689" s="26"/>
    </row>
    <row r="690" ht="12.75" customHeight="1">
      <c r="A690" s="24"/>
      <c r="B690" s="609"/>
      <c r="C690" s="24"/>
      <c r="D690" s="24"/>
      <c r="E690" s="610"/>
      <c r="F690" s="611"/>
      <c r="G690" s="26"/>
      <c r="H690" s="8"/>
      <c r="I690" s="611"/>
      <c r="J690" s="26"/>
      <c r="K690" s="8"/>
      <c r="L690" s="611"/>
      <c r="M690" s="26"/>
      <c r="N690" s="8"/>
      <c r="O690" s="611"/>
      <c r="P690" s="26"/>
      <c r="Q690" s="8"/>
      <c r="R690" s="611"/>
      <c r="S690" s="26"/>
      <c r="T690" s="8"/>
      <c r="U690" s="611"/>
      <c r="V690" s="26"/>
      <c r="W690" s="8"/>
      <c r="X690" s="611"/>
      <c r="Y690" s="26"/>
      <c r="Z690" s="8"/>
      <c r="AA690" s="611"/>
      <c r="AB690" s="26"/>
      <c r="AC690" s="8"/>
      <c r="AD690" s="26"/>
      <c r="AE690" s="26"/>
      <c r="AF690" s="26"/>
      <c r="AG690" s="26"/>
      <c r="AH690" s="26"/>
    </row>
    <row r="691" ht="12.75" customHeight="1">
      <c r="A691" s="24"/>
      <c r="B691" s="609"/>
      <c r="C691" s="24"/>
      <c r="D691" s="24"/>
      <c r="E691" s="610"/>
      <c r="F691" s="611"/>
      <c r="G691" s="26"/>
      <c r="H691" s="8"/>
      <c r="I691" s="611"/>
      <c r="J691" s="26"/>
      <c r="K691" s="8"/>
      <c r="L691" s="611"/>
      <c r="M691" s="26"/>
      <c r="N691" s="8"/>
      <c r="O691" s="611"/>
      <c r="P691" s="26"/>
      <c r="Q691" s="8"/>
      <c r="R691" s="611"/>
      <c r="S691" s="26"/>
      <c r="T691" s="8"/>
      <c r="U691" s="611"/>
      <c r="V691" s="26"/>
      <c r="W691" s="8"/>
      <c r="X691" s="611"/>
      <c r="Y691" s="26"/>
      <c r="Z691" s="8"/>
      <c r="AA691" s="611"/>
      <c r="AB691" s="26"/>
      <c r="AC691" s="8"/>
      <c r="AD691" s="26"/>
      <c r="AE691" s="26"/>
      <c r="AF691" s="26"/>
      <c r="AG691" s="26"/>
      <c r="AH691" s="26"/>
    </row>
    <row r="692" ht="12.75" customHeight="1">
      <c r="A692" s="24"/>
      <c r="B692" s="609"/>
      <c r="C692" s="24"/>
      <c r="D692" s="24"/>
      <c r="E692" s="610"/>
      <c r="F692" s="611"/>
      <c r="G692" s="26"/>
      <c r="H692" s="8"/>
      <c r="I692" s="611"/>
      <c r="J692" s="26"/>
      <c r="K692" s="8"/>
      <c r="L692" s="611"/>
      <c r="M692" s="26"/>
      <c r="N692" s="8"/>
      <c r="O692" s="611"/>
      <c r="P692" s="26"/>
      <c r="Q692" s="8"/>
      <c r="R692" s="611"/>
      <c r="S692" s="26"/>
      <c r="T692" s="8"/>
      <c r="U692" s="611"/>
      <c r="V692" s="26"/>
      <c r="W692" s="8"/>
      <c r="X692" s="611"/>
      <c r="Y692" s="26"/>
      <c r="Z692" s="8"/>
      <c r="AA692" s="611"/>
      <c r="AB692" s="26"/>
      <c r="AC692" s="8"/>
      <c r="AD692" s="26"/>
      <c r="AE692" s="26"/>
      <c r="AF692" s="26"/>
      <c r="AG692" s="26"/>
      <c r="AH692" s="26"/>
    </row>
    <row r="693" ht="12.75" customHeight="1">
      <c r="A693" s="24"/>
      <c r="B693" s="609"/>
      <c r="C693" s="24"/>
      <c r="D693" s="24"/>
      <c r="E693" s="610"/>
      <c r="F693" s="611"/>
      <c r="G693" s="26"/>
      <c r="H693" s="8"/>
      <c r="I693" s="611"/>
      <c r="J693" s="26"/>
      <c r="K693" s="8"/>
      <c r="L693" s="611"/>
      <c r="M693" s="26"/>
      <c r="N693" s="8"/>
      <c r="O693" s="611"/>
      <c r="P693" s="26"/>
      <c r="Q693" s="8"/>
      <c r="R693" s="611"/>
      <c r="S693" s="26"/>
      <c r="T693" s="8"/>
      <c r="U693" s="611"/>
      <c r="V693" s="26"/>
      <c r="W693" s="8"/>
      <c r="X693" s="611"/>
      <c r="Y693" s="26"/>
      <c r="Z693" s="8"/>
      <c r="AA693" s="611"/>
      <c r="AB693" s="26"/>
      <c r="AC693" s="8"/>
      <c r="AD693" s="26"/>
      <c r="AE693" s="26"/>
      <c r="AF693" s="26"/>
      <c r="AG693" s="26"/>
      <c r="AH693" s="26"/>
    </row>
    <row r="694" ht="12.75" customHeight="1">
      <c r="A694" s="24"/>
      <c r="B694" s="609"/>
      <c r="C694" s="24"/>
      <c r="D694" s="24"/>
      <c r="E694" s="610"/>
      <c r="F694" s="611"/>
      <c r="G694" s="26"/>
      <c r="H694" s="8"/>
      <c r="I694" s="611"/>
      <c r="J694" s="26"/>
      <c r="K694" s="8"/>
      <c r="L694" s="611"/>
      <c r="M694" s="26"/>
      <c r="N694" s="8"/>
      <c r="O694" s="611"/>
      <c r="P694" s="26"/>
      <c r="Q694" s="8"/>
      <c r="R694" s="611"/>
      <c r="S694" s="26"/>
      <c r="T694" s="8"/>
      <c r="U694" s="611"/>
      <c r="V694" s="26"/>
      <c r="W694" s="8"/>
      <c r="X694" s="611"/>
      <c r="Y694" s="26"/>
      <c r="Z694" s="8"/>
      <c r="AA694" s="611"/>
      <c r="AB694" s="26"/>
      <c r="AC694" s="8"/>
      <c r="AD694" s="26"/>
      <c r="AE694" s="26"/>
      <c r="AF694" s="26"/>
      <c r="AG694" s="26"/>
      <c r="AH694" s="26"/>
    </row>
    <row r="695" ht="12.75" customHeight="1">
      <c r="A695" s="24"/>
      <c r="B695" s="609"/>
      <c r="C695" s="24"/>
      <c r="D695" s="24"/>
      <c r="E695" s="610"/>
      <c r="F695" s="611"/>
      <c r="G695" s="26"/>
      <c r="H695" s="8"/>
      <c r="I695" s="611"/>
      <c r="J695" s="26"/>
      <c r="K695" s="8"/>
      <c r="L695" s="611"/>
      <c r="M695" s="26"/>
      <c r="N695" s="8"/>
      <c r="O695" s="611"/>
      <c r="P695" s="26"/>
      <c r="Q695" s="8"/>
      <c r="R695" s="611"/>
      <c r="S695" s="26"/>
      <c r="T695" s="8"/>
      <c r="U695" s="611"/>
      <c r="V695" s="26"/>
      <c r="W695" s="8"/>
      <c r="X695" s="611"/>
      <c r="Y695" s="26"/>
      <c r="Z695" s="8"/>
      <c r="AA695" s="611"/>
      <c r="AB695" s="26"/>
      <c r="AC695" s="8"/>
      <c r="AD695" s="26"/>
      <c r="AE695" s="26"/>
      <c r="AF695" s="26"/>
      <c r="AG695" s="26"/>
      <c r="AH695" s="26"/>
    </row>
    <row r="696" ht="12.75" customHeight="1">
      <c r="A696" s="24"/>
      <c r="B696" s="609"/>
      <c r="C696" s="24"/>
      <c r="D696" s="24"/>
      <c r="E696" s="610"/>
      <c r="F696" s="611"/>
      <c r="G696" s="26"/>
      <c r="H696" s="8"/>
      <c r="I696" s="611"/>
      <c r="J696" s="26"/>
      <c r="K696" s="8"/>
      <c r="L696" s="611"/>
      <c r="M696" s="26"/>
      <c r="N696" s="8"/>
      <c r="O696" s="611"/>
      <c r="P696" s="26"/>
      <c r="Q696" s="8"/>
      <c r="R696" s="611"/>
      <c r="S696" s="26"/>
      <c r="T696" s="8"/>
      <c r="U696" s="611"/>
      <c r="V696" s="26"/>
      <c r="W696" s="8"/>
      <c r="X696" s="611"/>
      <c r="Y696" s="26"/>
      <c r="Z696" s="8"/>
      <c r="AA696" s="611"/>
      <c r="AB696" s="26"/>
      <c r="AC696" s="8"/>
      <c r="AD696" s="26"/>
      <c r="AE696" s="26"/>
      <c r="AF696" s="26"/>
      <c r="AG696" s="26"/>
      <c r="AH696" s="26"/>
    </row>
    <row r="697" ht="12.75" customHeight="1">
      <c r="A697" s="24"/>
      <c r="B697" s="609"/>
      <c r="C697" s="24"/>
      <c r="D697" s="24"/>
      <c r="E697" s="610"/>
      <c r="F697" s="611"/>
      <c r="G697" s="26"/>
      <c r="H697" s="8"/>
      <c r="I697" s="611"/>
      <c r="J697" s="26"/>
      <c r="K697" s="8"/>
      <c r="L697" s="611"/>
      <c r="M697" s="26"/>
      <c r="N697" s="8"/>
      <c r="O697" s="611"/>
      <c r="P697" s="26"/>
      <c r="Q697" s="8"/>
      <c r="R697" s="611"/>
      <c r="S697" s="26"/>
      <c r="T697" s="8"/>
      <c r="U697" s="611"/>
      <c r="V697" s="26"/>
      <c r="W697" s="8"/>
      <c r="X697" s="611"/>
      <c r="Y697" s="26"/>
      <c r="Z697" s="8"/>
      <c r="AA697" s="611"/>
      <c r="AB697" s="26"/>
      <c r="AC697" s="8"/>
      <c r="AD697" s="26"/>
      <c r="AE697" s="26"/>
      <c r="AF697" s="26"/>
      <c r="AG697" s="26"/>
      <c r="AH697" s="26"/>
    </row>
    <row r="698" ht="12.75" customHeight="1">
      <c r="A698" s="24"/>
      <c r="B698" s="609"/>
      <c r="C698" s="24"/>
      <c r="D698" s="24"/>
      <c r="E698" s="610"/>
      <c r="F698" s="611"/>
      <c r="G698" s="26"/>
      <c r="H698" s="8"/>
      <c r="I698" s="611"/>
      <c r="J698" s="26"/>
      <c r="K698" s="8"/>
      <c r="L698" s="611"/>
      <c r="M698" s="26"/>
      <c r="N698" s="8"/>
      <c r="O698" s="611"/>
      <c r="P698" s="26"/>
      <c r="Q698" s="8"/>
      <c r="R698" s="611"/>
      <c r="S698" s="26"/>
      <c r="T698" s="8"/>
      <c r="U698" s="611"/>
      <c r="V698" s="26"/>
      <c r="W698" s="8"/>
      <c r="X698" s="611"/>
      <c r="Y698" s="26"/>
      <c r="Z698" s="8"/>
      <c r="AA698" s="611"/>
      <c r="AB698" s="26"/>
      <c r="AC698" s="8"/>
      <c r="AD698" s="26"/>
      <c r="AE698" s="26"/>
      <c r="AF698" s="26"/>
      <c r="AG698" s="26"/>
      <c r="AH698" s="26"/>
    </row>
    <row r="699" ht="12.75" customHeight="1">
      <c r="A699" s="24"/>
      <c r="B699" s="609"/>
      <c r="C699" s="24"/>
      <c r="D699" s="24"/>
      <c r="E699" s="610"/>
      <c r="F699" s="611"/>
      <c r="G699" s="26"/>
      <c r="H699" s="8"/>
      <c r="I699" s="611"/>
      <c r="J699" s="26"/>
      <c r="K699" s="8"/>
      <c r="L699" s="611"/>
      <c r="M699" s="26"/>
      <c r="N699" s="8"/>
      <c r="O699" s="611"/>
      <c r="P699" s="26"/>
      <c r="Q699" s="8"/>
      <c r="R699" s="611"/>
      <c r="S699" s="26"/>
      <c r="T699" s="8"/>
      <c r="U699" s="611"/>
      <c r="V699" s="26"/>
      <c r="W699" s="8"/>
      <c r="X699" s="611"/>
      <c r="Y699" s="26"/>
      <c r="Z699" s="8"/>
      <c r="AA699" s="611"/>
      <c r="AB699" s="26"/>
      <c r="AC699" s="8"/>
      <c r="AD699" s="26"/>
      <c r="AE699" s="26"/>
      <c r="AF699" s="26"/>
      <c r="AG699" s="26"/>
      <c r="AH699" s="26"/>
    </row>
    <row r="700" ht="12.75" customHeight="1">
      <c r="A700" s="24"/>
      <c r="B700" s="609"/>
      <c r="C700" s="24"/>
      <c r="D700" s="24"/>
      <c r="E700" s="610"/>
      <c r="F700" s="611"/>
      <c r="G700" s="26"/>
      <c r="H700" s="8"/>
      <c r="I700" s="611"/>
      <c r="J700" s="26"/>
      <c r="K700" s="8"/>
      <c r="L700" s="611"/>
      <c r="M700" s="26"/>
      <c r="N700" s="8"/>
      <c r="O700" s="611"/>
      <c r="P700" s="26"/>
      <c r="Q700" s="8"/>
      <c r="R700" s="611"/>
      <c r="S700" s="26"/>
      <c r="T700" s="8"/>
      <c r="U700" s="611"/>
      <c r="V700" s="26"/>
      <c r="W700" s="8"/>
      <c r="X700" s="611"/>
      <c r="Y700" s="26"/>
      <c r="Z700" s="8"/>
      <c r="AA700" s="611"/>
      <c r="AB700" s="26"/>
      <c r="AC700" s="8"/>
      <c r="AD700" s="26"/>
      <c r="AE700" s="26"/>
      <c r="AF700" s="26"/>
      <c r="AG700" s="26"/>
      <c r="AH700" s="26"/>
    </row>
    <row r="701" ht="12.75" customHeight="1">
      <c r="A701" s="24"/>
      <c r="B701" s="609"/>
      <c r="C701" s="24"/>
      <c r="D701" s="24"/>
      <c r="E701" s="610"/>
      <c r="F701" s="611"/>
      <c r="G701" s="26"/>
      <c r="H701" s="8"/>
      <c r="I701" s="611"/>
      <c r="J701" s="26"/>
      <c r="K701" s="8"/>
      <c r="L701" s="611"/>
      <c r="M701" s="26"/>
      <c r="N701" s="8"/>
      <c r="O701" s="611"/>
      <c r="P701" s="26"/>
      <c r="Q701" s="8"/>
      <c r="R701" s="611"/>
      <c r="S701" s="26"/>
      <c r="T701" s="8"/>
      <c r="U701" s="611"/>
      <c r="V701" s="26"/>
      <c r="W701" s="8"/>
      <c r="X701" s="611"/>
      <c r="Y701" s="26"/>
      <c r="Z701" s="8"/>
      <c r="AA701" s="611"/>
      <c r="AB701" s="26"/>
      <c r="AC701" s="8"/>
      <c r="AD701" s="26"/>
      <c r="AE701" s="26"/>
      <c r="AF701" s="26"/>
      <c r="AG701" s="26"/>
      <c r="AH701" s="26"/>
    </row>
    <row r="702" ht="12.75" customHeight="1">
      <c r="A702" s="24"/>
      <c r="B702" s="609"/>
      <c r="C702" s="24"/>
      <c r="D702" s="24"/>
      <c r="E702" s="610"/>
      <c r="F702" s="611"/>
      <c r="G702" s="26"/>
      <c r="H702" s="8"/>
      <c r="I702" s="611"/>
      <c r="J702" s="26"/>
      <c r="K702" s="8"/>
      <c r="L702" s="611"/>
      <c r="M702" s="26"/>
      <c r="N702" s="8"/>
      <c r="O702" s="611"/>
      <c r="P702" s="26"/>
      <c r="Q702" s="8"/>
      <c r="R702" s="611"/>
      <c r="S702" s="26"/>
      <c r="T702" s="8"/>
      <c r="U702" s="611"/>
      <c r="V702" s="26"/>
      <c r="W702" s="8"/>
      <c r="X702" s="611"/>
      <c r="Y702" s="26"/>
      <c r="Z702" s="8"/>
      <c r="AA702" s="611"/>
      <c r="AB702" s="26"/>
      <c r="AC702" s="8"/>
      <c r="AD702" s="26"/>
      <c r="AE702" s="26"/>
      <c r="AF702" s="26"/>
      <c r="AG702" s="26"/>
      <c r="AH702" s="26"/>
    </row>
    <row r="703" ht="12.75" customHeight="1">
      <c r="A703" s="24"/>
      <c r="B703" s="609"/>
      <c r="C703" s="24"/>
      <c r="D703" s="24"/>
      <c r="E703" s="610"/>
      <c r="F703" s="611"/>
      <c r="G703" s="26"/>
      <c r="H703" s="8"/>
      <c r="I703" s="611"/>
      <c r="J703" s="26"/>
      <c r="K703" s="8"/>
      <c r="L703" s="611"/>
      <c r="M703" s="26"/>
      <c r="N703" s="8"/>
      <c r="O703" s="611"/>
      <c r="P703" s="26"/>
      <c r="Q703" s="8"/>
      <c r="R703" s="611"/>
      <c r="S703" s="26"/>
      <c r="T703" s="8"/>
      <c r="U703" s="611"/>
      <c r="V703" s="26"/>
      <c r="W703" s="8"/>
      <c r="X703" s="611"/>
      <c r="Y703" s="26"/>
      <c r="Z703" s="8"/>
      <c r="AA703" s="611"/>
      <c r="AB703" s="26"/>
      <c r="AC703" s="8"/>
      <c r="AD703" s="26"/>
      <c r="AE703" s="26"/>
      <c r="AF703" s="26"/>
      <c r="AG703" s="26"/>
      <c r="AH703" s="26"/>
    </row>
    <row r="704" ht="12.75" customHeight="1">
      <c r="A704" s="24"/>
      <c r="B704" s="609"/>
      <c r="C704" s="24"/>
      <c r="D704" s="24"/>
      <c r="E704" s="610"/>
      <c r="F704" s="611"/>
      <c r="G704" s="26"/>
      <c r="H704" s="8"/>
      <c r="I704" s="611"/>
      <c r="J704" s="26"/>
      <c r="K704" s="8"/>
      <c r="L704" s="611"/>
      <c r="M704" s="26"/>
      <c r="N704" s="8"/>
      <c r="O704" s="611"/>
      <c r="P704" s="26"/>
      <c r="Q704" s="8"/>
      <c r="R704" s="611"/>
      <c r="S704" s="26"/>
      <c r="T704" s="8"/>
      <c r="U704" s="611"/>
      <c r="V704" s="26"/>
      <c r="W704" s="8"/>
      <c r="X704" s="611"/>
      <c r="Y704" s="26"/>
      <c r="Z704" s="8"/>
      <c r="AA704" s="611"/>
      <c r="AB704" s="26"/>
      <c r="AC704" s="8"/>
      <c r="AD704" s="26"/>
      <c r="AE704" s="26"/>
      <c r="AF704" s="26"/>
      <c r="AG704" s="26"/>
      <c r="AH704" s="26"/>
    </row>
    <row r="705" ht="12.75" customHeight="1">
      <c r="A705" s="24"/>
      <c r="B705" s="609"/>
      <c r="C705" s="24"/>
      <c r="D705" s="24"/>
      <c r="E705" s="610"/>
      <c r="F705" s="611"/>
      <c r="G705" s="26"/>
      <c r="H705" s="8"/>
      <c r="I705" s="611"/>
      <c r="J705" s="26"/>
      <c r="K705" s="8"/>
      <c r="L705" s="611"/>
      <c r="M705" s="26"/>
      <c r="N705" s="8"/>
      <c r="O705" s="611"/>
      <c r="P705" s="26"/>
      <c r="Q705" s="8"/>
      <c r="R705" s="611"/>
      <c r="S705" s="26"/>
      <c r="T705" s="8"/>
      <c r="U705" s="611"/>
      <c r="V705" s="26"/>
      <c r="W705" s="8"/>
      <c r="X705" s="611"/>
      <c r="Y705" s="26"/>
      <c r="Z705" s="8"/>
      <c r="AA705" s="611"/>
      <c r="AB705" s="26"/>
      <c r="AC705" s="8"/>
      <c r="AD705" s="26"/>
      <c r="AE705" s="26"/>
      <c r="AF705" s="26"/>
      <c r="AG705" s="26"/>
      <c r="AH705" s="26"/>
    </row>
    <row r="706" ht="12.75" customHeight="1">
      <c r="A706" s="24"/>
      <c r="B706" s="609"/>
      <c r="C706" s="24"/>
      <c r="D706" s="24"/>
      <c r="E706" s="610"/>
      <c r="F706" s="611"/>
      <c r="G706" s="26"/>
      <c r="H706" s="8"/>
      <c r="I706" s="611"/>
      <c r="J706" s="26"/>
      <c r="K706" s="8"/>
      <c r="L706" s="611"/>
      <c r="M706" s="26"/>
      <c r="N706" s="8"/>
      <c r="O706" s="611"/>
      <c r="P706" s="26"/>
      <c r="Q706" s="8"/>
      <c r="R706" s="611"/>
      <c r="S706" s="26"/>
      <c r="T706" s="8"/>
      <c r="U706" s="611"/>
      <c r="V706" s="26"/>
      <c r="W706" s="8"/>
      <c r="X706" s="611"/>
      <c r="Y706" s="26"/>
      <c r="Z706" s="8"/>
      <c r="AA706" s="611"/>
      <c r="AB706" s="26"/>
      <c r="AC706" s="8"/>
      <c r="AD706" s="26"/>
      <c r="AE706" s="26"/>
      <c r="AF706" s="26"/>
      <c r="AG706" s="26"/>
      <c r="AH706" s="26"/>
    </row>
    <row r="707" ht="12.75" customHeight="1">
      <c r="A707" s="24"/>
      <c r="B707" s="609"/>
      <c r="C707" s="24"/>
      <c r="D707" s="24"/>
      <c r="E707" s="610"/>
      <c r="F707" s="611"/>
      <c r="G707" s="26"/>
      <c r="H707" s="8"/>
      <c r="I707" s="611"/>
      <c r="J707" s="26"/>
      <c r="K707" s="8"/>
      <c r="L707" s="611"/>
      <c r="M707" s="26"/>
      <c r="N707" s="8"/>
      <c r="O707" s="611"/>
      <c r="P707" s="26"/>
      <c r="Q707" s="8"/>
      <c r="R707" s="611"/>
      <c r="S707" s="26"/>
      <c r="T707" s="8"/>
      <c r="U707" s="611"/>
      <c r="V707" s="26"/>
      <c r="W707" s="8"/>
      <c r="X707" s="611"/>
      <c r="Y707" s="26"/>
      <c r="Z707" s="8"/>
      <c r="AA707" s="611"/>
      <c r="AB707" s="26"/>
      <c r="AC707" s="8"/>
      <c r="AD707" s="26"/>
      <c r="AE707" s="26"/>
      <c r="AF707" s="26"/>
      <c r="AG707" s="26"/>
      <c r="AH707" s="26"/>
    </row>
    <row r="708" ht="12.75" customHeight="1">
      <c r="A708" s="24"/>
      <c r="B708" s="609"/>
      <c r="C708" s="24"/>
      <c r="D708" s="24"/>
      <c r="E708" s="610"/>
      <c r="F708" s="611"/>
      <c r="G708" s="26"/>
      <c r="H708" s="8"/>
      <c r="I708" s="611"/>
      <c r="J708" s="26"/>
      <c r="K708" s="8"/>
      <c r="L708" s="611"/>
      <c r="M708" s="26"/>
      <c r="N708" s="8"/>
      <c r="O708" s="611"/>
      <c r="P708" s="26"/>
      <c r="Q708" s="8"/>
      <c r="R708" s="611"/>
      <c r="S708" s="26"/>
      <c r="T708" s="8"/>
      <c r="U708" s="611"/>
      <c r="V708" s="26"/>
      <c r="W708" s="8"/>
      <c r="X708" s="611"/>
      <c r="Y708" s="26"/>
      <c r="Z708" s="8"/>
      <c r="AA708" s="611"/>
      <c r="AB708" s="26"/>
      <c r="AC708" s="8"/>
      <c r="AD708" s="26"/>
      <c r="AE708" s="26"/>
      <c r="AF708" s="26"/>
      <c r="AG708" s="26"/>
      <c r="AH708" s="26"/>
    </row>
    <row r="709" ht="12.75" customHeight="1">
      <c r="A709" s="24"/>
      <c r="B709" s="609"/>
      <c r="C709" s="24"/>
      <c r="D709" s="24"/>
      <c r="E709" s="610"/>
      <c r="F709" s="611"/>
      <c r="G709" s="26"/>
      <c r="H709" s="8"/>
      <c r="I709" s="611"/>
      <c r="J709" s="26"/>
      <c r="K709" s="8"/>
      <c r="L709" s="611"/>
      <c r="M709" s="26"/>
      <c r="N709" s="8"/>
      <c r="O709" s="611"/>
      <c r="P709" s="26"/>
      <c r="Q709" s="8"/>
      <c r="R709" s="611"/>
      <c r="S709" s="26"/>
      <c r="T709" s="8"/>
      <c r="U709" s="611"/>
      <c r="V709" s="26"/>
      <c r="W709" s="8"/>
      <c r="X709" s="611"/>
      <c r="Y709" s="26"/>
      <c r="Z709" s="8"/>
      <c r="AA709" s="611"/>
      <c r="AB709" s="26"/>
      <c r="AC709" s="8"/>
      <c r="AD709" s="26"/>
      <c r="AE709" s="26"/>
      <c r="AF709" s="26"/>
      <c r="AG709" s="26"/>
      <c r="AH709" s="26"/>
    </row>
    <row r="710" ht="12.75" customHeight="1">
      <c r="A710" s="24"/>
      <c r="B710" s="609"/>
      <c r="C710" s="24"/>
      <c r="D710" s="24"/>
      <c r="E710" s="610"/>
      <c r="F710" s="611"/>
      <c r="G710" s="26"/>
      <c r="H710" s="8"/>
      <c r="I710" s="611"/>
      <c r="J710" s="26"/>
      <c r="K710" s="8"/>
      <c r="L710" s="611"/>
      <c r="M710" s="26"/>
      <c r="N710" s="8"/>
      <c r="O710" s="611"/>
      <c r="P710" s="26"/>
      <c r="Q710" s="8"/>
      <c r="R710" s="611"/>
      <c r="S710" s="26"/>
      <c r="T710" s="8"/>
      <c r="U710" s="611"/>
      <c r="V710" s="26"/>
      <c r="W710" s="8"/>
      <c r="X710" s="611"/>
      <c r="Y710" s="26"/>
      <c r="Z710" s="8"/>
      <c r="AA710" s="611"/>
      <c r="AB710" s="26"/>
      <c r="AC710" s="8"/>
      <c r="AD710" s="26"/>
      <c r="AE710" s="26"/>
      <c r="AF710" s="26"/>
      <c r="AG710" s="26"/>
      <c r="AH710" s="26"/>
    </row>
    <row r="711" ht="12.75" customHeight="1">
      <c r="A711" s="24"/>
      <c r="B711" s="609"/>
      <c r="C711" s="24"/>
      <c r="D711" s="24"/>
      <c r="E711" s="610"/>
      <c r="F711" s="611"/>
      <c r="G711" s="26"/>
      <c r="H711" s="8"/>
      <c r="I711" s="611"/>
      <c r="J711" s="26"/>
      <c r="K711" s="8"/>
      <c r="L711" s="611"/>
      <c r="M711" s="26"/>
      <c r="N711" s="8"/>
      <c r="O711" s="611"/>
      <c r="P711" s="26"/>
      <c r="Q711" s="8"/>
      <c r="R711" s="611"/>
      <c r="S711" s="26"/>
      <c r="T711" s="8"/>
      <c r="U711" s="611"/>
      <c r="V711" s="26"/>
      <c r="W711" s="8"/>
      <c r="X711" s="611"/>
      <c r="Y711" s="26"/>
      <c r="Z711" s="8"/>
      <c r="AA711" s="611"/>
      <c r="AB711" s="26"/>
      <c r="AC711" s="8"/>
      <c r="AD711" s="26"/>
      <c r="AE711" s="26"/>
      <c r="AF711" s="26"/>
      <c r="AG711" s="26"/>
      <c r="AH711" s="26"/>
    </row>
    <row r="712" ht="12.75" customHeight="1">
      <c r="A712" s="24"/>
      <c r="B712" s="609"/>
      <c r="C712" s="24"/>
      <c r="D712" s="24"/>
      <c r="E712" s="610"/>
      <c r="F712" s="611"/>
      <c r="G712" s="26"/>
      <c r="H712" s="8"/>
      <c r="I712" s="611"/>
      <c r="J712" s="26"/>
      <c r="K712" s="8"/>
      <c r="L712" s="611"/>
      <c r="M712" s="26"/>
      <c r="N712" s="8"/>
      <c r="O712" s="611"/>
      <c r="P712" s="26"/>
      <c r="Q712" s="8"/>
      <c r="R712" s="611"/>
      <c r="S712" s="26"/>
      <c r="T712" s="8"/>
      <c r="U712" s="611"/>
      <c r="V712" s="26"/>
      <c r="W712" s="8"/>
      <c r="X712" s="611"/>
      <c r="Y712" s="26"/>
      <c r="Z712" s="8"/>
      <c r="AA712" s="611"/>
      <c r="AB712" s="26"/>
      <c r="AC712" s="8"/>
      <c r="AD712" s="26"/>
      <c r="AE712" s="26"/>
      <c r="AF712" s="26"/>
      <c r="AG712" s="26"/>
      <c r="AH712" s="26"/>
    </row>
    <row r="713" ht="12.75" customHeight="1">
      <c r="A713" s="24"/>
      <c r="B713" s="609"/>
      <c r="C713" s="24"/>
      <c r="D713" s="24"/>
      <c r="E713" s="610"/>
      <c r="F713" s="611"/>
      <c r="G713" s="26"/>
      <c r="H713" s="8"/>
      <c r="I713" s="611"/>
      <c r="J713" s="26"/>
      <c r="K713" s="8"/>
      <c r="L713" s="611"/>
      <c r="M713" s="26"/>
      <c r="N713" s="8"/>
      <c r="O713" s="611"/>
      <c r="P713" s="26"/>
      <c r="Q713" s="8"/>
      <c r="R713" s="611"/>
      <c r="S713" s="26"/>
      <c r="T713" s="8"/>
      <c r="U713" s="611"/>
      <c r="V713" s="26"/>
      <c r="W713" s="8"/>
      <c r="X713" s="611"/>
      <c r="Y713" s="26"/>
      <c r="Z713" s="8"/>
      <c r="AA713" s="611"/>
      <c r="AB713" s="26"/>
      <c r="AC713" s="8"/>
      <c r="AD713" s="26"/>
      <c r="AE713" s="26"/>
      <c r="AF713" s="26"/>
      <c r="AG713" s="26"/>
      <c r="AH713" s="26"/>
    </row>
    <row r="714" ht="12.75" customHeight="1">
      <c r="A714" s="24"/>
      <c r="B714" s="609"/>
      <c r="C714" s="24"/>
      <c r="D714" s="24"/>
      <c r="E714" s="610"/>
      <c r="F714" s="611"/>
      <c r="G714" s="26"/>
      <c r="H714" s="8"/>
      <c r="I714" s="611"/>
      <c r="J714" s="26"/>
      <c r="K714" s="8"/>
      <c r="L714" s="611"/>
      <c r="M714" s="26"/>
      <c r="N714" s="8"/>
      <c r="O714" s="611"/>
      <c r="P714" s="26"/>
      <c r="Q714" s="8"/>
      <c r="R714" s="611"/>
      <c r="S714" s="26"/>
      <c r="T714" s="8"/>
      <c r="U714" s="611"/>
      <c r="V714" s="26"/>
      <c r="W714" s="8"/>
      <c r="X714" s="611"/>
      <c r="Y714" s="26"/>
      <c r="Z714" s="8"/>
      <c r="AA714" s="611"/>
      <c r="AB714" s="26"/>
      <c r="AC714" s="8"/>
      <c r="AD714" s="26"/>
      <c r="AE714" s="26"/>
      <c r="AF714" s="26"/>
      <c r="AG714" s="26"/>
      <c r="AH714" s="26"/>
    </row>
    <row r="715" ht="12.75" customHeight="1">
      <c r="A715" s="24"/>
      <c r="B715" s="609"/>
      <c r="C715" s="24"/>
      <c r="D715" s="24"/>
      <c r="E715" s="610"/>
      <c r="F715" s="611"/>
      <c r="G715" s="26"/>
      <c r="H715" s="8"/>
      <c r="I715" s="611"/>
      <c r="J715" s="26"/>
      <c r="K715" s="8"/>
      <c r="L715" s="611"/>
      <c r="M715" s="26"/>
      <c r="N715" s="8"/>
      <c r="O715" s="611"/>
      <c r="P715" s="26"/>
      <c r="Q715" s="8"/>
      <c r="R715" s="611"/>
      <c r="S715" s="26"/>
      <c r="T715" s="8"/>
      <c r="U715" s="611"/>
      <c r="V715" s="26"/>
      <c r="W715" s="8"/>
      <c r="X715" s="611"/>
      <c r="Y715" s="26"/>
      <c r="Z715" s="8"/>
      <c r="AA715" s="611"/>
      <c r="AB715" s="26"/>
      <c r="AC715" s="8"/>
      <c r="AD715" s="26"/>
      <c r="AE715" s="26"/>
      <c r="AF715" s="26"/>
      <c r="AG715" s="26"/>
      <c r="AH715" s="26"/>
    </row>
    <row r="716" ht="12.75" customHeight="1">
      <c r="A716" s="24"/>
      <c r="B716" s="609"/>
      <c r="C716" s="24"/>
      <c r="D716" s="24"/>
      <c r="E716" s="610"/>
      <c r="F716" s="611"/>
      <c r="G716" s="26"/>
      <c r="H716" s="8"/>
      <c r="I716" s="611"/>
      <c r="J716" s="26"/>
      <c r="K716" s="8"/>
      <c r="L716" s="611"/>
      <c r="M716" s="26"/>
      <c r="N716" s="8"/>
      <c r="O716" s="611"/>
      <c r="P716" s="26"/>
      <c r="Q716" s="8"/>
      <c r="R716" s="611"/>
      <c r="S716" s="26"/>
      <c r="T716" s="8"/>
      <c r="U716" s="611"/>
      <c r="V716" s="26"/>
      <c r="W716" s="8"/>
      <c r="X716" s="611"/>
      <c r="Y716" s="26"/>
      <c r="Z716" s="8"/>
      <c r="AA716" s="611"/>
      <c r="AB716" s="26"/>
      <c r="AC716" s="8"/>
      <c r="AD716" s="26"/>
      <c r="AE716" s="26"/>
      <c r="AF716" s="26"/>
      <c r="AG716" s="26"/>
      <c r="AH716" s="26"/>
    </row>
    <row r="717" ht="12.75" customHeight="1">
      <c r="A717" s="24"/>
      <c r="B717" s="609"/>
      <c r="C717" s="24"/>
      <c r="D717" s="24"/>
      <c r="E717" s="610"/>
      <c r="F717" s="611"/>
      <c r="G717" s="26"/>
      <c r="H717" s="8"/>
      <c r="I717" s="611"/>
      <c r="J717" s="26"/>
      <c r="K717" s="8"/>
      <c r="L717" s="611"/>
      <c r="M717" s="26"/>
      <c r="N717" s="8"/>
      <c r="O717" s="611"/>
      <c r="P717" s="26"/>
      <c r="Q717" s="8"/>
      <c r="R717" s="611"/>
      <c r="S717" s="26"/>
      <c r="T717" s="8"/>
      <c r="U717" s="611"/>
      <c r="V717" s="26"/>
      <c r="W717" s="8"/>
      <c r="X717" s="611"/>
      <c r="Y717" s="26"/>
      <c r="Z717" s="8"/>
      <c r="AA717" s="611"/>
      <c r="AB717" s="26"/>
      <c r="AC717" s="8"/>
      <c r="AD717" s="26"/>
      <c r="AE717" s="26"/>
      <c r="AF717" s="26"/>
      <c r="AG717" s="26"/>
      <c r="AH717" s="26"/>
    </row>
    <row r="718" ht="12.75" customHeight="1">
      <c r="A718" s="24"/>
      <c r="B718" s="609"/>
      <c r="C718" s="24"/>
      <c r="D718" s="24"/>
      <c r="E718" s="610"/>
      <c r="F718" s="611"/>
      <c r="G718" s="26"/>
      <c r="H718" s="8"/>
      <c r="I718" s="611"/>
      <c r="J718" s="26"/>
      <c r="K718" s="8"/>
      <c r="L718" s="611"/>
      <c r="M718" s="26"/>
      <c r="N718" s="8"/>
      <c r="O718" s="611"/>
      <c r="P718" s="26"/>
      <c r="Q718" s="8"/>
      <c r="R718" s="611"/>
      <c r="S718" s="26"/>
      <c r="T718" s="8"/>
      <c r="U718" s="611"/>
      <c r="V718" s="26"/>
      <c r="W718" s="8"/>
      <c r="X718" s="611"/>
      <c r="Y718" s="26"/>
      <c r="Z718" s="8"/>
      <c r="AA718" s="611"/>
      <c r="AB718" s="26"/>
      <c r="AC718" s="8"/>
      <c r="AD718" s="26"/>
      <c r="AE718" s="26"/>
      <c r="AF718" s="26"/>
      <c r="AG718" s="26"/>
      <c r="AH718" s="26"/>
    </row>
    <row r="719" ht="12.75" customHeight="1">
      <c r="A719" s="24"/>
      <c r="B719" s="609"/>
      <c r="C719" s="24"/>
      <c r="D719" s="24"/>
      <c r="E719" s="610"/>
      <c r="F719" s="611"/>
      <c r="G719" s="26"/>
      <c r="H719" s="8"/>
      <c r="I719" s="611"/>
      <c r="J719" s="26"/>
      <c r="K719" s="8"/>
      <c r="L719" s="611"/>
      <c r="M719" s="26"/>
      <c r="N719" s="8"/>
      <c r="O719" s="611"/>
      <c r="P719" s="26"/>
      <c r="Q719" s="8"/>
      <c r="R719" s="611"/>
      <c r="S719" s="26"/>
      <c r="T719" s="8"/>
      <c r="U719" s="611"/>
      <c r="V719" s="26"/>
      <c r="W719" s="8"/>
      <c r="X719" s="611"/>
      <c r="Y719" s="26"/>
      <c r="Z719" s="8"/>
      <c r="AA719" s="611"/>
      <c r="AB719" s="26"/>
      <c r="AC719" s="8"/>
      <c r="AD719" s="26"/>
      <c r="AE719" s="26"/>
      <c r="AF719" s="26"/>
      <c r="AG719" s="26"/>
      <c r="AH719" s="26"/>
    </row>
    <row r="720" ht="12.75" customHeight="1">
      <c r="A720" s="24"/>
      <c r="B720" s="609"/>
      <c r="C720" s="24"/>
      <c r="D720" s="24"/>
      <c r="E720" s="610"/>
      <c r="F720" s="611"/>
      <c r="G720" s="26"/>
      <c r="H720" s="8"/>
      <c r="I720" s="611"/>
      <c r="J720" s="26"/>
      <c r="K720" s="8"/>
      <c r="L720" s="611"/>
      <c r="M720" s="26"/>
      <c r="N720" s="8"/>
      <c r="O720" s="611"/>
      <c r="P720" s="26"/>
      <c r="Q720" s="8"/>
      <c r="R720" s="611"/>
      <c r="S720" s="26"/>
      <c r="T720" s="8"/>
      <c r="U720" s="611"/>
      <c r="V720" s="26"/>
      <c r="W720" s="8"/>
      <c r="X720" s="611"/>
      <c r="Y720" s="26"/>
      <c r="Z720" s="8"/>
      <c r="AA720" s="611"/>
      <c r="AB720" s="26"/>
      <c r="AC720" s="8"/>
      <c r="AD720" s="26"/>
      <c r="AE720" s="26"/>
      <c r="AF720" s="26"/>
      <c r="AG720" s="26"/>
      <c r="AH720" s="26"/>
    </row>
    <row r="721" ht="12.75" customHeight="1">
      <c r="A721" s="24"/>
      <c r="B721" s="609"/>
      <c r="C721" s="24"/>
      <c r="D721" s="24"/>
      <c r="E721" s="610"/>
      <c r="F721" s="611"/>
      <c r="G721" s="26"/>
      <c r="H721" s="8"/>
      <c r="I721" s="611"/>
      <c r="J721" s="26"/>
      <c r="K721" s="8"/>
      <c r="L721" s="611"/>
      <c r="M721" s="26"/>
      <c r="N721" s="8"/>
      <c r="O721" s="611"/>
      <c r="P721" s="26"/>
      <c r="Q721" s="8"/>
      <c r="R721" s="611"/>
      <c r="S721" s="26"/>
      <c r="T721" s="8"/>
      <c r="U721" s="611"/>
      <c r="V721" s="26"/>
      <c r="W721" s="8"/>
      <c r="X721" s="611"/>
      <c r="Y721" s="26"/>
      <c r="Z721" s="8"/>
      <c r="AA721" s="611"/>
      <c r="AB721" s="26"/>
      <c r="AC721" s="8"/>
      <c r="AD721" s="26"/>
      <c r="AE721" s="26"/>
      <c r="AF721" s="26"/>
      <c r="AG721" s="26"/>
      <c r="AH721" s="26"/>
    </row>
    <row r="722" ht="12.75" customHeight="1">
      <c r="A722" s="24"/>
      <c r="B722" s="609"/>
      <c r="C722" s="24"/>
      <c r="D722" s="24"/>
      <c r="E722" s="610"/>
      <c r="F722" s="611"/>
      <c r="G722" s="26"/>
      <c r="H722" s="8"/>
      <c r="I722" s="611"/>
      <c r="J722" s="26"/>
      <c r="K722" s="8"/>
      <c r="L722" s="611"/>
      <c r="M722" s="26"/>
      <c r="N722" s="8"/>
      <c r="O722" s="611"/>
      <c r="P722" s="26"/>
      <c r="Q722" s="8"/>
      <c r="R722" s="611"/>
      <c r="S722" s="26"/>
      <c r="T722" s="8"/>
      <c r="U722" s="611"/>
      <c r="V722" s="26"/>
      <c r="W722" s="8"/>
      <c r="X722" s="611"/>
      <c r="Y722" s="26"/>
      <c r="Z722" s="8"/>
      <c r="AA722" s="611"/>
      <c r="AB722" s="26"/>
      <c r="AC722" s="8"/>
      <c r="AD722" s="26"/>
      <c r="AE722" s="26"/>
      <c r="AF722" s="26"/>
      <c r="AG722" s="26"/>
      <c r="AH722" s="26"/>
    </row>
    <row r="723" ht="12.75" customHeight="1">
      <c r="A723" s="24"/>
      <c r="B723" s="609"/>
      <c r="C723" s="24"/>
      <c r="D723" s="24"/>
      <c r="E723" s="610"/>
      <c r="F723" s="611"/>
      <c r="G723" s="26"/>
      <c r="H723" s="8"/>
      <c r="I723" s="611"/>
      <c r="J723" s="26"/>
      <c r="K723" s="8"/>
      <c r="L723" s="611"/>
      <c r="M723" s="26"/>
      <c r="N723" s="8"/>
      <c r="O723" s="611"/>
      <c r="P723" s="26"/>
      <c r="Q723" s="8"/>
      <c r="R723" s="611"/>
      <c r="S723" s="26"/>
      <c r="T723" s="8"/>
      <c r="U723" s="611"/>
      <c r="V723" s="26"/>
      <c r="W723" s="8"/>
      <c r="X723" s="611"/>
      <c r="Y723" s="26"/>
      <c r="Z723" s="8"/>
      <c r="AA723" s="611"/>
      <c r="AB723" s="26"/>
      <c r="AC723" s="8"/>
      <c r="AD723" s="26"/>
      <c r="AE723" s="26"/>
      <c r="AF723" s="26"/>
      <c r="AG723" s="26"/>
      <c r="AH723" s="26"/>
    </row>
    <row r="724" ht="12.75" customHeight="1">
      <c r="A724" s="24"/>
      <c r="B724" s="609"/>
      <c r="C724" s="24"/>
      <c r="D724" s="24"/>
      <c r="E724" s="610"/>
      <c r="F724" s="611"/>
      <c r="G724" s="26"/>
      <c r="H724" s="8"/>
      <c r="I724" s="611"/>
      <c r="J724" s="26"/>
      <c r="K724" s="8"/>
      <c r="L724" s="611"/>
      <c r="M724" s="26"/>
      <c r="N724" s="8"/>
      <c r="O724" s="611"/>
      <c r="P724" s="26"/>
      <c r="Q724" s="8"/>
      <c r="R724" s="611"/>
      <c r="S724" s="26"/>
      <c r="T724" s="8"/>
      <c r="U724" s="611"/>
      <c r="V724" s="26"/>
      <c r="W724" s="8"/>
      <c r="X724" s="611"/>
      <c r="Y724" s="26"/>
      <c r="Z724" s="8"/>
      <c r="AA724" s="611"/>
      <c r="AB724" s="26"/>
      <c r="AC724" s="8"/>
      <c r="AD724" s="26"/>
      <c r="AE724" s="26"/>
      <c r="AF724" s="26"/>
      <c r="AG724" s="26"/>
      <c r="AH724" s="26"/>
    </row>
    <row r="725" ht="12.75" customHeight="1">
      <c r="A725" s="24"/>
      <c r="B725" s="609"/>
      <c r="C725" s="24"/>
      <c r="D725" s="24"/>
      <c r="E725" s="610"/>
      <c r="F725" s="611"/>
      <c r="G725" s="26"/>
      <c r="H725" s="8"/>
      <c r="I725" s="611"/>
      <c r="J725" s="26"/>
      <c r="K725" s="8"/>
      <c r="L725" s="611"/>
      <c r="M725" s="26"/>
      <c r="N725" s="8"/>
      <c r="O725" s="611"/>
      <c r="P725" s="26"/>
      <c r="Q725" s="8"/>
      <c r="R725" s="611"/>
      <c r="S725" s="26"/>
      <c r="T725" s="8"/>
      <c r="U725" s="611"/>
      <c r="V725" s="26"/>
      <c r="W725" s="8"/>
      <c r="X725" s="611"/>
      <c r="Y725" s="26"/>
      <c r="Z725" s="8"/>
      <c r="AA725" s="611"/>
      <c r="AB725" s="26"/>
      <c r="AC725" s="8"/>
      <c r="AD725" s="26"/>
      <c r="AE725" s="26"/>
      <c r="AF725" s="26"/>
      <c r="AG725" s="26"/>
      <c r="AH725" s="26"/>
    </row>
    <row r="726" ht="12.75" customHeight="1">
      <c r="A726" s="24"/>
      <c r="B726" s="609"/>
      <c r="C726" s="24"/>
      <c r="D726" s="24"/>
      <c r="E726" s="610"/>
      <c r="F726" s="611"/>
      <c r="G726" s="26"/>
      <c r="H726" s="8"/>
      <c r="I726" s="611"/>
      <c r="J726" s="26"/>
      <c r="K726" s="8"/>
      <c r="L726" s="611"/>
      <c r="M726" s="26"/>
      <c r="N726" s="8"/>
      <c r="O726" s="611"/>
      <c r="P726" s="26"/>
      <c r="Q726" s="8"/>
      <c r="R726" s="611"/>
      <c r="S726" s="26"/>
      <c r="T726" s="8"/>
      <c r="U726" s="611"/>
      <c r="V726" s="26"/>
      <c r="W726" s="8"/>
      <c r="X726" s="611"/>
      <c r="Y726" s="26"/>
      <c r="Z726" s="8"/>
      <c r="AA726" s="611"/>
      <c r="AB726" s="26"/>
      <c r="AC726" s="8"/>
      <c r="AD726" s="26"/>
      <c r="AE726" s="26"/>
      <c r="AF726" s="26"/>
      <c r="AG726" s="26"/>
      <c r="AH726" s="26"/>
    </row>
    <row r="727" ht="12.75" customHeight="1">
      <c r="A727" s="24"/>
      <c r="B727" s="609"/>
      <c r="C727" s="24"/>
      <c r="D727" s="24"/>
      <c r="E727" s="610"/>
      <c r="F727" s="611"/>
      <c r="G727" s="26"/>
      <c r="H727" s="8"/>
      <c r="I727" s="611"/>
      <c r="J727" s="26"/>
      <c r="K727" s="8"/>
      <c r="L727" s="611"/>
      <c r="M727" s="26"/>
      <c r="N727" s="8"/>
      <c r="O727" s="611"/>
      <c r="P727" s="26"/>
      <c r="Q727" s="8"/>
      <c r="R727" s="611"/>
      <c r="S727" s="26"/>
      <c r="T727" s="8"/>
      <c r="U727" s="611"/>
      <c r="V727" s="26"/>
      <c r="W727" s="8"/>
      <c r="X727" s="611"/>
      <c r="Y727" s="26"/>
      <c r="Z727" s="8"/>
      <c r="AA727" s="611"/>
      <c r="AB727" s="26"/>
      <c r="AC727" s="8"/>
      <c r="AD727" s="26"/>
      <c r="AE727" s="26"/>
      <c r="AF727" s="26"/>
      <c r="AG727" s="26"/>
      <c r="AH727" s="26"/>
    </row>
    <row r="728" ht="12.75" customHeight="1">
      <c r="A728" s="24"/>
      <c r="B728" s="609"/>
      <c r="C728" s="24"/>
      <c r="D728" s="24"/>
      <c r="E728" s="610"/>
      <c r="F728" s="611"/>
      <c r="G728" s="26"/>
      <c r="H728" s="8"/>
      <c r="I728" s="611"/>
      <c r="J728" s="26"/>
      <c r="K728" s="8"/>
      <c r="L728" s="611"/>
      <c r="M728" s="26"/>
      <c r="N728" s="8"/>
      <c r="O728" s="611"/>
      <c r="P728" s="26"/>
      <c r="Q728" s="8"/>
      <c r="R728" s="611"/>
      <c r="S728" s="26"/>
      <c r="T728" s="8"/>
      <c r="U728" s="611"/>
      <c r="V728" s="26"/>
      <c r="W728" s="8"/>
      <c r="X728" s="611"/>
      <c r="Y728" s="26"/>
      <c r="Z728" s="8"/>
      <c r="AA728" s="611"/>
      <c r="AB728" s="26"/>
      <c r="AC728" s="8"/>
      <c r="AD728" s="26"/>
      <c r="AE728" s="26"/>
      <c r="AF728" s="26"/>
      <c r="AG728" s="26"/>
      <c r="AH728" s="26"/>
    </row>
    <row r="729" ht="12.75" customHeight="1">
      <c r="A729" s="24"/>
      <c r="B729" s="609"/>
      <c r="C729" s="24"/>
      <c r="D729" s="24"/>
      <c r="E729" s="610"/>
      <c r="F729" s="611"/>
      <c r="G729" s="26"/>
      <c r="H729" s="8"/>
      <c r="I729" s="611"/>
      <c r="J729" s="26"/>
      <c r="K729" s="8"/>
      <c r="L729" s="611"/>
      <c r="M729" s="26"/>
      <c r="N729" s="8"/>
      <c r="O729" s="611"/>
      <c r="P729" s="26"/>
      <c r="Q729" s="8"/>
      <c r="R729" s="611"/>
      <c r="S729" s="26"/>
      <c r="T729" s="8"/>
      <c r="U729" s="611"/>
      <c r="V729" s="26"/>
      <c r="W729" s="8"/>
      <c r="X729" s="611"/>
      <c r="Y729" s="26"/>
      <c r="Z729" s="8"/>
      <c r="AA729" s="611"/>
      <c r="AB729" s="26"/>
      <c r="AC729" s="8"/>
      <c r="AD729" s="26"/>
      <c r="AE729" s="26"/>
      <c r="AF729" s="26"/>
      <c r="AG729" s="26"/>
      <c r="AH729" s="26"/>
    </row>
    <row r="730" ht="12.75" customHeight="1">
      <c r="A730" s="24"/>
      <c r="B730" s="609"/>
      <c r="C730" s="24"/>
      <c r="D730" s="24"/>
      <c r="E730" s="610"/>
      <c r="F730" s="611"/>
      <c r="G730" s="26"/>
      <c r="H730" s="8"/>
      <c r="I730" s="611"/>
      <c r="J730" s="26"/>
      <c r="K730" s="8"/>
      <c r="L730" s="611"/>
      <c r="M730" s="26"/>
      <c r="N730" s="8"/>
      <c r="O730" s="611"/>
      <c r="P730" s="26"/>
      <c r="Q730" s="8"/>
      <c r="R730" s="611"/>
      <c r="S730" s="26"/>
      <c r="T730" s="8"/>
      <c r="U730" s="611"/>
      <c r="V730" s="26"/>
      <c r="W730" s="8"/>
      <c r="X730" s="611"/>
      <c r="Y730" s="26"/>
      <c r="Z730" s="8"/>
      <c r="AA730" s="611"/>
      <c r="AB730" s="26"/>
      <c r="AC730" s="8"/>
      <c r="AD730" s="26"/>
      <c r="AE730" s="26"/>
      <c r="AF730" s="26"/>
      <c r="AG730" s="26"/>
      <c r="AH730" s="26"/>
    </row>
    <row r="731" ht="12.75" customHeight="1">
      <c r="A731" s="24"/>
      <c r="B731" s="609"/>
      <c r="C731" s="24"/>
      <c r="D731" s="24"/>
      <c r="E731" s="610"/>
      <c r="F731" s="611"/>
      <c r="G731" s="26"/>
      <c r="H731" s="8"/>
      <c r="I731" s="611"/>
      <c r="J731" s="26"/>
      <c r="K731" s="8"/>
      <c r="L731" s="611"/>
      <c r="M731" s="26"/>
      <c r="N731" s="8"/>
      <c r="O731" s="611"/>
      <c r="P731" s="26"/>
      <c r="Q731" s="8"/>
      <c r="R731" s="611"/>
      <c r="S731" s="26"/>
      <c r="T731" s="8"/>
      <c r="U731" s="611"/>
      <c r="V731" s="26"/>
      <c r="W731" s="8"/>
      <c r="X731" s="611"/>
      <c r="Y731" s="26"/>
      <c r="Z731" s="8"/>
      <c r="AA731" s="611"/>
      <c r="AB731" s="26"/>
      <c r="AC731" s="8"/>
      <c r="AD731" s="26"/>
      <c r="AE731" s="26"/>
      <c r="AF731" s="26"/>
      <c r="AG731" s="26"/>
      <c r="AH731" s="26"/>
    </row>
    <row r="732" ht="12.75" customHeight="1">
      <c r="A732" s="24"/>
      <c r="B732" s="609"/>
      <c r="C732" s="24"/>
      <c r="D732" s="24"/>
      <c r="E732" s="610"/>
      <c r="F732" s="611"/>
      <c r="G732" s="26"/>
      <c r="H732" s="8"/>
      <c r="I732" s="611"/>
      <c r="J732" s="26"/>
      <c r="K732" s="8"/>
      <c r="L732" s="611"/>
      <c r="M732" s="26"/>
      <c r="N732" s="8"/>
      <c r="O732" s="611"/>
      <c r="P732" s="26"/>
      <c r="Q732" s="8"/>
      <c r="R732" s="611"/>
      <c r="S732" s="26"/>
      <c r="T732" s="8"/>
      <c r="U732" s="611"/>
      <c r="V732" s="26"/>
      <c r="W732" s="8"/>
      <c r="X732" s="611"/>
      <c r="Y732" s="26"/>
      <c r="Z732" s="8"/>
      <c r="AA732" s="611"/>
      <c r="AB732" s="26"/>
      <c r="AC732" s="8"/>
      <c r="AD732" s="26"/>
      <c r="AE732" s="26"/>
      <c r="AF732" s="26"/>
      <c r="AG732" s="26"/>
      <c r="AH732" s="26"/>
    </row>
    <row r="733" ht="12.75" customHeight="1">
      <c r="A733" s="24"/>
      <c r="B733" s="609"/>
      <c r="C733" s="24"/>
      <c r="D733" s="24"/>
      <c r="E733" s="610"/>
      <c r="F733" s="611"/>
      <c r="G733" s="26"/>
      <c r="H733" s="8"/>
      <c r="I733" s="611"/>
      <c r="J733" s="26"/>
      <c r="K733" s="8"/>
      <c r="L733" s="611"/>
      <c r="M733" s="26"/>
      <c r="N733" s="8"/>
      <c r="O733" s="611"/>
      <c r="P733" s="26"/>
      <c r="Q733" s="8"/>
      <c r="R733" s="611"/>
      <c r="S733" s="26"/>
      <c r="T733" s="8"/>
      <c r="U733" s="611"/>
      <c r="V733" s="26"/>
      <c r="W733" s="8"/>
      <c r="X733" s="611"/>
      <c r="Y733" s="26"/>
      <c r="Z733" s="8"/>
      <c r="AA733" s="611"/>
      <c r="AB733" s="26"/>
      <c r="AC733" s="8"/>
      <c r="AD733" s="26"/>
      <c r="AE733" s="26"/>
      <c r="AF733" s="26"/>
      <c r="AG733" s="26"/>
      <c r="AH733" s="26"/>
    </row>
    <row r="734" ht="12.75" customHeight="1">
      <c r="A734" s="24"/>
      <c r="B734" s="609"/>
      <c r="C734" s="24"/>
      <c r="D734" s="24"/>
      <c r="E734" s="610"/>
      <c r="F734" s="611"/>
      <c r="G734" s="26"/>
      <c r="H734" s="8"/>
      <c r="I734" s="611"/>
      <c r="J734" s="26"/>
      <c r="K734" s="8"/>
      <c r="L734" s="611"/>
      <c r="M734" s="26"/>
      <c r="N734" s="8"/>
      <c r="O734" s="611"/>
      <c r="P734" s="26"/>
      <c r="Q734" s="8"/>
      <c r="R734" s="611"/>
      <c r="S734" s="26"/>
      <c r="T734" s="8"/>
      <c r="U734" s="611"/>
      <c r="V734" s="26"/>
      <c r="W734" s="8"/>
      <c r="X734" s="611"/>
      <c r="Y734" s="26"/>
      <c r="Z734" s="8"/>
      <c r="AA734" s="611"/>
      <c r="AB734" s="26"/>
      <c r="AC734" s="8"/>
      <c r="AD734" s="26"/>
      <c r="AE734" s="26"/>
      <c r="AF734" s="26"/>
      <c r="AG734" s="26"/>
      <c r="AH734" s="26"/>
    </row>
    <row r="735" ht="12.75" customHeight="1">
      <c r="A735" s="24"/>
      <c r="B735" s="609"/>
      <c r="C735" s="24"/>
      <c r="D735" s="24"/>
      <c r="E735" s="610"/>
      <c r="F735" s="611"/>
      <c r="G735" s="26"/>
      <c r="H735" s="8"/>
      <c r="I735" s="611"/>
      <c r="J735" s="26"/>
      <c r="K735" s="8"/>
      <c r="L735" s="611"/>
      <c r="M735" s="26"/>
      <c r="N735" s="8"/>
      <c r="O735" s="611"/>
      <c r="P735" s="26"/>
      <c r="Q735" s="8"/>
      <c r="R735" s="611"/>
      <c r="S735" s="26"/>
      <c r="T735" s="8"/>
      <c r="U735" s="611"/>
      <c r="V735" s="26"/>
      <c r="W735" s="8"/>
      <c r="X735" s="611"/>
      <c r="Y735" s="26"/>
      <c r="Z735" s="8"/>
      <c r="AA735" s="611"/>
      <c r="AB735" s="26"/>
      <c r="AC735" s="8"/>
      <c r="AD735" s="26"/>
      <c r="AE735" s="26"/>
      <c r="AF735" s="26"/>
      <c r="AG735" s="26"/>
      <c r="AH735" s="26"/>
    </row>
    <row r="736" ht="12.75" customHeight="1">
      <c r="A736" s="24"/>
      <c r="B736" s="609"/>
      <c r="C736" s="24"/>
      <c r="D736" s="24"/>
      <c r="E736" s="610"/>
      <c r="F736" s="611"/>
      <c r="G736" s="26"/>
      <c r="H736" s="8"/>
      <c r="I736" s="611"/>
      <c r="J736" s="26"/>
      <c r="K736" s="8"/>
      <c r="L736" s="611"/>
      <c r="M736" s="26"/>
      <c r="N736" s="8"/>
      <c r="O736" s="611"/>
      <c r="P736" s="26"/>
      <c r="Q736" s="8"/>
      <c r="R736" s="611"/>
      <c r="S736" s="26"/>
      <c r="T736" s="8"/>
      <c r="U736" s="611"/>
      <c r="V736" s="26"/>
      <c r="W736" s="8"/>
      <c r="X736" s="611"/>
      <c r="Y736" s="26"/>
      <c r="Z736" s="8"/>
      <c r="AA736" s="611"/>
      <c r="AB736" s="26"/>
      <c r="AC736" s="8"/>
      <c r="AD736" s="26"/>
      <c r="AE736" s="26"/>
      <c r="AF736" s="26"/>
      <c r="AG736" s="26"/>
      <c r="AH736" s="26"/>
    </row>
    <row r="737" ht="12.75" customHeight="1">
      <c r="A737" s="24"/>
      <c r="B737" s="609"/>
      <c r="C737" s="24"/>
      <c r="D737" s="24"/>
      <c r="E737" s="610"/>
      <c r="F737" s="611"/>
      <c r="G737" s="26"/>
      <c r="H737" s="8"/>
      <c r="I737" s="611"/>
      <c r="J737" s="26"/>
      <c r="K737" s="8"/>
      <c r="L737" s="611"/>
      <c r="M737" s="26"/>
      <c r="N737" s="8"/>
      <c r="O737" s="611"/>
      <c r="P737" s="26"/>
      <c r="Q737" s="8"/>
      <c r="R737" s="611"/>
      <c r="S737" s="26"/>
      <c r="T737" s="8"/>
      <c r="U737" s="611"/>
      <c r="V737" s="26"/>
      <c r="W737" s="8"/>
      <c r="X737" s="611"/>
      <c r="Y737" s="26"/>
      <c r="Z737" s="8"/>
      <c r="AA737" s="611"/>
      <c r="AB737" s="26"/>
      <c r="AC737" s="8"/>
      <c r="AD737" s="26"/>
      <c r="AE737" s="26"/>
      <c r="AF737" s="26"/>
      <c r="AG737" s="26"/>
      <c r="AH737" s="26"/>
    </row>
    <row r="738" ht="12.75" customHeight="1">
      <c r="A738" s="24"/>
      <c r="B738" s="609"/>
      <c r="C738" s="24"/>
      <c r="D738" s="24"/>
      <c r="E738" s="610"/>
      <c r="F738" s="611"/>
      <c r="G738" s="26"/>
      <c r="H738" s="8"/>
      <c r="I738" s="611"/>
      <c r="J738" s="26"/>
      <c r="K738" s="8"/>
      <c r="L738" s="611"/>
      <c r="M738" s="26"/>
      <c r="N738" s="8"/>
      <c r="O738" s="611"/>
      <c r="P738" s="26"/>
      <c r="Q738" s="8"/>
      <c r="R738" s="611"/>
      <c r="S738" s="26"/>
      <c r="T738" s="8"/>
      <c r="U738" s="611"/>
      <c r="V738" s="26"/>
      <c r="W738" s="8"/>
      <c r="X738" s="611"/>
      <c r="Y738" s="26"/>
      <c r="Z738" s="8"/>
      <c r="AA738" s="611"/>
      <c r="AB738" s="26"/>
      <c r="AC738" s="8"/>
      <c r="AD738" s="26"/>
      <c r="AE738" s="26"/>
      <c r="AF738" s="26"/>
      <c r="AG738" s="26"/>
      <c r="AH738" s="26"/>
    </row>
    <row r="739" ht="12.75" customHeight="1">
      <c r="A739" s="24"/>
      <c r="B739" s="609"/>
      <c r="C739" s="24"/>
      <c r="D739" s="24"/>
      <c r="E739" s="610"/>
      <c r="F739" s="611"/>
      <c r="G739" s="26"/>
      <c r="H739" s="8"/>
      <c r="I739" s="611"/>
      <c r="J739" s="26"/>
      <c r="K739" s="8"/>
      <c r="L739" s="611"/>
      <c r="M739" s="26"/>
      <c r="N739" s="8"/>
      <c r="O739" s="611"/>
      <c r="P739" s="26"/>
      <c r="Q739" s="8"/>
      <c r="R739" s="611"/>
      <c r="S739" s="26"/>
      <c r="T739" s="8"/>
      <c r="U739" s="611"/>
      <c r="V739" s="26"/>
      <c r="W739" s="8"/>
      <c r="X739" s="611"/>
      <c r="Y739" s="26"/>
      <c r="Z739" s="8"/>
      <c r="AA739" s="611"/>
      <c r="AB739" s="26"/>
      <c r="AC739" s="8"/>
      <c r="AD739" s="26"/>
      <c r="AE739" s="26"/>
      <c r="AF739" s="26"/>
      <c r="AG739" s="26"/>
      <c r="AH739" s="26"/>
    </row>
    <row r="740" ht="12.75" customHeight="1">
      <c r="A740" s="24"/>
      <c r="B740" s="609"/>
      <c r="C740" s="24"/>
      <c r="D740" s="24"/>
      <c r="E740" s="610"/>
      <c r="F740" s="611"/>
      <c r="G740" s="26"/>
      <c r="H740" s="8"/>
      <c r="I740" s="611"/>
      <c r="J740" s="26"/>
      <c r="K740" s="8"/>
      <c r="L740" s="611"/>
      <c r="M740" s="26"/>
      <c r="N740" s="8"/>
      <c r="O740" s="611"/>
      <c r="P740" s="26"/>
      <c r="Q740" s="8"/>
      <c r="R740" s="611"/>
      <c r="S740" s="26"/>
      <c r="T740" s="8"/>
      <c r="U740" s="611"/>
      <c r="V740" s="26"/>
      <c r="W740" s="8"/>
      <c r="X740" s="611"/>
      <c r="Y740" s="26"/>
      <c r="Z740" s="8"/>
      <c r="AA740" s="611"/>
      <c r="AB740" s="26"/>
      <c r="AC740" s="8"/>
      <c r="AD740" s="26"/>
      <c r="AE740" s="26"/>
      <c r="AF740" s="26"/>
      <c r="AG740" s="26"/>
      <c r="AH740" s="26"/>
    </row>
    <row r="741" ht="12.75" customHeight="1">
      <c r="A741" s="24"/>
      <c r="B741" s="609"/>
      <c r="C741" s="24"/>
      <c r="D741" s="24"/>
      <c r="E741" s="610"/>
      <c r="F741" s="611"/>
      <c r="G741" s="26"/>
      <c r="H741" s="8"/>
      <c r="I741" s="611"/>
      <c r="J741" s="26"/>
      <c r="K741" s="8"/>
      <c r="L741" s="611"/>
      <c r="M741" s="26"/>
      <c r="N741" s="8"/>
      <c r="O741" s="611"/>
      <c r="P741" s="26"/>
      <c r="Q741" s="8"/>
      <c r="R741" s="611"/>
      <c r="S741" s="26"/>
      <c r="T741" s="8"/>
      <c r="U741" s="611"/>
      <c r="V741" s="26"/>
      <c r="W741" s="8"/>
      <c r="X741" s="611"/>
      <c r="Y741" s="26"/>
      <c r="Z741" s="8"/>
      <c r="AA741" s="611"/>
      <c r="AB741" s="26"/>
      <c r="AC741" s="8"/>
      <c r="AD741" s="26"/>
      <c r="AE741" s="26"/>
      <c r="AF741" s="26"/>
      <c r="AG741" s="26"/>
      <c r="AH741" s="26"/>
    </row>
    <row r="742" ht="12.75" customHeight="1">
      <c r="A742" s="24"/>
      <c r="B742" s="609"/>
      <c r="C742" s="24"/>
      <c r="D742" s="24"/>
      <c r="E742" s="610"/>
      <c r="F742" s="611"/>
      <c r="G742" s="26"/>
      <c r="H742" s="8"/>
      <c r="I742" s="611"/>
      <c r="J742" s="26"/>
      <c r="K742" s="8"/>
      <c r="L742" s="611"/>
      <c r="M742" s="26"/>
      <c r="N742" s="8"/>
      <c r="O742" s="611"/>
      <c r="P742" s="26"/>
      <c r="Q742" s="8"/>
      <c r="R742" s="611"/>
      <c r="S742" s="26"/>
      <c r="T742" s="8"/>
      <c r="U742" s="611"/>
      <c r="V742" s="26"/>
      <c r="W742" s="8"/>
      <c r="X742" s="611"/>
      <c r="Y742" s="26"/>
      <c r="Z742" s="8"/>
      <c r="AA742" s="611"/>
      <c r="AB742" s="26"/>
      <c r="AC742" s="8"/>
      <c r="AD742" s="26"/>
      <c r="AE742" s="26"/>
      <c r="AF742" s="26"/>
      <c r="AG742" s="26"/>
      <c r="AH742" s="26"/>
    </row>
    <row r="743" ht="12.75" customHeight="1">
      <c r="A743" s="24"/>
      <c r="B743" s="609"/>
      <c r="C743" s="24"/>
      <c r="D743" s="24"/>
      <c r="E743" s="610"/>
      <c r="F743" s="611"/>
      <c r="G743" s="26"/>
      <c r="H743" s="8"/>
      <c r="I743" s="611"/>
      <c r="J743" s="26"/>
      <c r="K743" s="8"/>
      <c r="L743" s="611"/>
      <c r="M743" s="26"/>
      <c r="N743" s="8"/>
      <c r="O743" s="611"/>
      <c r="P743" s="26"/>
      <c r="Q743" s="8"/>
      <c r="R743" s="611"/>
      <c r="S743" s="26"/>
      <c r="T743" s="8"/>
      <c r="U743" s="611"/>
      <c r="V743" s="26"/>
      <c r="W743" s="8"/>
      <c r="X743" s="611"/>
      <c r="Y743" s="26"/>
      <c r="Z743" s="8"/>
      <c r="AA743" s="611"/>
      <c r="AB743" s="26"/>
      <c r="AC743" s="8"/>
      <c r="AD743" s="26"/>
      <c r="AE743" s="26"/>
      <c r="AF743" s="26"/>
      <c r="AG743" s="26"/>
      <c r="AH743" s="26"/>
    </row>
    <row r="744" ht="12.75" customHeight="1">
      <c r="A744" s="24"/>
      <c r="B744" s="609"/>
      <c r="C744" s="24"/>
      <c r="D744" s="24"/>
      <c r="E744" s="610"/>
      <c r="F744" s="611"/>
      <c r="G744" s="26"/>
      <c r="H744" s="8"/>
      <c r="I744" s="611"/>
      <c r="J744" s="26"/>
      <c r="K744" s="8"/>
      <c r="L744" s="611"/>
      <c r="M744" s="26"/>
      <c r="N744" s="8"/>
      <c r="O744" s="611"/>
      <c r="P744" s="26"/>
      <c r="Q744" s="8"/>
      <c r="R744" s="611"/>
      <c r="S744" s="26"/>
      <c r="T744" s="8"/>
      <c r="U744" s="611"/>
      <c r="V744" s="26"/>
      <c r="W744" s="8"/>
      <c r="X744" s="611"/>
      <c r="Y744" s="26"/>
      <c r="Z744" s="8"/>
      <c r="AA744" s="611"/>
      <c r="AB744" s="26"/>
      <c r="AC744" s="8"/>
      <c r="AD744" s="26"/>
      <c r="AE744" s="26"/>
      <c r="AF744" s="26"/>
      <c r="AG744" s="26"/>
      <c r="AH744" s="26"/>
    </row>
    <row r="745" ht="12.75" customHeight="1">
      <c r="A745" s="24"/>
      <c r="B745" s="609"/>
      <c r="C745" s="24"/>
      <c r="D745" s="24"/>
      <c r="E745" s="610"/>
      <c r="F745" s="611"/>
      <c r="G745" s="26"/>
      <c r="H745" s="8"/>
      <c r="I745" s="611"/>
      <c r="J745" s="26"/>
      <c r="K745" s="8"/>
      <c r="L745" s="611"/>
      <c r="M745" s="26"/>
      <c r="N745" s="8"/>
      <c r="O745" s="611"/>
      <c r="P745" s="26"/>
      <c r="Q745" s="8"/>
      <c r="R745" s="611"/>
      <c r="S745" s="26"/>
      <c r="T745" s="8"/>
      <c r="U745" s="611"/>
      <c r="V745" s="26"/>
      <c r="W745" s="8"/>
      <c r="X745" s="611"/>
      <c r="Y745" s="26"/>
      <c r="Z745" s="8"/>
      <c r="AA745" s="611"/>
      <c r="AB745" s="26"/>
      <c r="AC745" s="8"/>
      <c r="AD745" s="26"/>
      <c r="AE745" s="26"/>
      <c r="AF745" s="26"/>
      <c r="AG745" s="26"/>
      <c r="AH745" s="26"/>
    </row>
    <row r="746" ht="12.75" customHeight="1">
      <c r="A746" s="24"/>
      <c r="B746" s="609"/>
      <c r="C746" s="24"/>
      <c r="D746" s="24"/>
      <c r="E746" s="610"/>
      <c r="F746" s="611"/>
      <c r="G746" s="26"/>
      <c r="H746" s="8"/>
      <c r="I746" s="611"/>
      <c r="J746" s="26"/>
      <c r="K746" s="8"/>
      <c r="L746" s="611"/>
      <c r="M746" s="26"/>
      <c r="N746" s="8"/>
      <c r="O746" s="611"/>
      <c r="P746" s="26"/>
      <c r="Q746" s="8"/>
      <c r="R746" s="611"/>
      <c r="S746" s="26"/>
      <c r="T746" s="8"/>
      <c r="U746" s="611"/>
      <c r="V746" s="26"/>
      <c r="W746" s="8"/>
      <c r="X746" s="611"/>
      <c r="Y746" s="26"/>
      <c r="Z746" s="8"/>
      <c r="AA746" s="611"/>
      <c r="AB746" s="26"/>
      <c r="AC746" s="8"/>
      <c r="AD746" s="26"/>
      <c r="AE746" s="26"/>
      <c r="AF746" s="26"/>
      <c r="AG746" s="26"/>
      <c r="AH746" s="26"/>
    </row>
    <row r="747" ht="12.75" customHeight="1">
      <c r="A747" s="24"/>
      <c r="B747" s="609"/>
      <c r="C747" s="24"/>
      <c r="D747" s="24"/>
      <c r="E747" s="610"/>
      <c r="F747" s="611"/>
      <c r="G747" s="26"/>
      <c r="H747" s="8"/>
      <c r="I747" s="611"/>
      <c r="J747" s="26"/>
      <c r="K747" s="8"/>
      <c r="L747" s="611"/>
      <c r="M747" s="26"/>
      <c r="N747" s="8"/>
      <c r="O747" s="611"/>
      <c r="P747" s="26"/>
      <c r="Q747" s="8"/>
      <c r="R747" s="611"/>
      <c r="S747" s="26"/>
      <c r="T747" s="8"/>
      <c r="U747" s="611"/>
      <c r="V747" s="26"/>
      <c r="W747" s="8"/>
      <c r="X747" s="611"/>
      <c r="Y747" s="26"/>
      <c r="Z747" s="8"/>
      <c r="AA747" s="611"/>
      <c r="AB747" s="26"/>
      <c r="AC747" s="8"/>
      <c r="AD747" s="26"/>
      <c r="AE747" s="26"/>
      <c r="AF747" s="26"/>
      <c r="AG747" s="26"/>
      <c r="AH747" s="26"/>
    </row>
    <row r="748" ht="12.75" customHeight="1">
      <c r="A748" s="24"/>
      <c r="B748" s="609"/>
      <c r="C748" s="24"/>
      <c r="D748" s="24"/>
      <c r="E748" s="610"/>
      <c r="F748" s="611"/>
      <c r="G748" s="26"/>
      <c r="H748" s="8"/>
      <c r="I748" s="611"/>
      <c r="J748" s="26"/>
      <c r="K748" s="8"/>
      <c r="L748" s="611"/>
      <c r="M748" s="26"/>
      <c r="N748" s="8"/>
      <c r="O748" s="611"/>
      <c r="P748" s="26"/>
      <c r="Q748" s="8"/>
      <c r="R748" s="611"/>
      <c r="S748" s="26"/>
      <c r="T748" s="8"/>
      <c r="U748" s="611"/>
      <c r="V748" s="26"/>
      <c r="W748" s="8"/>
      <c r="X748" s="611"/>
      <c r="Y748" s="26"/>
      <c r="Z748" s="8"/>
      <c r="AA748" s="611"/>
      <c r="AB748" s="26"/>
      <c r="AC748" s="8"/>
      <c r="AD748" s="26"/>
      <c r="AE748" s="26"/>
      <c r="AF748" s="26"/>
      <c r="AG748" s="26"/>
      <c r="AH748" s="26"/>
    </row>
    <row r="749" ht="12.75" customHeight="1">
      <c r="A749" s="24"/>
      <c r="B749" s="609"/>
      <c r="C749" s="24"/>
      <c r="D749" s="24"/>
      <c r="E749" s="610"/>
      <c r="F749" s="611"/>
      <c r="G749" s="26"/>
      <c r="H749" s="8"/>
      <c r="I749" s="611"/>
      <c r="J749" s="26"/>
      <c r="K749" s="8"/>
      <c r="L749" s="611"/>
      <c r="M749" s="26"/>
      <c r="N749" s="8"/>
      <c r="O749" s="611"/>
      <c r="P749" s="26"/>
      <c r="Q749" s="8"/>
      <c r="R749" s="611"/>
      <c r="S749" s="26"/>
      <c r="T749" s="8"/>
      <c r="U749" s="611"/>
      <c r="V749" s="26"/>
      <c r="W749" s="8"/>
      <c r="X749" s="611"/>
      <c r="Y749" s="26"/>
      <c r="Z749" s="8"/>
      <c r="AA749" s="611"/>
      <c r="AB749" s="26"/>
      <c r="AC749" s="8"/>
      <c r="AD749" s="26"/>
      <c r="AE749" s="26"/>
      <c r="AF749" s="26"/>
      <c r="AG749" s="26"/>
      <c r="AH749" s="26"/>
    </row>
    <row r="750" ht="12.75" customHeight="1">
      <c r="A750" s="24"/>
      <c r="B750" s="609"/>
      <c r="C750" s="24"/>
      <c r="D750" s="24"/>
      <c r="E750" s="610"/>
      <c r="F750" s="611"/>
      <c r="G750" s="26"/>
      <c r="H750" s="8"/>
      <c r="I750" s="611"/>
      <c r="J750" s="26"/>
      <c r="K750" s="8"/>
      <c r="L750" s="611"/>
      <c r="M750" s="26"/>
      <c r="N750" s="8"/>
      <c r="O750" s="611"/>
      <c r="P750" s="26"/>
      <c r="Q750" s="8"/>
      <c r="R750" s="611"/>
      <c r="S750" s="26"/>
      <c r="T750" s="8"/>
      <c r="U750" s="611"/>
      <c r="V750" s="26"/>
      <c r="W750" s="8"/>
      <c r="X750" s="611"/>
      <c r="Y750" s="26"/>
      <c r="Z750" s="8"/>
      <c r="AA750" s="611"/>
      <c r="AB750" s="26"/>
      <c r="AC750" s="8"/>
      <c r="AD750" s="26"/>
      <c r="AE750" s="26"/>
      <c r="AF750" s="26"/>
      <c r="AG750" s="26"/>
      <c r="AH750" s="26"/>
    </row>
    <row r="751" ht="12.75" customHeight="1">
      <c r="A751" s="24"/>
      <c r="B751" s="609"/>
      <c r="C751" s="24"/>
      <c r="D751" s="24"/>
      <c r="E751" s="610"/>
      <c r="F751" s="611"/>
      <c r="G751" s="26"/>
      <c r="H751" s="8"/>
      <c r="I751" s="611"/>
      <c r="J751" s="26"/>
      <c r="K751" s="8"/>
      <c r="L751" s="611"/>
      <c r="M751" s="26"/>
      <c r="N751" s="8"/>
      <c r="O751" s="611"/>
      <c r="P751" s="26"/>
      <c r="Q751" s="8"/>
      <c r="R751" s="611"/>
      <c r="S751" s="26"/>
      <c r="T751" s="8"/>
      <c r="U751" s="611"/>
      <c r="V751" s="26"/>
      <c r="W751" s="8"/>
      <c r="X751" s="611"/>
      <c r="Y751" s="26"/>
      <c r="Z751" s="8"/>
      <c r="AA751" s="611"/>
      <c r="AB751" s="26"/>
      <c r="AC751" s="8"/>
      <c r="AD751" s="26"/>
      <c r="AE751" s="26"/>
      <c r="AF751" s="26"/>
      <c r="AG751" s="26"/>
      <c r="AH751" s="26"/>
    </row>
    <row r="752" ht="12.75" customHeight="1">
      <c r="A752" s="24"/>
      <c r="B752" s="609"/>
      <c r="C752" s="24"/>
      <c r="D752" s="24"/>
      <c r="E752" s="610"/>
      <c r="F752" s="611"/>
      <c r="G752" s="26"/>
      <c r="H752" s="8"/>
      <c r="I752" s="611"/>
      <c r="J752" s="26"/>
      <c r="K752" s="8"/>
      <c r="L752" s="611"/>
      <c r="M752" s="26"/>
      <c r="N752" s="8"/>
      <c r="O752" s="611"/>
      <c r="P752" s="26"/>
      <c r="Q752" s="8"/>
      <c r="R752" s="611"/>
      <c r="S752" s="26"/>
      <c r="T752" s="8"/>
      <c r="U752" s="611"/>
      <c r="V752" s="26"/>
      <c r="W752" s="8"/>
      <c r="X752" s="611"/>
      <c r="Y752" s="26"/>
      <c r="Z752" s="8"/>
      <c r="AA752" s="611"/>
      <c r="AB752" s="26"/>
      <c r="AC752" s="8"/>
      <c r="AD752" s="26"/>
      <c r="AE752" s="26"/>
      <c r="AF752" s="26"/>
      <c r="AG752" s="26"/>
      <c r="AH752" s="26"/>
    </row>
    <row r="753" ht="12.75" customHeight="1">
      <c r="A753" s="24"/>
      <c r="B753" s="609"/>
      <c r="C753" s="24"/>
      <c r="D753" s="24"/>
      <c r="E753" s="610"/>
      <c r="F753" s="611"/>
      <c r="G753" s="26"/>
      <c r="H753" s="8"/>
      <c r="I753" s="611"/>
      <c r="J753" s="26"/>
      <c r="K753" s="8"/>
      <c r="L753" s="611"/>
      <c r="M753" s="26"/>
      <c r="N753" s="8"/>
      <c r="O753" s="611"/>
      <c r="P753" s="26"/>
      <c r="Q753" s="8"/>
      <c r="R753" s="611"/>
      <c r="S753" s="26"/>
      <c r="T753" s="8"/>
      <c r="U753" s="611"/>
      <c r="V753" s="26"/>
      <c r="W753" s="8"/>
      <c r="X753" s="611"/>
      <c r="Y753" s="26"/>
      <c r="Z753" s="8"/>
      <c r="AA753" s="611"/>
      <c r="AB753" s="26"/>
      <c r="AC753" s="8"/>
      <c r="AD753" s="26"/>
      <c r="AE753" s="26"/>
      <c r="AF753" s="26"/>
      <c r="AG753" s="26"/>
      <c r="AH753" s="26"/>
    </row>
    <row r="754" ht="12.75" customHeight="1">
      <c r="A754" s="24"/>
      <c r="B754" s="609"/>
      <c r="C754" s="24"/>
      <c r="D754" s="24"/>
      <c r="E754" s="610"/>
      <c r="F754" s="611"/>
      <c r="G754" s="26"/>
      <c r="H754" s="8"/>
      <c r="I754" s="611"/>
      <c r="J754" s="26"/>
      <c r="K754" s="8"/>
      <c r="L754" s="611"/>
      <c r="M754" s="26"/>
      <c r="N754" s="8"/>
      <c r="O754" s="611"/>
      <c r="P754" s="26"/>
      <c r="Q754" s="8"/>
      <c r="R754" s="611"/>
      <c r="S754" s="26"/>
      <c r="T754" s="8"/>
      <c r="U754" s="611"/>
      <c r="V754" s="26"/>
      <c r="W754" s="8"/>
      <c r="X754" s="611"/>
      <c r="Y754" s="26"/>
      <c r="Z754" s="8"/>
      <c r="AA754" s="611"/>
      <c r="AB754" s="26"/>
      <c r="AC754" s="8"/>
      <c r="AD754" s="26"/>
      <c r="AE754" s="26"/>
      <c r="AF754" s="26"/>
      <c r="AG754" s="26"/>
      <c r="AH754" s="26"/>
    </row>
    <row r="755" ht="12.75" customHeight="1">
      <c r="A755" s="24"/>
      <c r="B755" s="609"/>
      <c r="C755" s="24"/>
      <c r="D755" s="24"/>
      <c r="E755" s="610"/>
      <c r="F755" s="611"/>
      <c r="G755" s="26"/>
      <c r="H755" s="8"/>
      <c r="I755" s="611"/>
      <c r="J755" s="26"/>
      <c r="K755" s="8"/>
      <c r="L755" s="611"/>
      <c r="M755" s="26"/>
      <c r="N755" s="8"/>
      <c r="O755" s="611"/>
      <c r="P755" s="26"/>
      <c r="Q755" s="8"/>
      <c r="R755" s="611"/>
      <c r="S755" s="26"/>
      <c r="T755" s="8"/>
      <c r="U755" s="611"/>
      <c r="V755" s="26"/>
      <c r="W755" s="8"/>
      <c r="X755" s="611"/>
      <c r="Y755" s="26"/>
      <c r="Z755" s="8"/>
      <c r="AA755" s="611"/>
      <c r="AB755" s="26"/>
      <c r="AC755" s="8"/>
      <c r="AD755" s="26"/>
      <c r="AE755" s="26"/>
      <c r="AF755" s="26"/>
      <c r="AG755" s="26"/>
      <c r="AH755" s="26"/>
    </row>
    <row r="756" ht="12.75" customHeight="1">
      <c r="A756" s="24"/>
      <c r="B756" s="609"/>
      <c r="C756" s="24"/>
      <c r="D756" s="24"/>
      <c r="E756" s="610"/>
      <c r="F756" s="611"/>
      <c r="G756" s="26"/>
      <c r="H756" s="8"/>
      <c r="I756" s="611"/>
      <c r="J756" s="26"/>
      <c r="K756" s="8"/>
      <c r="L756" s="611"/>
      <c r="M756" s="26"/>
      <c r="N756" s="8"/>
      <c r="O756" s="611"/>
      <c r="P756" s="26"/>
      <c r="Q756" s="8"/>
      <c r="R756" s="611"/>
      <c r="S756" s="26"/>
      <c r="T756" s="8"/>
      <c r="U756" s="611"/>
      <c r="V756" s="26"/>
      <c r="W756" s="8"/>
      <c r="X756" s="611"/>
      <c r="Y756" s="26"/>
      <c r="Z756" s="8"/>
      <c r="AA756" s="611"/>
      <c r="AB756" s="26"/>
      <c r="AC756" s="8"/>
      <c r="AD756" s="26"/>
      <c r="AE756" s="26"/>
      <c r="AF756" s="26"/>
      <c r="AG756" s="26"/>
      <c r="AH756" s="26"/>
    </row>
    <row r="757" ht="12.75" customHeight="1">
      <c r="A757" s="24"/>
      <c r="B757" s="609"/>
      <c r="C757" s="24"/>
      <c r="D757" s="24"/>
      <c r="E757" s="610"/>
      <c r="F757" s="611"/>
      <c r="G757" s="26"/>
      <c r="H757" s="8"/>
      <c r="I757" s="611"/>
      <c r="J757" s="26"/>
      <c r="K757" s="8"/>
      <c r="L757" s="611"/>
      <c r="M757" s="26"/>
      <c r="N757" s="8"/>
      <c r="O757" s="611"/>
      <c r="P757" s="26"/>
      <c r="Q757" s="8"/>
      <c r="R757" s="611"/>
      <c r="S757" s="26"/>
      <c r="T757" s="8"/>
      <c r="U757" s="611"/>
      <c r="V757" s="26"/>
      <c r="W757" s="8"/>
      <c r="X757" s="611"/>
      <c r="Y757" s="26"/>
      <c r="Z757" s="8"/>
      <c r="AA757" s="611"/>
      <c r="AB757" s="26"/>
      <c r="AC757" s="8"/>
      <c r="AD757" s="26"/>
      <c r="AE757" s="26"/>
      <c r="AF757" s="26"/>
      <c r="AG757" s="26"/>
      <c r="AH757" s="26"/>
    </row>
    <row r="758" ht="12.75" customHeight="1">
      <c r="A758" s="24"/>
      <c r="B758" s="609"/>
      <c r="C758" s="24"/>
      <c r="D758" s="24"/>
      <c r="E758" s="610"/>
      <c r="F758" s="611"/>
      <c r="G758" s="26"/>
      <c r="H758" s="8"/>
      <c r="I758" s="611"/>
      <c r="J758" s="26"/>
      <c r="K758" s="8"/>
      <c r="L758" s="611"/>
      <c r="M758" s="26"/>
      <c r="N758" s="8"/>
      <c r="O758" s="611"/>
      <c r="P758" s="26"/>
      <c r="Q758" s="8"/>
      <c r="R758" s="611"/>
      <c r="S758" s="26"/>
      <c r="T758" s="8"/>
      <c r="U758" s="611"/>
      <c r="V758" s="26"/>
      <c r="W758" s="8"/>
      <c r="X758" s="611"/>
      <c r="Y758" s="26"/>
      <c r="Z758" s="8"/>
      <c r="AA758" s="611"/>
      <c r="AB758" s="26"/>
      <c r="AC758" s="8"/>
      <c r="AD758" s="26"/>
      <c r="AE758" s="26"/>
      <c r="AF758" s="26"/>
      <c r="AG758" s="26"/>
      <c r="AH758" s="26"/>
    </row>
    <row r="759" ht="12.75" customHeight="1">
      <c r="A759" s="24"/>
      <c r="B759" s="609"/>
      <c r="C759" s="24"/>
      <c r="D759" s="24"/>
      <c r="E759" s="610"/>
      <c r="F759" s="611"/>
      <c r="G759" s="26"/>
      <c r="H759" s="8"/>
      <c r="I759" s="611"/>
      <c r="J759" s="26"/>
      <c r="K759" s="8"/>
      <c r="L759" s="611"/>
      <c r="M759" s="26"/>
      <c r="N759" s="8"/>
      <c r="O759" s="611"/>
      <c r="P759" s="26"/>
      <c r="Q759" s="8"/>
      <c r="R759" s="611"/>
      <c r="S759" s="26"/>
      <c r="T759" s="8"/>
      <c r="U759" s="611"/>
      <c r="V759" s="26"/>
      <c r="W759" s="8"/>
      <c r="X759" s="611"/>
      <c r="Y759" s="26"/>
      <c r="Z759" s="8"/>
      <c r="AA759" s="611"/>
      <c r="AB759" s="26"/>
      <c r="AC759" s="8"/>
      <c r="AD759" s="26"/>
      <c r="AE759" s="26"/>
      <c r="AF759" s="26"/>
      <c r="AG759" s="26"/>
      <c r="AH759" s="26"/>
    </row>
    <row r="760" ht="12.75" customHeight="1">
      <c r="A760" s="24"/>
      <c r="B760" s="609"/>
      <c r="C760" s="24"/>
      <c r="D760" s="24"/>
      <c r="E760" s="610"/>
      <c r="F760" s="611"/>
      <c r="G760" s="26"/>
      <c r="H760" s="8"/>
      <c r="I760" s="611"/>
      <c r="J760" s="26"/>
      <c r="K760" s="8"/>
      <c r="L760" s="611"/>
      <c r="M760" s="26"/>
      <c r="N760" s="8"/>
      <c r="O760" s="611"/>
      <c r="P760" s="26"/>
      <c r="Q760" s="8"/>
      <c r="R760" s="611"/>
      <c r="S760" s="26"/>
      <c r="T760" s="8"/>
      <c r="U760" s="611"/>
      <c r="V760" s="26"/>
      <c r="W760" s="8"/>
      <c r="X760" s="611"/>
      <c r="Y760" s="26"/>
      <c r="Z760" s="8"/>
      <c r="AA760" s="611"/>
      <c r="AB760" s="26"/>
      <c r="AC760" s="8"/>
      <c r="AD760" s="26"/>
      <c r="AE760" s="26"/>
      <c r="AF760" s="26"/>
      <c r="AG760" s="26"/>
      <c r="AH760" s="26"/>
    </row>
    <row r="761" ht="12.75" customHeight="1">
      <c r="A761" s="24"/>
      <c r="B761" s="609"/>
      <c r="C761" s="24"/>
      <c r="D761" s="24"/>
      <c r="E761" s="610"/>
      <c r="F761" s="611"/>
      <c r="G761" s="26"/>
      <c r="H761" s="8"/>
      <c r="I761" s="611"/>
      <c r="J761" s="26"/>
      <c r="K761" s="8"/>
      <c r="L761" s="611"/>
      <c r="M761" s="26"/>
      <c r="N761" s="8"/>
      <c r="O761" s="611"/>
      <c r="P761" s="26"/>
      <c r="Q761" s="8"/>
      <c r="R761" s="611"/>
      <c r="S761" s="26"/>
      <c r="T761" s="8"/>
      <c r="U761" s="611"/>
      <c r="V761" s="26"/>
      <c r="W761" s="8"/>
      <c r="X761" s="611"/>
      <c r="Y761" s="26"/>
      <c r="Z761" s="8"/>
      <c r="AA761" s="611"/>
      <c r="AB761" s="26"/>
      <c r="AC761" s="8"/>
      <c r="AD761" s="26"/>
      <c r="AE761" s="26"/>
      <c r="AF761" s="26"/>
      <c r="AG761" s="26"/>
      <c r="AH761" s="26"/>
    </row>
    <row r="762" ht="12.75" customHeight="1">
      <c r="A762" s="24"/>
      <c r="B762" s="609"/>
      <c r="C762" s="24"/>
      <c r="D762" s="24"/>
      <c r="E762" s="610"/>
      <c r="F762" s="611"/>
      <c r="G762" s="26"/>
      <c r="H762" s="8"/>
      <c r="I762" s="611"/>
      <c r="J762" s="26"/>
      <c r="K762" s="8"/>
      <c r="L762" s="611"/>
      <c r="M762" s="26"/>
      <c r="N762" s="8"/>
      <c r="O762" s="611"/>
      <c r="P762" s="26"/>
      <c r="Q762" s="8"/>
      <c r="R762" s="611"/>
      <c r="S762" s="26"/>
      <c r="T762" s="8"/>
      <c r="U762" s="611"/>
      <c r="V762" s="26"/>
      <c r="W762" s="8"/>
      <c r="X762" s="611"/>
      <c r="Y762" s="26"/>
      <c r="Z762" s="8"/>
      <c r="AA762" s="611"/>
      <c r="AB762" s="26"/>
      <c r="AC762" s="8"/>
      <c r="AD762" s="26"/>
      <c r="AE762" s="26"/>
      <c r="AF762" s="26"/>
      <c r="AG762" s="26"/>
      <c r="AH762" s="26"/>
    </row>
    <row r="763" ht="12.75" customHeight="1">
      <c r="A763" s="24"/>
      <c r="B763" s="609"/>
      <c r="C763" s="24"/>
      <c r="D763" s="24"/>
      <c r="E763" s="610"/>
      <c r="F763" s="611"/>
      <c r="G763" s="26"/>
      <c r="H763" s="8"/>
      <c r="I763" s="611"/>
      <c r="J763" s="26"/>
      <c r="K763" s="8"/>
      <c r="L763" s="611"/>
      <c r="M763" s="26"/>
      <c r="N763" s="8"/>
      <c r="O763" s="611"/>
      <c r="P763" s="26"/>
      <c r="Q763" s="8"/>
      <c r="R763" s="611"/>
      <c r="S763" s="26"/>
      <c r="T763" s="8"/>
      <c r="U763" s="611"/>
      <c r="V763" s="26"/>
      <c r="W763" s="8"/>
      <c r="X763" s="611"/>
      <c r="Y763" s="26"/>
      <c r="Z763" s="8"/>
      <c r="AA763" s="611"/>
      <c r="AB763" s="26"/>
      <c r="AC763" s="8"/>
      <c r="AD763" s="26"/>
      <c r="AE763" s="26"/>
      <c r="AF763" s="26"/>
      <c r="AG763" s="26"/>
      <c r="AH763" s="26"/>
    </row>
    <row r="764" ht="12.75" customHeight="1">
      <c r="A764" s="24"/>
      <c r="B764" s="609"/>
      <c r="C764" s="24"/>
      <c r="D764" s="24"/>
      <c r="E764" s="610"/>
      <c r="F764" s="611"/>
      <c r="G764" s="26"/>
      <c r="H764" s="8"/>
      <c r="I764" s="611"/>
      <c r="J764" s="26"/>
      <c r="K764" s="8"/>
      <c r="L764" s="611"/>
      <c r="M764" s="26"/>
      <c r="N764" s="8"/>
      <c r="O764" s="611"/>
      <c r="P764" s="26"/>
      <c r="Q764" s="8"/>
      <c r="R764" s="611"/>
      <c r="S764" s="26"/>
      <c r="T764" s="8"/>
      <c r="U764" s="611"/>
      <c r="V764" s="26"/>
      <c r="W764" s="8"/>
      <c r="X764" s="611"/>
      <c r="Y764" s="26"/>
      <c r="Z764" s="8"/>
      <c r="AA764" s="611"/>
      <c r="AB764" s="26"/>
      <c r="AC764" s="8"/>
      <c r="AD764" s="26"/>
      <c r="AE764" s="26"/>
      <c r="AF764" s="26"/>
      <c r="AG764" s="26"/>
      <c r="AH764" s="26"/>
    </row>
    <row r="765" ht="12.75" customHeight="1">
      <c r="A765" s="24"/>
      <c r="B765" s="609"/>
      <c r="C765" s="24"/>
      <c r="D765" s="24"/>
      <c r="E765" s="610"/>
      <c r="F765" s="611"/>
      <c r="G765" s="26"/>
      <c r="H765" s="8"/>
      <c r="I765" s="611"/>
      <c r="J765" s="26"/>
      <c r="K765" s="8"/>
      <c r="L765" s="611"/>
      <c r="M765" s="26"/>
      <c r="N765" s="8"/>
      <c r="O765" s="611"/>
      <c r="P765" s="26"/>
      <c r="Q765" s="8"/>
      <c r="R765" s="611"/>
      <c r="S765" s="26"/>
      <c r="T765" s="8"/>
      <c r="U765" s="611"/>
      <c r="V765" s="26"/>
      <c r="W765" s="8"/>
      <c r="X765" s="611"/>
      <c r="Y765" s="26"/>
      <c r="Z765" s="8"/>
      <c r="AA765" s="611"/>
      <c r="AB765" s="26"/>
      <c r="AC765" s="8"/>
      <c r="AD765" s="26"/>
      <c r="AE765" s="26"/>
      <c r="AF765" s="26"/>
      <c r="AG765" s="26"/>
      <c r="AH765" s="26"/>
    </row>
    <row r="766" ht="12.75" customHeight="1">
      <c r="A766" s="24"/>
      <c r="B766" s="609"/>
      <c r="C766" s="24"/>
      <c r="D766" s="24"/>
      <c r="E766" s="610"/>
      <c r="F766" s="611"/>
      <c r="G766" s="26"/>
      <c r="H766" s="8"/>
      <c r="I766" s="611"/>
      <c r="J766" s="26"/>
      <c r="K766" s="8"/>
      <c r="L766" s="611"/>
      <c r="M766" s="26"/>
      <c r="N766" s="8"/>
      <c r="O766" s="611"/>
      <c r="P766" s="26"/>
      <c r="Q766" s="8"/>
      <c r="R766" s="611"/>
      <c r="S766" s="26"/>
      <c r="T766" s="8"/>
      <c r="U766" s="611"/>
      <c r="V766" s="26"/>
      <c r="W766" s="8"/>
      <c r="X766" s="611"/>
      <c r="Y766" s="26"/>
      <c r="Z766" s="8"/>
      <c r="AA766" s="611"/>
      <c r="AB766" s="26"/>
      <c r="AC766" s="8"/>
      <c r="AD766" s="26"/>
      <c r="AE766" s="26"/>
      <c r="AF766" s="26"/>
      <c r="AG766" s="26"/>
      <c r="AH766" s="26"/>
    </row>
    <row r="767" ht="12.75" customHeight="1">
      <c r="A767" s="24"/>
      <c r="B767" s="609"/>
      <c r="C767" s="24"/>
      <c r="D767" s="24"/>
      <c r="E767" s="610"/>
      <c r="F767" s="611"/>
      <c r="G767" s="26"/>
      <c r="H767" s="8"/>
      <c r="I767" s="611"/>
      <c r="J767" s="26"/>
      <c r="K767" s="8"/>
      <c r="L767" s="611"/>
      <c r="M767" s="26"/>
      <c r="N767" s="8"/>
      <c r="O767" s="611"/>
      <c r="P767" s="26"/>
      <c r="Q767" s="8"/>
      <c r="R767" s="611"/>
      <c r="S767" s="26"/>
      <c r="T767" s="8"/>
      <c r="U767" s="611"/>
      <c r="V767" s="26"/>
      <c r="W767" s="8"/>
      <c r="X767" s="611"/>
      <c r="Y767" s="26"/>
      <c r="Z767" s="8"/>
      <c r="AA767" s="611"/>
      <c r="AB767" s="26"/>
      <c r="AC767" s="8"/>
      <c r="AD767" s="26"/>
      <c r="AE767" s="26"/>
      <c r="AF767" s="26"/>
      <c r="AG767" s="26"/>
      <c r="AH767" s="26"/>
    </row>
    <row r="768" ht="12.75" customHeight="1">
      <c r="A768" s="24"/>
      <c r="B768" s="609"/>
      <c r="C768" s="24"/>
      <c r="D768" s="24"/>
      <c r="E768" s="610"/>
      <c r="F768" s="611"/>
      <c r="G768" s="26"/>
      <c r="H768" s="8"/>
      <c r="I768" s="611"/>
      <c r="J768" s="26"/>
      <c r="K768" s="8"/>
      <c r="L768" s="611"/>
      <c r="M768" s="26"/>
      <c r="N768" s="8"/>
      <c r="O768" s="611"/>
      <c r="P768" s="26"/>
      <c r="Q768" s="8"/>
      <c r="R768" s="611"/>
      <c r="S768" s="26"/>
      <c r="T768" s="8"/>
      <c r="U768" s="611"/>
      <c r="V768" s="26"/>
      <c r="W768" s="8"/>
      <c r="X768" s="611"/>
      <c r="Y768" s="26"/>
      <c r="Z768" s="8"/>
      <c r="AA768" s="611"/>
      <c r="AB768" s="26"/>
      <c r="AC768" s="8"/>
      <c r="AD768" s="26"/>
      <c r="AE768" s="26"/>
      <c r="AF768" s="26"/>
      <c r="AG768" s="26"/>
      <c r="AH768" s="26"/>
    </row>
    <row r="769" ht="12.75" customHeight="1">
      <c r="A769" s="24"/>
      <c r="B769" s="609"/>
      <c r="C769" s="24"/>
      <c r="D769" s="24"/>
      <c r="E769" s="610"/>
      <c r="F769" s="611"/>
      <c r="G769" s="26"/>
      <c r="H769" s="8"/>
      <c r="I769" s="611"/>
      <c r="J769" s="26"/>
      <c r="K769" s="8"/>
      <c r="L769" s="611"/>
      <c r="M769" s="26"/>
      <c r="N769" s="8"/>
      <c r="O769" s="611"/>
      <c r="P769" s="26"/>
      <c r="Q769" s="8"/>
      <c r="R769" s="611"/>
      <c r="S769" s="26"/>
      <c r="T769" s="8"/>
      <c r="U769" s="611"/>
      <c r="V769" s="26"/>
      <c r="W769" s="8"/>
      <c r="X769" s="611"/>
      <c r="Y769" s="26"/>
      <c r="Z769" s="8"/>
      <c r="AA769" s="611"/>
      <c r="AB769" s="26"/>
      <c r="AC769" s="8"/>
      <c r="AD769" s="26"/>
      <c r="AE769" s="26"/>
      <c r="AF769" s="26"/>
      <c r="AG769" s="26"/>
      <c r="AH769" s="26"/>
    </row>
    <row r="770" ht="12.75" customHeight="1">
      <c r="A770" s="24"/>
      <c r="B770" s="609"/>
      <c r="C770" s="24"/>
      <c r="D770" s="24"/>
      <c r="E770" s="610"/>
      <c r="F770" s="611"/>
      <c r="G770" s="26"/>
      <c r="H770" s="8"/>
      <c r="I770" s="611"/>
      <c r="J770" s="26"/>
      <c r="K770" s="8"/>
      <c r="L770" s="611"/>
      <c r="M770" s="26"/>
      <c r="N770" s="8"/>
      <c r="O770" s="611"/>
      <c r="P770" s="26"/>
      <c r="Q770" s="8"/>
      <c r="R770" s="611"/>
      <c r="S770" s="26"/>
      <c r="T770" s="8"/>
      <c r="U770" s="611"/>
      <c r="V770" s="26"/>
      <c r="W770" s="8"/>
      <c r="X770" s="611"/>
      <c r="Y770" s="26"/>
      <c r="Z770" s="8"/>
      <c r="AA770" s="611"/>
      <c r="AB770" s="26"/>
      <c r="AC770" s="8"/>
      <c r="AD770" s="26"/>
      <c r="AE770" s="26"/>
      <c r="AF770" s="26"/>
      <c r="AG770" s="26"/>
      <c r="AH770" s="26"/>
    </row>
    <row r="771" ht="12.75" customHeight="1">
      <c r="A771" s="24"/>
      <c r="B771" s="609"/>
      <c r="C771" s="24"/>
      <c r="D771" s="24"/>
      <c r="E771" s="610"/>
      <c r="F771" s="611"/>
      <c r="G771" s="26"/>
      <c r="H771" s="8"/>
      <c r="I771" s="611"/>
      <c r="J771" s="26"/>
      <c r="K771" s="8"/>
      <c r="L771" s="611"/>
      <c r="M771" s="26"/>
      <c r="N771" s="8"/>
      <c r="O771" s="611"/>
      <c r="P771" s="26"/>
      <c r="Q771" s="8"/>
      <c r="R771" s="611"/>
      <c r="S771" s="26"/>
      <c r="T771" s="8"/>
      <c r="U771" s="611"/>
      <c r="V771" s="26"/>
      <c r="W771" s="8"/>
      <c r="X771" s="611"/>
      <c r="Y771" s="26"/>
      <c r="Z771" s="8"/>
      <c r="AA771" s="611"/>
      <c r="AB771" s="26"/>
      <c r="AC771" s="8"/>
      <c r="AD771" s="26"/>
      <c r="AE771" s="26"/>
      <c r="AF771" s="26"/>
      <c r="AG771" s="26"/>
      <c r="AH771" s="26"/>
    </row>
    <row r="772" ht="12.75" customHeight="1">
      <c r="A772" s="24"/>
      <c r="B772" s="609"/>
      <c r="C772" s="24"/>
      <c r="D772" s="24"/>
      <c r="E772" s="610"/>
      <c r="F772" s="611"/>
      <c r="G772" s="26"/>
      <c r="H772" s="8"/>
      <c r="I772" s="611"/>
      <c r="J772" s="26"/>
      <c r="K772" s="8"/>
      <c r="L772" s="611"/>
      <c r="M772" s="26"/>
      <c r="N772" s="8"/>
      <c r="O772" s="611"/>
      <c r="P772" s="26"/>
      <c r="Q772" s="8"/>
      <c r="R772" s="611"/>
      <c r="S772" s="26"/>
      <c r="T772" s="8"/>
      <c r="U772" s="611"/>
      <c r="V772" s="26"/>
      <c r="W772" s="8"/>
      <c r="X772" s="611"/>
      <c r="Y772" s="26"/>
      <c r="Z772" s="8"/>
      <c r="AA772" s="611"/>
      <c r="AB772" s="26"/>
      <c r="AC772" s="8"/>
      <c r="AD772" s="26"/>
      <c r="AE772" s="26"/>
      <c r="AF772" s="26"/>
      <c r="AG772" s="26"/>
      <c r="AH772" s="26"/>
    </row>
    <row r="773" ht="12.75" customHeight="1">
      <c r="A773" s="24"/>
      <c r="B773" s="609"/>
      <c r="C773" s="24"/>
      <c r="D773" s="24"/>
      <c r="E773" s="610"/>
      <c r="F773" s="611"/>
      <c r="G773" s="26"/>
      <c r="H773" s="8"/>
      <c r="I773" s="611"/>
      <c r="J773" s="26"/>
      <c r="K773" s="8"/>
      <c r="L773" s="611"/>
      <c r="M773" s="26"/>
      <c r="N773" s="8"/>
      <c r="O773" s="611"/>
      <c r="P773" s="26"/>
      <c r="Q773" s="8"/>
      <c r="R773" s="611"/>
      <c r="S773" s="26"/>
      <c r="T773" s="8"/>
      <c r="U773" s="611"/>
      <c r="V773" s="26"/>
      <c r="W773" s="8"/>
      <c r="X773" s="611"/>
      <c r="Y773" s="26"/>
      <c r="Z773" s="8"/>
      <c r="AA773" s="611"/>
      <c r="AB773" s="26"/>
      <c r="AC773" s="8"/>
      <c r="AD773" s="26"/>
      <c r="AE773" s="26"/>
      <c r="AF773" s="26"/>
      <c r="AG773" s="26"/>
      <c r="AH773" s="26"/>
    </row>
    <row r="774" ht="12.75" customHeight="1">
      <c r="A774" s="24"/>
      <c r="B774" s="609"/>
      <c r="C774" s="24"/>
      <c r="D774" s="24"/>
      <c r="E774" s="610"/>
      <c r="F774" s="611"/>
      <c r="G774" s="26"/>
      <c r="H774" s="8"/>
      <c r="I774" s="611"/>
      <c r="J774" s="26"/>
      <c r="K774" s="8"/>
      <c r="L774" s="611"/>
      <c r="M774" s="26"/>
      <c r="N774" s="8"/>
      <c r="O774" s="611"/>
      <c r="P774" s="26"/>
      <c r="Q774" s="8"/>
      <c r="R774" s="611"/>
      <c r="S774" s="26"/>
      <c r="T774" s="8"/>
      <c r="U774" s="611"/>
      <c r="V774" s="26"/>
      <c r="W774" s="8"/>
      <c r="X774" s="611"/>
      <c r="Y774" s="26"/>
      <c r="Z774" s="8"/>
      <c r="AA774" s="611"/>
      <c r="AB774" s="26"/>
      <c r="AC774" s="8"/>
      <c r="AD774" s="26"/>
      <c r="AE774" s="26"/>
      <c r="AF774" s="26"/>
      <c r="AG774" s="26"/>
      <c r="AH774" s="26"/>
    </row>
    <row r="775" ht="12.75" customHeight="1">
      <c r="A775" s="24"/>
      <c r="B775" s="609"/>
      <c r="C775" s="24"/>
      <c r="D775" s="24"/>
      <c r="E775" s="610"/>
      <c r="F775" s="611"/>
      <c r="G775" s="26"/>
      <c r="H775" s="8"/>
      <c r="I775" s="611"/>
      <c r="J775" s="26"/>
      <c r="K775" s="8"/>
      <c r="L775" s="611"/>
      <c r="M775" s="26"/>
      <c r="N775" s="8"/>
      <c r="O775" s="611"/>
      <c r="P775" s="26"/>
      <c r="Q775" s="8"/>
      <c r="R775" s="611"/>
      <c r="S775" s="26"/>
      <c r="T775" s="8"/>
      <c r="U775" s="611"/>
      <c r="V775" s="26"/>
      <c r="W775" s="8"/>
      <c r="X775" s="611"/>
      <c r="Y775" s="26"/>
      <c r="Z775" s="8"/>
      <c r="AA775" s="611"/>
      <c r="AB775" s="26"/>
      <c r="AC775" s="8"/>
      <c r="AD775" s="26"/>
      <c r="AE775" s="26"/>
      <c r="AF775" s="26"/>
      <c r="AG775" s="26"/>
      <c r="AH775" s="26"/>
    </row>
    <row r="776" ht="12.75" customHeight="1">
      <c r="A776" s="24"/>
      <c r="B776" s="609"/>
      <c r="C776" s="24"/>
      <c r="D776" s="24"/>
      <c r="E776" s="610"/>
      <c r="F776" s="611"/>
      <c r="G776" s="26"/>
      <c r="H776" s="8"/>
      <c r="I776" s="611"/>
      <c r="J776" s="26"/>
      <c r="K776" s="8"/>
      <c r="L776" s="611"/>
      <c r="M776" s="26"/>
      <c r="N776" s="8"/>
      <c r="O776" s="611"/>
      <c r="P776" s="26"/>
      <c r="Q776" s="8"/>
      <c r="R776" s="611"/>
      <c r="S776" s="26"/>
      <c r="T776" s="8"/>
      <c r="U776" s="611"/>
      <c r="V776" s="26"/>
      <c r="W776" s="8"/>
      <c r="X776" s="611"/>
      <c r="Y776" s="26"/>
      <c r="Z776" s="8"/>
      <c r="AA776" s="611"/>
      <c r="AB776" s="26"/>
      <c r="AC776" s="8"/>
      <c r="AD776" s="26"/>
      <c r="AE776" s="26"/>
      <c r="AF776" s="26"/>
      <c r="AG776" s="26"/>
      <c r="AH776" s="26"/>
    </row>
    <row r="777" ht="12.75" customHeight="1">
      <c r="A777" s="24"/>
      <c r="B777" s="609"/>
      <c r="C777" s="24"/>
      <c r="D777" s="24"/>
      <c r="E777" s="610"/>
      <c r="F777" s="611"/>
      <c r="G777" s="26"/>
      <c r="H777" s="8"/>
      <c r="I777" s="611"/>
      <c r="J777" s="26"/>
      <c r="K777" s="8"/>
      <c r="L777" s="611"/>
      <c r="M777" s="26"/>
      <c r="N777" s="8"/>
      <c r="O777" s="611"/>
      <c r="P777" s="26"/>
      <c r="Q777" s="8"/>
      <c r="R777" s="611"/>
      <c r="S777" s="26"/>
      <c r="T777" s="8"/>
      <c r="U777" s="611"/>
      <c r="V777" s="26"/>
      <c r="W777" s="8"/>
      <c r="X777" s="611"/>
      <c r="Y777" s="26"/>
      <c r="Z777" s="8"/>
      <c r="AA777" s="611"/>
      <c r="AB777" s="26"/>
      <c r="AC777" s="8"/>
      <c r="AD777" s="26"/>
      <c r="AE777" s="26"/>
      <c r="AF777" s="26"/>
      <c r="AG777" s="26"/>
      <c r="AH777" s="26"/>
    </row>
    <row r="778" ht="12.75" customHeight="1">
      <c r="A778" s="24"/>
      <c r="B778" s="609"/>
      <c r="C778" s="24"/>
      <c r="D778" s="24"/>
      <c r="E778" s="610"/>
      <c r="F778" s="611"/>
      <c r="G778" s="26"/>
      <c r="H778" s="8"/>
      <c r="I778" s="611"/>
      <c r="J778" s="26"/>
      <c r="K778" s="8"/>
      <c r="L778" s="611"/>
      <c r="M778" s="26"/>
      <c r="N778" s="8"/>
      <c r="O778" s="611"/>
      <c r="P778" s="26"/>
      <c r="Q778" s="8"/>
      <c r="R778" s="611"/>
      <c r="S778" s="26"/>
      <c r="T778" s="8"/>
      <c r="U778" s="611"/>
      <c r="V778" s="26"/>
      <c r="W778" s="8"/>
      <c r="X778" s="611"/>
      <c r="Y778" s="26"/>
      <c r="Z778" s="8"/>
      <c r="AA778" s="611"/>
      <c r="AB778" s="26"/>
      <c r="AC778" s="8"/>
      <c r="AD778" s="26"/>
      <c r="AE778" s="26"/>
      <c r="AF778" s="26"/>
      <c r="AG778" s="26"/>
      <c r="AH778" s="26"/>
    </row>
    <row r="779" ht="12.75" customHeight="1">
      <c r="A779" s="24"/>
      <c r="B779" s="609"/>
      <c r="C779" s="24"/>
      <c r="D779" s="24"/>
      <c r="E779" s="610"/>
      <c r="F779" s="611"/>
      <c r="G779" s="26"/>
      <c r="H779" s="8"/>
      <c r="I779" s="611"/>
      <c r="J779" s="26"/>
      <c r="K779" s="8"/>
      <c r="L779" s="611"/>
      <c r="M779" s="26"/>
      <c r="N779" s="8"/>
      <c r="O779" s="611"/>
      <c r="P779" s="26"/>
      <c r="Q779" s="8"/>
      <c r="R779" s="611"/>
      <c r="S779" s="26"/>
      <c r="T779" s="8"/>
      <c r="U779" s="611"/>
      <c r="V779" s="26"/>
      <c r="W779" s="8"/>
      <c r="X779" s="611"/>
      <c r="Y779" s="26"/>
      <c r="Z779" s="8"/>
      <c r="AA779" s="611"/>
      <c r="AB779" s="26"/>
      <c r="AC779" s="8"/>
      <c r="AD779" s="26"/>
      <c r="AE779" s="26"/>
      <c r="AF779" s="26"/>
      <c r="AG779" s="26"/>
      <c r="AH779" s="26"/>
    </row>
    <row r="780" ht="12.75" customHeight="1">
      <c r="A780" s="24"/>
      <c r="B780" s="609"/>
      <c r="C780" s="24"/>
      <c r="D780" s="24"/>
      <c r="E780" s="610"/>
      <c r="F780" s="611"/>
      <c r="G780" s="26"/>
      <c r="H780" s="8"/>
      <c r="I780" s="611"/>
      <c r="J780" s="26"/>
      <c r="K780" s="8"/>
      <c r="L780" s="611"/>
      <c r="M780" s="26"/>
      <c r="N780" s="8"/>
      <c r="O780" s="611"/>
      <c r="P780" s="26"/>
      <c r="Q780" s="8"/>
      <c r="R780" s="611"/>
      <c r="S780" s="26"/>
      <c r="T780" s="8"/>
      <c r="U780" s="611"/>
      <c r="V780" s="26"/>
      <c r="W780" s="8"/>
      <c r="X780" s="611"/>
      <c r="Y780" s="26"/>
      <c r="Z780" s="8"/>
      <c r="AA780" s="611"/>
      <c r="AB780" s="26"/>
      <c r="AC780" s="8"/>
      <c r="AD780" s="26"/>
      <c r="AE780" s="26"/>
      <c r="AF780" s="26"/>
      <c r="AG780" s="26"/>
      <c r="AH780" s="26"/>
    </row>
    <row r="781" ht="12.75" customHeight="1">
      <c r="A781" s="24"/>
      <c r="B781" s="609"/>
      <c r="C781" s="24"/>
      <c r="D781" s="24"/>
      <c r="E781" s="610"/>
      <c r="F781" s="611"/>
      <c r="G781" s="26"/>
      <c r="H781" s="8"/>
      <c r="I781" s="611"/>
      <c r="J781" s="26"/>
      <c r="K781" s="8"/>
      <c r="L781" s="611"/>
      <c r="M781" s="26"/>
      <c r="N781" s="8"/>
      <c r="O781" s="611"/>
      <c r="P781" s="26"/>
      <c r="Q781" s="8"/>
      <c r="R781" s="611"/>
      <c r="S781" s="26"/>
      <c r="T781" s="8"/>
      <c r="U781" s="611"/>
      <c r="V781" s="26"/>
      <c r="W781" s="8"/>
      <c r="X781" s="611"/>
      <c r="Y781" s="26"/>
      <c r="Z781" s="8"/>
      <c r="AA781" s="611"/>
      <c r="AB781" s="26"/>
      <c r="AC781" s="8"/>
      <c r="AD781" s="26"/>
      <c r="AE781" s="26"/>
      <c r="AF781" s="26"/>
      <c r="AG781" s="26"/>
      <c r="AH781" s="26"/>
    </row>
    <row r="782" ht="12.75" customHeight="1">
      <c r="A782" s="24"/>
      <c r="B782" s="609"/>
      <c r="C782" s="24"/>
      <c r="D782" s="24"/>
      <c r="E782" s="610"/>
      <c r="F782" s="611"/>
      <c r="G782" s="26"/>
      <c r="H782" s="8"/>
      <c r="I782" s="611"/>
      <c r="J782" s="26"/>
      <c r="K782" s="8"/>
      <c r="L782" s="611"/>
      <c r="M782" s="26"/>
      <c r="N782" s="8"/>
      <c r="O782" s="611"/>
      <c r="P782" s="26"/>
      <c r="Q782" s="8"/>
      <c r="R782" s="611"/>
      <c r="S782" s="26"/>
      <c r="T782" s="8"/>
      <c r="U782" s="611"/>
      <c r="V782" s="26"/>
      <c r="W782" s="8"/>
      <c r="X782" s="611"/>
      <c r="Y782" s="26"/>
      <c r="Z782" s="8"/>
      <c r="AA782" s="611"/>
      <c r="AB782" s="26"/>
      <c r="AC782" s="8"/>
      <c r="AD782" s="26"/>
      <c r="AE782" s="26"/>
      <c r="AF782" s="26"/>
      <c r="AG782" s="26"/>
      <c r="AH782" s="26"/>
    </row>
    <row r="783" ht="12.75" customHeight="1">
      <c r="A783" s="24"/>
      <c r="B783" s="609"/>
      <c r="C783" s="24"/>
      <c r="D783" s="24"/>
      <c r="E783" s="610"/>
      <c r="F783" s="611"/>
      <c r="G783" s="26"/>
      <c r="H783" s="8"/>
      <c r="I783" s="611"/>
      <c r="J783" s="26"/>
      <c r="K783" s="8"/>
      <c r="L783" s="611"/>
      <c r="M783" s="26"/>
      <c r="N783" s="8"/>
      <c r="O783" s="611"/>
      <c r="P783" s="26"/>
      <c r="Q783" s="8"/>
      <c r="R783" s="611"/>
      <c r="S783" s="26"/>
      <c r="T783" s="8"/>
      <c r="U783" s="611"/>
      <c r="V783" s="26"/>
      <c r="W783" s="8"/>
      <c r="X783" s="611"/>
      <c r="Y783" s="26"/>
      <c r="Z783" s="8"/>
      <c r="AA783" s="611"/>
      <c r="AB783" s="26"/>
      <c r="AC783" s="8"/>
      <c r="AD783" s="26"/>
      <c r="AE783" s="26"/>
      <c r="AF783" s="26"/>
      <c r="AG783" s="26"/>
      <c r="AH783" s="26"/>
    </row>
    <row r="784" ht="12.75" customHeight="1">
      <c r="A784" s="24"/>
      <c r="B784" s="609"/>
      <c r="C784" s="24"/>
      <c r="D784" s="24"/>
      <c r="E784" s="610"/>
      <c r="F784" s="611"/>
      <c r="G784" s="26"/>
      <c r="H784" s="8"/>
      <c r="I784" s="611"/>
      <c r="J784" s="26"/>
      <c r="K784" s="8"/>
      <c r="L784" s="611"/>
      <c r="M784" s="26"/>
      <c r="N784" s="8"/>
      <c r="O784" s="611"/>
      <c r="P784" s="26"/>
      <c r="Q784" s="8"/>
      <c r="R784" s="611"/>
      <c r="S784" s="26"/>
      <c r="T784" s="8"/>
      <c r="U784" s="611"/>
      <c r="V784" s="26"/>
      <c r="W784" s="8"/>
      <c r="X784" s="611"/>
      <c r="Y784" s="26"/>
      <c r="Z784" s="8"/>
      <c r="AA784" s="611"/>
      <c r="AB784" s="26"/>
      <c r="AC784" s="8"/>
      <c r="AD784" s="26"/>
      <c r="AE784" s="26"/>
      <c r="AF784" s="26"/>
      <c r="AG784" s="26"/>
      <c r="AH784" s="26"/>
    </row>
    <row r="785" ht="12.75" customHeight="1">
      <c r="A785" s="24"/>
      <c r="B785" s="609"/>
      <c r="C785" s="24"/>
      <c r="D785" s="24"/>
      <c r="E785" s="610"/>
      <c r="F785" s="611"/>
      <c r="G785" s="26"/>
      <c r="H785" s="8"/>
      <c r="I785" s="611"/>
      <c r="J785" s="26"/>
      <c r="K785" s="8"/>
      <c r="L785" s="611"/>
      <c r="M785" s="26"/>
      <c r="N785" s="8"/>
      <c r="O785" s="611"/>
      <c r="P785" s="26"/>
      <c r="Q785" s="8"/>
      <c r="R785" s="611"/>
      <c r="S785" s="26"/>
      <c r="T785" s="8"/>
      <c r="U785" s="611"/>
      <c r="V785" s="26"/>
      <c r="W785" s="8"/>
      <c r="X785" s="611"/>
      <c r="Y785" s="26"/>
      <c r="Z785" s="8"/>
      <c r="AA785" s="611"/>
      <c r="AB785" s="26"/>
      <c r="AC785" s="8"/>
      <c r="AD785" s="26"/>
      <c r="AE785" s="26"/>
      <c r="AF785" s="26"/>
      <c r="AG785" s="26"/>
      <c r="AH785" s="26"/>
    </row>
    <row r="786" ht="12.75" customHeight="1">
      <c r="A786" s="24"/>
      <c r="B786" s="609"/>
      <c r="C786" s="24"/>
      <c r="D786" s="24"/>
      <c r="E786" s="610"/>
      <c r="F786" s="611"/>
      <c r="G786" s="26"/>
      <c r="H786" s="8"/>
      <c r="I786" s="611"/>
      <c r="J786" s="26"/>
      <c r="K786" s="8"/>
      <c r="L786" s="611"/>
      <c r="M786" s="26"/>
      <c r="N786" s="8"/>
      <c r="O786" s="611"/>
      <c r="P786" s="26"/>
      <c r="Q786" s="8"/>
      <c r="R786" s="611"/>
      <c r="S786" s="26"/>
      <c r="T786" s="8"/>
      <c r="U786" s="611"/>
      <c r="V786" s="26"/>
      <c r="W786" s="8"/>
      <c r="X786" s="611"/>
      <c r="Y786" s="26"/>
      <c r="Z786" s="8"/>
      <c r="AA786" s="611"/>
      <c r="AB786" s="26"/>
      <c r="AC786" s="8"/>
      <c r="AD786" s="26"/>
      <c r="AE786" s="26"/>
      <c r="AF786" s="26"/>
      <c r="AG786" s="26"/>
      <c r="AH786" s="26"/>
    </row>
    <row r="787" ht="12.75" customHeight="1">
      <c r="A787" s="24"/>
      <c r="B787" s="609"/>
      <c r="C787" s="24"/>
      <c r="D787" s="24"/>
      <c r="E787" s="610"/>
      <c r="F787" s="611"/>
      <c r="G787" s="26"/>
      <c r="H787" s="8"/>
      <c r="I787" s="611"/>
      <c r="J787" s="26"/>
      <c r="K787" s="8"/>
      <c r="L787" s="611"/>
      <c r="M787" s="26"/>
      <c r="N787" s="8"/>
      <c r="O787" s="611"/>
      <c r="P787" s="26"/>
      <c r="Q787" s="8"/>
      <c r="R787" s="611"/>
      <c r="S787" s="26"/>
      <c r="T787" s="8"/>
      <c r="U787" s="611"/>
      <c r="V787" s="26"/>
      <c r="W787" s="8"/>
      <c r="X787" s="611"/>
      <c r="Y787" s="26"/>
      <c r="Z787" s="8"/>
      <c r="AA787" s="611"/>
      <c r="AB787" s="26"/>
      <c r="AC787" s="8"/>
      <c r="AD787" s="26"/>
      <c r="AE787" s="26"/>
      <c r="AF787" s="26"/>
      <c r="AG787" s="26"/>
      <c r="AH787" s="26"/>
    </row>
    <row r="788" ht="12.75" customHeight="1">
      <c r="A788" s="24"/>
      <c r="B788" s="609"/>
      <c r="C788" s="24"/>
      <c r="D788" s="24"/>
      <c r="E788" s="610"/>
      <c r="F788" s="611"/>
      <c r="G788" s="26"/>
      <c r="H788" s="8"/>
      <c r="I788" s="611"/>
      <c r="J788" s="26"/>
      <c r="K788" s="8"/>
      <c r="L788" s="611"/>
      <c r="M788" s="26"/>
      <c r="N788" s="8"/>
      <c r="O788" s="611"/>
      <c r="P788" s="26"/>
      <c r="Q788" s="8"/>
      <c r="R788" s="611"/>
      <c r="S788" s="26"/>
      <c r="T788" s="8"/>
      <c r="U788" s="611"/>
      <c r="V788" s="26"/>
      <c r="W788" s="8"/>
      <c r="X788" s="611"/>
      <c r="Y788" s="26"/>
      <c r="Z788" s="8"/>
      <c r="AA788" s="611"/>
      <c r="AB788" s="26"/>
      <c r="AC788" s="8"/>
      <c r="AD788" s="26"/>
      <c r="AE788" s="26"/>
      <c r="AF788" s="26"/>
      <c r="AG788" s="26"/>
      <c r="AH788" s="26"/>
    </row>
    <row r="789" ht="12.75" customHeight="1">
      <c r="A789" s="24"/>
      <c r="B789" s="609"/>
      <c r="C789" s="24"/>
      <c r="D789" s="24"/>
      <c r="E789" s="610"/>
      <c r="F789" s="611"/>
      <c r="G789" s="26"/>
      <c r="H789" s="8"/>
      <c r="I789" s="611"/>
      <c r="J789" s="26"/>
      <c r="K789" s="8"/>
      <c r="L789" s="611"/>
      <c r="M789" s="26"/>
      <c r="N789" s="8"/>
      <c r="O789" s="611"/>
      <c r="P789" s="26"/>
      <c r="Q789" s="8"/>
      <c r="R789" s="611"/>
      <c r="S789" s="26"/>
      <c r="T789" s="8"/>
      <c r="U789" s="611"/>
      <c r="V789" s="26"/>
      <c r="W789" s="8"/>
      <c r="X789" s="611"/>
      <c r="Y789" s="26"/>
      <c r="Z789" s="8"/>
      <c r="AA789" s="611"/>
      <c r="AB789" s="26"/>
      <c r="AC789" s="8"/>
      <c r="AD789" s="26"/>
      <c r="AE789" s="26"/>
      <c r="AF789" s="26"/>
      <c r="AG789" s="26"/>
      <c r="AH789" s="26"/>
    </row>
    <row r="790" ht="12.75" customHeight="1">
      <c r="A790" s="24"/>
      <c r="B790" s="609"/>
      <c r="C790" s="24"/>
      <c r="D790" s="24"/>
      <c r="E790" s="610"/>
      <c r="F790" s="611"/>
      <c r="G790" s="26"/>
      <c r="H790" s="8"/>
      <c r="I790" s="611"/>
      <c r="J790" s="26"/>
      <c r="K790" s="8"/>
      <c r="L790" s="611"/>
      <c r="M790" s="26"/>
      <c r="N790" s="8"/>
      <c r="O790" s="611"/>
      <c r="P790" s="26"/>
      <c r="Q790" s="8"/>
      <c r="R790" s="611"/>
      <c r="S790" s="26"/>
      <c r="T790" s="8"/>
      <c r="U790" s="611"/>
      <c r="V790" s="26"/>
      <c r="W790" s="8"/>
      <c r="X790" s="611"/>
      <c r="Y790" s="26"/>
      <c r="Z790" s="8"/>
      <c r="AA790" s="611"/>
      <c r="AB790" s="26"/>
      <c r="AC790" s="8"/>
      <c r="AD790" s="26"/>
      <c r="AE790" s="26"/>
      <c r="AF790" s="26"/>
      <c r="AG790" s="26"/>
      <c r="AH790" s="26"/>
    </row>
    <row r="791" ht="12.75" customHeight="1">
      <c r="A791" s="24"/>
      <c r="B791" s="609"/>
      <c r="C791" s="24"/>
      <c r="D791" s="24"/>
      <c r="E791" s="610"/>
      <c r="F791" s="611"/>
      <c r="G791" s="26"/>
      <c r="H791" s="8"/>
      <c r="I791" s="611"/>
      <c r="J791" s="26"/>
      <c r="K791" s="8"/>
      <c r="L791" s="611"/>
      <c r="M791" s="26"/>
      <c r="N791" s="8"/>
      <c r="O791" s="611"/>
      <c r="P791" s="26"/>
      <c r="Q791" s="8"/>
      <c r="R791" s="611"/>
      <c r="S791" s="26"/>
      <c r="T791" s="8"/>
      <c r="U791" s="611"/>
      <c r="V791" s="26"/>
      <c r="W791" s="8"/>
      <c r="X791" s="611"/>
      <c r="Y791" s="26"/>
      <c r="Z791" s="8"/>
      <c r="AA791" s="611"/>
      <c r="AB791" s="26"/>
      <c r="AC791" s="8"/>
      <c r="AD791" s="26"/>
      <c r="AE791" s="26"/>
      <c r="AF791" s="26"/>
      <c r="AG791" s="26"/>
      <c r="AH791" s="26"/>
    </row>
    <row r="792" ht="12.75" customHeight="1">
      <c r="A792" s="24"/>
      <c r="B792" s="609"/>
      <c r="C792" s="24"/>
      <c r="D792" s="24"/>
      <c r="E792" s="610"/>
      <c r="F792" s="611"/>
      <c r="G792" s="26"/>
      <c r="H792" s="8"/>
      <c r="I792" s="611"/>
      <c r="J792" s="26"/>
      <c r="K792" s="8"/>
      <c r="L792" s="611"/>
      <c r="M792" s="26"/>
      <c r="N792" s="8"/>
      <c r="O792" s="611"/>
      <c r="P792" s="26"/>
      <c r="Q792" s="8"/>
      <c r="R792" s="611"/>
      <c r="S792" s="26"/>
      <c r="T792" s="8"/>
      <c r="U792" s="611"/>
      <c r="V792" s="26"/>
      <c r="W792" s="8"/>
      <c r="X792" s="611"/>
      <c r="Y792" s="26"/>
      <c r="Z792" s="8"/>
      <c r="AA792" s="611"/>
      <c r="AB792" s="26"/>
      <c r="AC792" s="8"/>
      <c r="AD792" s="26"/>
      <c r="AE792" s="26"/>
      <c r="AF792" s="26"/>
      <c r="AG792" s="26"/>
      <c r="AH792" s="26"/>
    </row>
    <row r="793" ht="12.75" customHeight="1">
      <c r="A793" s="24"/>
      <c r="B793" s="609"/>
      <c r="C793" s="24"/>
      <c r="D793" s="24"/>
      <c r="E793" s="610"/>
      <c r="F793" s="611"/>
      <c r="G793" s="26"/>
      <c r="H793" s="8"/>
      <c r="I793" s="611"/>
      <c r="J793" s="26"/>
      <c r="K793" s="8"/>
      <c r="L793" s="611"/>
      <c r="M793" s="26"/>
      <c r="N793" s="8"/>
      <c r="O793" s="611"/>
      <c r="P793" s="26"/>
      <c r="Q793" s="8"/>
      <c r="R793" s="611"/>
      <c r="S793" s="26"/>
      <c r="T793" s="8"/>
      <c r="U793" s="611"/>
      <c r="V793" s="26"/>
      <c r="W793" s="8"/>
      <c r="X793" s="611"/>
      <c r="Y793" s="26"/>
      <c r="Z793" s="8"/>
      <c r="AA793" s="611"/>
      <c r="AB793" s="26"/>
      <c r="AC793" s="8"/>
      <c r="AD793" s="26"/>
      <c r="AE793" s="26"/>
      <c r="AF793" s="26"/>
      <c r="AG793" s="26"/>
      <c r="AH793" s="26"/>
    </row>
    <row r="794" ht="12.75" customHeight="1">
      <c r="A794" s="24"/>
      <c r="B794" s="609"/>
      <c r="C794" s="24"/>
      <c r="D794" s="24"/>
      <c r="E794" s="610"/>
      <c r="F794" s="611"/>
      <c r="G794" s="26"/>
      <c r="H794" s="8"/>
      <c r="I794" s="611"/>
      <c r="J794" s="26"/>
      <c r="K794" s="8"/>
      <c r="L794" s="611"/>
      <c r="M794" s="26"/>
      <c r="N794" s="8"/>
      <c r="O794" s="611"/>
      <c r="P794" s="26"/>
      <c r="Q794" s="8"/>
      <c r="R794" s="611"/>
      <c r="S794" s="26"/>
      <c r="T794" s="8"/>
      <c r="U794" s="611"/>
      <c r="V794" s="26"/>
      <c r="W794" s="8"/>
      <c r="X794" s="611"/>
      <c r="Y794" s="26"/>
      <c r="Z794" s="8"/>
      <c r="AA794" s="611"/>
      <c r="AB794" s="26"/>
      <c r="AC794" s="8"/>
      <c r="AD794" s="26"/>
      <c r="AE794" s="26"/>
      <c r="AF794" s="26"/>
      <c r="AG794" s="26"/>
      <c r="AH794" s="26"/>
    </row>
    <row r="795" ht="12.75" customHeight="1">
      <c r="A795" s="24"/>
      <c r="B795" s="609"/>
      <c r="C795" s="24"/>
      <c r="D795" s="24"/>
      <c r="E795" s="610"/>
      <c r="F795" s="611"/>
      <c r="G795" s="26"/>
      <c r="H795" s="8"/>
      <c r="I795" s="611"/>
      <c r="J795" s="26"/>
      <c r="K795" s="8"/>
      <c r="L795" s="611"/>
      <c r="M795" s="26"/>
      <c r="N795" s="8"/>
      <c r="O795" s="611"/>
      <c r="P795" s="26"/>
      <c r="Q795" s="8"/>
      <c r="R795" s="611"/>
      <c r="S795" s="26"/>
      <c r="T795" s="8"/>
      <c r="U795" s="611"/>
      <c r="V795" s="26"/>
      <c r="W795" s="8"/>
      <c r="X795" s="611"/>
      <c r="Y795" s="26"/>
      <c r="Z795" s="8"/>
      <c r="AA795" s="611"/>
      <c r="AB795" s="26"/>
      <c r="AC795" s="8"/>
      <c r="AD795" s="26"/>
      <c r="AE795" s="26"/>
      <c r="AF795" s="26"/>
      <c r="AG795" s="26"/>
      <c r="AH795" s="26"/>
    </row>
    <row r="796" ht="12.75" customHeight="1">
      <c r="A796" s="24"/>
      <c r="B796" s="609"/>
      <c r="C796" s="24"/>
      <c r="D796" s="24"/>
      <c r="E796" s="610"/>
      <c r="F796" s="611"/>
      <c r="G796" s="26"/>
      <c r="H796" s="8"/>
      <c r="I796" s="611"/>
      <c r="J796" s="26"/>
      <c r="K796" s="8"/>
      <c r="L796" s="611"/>
      <c r="M796" s="26"/>
      <c r="N796" s="8"/>
      <c r="O796" s="611"/>
      <c r="P796" s="26"/>
      <c r="Q796" s="8"/>
      <c r="R796" s="611"/>
      <c r="S796" s="26"/>
      <c r="T796" s="8"/>
      <c r="U796" s="611"/>
      <c r="V796" s="26"/>
      <c r="W796" s="8"/>
      <c r="X796" s="611"/>
      <c r="Y796" s="26"/>
      <c r="Z796" s="8"/>
      <c r="AA796" s="611"/>
      <c r="AB796" s="26"/>
      <c r="AC796" s="8"/>
      <c r="AD796" s="26"/>
      <c r="AE796" s="26"/>
      <c r="AF796" s="26"/>
      <c r="AG796" s="26"/>
      <c r="AH796" s="26"/>
    </row>
    <row r="797" ht="12.75" customHeight="1">
      <c r="A797" s="24"/>
      <c r="B797" s="609"/>
      <c r="C797" s="24"/>
      <c r="D797" s="24"/>
      <c r="E797" s="610"/>
      <c r="F797" s="611"/>
      <c r="G797" s="26"/>
      <c r="H797" s="8"/>
      <c r="I797" s="611"/>
      <c r="J797" s="26"/>
      <c r="K797" s="8"/>
      <c r="L797" s="611"/>
      <c r="M797" s="26"/>
      <c r="N797" s="8"/>
      <c r="O797" s="611"/>
      <c r="P797" s="26"/>
      <c r="Q797" s="8"/>
      <c r="R797" s="611"/>
      <c r="S797" s="26"/>
      <c r="T797" s="8"/>
      <c r="U797" s="611"/>
      <c r="V797" s="26"/>
      <c r="W797" s="8"/>
      <c r="X797" s="611"/>
      <c r="Y797" s="26"/>
      <c r="Z797" s="8"/>
      <c r="AA797" s="611"/>
      <c r="AB797" s="26"/>
      <c r="AC797" s="8"/>
      <c r="AD797" s="26"/>
      <c r="AE797" s="26"/>
      <c r="AF797" s="26"/>
      <c r="AG797" s="26"/>
      <c r="AH797" s="26"/>
    </row>
    <row r="798" ht="12.75" customHeight="1">
      <c r="A798" s="24"/>
      <c r="B798" s="609"/>
      <c r="C798" s="24"/>
      <c r="D798" s="24"/>
      <c r="E798" s="610"/>
      <c r="F798" s="611"/>
      <c r="G798" s="26"/>
      <c r="H798" s="8"/>
      <c r="I798" s="611"/>
      <c r="J798" s="26"/>
      <c r="K798" s="8"/>
      <c r="L798" s="611"/>
      <c r="M798" s="26"/>
      <c r="N798" s="8"/>
      <c r="O798" s="611"/>
      <c r="P798" s="26"/>
      <c r="Q798" s="8"/>
      <c r="R798" s="611"/>
      <c r="S798" s="26"/>
      <c r="T798" s="8"/>
      <c r="U798" s="611"/>
      <c r="V798" s="26"/>
      <c r="W798" s="8"/>
      <c r="X798" s="611"/>
      <c r="Y798" s="26"/>
      <c r="Z798" s="8"/>
      <c r="AA798" s="611"/>
      <c r="AB798" s="26"/>
      <c r="AC798" s="8"/>
      <c r="AD798" s="26"/>
      <c r="AE798" s="26"/>
      <c r="AF798" s="26"/>
      <c r="AG798" s="26"/>
      <c r="AH798" s="26"/>
    </row>
    <row r="799" ht="12.75" customHeight="1">
      <c r="A799" s="24"/>
      <c r="B799" s="609"/>
      <c r="C799" s="24"/>
      <c r="D799" s="24"/>
      <c r="E799" s="610"/>
      <c r="F799" s="611"/>
      <c r="G799" s="26"/>
      <c r="H799" s="8"/>
      <c r="I799" s="611"/>
      <c r="J799" s="26"/>
      <c r="K799" s="8"/>
      <c r="L799" s="611"/>
      <c r="M799" s="26"/>
      <c r="N799" s="8"/>
      <c r="O799" s="611"/>
      <c r="P799" s="26"/>
      <c r="Q799" s="8"/>
      <c r="R799" s="611"/>
      <c r="S799" s="26"/>
      <c r="T799" s="8"/>
      <c r="U799" s="611"/>
      <c r="V799" s="26"/>
      <c r="W799" s="8"/>
      <c r="X799" s="611"/>
      <c r="Y799" s="26"/>
      <c r="Z799" s="8"/>
      <c r="AA799" s="611"/>
      <c r="AB799" s="26"/>
      <c r="AC799" s="8"/>
      <c r="AD799" s="26"/>
      <c r="AE799" s="26"/>
      <c r="AF799" s="26"/>
      <c r="AG799" s="26"/>
      <c r="AH799" s="26"/>
    </row>
    <row r="800" ht="12.75" customHeight="1">
      <c r="A800" s="24"/>
      <c r="B800" s="609"/>
      <c r="C800" s="24"/>
      <c r="D800" s="24"/>
      <c r="E800" s="610"/>
      <c r="F800" s="611"/>
      <c r="G800" s="26"/>
      <c r="H800" s="8"/>
      <c r="I800" s="611"/>
      <c r="J800" s="26"/>
      <c r="K800" s="8"/>
      <c r="L800" s="611"/>
      <c r="M800" s="26"/>
      <c r="N800" s="8"/>
      <c r="O800" s="611"/>
      <c r="P800" s="26"/>
      <c r="Q800" s="8"/>
      <c r="R800" s="611"/>
      <c r="S800" s="26"/>
      <c r="T800" s="8"/>
      <c r="U800" s="611"/>
      <c r="V800" s="26"/>
      <c r="W800" s="8"/>
      <c r="X800" s="611"/>
      <c r="Y800" s="26"/>
      <c r="Z800" s="8"/>
      <c r="AA800" s="611"/>
      <c r="AB800" s="26"/>
      <c r="AC800" s="8"/>
      <c r="AD800" s="26"/>
      <c r="AE800" s="26"/>
      <c r="AF800" s="26"/>
      <c r="AG800" s="26"/>
      <c r="AH800" s="26"/>
    </row>
    <row r="801" ht="12.75" customHeight="1">
      <c r="A801" s="24"/>
      <c r="B801" s="609"/>
      <c r="C801" s="24"/>
      <c r="D801" s="24"/>
      <c r="E801" s="610"/>
      <c r="F801" s="611"/>
      <c r="G801" s="26"/>
      <c r="H801" s="8"/>
      <c r="I801" s="611"/>
      <c r="J801" s="26"/>
      <c r="K801" s="8"/>
      <c r="L801" s="611"/>
      <c r="M801" s="26"/>
      <c r="N801" s="8"/>
      <c r="O801" s="611"/>
      <c r="P801" s="26"/>
      <c r="Q801" s="8"/>
      <c r="R801" s="611"/>
      <c r="S801" s="26"/>
      <c r="T801" s="8"/>
      <c r="U801" s="611"/>
      <c r="V801" s="26"/>
      <c r="W801" s="8"/>
      <c r="X801" s="611"/>
      <c r="Y801" s="26"/>
      <c r="Z801" s="8"/>
      <c r="AA801" s="611"/>
      <c r="AB801" s="26"/>
      <c r="AC801" s="8"/>
      <c r="AD801" s="26"/>
      <c r="AE801" s="26"/>
      <c r="AF801" s="26"/>
      <c r="AG801" s="26"/>
      <c r="AH801" s="26"/>
    </row>
    <row r="802" ht="12.75" customHeight="1">
      <c r="A802" s="24"/>
      <c r="B802" s="609"/>
      <c r="C802" s="24"/>
      <c r="D802" s="24"/>
      <c r="E802" s="610"/>
      <c r="F802" s="611"/>
      <c r="G802" s="26"/>
      <c r="H802" s="8"/>
      <c r="I802" s="611"/>
      <c r="J802" s="26"/>
      <c r="K802" s="8"/>
      <c r="L802" s="611"/>
      <c r="M802" s="26"/>
      <c r="N802" s="8"/>
      <c r="O802" s="611"/>
      <c r="P802" s="26"/>
      <c r="Q802" s="8"/>
      <c r="R802" s="611"/>
      <c r="S802" s="26"/>
      <c r="T802" s="8"/>
      <c r="U802" s="611"/>
      <c r="V802" s="26"/>
      <c r="W802" s="8"/>
      <c r="X802" s="611"/>
      <c r="Y802" s="26"/>
      <c r="Z802" s="8"/>
      <c r="AA802" s="611"/>
      <c r="AB802" s="26"/>
      <c r="AC802" s="8"/>
      <c r="AD802" s="26"/>
      <c r="AE802" s="26"/>
      <c r="AF802" s="26"/>
      <c r="AG802" s="26"/>
      <c r="AH802" s="26"/>
    </row>
    <row r="803" ht="12.75" customHeight="1">
      <c r="A803" s="24"/>
      <c r="B803" s="609"/>
      <c r="C803" s="24"/>
      <c r="D803" s="24"/>
      <c r="E803" s="610"/>
      <c r="F803" s="611"/>
      <c r="G803" s="26"/>
      <c r="H803" s="8"/>
      <c r="I803" s="611"/>
      <c r="J803" s="26"/>
      <c r="K803" s="8"/>
      <c r="L803" s="611"/>
      <c r="M803" s="26"/>
      <c r="N803" s="8"/>
      <c r="O803" s="611"/>
      <c r="P803" s="26"/>
      <c r="Q803" s="8"/>
      <c r="R803" s="611"/>
      <c r="S803" s="26"/>
      <c r="T803" s="8"/>
      <c r="U803" s="611"/>
      <c r="V803" s="26"/>
      <c r="W803" s="8"/>
      <c r="X803" s="611"/>
      <c r="Y803" s="26"/>
      <c r="Z803" s="8"/>
      <c r="AA803" s="611"/>
      <c r="AB803" s="26"/>
      <c r="AC803" s="8"/>
      <c r="AD803" s="26"/>
      <c r="AE803" s="26"/>
      <c r="AF803" s="26"/>
      <c r="AG803" s="26"/>
      <c r="AH803" s="26"/>
    </row>
    <row r="804" ht="12.75" customHeight="1">
      <c r="A804" s="24"/>
      <c r="B804" s="609"/>
      <c r="C804" s="24"/>
      <c r="D804" s="24"/>
      <c r="E804" s="610"/>
      <c r="F804" s="611"/>
      <c r="G804" s="26"/>
      <c r="H804" s="8"/>
      <c r="I804" s="611"/>
      <c r="J804" s="26"/>
      <c r="K804" s="8"/>
      <c r="L804" s="611"/>
      <c r="M804" s="26"/>
      <c r="N804" s="8"/>
      <c r="O804" s="611"/>
      <c r="P804" s="26"/>
      <c r="Q804" s="8"/>
      <c r="R804" s="611"/>
      <c r="S804" s="26"/>
      <c r="T804" s="8"/>
      <c r="U804" s="611"/>
      <c r="V804" s="26"/>
      <c r="W804" s="8"/>
      <c r="X804" s="611"/>
      <c r="Y804" s="26"/>
      <c r="Z804" s="8"/>
      <c r="AA804" s="611"/>
      <c r="AB804" s="26"/>
      <c r="AC804" s="8"/>
      <c r="AD804" s="26"/>
      <c r="AE804" s="26"/>
      <c r="AF804" s="26"/>
      <c r="AG804" s="26"/>
      <c r="AH804" s="26"/>
    </row>
    <row r="805" ht="12.75" customHeight="1">
      <c r="A805" s="24"/>
      <c r="B805" s="609"/>
      <c r="C805" s="24"/>
      <c r="D805" s="24"/>
      <c r="E805" s="610"/>
      <c r="F805" s="611"/>
      <c r="G805" s="26"/>
      <c r="H805" s="8"/>
      <c r="I805" s="611"/>
      <c r="J805" s="26"/>
      <c r="K805" s="8"/>
      <c r="L805" s="611"/>
      <c r="M805" s="26"/>
      <c r="N805" s="8"/>
      <c r="O805" s="611"/>
      <c r="P805" s="26"/>
      <c r="Q805" s="8"/>
      <c r="R805" s="611"/>
      <c r="S805" s="26"/>
      <c r="T805" s="8"/>
      <c r="U805" s="611"/>
      <c r="V805" s="26"/>
      <c r="W805" s="8"/>
      <c r="X805" s="611"/>
      <c r="Y805" s="26"/>
      <c r="Z805" s="8"/>
      <c r="AA805" s="611"/>
      <c r="AB805" s="26"/>
      <c r="AC805" s="8"/>
      <c r="AD805" s="26"/>
      <c r="AE805" s="26"/>
      <c r="AF805" s="26"/>
      <c r="AG805" s="26"/>
      <c r="AH805" s="26"/>
    </row>
    <row r="806" ht="12.75" customHeight="1">
      <c r="A806" s="24"/>
      <c r="B806" s="609"/>
      <c r="C806" s="24"/>
      <c r="D806" s="24"/>
      <c r="E806" s="610"/>
      <c r="F806" s="611"/>
      <c r="G806" s="26"/>
      <c r="H806" s="8"/>
      <c r="I806" s="611"/>
      <c r="J806" s="26"/>
      <c r="K806" s="8"/>
      <c r="L806" s="611"/>
      <c r="M806" s="26"/>
      <c r="N806" s="8"/>
      <c r="O806" s="611"/>
      <c r="P806" s="26"/>
      <c r="Q806" s="8"/>
      <c r="R806" s="611"/>
      <c r="S806" s="26"/>
      <c r="T806" s="8"/>
      <c r="U806" s="611"/>
      <c r="V806" s="26"/>
      <c r="W806" s="8"/>
      <c r="X806" s="611"/>
      <c r="Y806" s="26"/>
      <c r="Z806" s="8"/>
      <c r="AA806" s="611"/>
      <c r="AB806" s="26"/>
      <c r="AC806" s="8"/>
      <c r="AD806" s="26"/>
      <c r="AE806" s="26"/>
      <c r="AF806" s="26"/>
      <c r="AG806" s="26"/>
      <c r="AH806" s="26"/>
    </row>
    <row r="807" ht="12.75" customHeight="1">
      <c r="A807" s="24"/>
      <c r="B807" s="609"/>
      <c r="C807" s="24"/>
      <c r="D807" s="24"/>
      <c r="E807" s="610"/>
      <c r="F807" s="611"/>
      <c r="G807" s="26"/>
      <c r="H807" s="8"/>
      <c r="I807" s="611"/>
      <c r="J807" s="26"/>
      <c r="K807" s="8"/>
      <c r="L807" s="611"/>
      <c r="M807" s="26"/>
      <c r="N807" s="8"/>
      <c r="O807" s="611"/>
      <c r="P807" s="26"/>
      <c r="Q807" s="8"/>
      <c r="R807" s="611"/>
      <c r="S807" s="26"/>
      <c r="T807" s="8"/>
      <c r="U807" s="611"/>
      <c r="V807" s="26"/>
      <c r="W807" s="8"/>
      <c r="X807" s="611"/>
      <c r="Y807" s="26"/>
      <c r="Z807" s="8"/>
      <c r="AA807" s="611"/>
      <c r="AB807" s="26"/>
      <c r="AC807" s="8"/>
      <c r="AD807" s="26"/>
      <c r="AE807" s="26"/>
      <c r="AF807" s="26"/>
      <c r="AG807" s="26"/>
      <c r="AH807" s="26"/>
    </row>
    <row r="808" ht="12.75" customHeight="1">
      <c r="A808" s="24"/>
      <c r="B808" s="609"/>
      <c r="C808" s="24"/>
      <c r="D808" s="24"/>
      <c r="E808" s="610"/>
      <c r="F808" s="611"/>
      <c r="G808" s="26"/>
      <c r="H808" s="8"/>
      <c r="I808" s="611"/>
      <c r="J808" s="26"/>
      <c r="K808" s="8"/>
      <c r="L808" s="611"/>
      <c r="M808" s="26"/>
      <c r="N808" s="8"/>
      <c r="O808" s="611"/>
      <c r="P808" s="26"/>
      <c r="Q808" s="8"/>
      <c r="R808" s="611"/>
      <c r="S808" s="26"/>
      <c r="T808" s="8"/>
      <c r="U808" s="611"/>
      <c r="V808" s="26"/>
      <c r="W808" s="8"/>
      <c r="X808" s="611"/>
      <c r="Y808" s="26"/>
      <c r="Z808" s="8"/>
      <c r="AA808" s="611"/>
      <c r="AB808" s="26"/>
      <c r="AC808" s="8"/>
      <c r="AD808" s="26"/>
      <c r="AE808" s="26"/>
      <c r="AF808" s="26"/>
      <c r="AG808" s="26"/>
      <c r="AH808" s="26"/>
    </row>
    <row r="809" ht="12.75" customHeight="1">
      <c r="A809" s="24"/>
      <c r="B809" s="609"/>
      <c r="C809" s="24"/>
      <c r="D809" s="24"/>
      <c r="E809" s="610"/>
      <c r="F809" s="611"/>
      <c r="G809" s="26"/>
      <c r="H809" s="8"/>
      <c r="I809" s="611"/>
      <c r="J809" s="26"/>
      <c r="K809" s="8"/>
      <c r="L809" s="611"/>
      <c r="M809" s="26"/>
      <c r="N809" s="8"/>
      <c r="O809" s="611"/>
      <c r="P809" s="26"/>
      <c r="Q809" s="8"/>
      <c r="R809" s="611"/>
      <c r="S809" s="26"/>
      <c r="T809" s="8"/>
      <c r="U809" s="611"/>
      <c r="V809" s="26"/>
      <c r="W809" s="8"/>
      <c r="X809" s="611"/>
      <c r="Y809" s="26"/>
      <c r="Z809" s="8"/>
      <c r="AA809" s="611"/>
      <c r="AB809" s="26"/>
      <c r="AC809" s="8"/>
      <c r="AD809" s="26"/>
      <c r="AE809" s="26"/>
      <c r="AF809" s="26"/>
      <c r="AG809" s="26"/>
      <c r="AH809" s="26"/>
    </row>
    <row r="810" ht="12.75" customHeight="1">
      <c r="A810" s="24"/>
      <c r="B810" s="609"/>
      <c r="C810" s="24"/>
      <c r="D810" s="24"/>
      <c r="E810" s="610"/>
      <c r="F810" s="611"/>
      <c r="G810" s="26"/>
      <c r="H810" s="8"/>
      <c r="I810" s="611"/>
      <c r="J810" s="26"/>
      <c r="K810" s="8"/>
      <c r="L810" s="611"/>
      <c r="M810" s="26"/>
      <c r="N810" s="8"/>
      <c r="O810" s="611"/>
      <c r="P810" s="26"/>
      <c r="Q810" s="8"/>
      <c r="R810" s="611"/>
      <c r="S810" s="26"/>
      <c r="T810" s="8"/>
      <c r="U810" s="611"/>
      <c r="V810" s="26"/>
      <c r="W810" s="8"/>
      <c r="X810" s="611"/>
      <c r="Y810" s="26"/>
      <c r="Z810" s="8"/>
      <c r="AA810" s="611"/>
      <c r="AB810" s="26"/>
      <c r="AC810" s="8"/>
      <c r="AD810" s="26"/>
      <c r="AE810" s="26"/>
      <c r="AF810" s="26"/>
      <c r="AG810" s="26"/>
      <c r="AH810" s="26"/>
    </row>
    <row r="811" ht="12.75" customHeight="1">
      <c r="A811" s="24"/>
      <c r="B811" s="609"/>
      <c r="C811" s="24"/>
      <c r="D811" s="24"/>
      <c r="E811" s="610"/>
      <c r="F811" s="611"/>
      <c r="G811" s="26"/>
      <c r="H811" s="8"/>
      <c r="I811" s="611"/>
      <c r="J811" s="26"/>
      <c r="K811" s="8"/>
      <c r="L811" s="611"/>
      <c r="M811" s="26"/>
      <c r="N811" s="8"/>
      <c r="O811" s="611"/>
      <c r="P811" s="26"/>
      <c r="Q811" s="8"/>
      <c r="R811" s="611"/>
      <c r="S811" s="26"/>
      <c r="T811" s="8"/>
      <c r="U811" s="611"/>
      <c r="V811" s="26"/>
      <c r="W811" s="8"/>
      <c r="X811" s="611"/>
      <c r="Y811" s="26"/>
      <c r="Z811" s="8"/>
      <c r="AA811" s="611"/>
      <c r="AB811" s="26"/>
      <c r="AC811" s="8"/>
      <c r="AD811" s="26"/>
      <c r="AE811" s="26"/>
      <c r="AF811" s="26"/>
      <c r="AG811" s="26"/>
      <c r="AH811" s="26"/>
    </row>
    <row r="812" ht="12.75" customHeight="1">
      <c r="A812" s="24"/>
      <c r="B812" s="609"/>
      <c r="C812" s="24"/>
      <c r="D812" s="24"/>
      <c r="E812" s="610"/>
      <c r="F812" s="611"/>
      <c r="G812" s="26"/>
      <c r="H812" s="8"/>
      <c r="I812" s="611"/>
      <c r="J812" s="26"/>
      <c r="K812" s="8"/>
      <c r="L812" s="611"/>
      <c r="M812" s="26"/>
      <c r="N812" s="8"/>
      <c r="O812" s="611"/>
      <c r="P812" s="26"/>
      <c r="Q812" s="8"/>
      <c r="R812" s="611"/>
      <c r="S812" s="26"/>
      <c r="T812" s="8"/>
      <c r="U812" s="611"/>
      <c r="V812" s="26"/>
      <c r="W812" s="8"/>
      <c r="X812" s="611"/>
      <c r="Y812" s="26"/>
      <c r="Z812" s="8"/>
      <c r="AA812" s="611"/>
      <c r="AB812" s="26"/>
      <c r="AC812" s="8"/>
      <c r="AD812" s="26"/>
      <c r="AE812" s="26"/>
      <c r="AF812" s="26"/>
      <c r="AG812" s="26"/>
      <c r="AH812" s="26"/>
    </row>
    <row r="813" ht="12.75" customHeight="1">
      <c r="A813" s="24"/>
      <c r="B813" s="609"/>
      <c r="C813" s="24"/>
      <c r="D813" s="24"/>
      <c r="E813" s="610"/>
      <c r="F813" s="611"/>
      <c r="G813" s="26"/>
      <c r="H813" s="8"/>
      <c r="I813" s="611"/>
      <c r="J813" s="26"/>
      <c r="K813" s="8"/>
      <c r="L813" s="611"/>
      <c r="M813" s="26"/>
      <c r="N813" s="8"/>
      <c r="O813" s="611"/>
      <c r="P813" s="26"/>
      <c r="Q813" s="8"/>
      <c r="R813" s="611"/>
      <c r="S813" s="26"/>
      <c r="T813" s="8"/>
      <c r="U813" s="611"/>
      <c r="V813" s="26"/>
      <c r="W813" s="8"/>
      <c r="X813" s="611"/>
      <c r="Y813" s="26"/>
      <c r="Z813" s="8"/>
      <c r="AA813" s="611"/>
      <c r="AB813" s="26"/>
      <c r="AC813" s="8"/>
      <c r="AD813" s="26"/>
      <c r="AE813" s="26"/>
      <c r="AF813" s="26"/>
      <c r="AG813" s="26"/>
      <c r="AH813" s="26"/>
    </row>
    <row r="814" ht="12.75" customHeight="1">
      <c r="A814" s="24"/>
      <c r="B814" s="609"/>
      <c r="C814" s="24"/>
      <c r="D814" s="24"/>
      <c r="E814" s="610"/>
      <c r="F814" s="611"/>
      <c r="G814" s="26"/>
      <c r="H814" s="8"/>
      <c r="I814" s="611"/>
      <c r="J814" s="26"/>
      <c r="K814" s="8"/>
      <c r="L814" s="611"/>
      <c r="M814" s="26"/>
      <c r="N814" s="8"/>
      <c r="O814" s="611"/>
      <c r="P814" s="26"/>
      <c r="Q814" s="8"/>
      <c r="R814" s="611"/>
      <c r="S814" s="26"/>
      <c r="T814" s="8"/>
      <c r="U814" s="611"/>
      <c r="V814" s="26"/>
      <c r="W814" s="8"/>
      <c r="X814" s="611"/>
      <c r="Y814" s="26"/>
      <c r="Z814" s="8"/>
      <c r="AA814" s="611"/>
      <c r="AB814" s="26"/>
      <c r="AC814" s="8"/>
      <c r="AD814" s="26"/>
      <c r="AE814" s="26"/>
      <c r="AF814" s="26"/>
      <c r="AG814" s="26"/>
      <c r="AH814" s="26"/>
    </row>
    <row r="815" ht="12.75" customHeight="1">
      <c r="A815" s="24"/>
      <c r="B815" s="609"/>
      <c r="C815" s="24"/>
      <c r="D815" s="24"/>
      <c r="E815" s="610"/>
      <c r="F815" s="611"/>
      <c r="G815" s="26"/>
      <c r="H815" s="8"/>
      <c r="I815" s="611"/>
      <c r="J815" s="26"/>
      <c r="K815" s="8"/>
      <c r="L815" s="611"/>
      <c r="M815" s="26"/>
      <c r="N815" s="8"/>
      <c r="O815" s="611"/>
      <c r="P815" s="26"/>
      <c r="Q815" s="8"/>
      <c r="R815" s="611"/>
      <c r="S815" s="26"/>
      <c r="T815" s="8"/>
      <c r="U815" s="611"/>
      <c r="V815" s="26"/>
      <c r="W815" s="8"/>
      <c r="X815" s="611"/>
      <c r="Y815" s="26"/>
      <c r="Z815" s="8"/>
      <c r="AA815" s="611"/>
      <c r="AB815" s="26"/>
      <c r="AC815" s="8"/>
      <c r="AD815" s="26"/>
      <c r="AE815" s="26"/>
      <c r="AF815" s="26"/>
      <c r="AG815" s="26"/>
      <c r="AH815" s="26"/>
    </row>
    <row r="816" ht="12.75" customHeight="1">
      <c r="A816" s="24"/>
      <c r="B816" s="609"/>
      <c r="C816" s="24"/>
      <c r="D816" s="24"/>
      <c r="E816" s="610"/>
      <c r="F816" s="611"/>
      <c r="G816" s="26"/>
      <c r="H816" s="8"/>
      <c r="I816" s="611"/>
      <c r="J816" s="26"/>
      <c r="K816" s="8"/>
      <c r="L816" s="611"/>
      <c r="M816" s="26"/>
      <c r="N816" s="8"/>
      <c r="O816" s="611"/>
      <c r="P816" s="26"/>
      <c r="Q816" s="8"/>
      <c r="R816" s="611"/>
      <c r="S816" s="26"/>
      <c r="T816" s="8"/>
      <c r="U816" s="611"/>
      <c r="V816" s="26"/>
      <c r="W816" s="8"/>
      <c r="X816" s="611"/>
      <c r="Y816" s="26"/>
      <c r="Z816" s="8"/>
      <c r="AA816" s="611"/>
      <c r="AB816" s="26"/>
      <c r="AC816" s="8"/>
      <c r="AD816" s="26"/>
      <c r="AE816" s="26"/>
      <c r="AF816" s="26"/>
      <c r="AG816" s="26"/>
      <c r="AH816" s="26"/>
    </row>
    <row r="817" ht="12.75" customHeight="1">
      <c r="A817" s="24"/>
      <c r="B817" s="609"/>
      <c r="C817" s="24"/>
      <c r="D817" s="24"/>
      <c r="E817" s="610"/>
      <c r="F817" s="611"/>
      <c r="G817" s="26"/>
      <c r="H817" s="8"/>
      <c r="I817" s="611"/>
      <c r="J817" s="26"/>
      <c r="K817" s="8"/>
      <c r="L817" s="611"/>
      <c r="M817" s="26"/>
      <c r="N817" s="8"/>
      <c r="O817" s="611"/>
      <c r="P817" s="26"/>
      <c r="Q817" s="8"/>
      <c r="R817" s="611"/>
      <c r="S817" s="26"/>
      <c r="T817" s="8"/>
      <c r="U817" s="611"/>
      <c r="V817" s="26"/>
      <c r="W817" s="8"/>
      <c r="X817" s="611"/>
      <c r="Y817" s="26"/>
      <c r="Z817" s="8"/>
      <c r="AA817" s="611"/>
      <c r="AB817" s="26"/>
      <c r="AC817" s="8"/>
      <c r="AD817" s="26"/>
      <c r="AE817" s="26"/>
      <c r="AF817" s="26"/>
      <c r="AG817" s="26"/>
      <c r="AH817" s="26"/>
    </row>
    <row r="818" ht="12.75" customHeight="1">
      <c r="A818" s="24"/>
      <c r="B818" s="609"/>
      <c r="C818" s="24"/>
      <c r="D818" s="24"/>
      <c r="E818" s="610"/>
      <c r="F818" s="611"/>
      <c r="G818" s="26"/>
      <c r="H818" s="8"/>
      <c r="I818" s="611"/>
      <c r="J818" s="26"/>
      <c r="K818" s="8"/>
      <c r="L818" s="611"/>
      <c r="M818" s="26"/>
      <c r="N818" s="8"/>
      <c r="O818" s="611"/>
      <c r="P818" s="26"/>
      <c r="Q818" s="8"/>
      <c r="R818" s="611"/>
      <c r="S818" s="26"/>
      <c r="T818" s="8"/>
      <c r="U818" s="611"/>
      <c r="V818" s="26"/>
      <c r="W818" s="8"/>
      <c r="X818" s="611"/>
      <c r="Y818" s="26"/>
      <c r="Z818" s="8"/>
      <c r="AA818" s="611"/>
      <c r="AB818" s="26"/>
      <c r="AC818" s="8"/>
      <c r="AD818" s="26"/>
      <c r="AE818" s="26"/>
      <c r="AF818" s="26"/>
      <c r="AG818" s="26"/>
      <c r="AH818" s="26"/>
    </row>
    <row r="819" ht="12.75" customHeight="1">
      <c r="A819" s="24"/>
      <c r="B819" s="609"/>
      <c r="C819" s="24"/>
      <c r="D819" s="24"/>
      <c r="E819" s="610"/>
      <c r="F819" s="611"/>
      <c r="G819" s="26"/>
      <c r="H819" s="8"/>
      <c r="I819" s="611"/>
      <c r="J819" s="26"/>
      <c r="K819" s="8"/>
      <c r="L819" s="611"/>
      <c r="M819" s="26"/>
      <c r="N819" s="8"/>
      <c r="O819" s="611"/>
      <c r="P819" s="26"/>
      <c r="Q819" s="8"/>
      <c r="R819" s="611"/>
      <c r="S819" s="26"/>
      <c r="T819" s="8"/>
      <c r="U819" s="611"/>
      <c r="V819" s="26"/>
      <c r="W819" s="8"/>
      <c r="X819" s="611"/>
      <c r="Y819" s="26"/>
      <c r="Z819" s="8"/>
      <c r="AA819" s="611"/>
      <c r="AB819" s="26"/>
      <c r="AC819" s="8"/>
      <c r="AD819" s="26"/>
      <c r="AE819" s="26"/>
      <c r="AF819" s="26"/>
      <c r="AG819" s="26"/>
      <c r="AH819" s="26"/>
    </row>
    <row r="820" ht="12.75" customHeight="1">
      <c r="A820" s="24"/>
      <c r="B820" s="609"/>
      <c r="C820" s="24"/>
      <c r="D820" s="24"/>
      <c r="E820" s="610"/>
      <c r="F820" s="611"/>
      <c r="G820" s="26"/>
      <c r="H820" s="8"/>
      <c r="I820" s="611"/>
      <c r="J820" s="26"/>
      <c r="K820" s="8"/>
      <c r="L820" s="611"/>
      <c r="M820" s="26"/>
      <c r="N820" s="8"/>
      <c r="O820" s="611"/>
      <c r="P820" s="26"/>
      <c r="Q820" s="8"/>
      <c r="R820" s="611"/>
      <c r="S820" s="26"/>
      <c r="T820" s="8"/>
      <c r="U820" s="611"/>
      <c r="V820" s="26"/>
      <c r="W820" s="8"/>
      <c r="X820" s="611"/>
      <c r="Y820" s="26"/>
      <c r="Z820" s="8"/>
      <c r="AA820" s="611"/>
      <c r="AB820" s="26"/>
      <c r="AC820" s="8"/>
      <c r="AD820" s="26"/>
      <c r="AE820" s="26"/>
      <c r="AF820" s="26"/>
      <c r="AG820" s="26"/>
      <c r="AH820" s="26"/>
    </row>
    <row r="821" ht="12.75" customHeight="1">
      <c r="A821" s="24"/>
      <c r="B821" s="609"/>
      <c r="C821" s="24"/>
      <c r="D821" s="24"/>
      <c r="E821" s="610"/>
      <c r="F821" s="611"/>
      <c r="G821" s="26"/>
      <c r="H821" s="8"/>
      <c r="I821" s="611"/>
      <c r="J821" s="26"/>
      <c r="K821" s="8"/>
      <c r="L821" s="611"/>
      <c r="M821" s="26"/>
      <c r="N821" s="8"/>
      <c r="O821" s="611"/>
      <c r="P821" s="26"/>
      <c r="Q821" s="8"/>
      <c r="R821" s="611"/>
      <c r="S821" s="26"/>
      <c r="T821" s="8"/>
      <c r="U821" s="611"/>
      <c r="V821" s="26"/>
      <c r="W821" s="8"/>
      <c r="X821" s="611"/>
      <c r="Y821" s="26"/>
      <c r="Z821" s="8"/>
      <c r="AA821" s="611"/>
      <c r="AB821" s="26"/>
      <c r="AC821" s="8"/>
      <c r="AD821" s="26"/>
      <c r="AE821" s="26"/>
      <c r="AF821" s="26"/>
      <c r="AG821" s="26"/>
      <c r="AH821" s="26"/>
    </row>
    <row r="822" ht="12.75" customHeight="1">
      <c r="A822" s="24"/>
      <c r="B822" s="609"/>
      <c r="C822" s="24"/>
      <c r="D822" s="24"/>
      <c r="E822" s="610"/>
      <c r="F822" s="611"/>
      <c r="G822" s="26"/>
      <c r="H822" s="8"/>
      <c r="I822" s="611"/>
      <c r="J822" s="26"/>
      <c r="K822" s="8"/>
      <c r="L822" s="611"/>
      <c r="M822" s="26"/>
      <c r="N822" s="8"/>
      <c r="O822" s="611"/>
      <c r="P822" s="26"/>
      <c r="Q822" s="8"/>
      <c r="R822" s="611"/>
      <c r="S822" s="26"/>
      <c r="T822" s="8"/>
      <c r="U822" s="611"/>
      <c r="V822" s="26"/>
      <c r="W822" s="8"/>
      <c r="X822" s="611"/>
      <c r="Y822" s="26"/>
      <c r="Z822" s="8"/>
      <c r="AA822" s="611"/>
      <c r="AB822" s="26"/>
      <c r="AC822" s="8"/>
      <c r="AD822" s="26"/>
      <c r="AE822" s="26"/>
      <c r="AF822" s="26"/>
      <c r="AG822" s="26"/>
      <c r="AH822" s="26"/>
    </row>
    <row r="823" ht="12.75" customHeight="1">
      <c r="A823" s="24"/>
      <c r="B823" s="609"/>
      <c r="C823" s="24"/>
      <c r="D823" s="24"/>
      <c r="E823" s="610"/>
      <c r="F823" s="611"/>
      <c r="G823" s="26"/>
      <c r="H823" s="8"/>
      <c r="I823" s="611"/>
      <c r="J823" s="26"/>
      <c r="K823" s="8"/>
      <c r="L823" s="611"/>
      <c r="M823" s="26"/>
      <c r="N823" s="8"/>
      <c r="O823" s="611"/>
      <c r="P823" s="26"/>
      <c r="Q823" s="8"/>
      <c r="R823" s="611"/>
      <c r="S823" s="26"/>
      <c r="T823" s="8"/>
      <c r="U823" s="611"/>
      <c r="V823" s="26"/>
      <c r="W823" s="8"/>
      <c r="X823" s="611"/>
      <c r="Y823" s="26"/>
      <c r="Z823" s="8"/>
      <c r="AA823" s="611"/>
      <c r="AB823" s="26"/>
      <c r="AC823" s="8"/>
      <c r="AD823" s="26"/>
      <c r="AE823" s="26"/>
      <c r="AF823" s="26"/>
      <c r="AG823" s="26"/>
      <c r="AH823" s="26"/>
    </row>
    <row r="824" ht="12.75" customHeight="1">
      <c r="A824" s="24"/>
      <c r="B824" s="609"/>
      <c r="C824" s="24"/>
      <c r="D824" s="24"/>
      <c r="E824" s="610"/>
      <c r="F824" s="611"/>
      <c r="G824" s="26"/>
      <c r="H824" s="8"/>
      <c r="I824" s="611"/>
      <c r="J824" s="26"/>
      <c r="K824" s="8"/>
      <c r="L824" s="611"/>
      <c r="M824" s="26"/>
      <c r="N824" s="8"/>
      <c r="O824" s="611"/>
      <c r="P824" s="26"/>
      <c r="Q824" s="8"/>
      <c r="R824" s="611"/>
      <c r="S824" s="26"/>
      <c r="T824" s="8"/>
      <c r="U824" s="611"/>
      <c r="V824" s="26"/>
      <c r="W824" s="8"/>
      <c r="X824" s="611"/>
      <c r="Y824" s="26"/>
      <c r="Z824" s="8"/>
      <c r="AA824" s="611"/>
      <c r="AB824" s="26"/>
      <c r="AC824" s="8"/>
      <c r="AD824" s="26"/>
      <c r="AE824" s="26"/>
      <c r="AF824" s="26"/>
      <c r="AG824" s="26"/>
      <c r="AH824" s="26"/>
    </row>
    <row r="825" ht="12.75" customHeight="1">
      <c r="A825" s="24"/>
      <c r="B825" s="609"/>
      <c r="C825" s="24"/>
      <c r="D825" s="24"/>
      <c r="E825" s="610"/>
      <c r="F825" s="611"/>
      <c r="G825" s="26"/>
      <c r="H825" s="8"/>
      <c r="I825" s="611"/>
      <c r="J825" s="26"/>
      <c r="K825" s="8"/>
      <c r="L825" s="611"/>
      <c r="M825" s="26"/>
      <c r="N825" s="8"/>
      <c r="O825" s="611"/>
      <c r="P825" s="26"/>
      <c r="Q825" s="8"/>
      <c r="R825" s="611"/>
      <c r="S825" s="26"/>
      <c r="T825" s="8"/>
      <c r="U825" s="611"/>
      <c r="V825" s="26"/>
      <c r="W825" s="8"/>
      <c r="X825" s="611"/>
      <c r="Y825" s="26"/>
      <c r="Z825" s="8"/>
      <c r="AA825" s="611"/>
      <c r="AB825" s="26"/>
      <c r="AC825" s="8"/>
      <c r="AD825" s="26"/>
      <c r="AE825" s="26"/>
      <c r="AF825" s="26"/>
      <c r="AG825" s="26"/>
      <c r="AH825" s="26"/>
    </row>
    <row r="826" ht="12.75" customHeight="1">
      <c r="A826" s="24"/>
      <c r="B826" s="609"/>
      <c r="C826" s="24"/>
      <c r="D826" s="24"/>
      <c r="E826" s="610"/>
      <c r="F826" s="611"/>
      <c r="G826" s="26"/>
      <c r="H826" s="8"/>
      <c r="I826" s="611"/>
      <c r="J826" s="26"/>
      <c r="K826" s="8"/>
      <c r="L826" s="611"/>
      <c r="M826" s="26"/>
      <c r="N826" s="8"/>
      <c r="O826" s="611"/>
      <c r="P826" s="26"/>
      <c r="Q826" s="8"/>
      <c r="R826" s="611"/>
      <c r="S826" s="26"/>
      <c r="T826" s="8"/>
      <c r="U826" s="611"/>
      <c r="V826" s="26"/>
      <c r="W826" s="8"/>
      <c r="X826" s="611"/>
      <c r="Y826" s="26"/>
      <c r="Z826" s="8"/>
      <c r="AA826" s="611"/>
      <c r="AB826" s="26"/>
      <c r="AC826" s="8"/>
      <c r="AD826" s="26"/>
      <c r="AE826" s="26"/>
      <c r="AF826" s="26"/>
      <c r="AG826" s="26"/>
      <c r="AH826" s="26"/>
    </row>
    <row r="827" ht="12.75" customHeight="1">
      <c r="A827" s="24"/>
      <c r="B827" s="609"/>
      <c r="C827" s="24"/>
      <c r="D827" s="24"/>
      <c r="E827" s="610"/>
      <c r="F827" s="611"/>
      <c r="G827" s="26"/>
      <c r="H827" s="8"/>
      <c r="I827" s="611"/>
      <c r="J827" s="26"/>
      <c r="K827" s="8"/>
      <c r="L827" s="611"/>
      <c r="M827" s="26"/>
      <c r="N827" s="8"/>
      <c r="O827" s="611"/>
      <c r="P827" s="26"/>
      <c r="Q827" s="8"/>
      <c r="R827" s="611"/>
      <c r="S827" s="26"/>
      <c r="T827" s="8"/>
      <c r="U827" s="611"/>
      <c r="V827" s="26"/>
      <c r="W827" s="8"/>
      <c r="X827" s="611"/>
      <c r="Y827" s="26"/>
      <c r="Z827" s="8"/>
      <c r="AA827" s="611"/>
      <c r="AB827" s="26"/>
      <c r="AC827" s="8"/>
      <c r="AD827" s="26"/>
      <c r="AE827" s="26"/>
      <c r="AF827" s="26"/>
      <c r="AG827" s="26"/>
      <c r="AH827" s="26"/>
    </row>
    <row r="828" ht="12.75" customHeight="1">
      <c r="A828" s="24"/>
      <c r="B828" s="609"/>
      <c r="C828" s="24"/>
      <c r="D828" s="24"/>
      <c r="E828" s="610"/>
      <c r="F828" s="611"/>
      <c r="G828" s="26"/>
      <c r="H828" s="8"/>
      <c r="I828" s="611"/>
      <c r="J828" s="26"/>
      <c r="K828" s="8"/>
      <c r="L828" s="611"/>
      <c r="M828" s="26"/>
      <c r="N828" s="8"/>
      <c r="O828" s="611"/>
      <c r="P828" s="26"/>
      <c r="Q828" s="8"/>
      <c r="R828" s="611"/>
      <c r="S828" s="26"/>
      <c r="T828" s="8"/>
      <c r="U828" s="611"/>
      <c r="V828" s="26"/>
      <c r="W828" s="8"/>
      <c r="X828" s="611"/>
      <c r="Y828" s="26"/>
      <c r="Z828" s="8"/>
      <c r="AA828" s="611"/>
      <c r="AB828" s="26"/>
      <c r="AC828" s="8"/>
      <c r="AD828" s="26"/>
      <c r="AE828" s="26"/>
      <c r="AF828" s="26"/>
      <c r="AG828" s="26"/>
      <c r="AH828" s="26"/>
    </row>
    <row r="829" ht="12.75" customHeight="1">
      <c r="A829" s="24"/>
      <c r="B829" s="609"/>
      <c r="C829" s="24"/>
      <c r="D829" s="24"/>
      <c r="E829" s="610"/>
      <c r="F829" s="611"/>
      <c r="G829" s="26"/>
      <c r="H829" s="8"/>
      <c r="I829" s="611"/>
      <c r="J829" s="26"/>
      <c r="K829" s="8"/>
      <c r="L829" s="611"/>
      <c r="M829" s="26"/>
      <c r="N829" s="8"/>
      <c r="O829" s="611"/>
      <c r="P829" s="26"/>
      <c r="Q829" s="8"/>
      <c r="R829" s="611"/>
      <c r="S829" s="26"/>
      <c r="T829" s="8"/>
      <c r="U829" s="611"/>
      <c r="V829" s="26"/>
      <c r="W829" s="8"/>
      <c r="X829" s="611"/>
      <c r="Y829" s="26"/>
      <c r="Z829" s="8"/>
      <c r="AA829" s="611"/>
      <c r="AB829" s="26"/>
      <c r="AC829" s="8"/>
      <c r="AD829" s="26"/>
      <c r="AE829" s="26"/>
      <c r="AF829" s="26"/>
      <c r="AG829" s="26"/>
      <c r="AH829" s="26"/>
    </row>
    <row r="830" ht="12.75" customHeight="1">
      <c r="A830" s="24"/>
      <c r="B830" s="609"/>
      <c r="C830" s="24"/>
      <c r="D830" s="24"/>
      <c r="E830" s="610"/>
      <c r="F830" s="611"/>
      <c r="G830" s="26"/>
      <c r="H830" s="8"/>
      <c r="I830" s="611"/>
      <c r="J830" s="26"/>
      <c r="K830" s="8"/>
      <c r="L830" s="611"/>
      <c r="M830" s="26"/>
      <c r="N830" s="8"/>
      <c r="O830" s="611"/>
      <c r="P830" s="26"/>
      <c r="Q830" s="8"/>
      <c r="R830" s="611"/>
      <c r="S830" s="26"/>
      <c r="T830" s="8"/>
      <c r="U830" s="611"/>
      <c r="V830" s="26"/>
      <c r="W830" s="8"/>
      <c r="X830" s="611"/>
      <c r="Y830" s="26"/>
      <c r="Z830" s="8"/>
      <c r="AA830" s="611"/>
      <c r="AB830" s="26"/>
      <c r="AC830" s="8"/>
      <c r="AD830" s="26"/>
      <c r="AE830" s="26"/>
      <c r="AF830" s="26"/>
      <c r="AG830" s="26"/>
      <c r="AH830" s="26"/>
    </row>
    <row r="831" ht="12.75" customHeight="1">
      <c r="A831" s="24"/>
      <c r="B831" s="609"/>
      <c r="C831" s="24"/>
      <c r="D831" s="24"/>
      <c r="E831" s="610"/>
      <c r="F831" s="611"/>
      <c r="G831" s="26"/>
      <c r="H831" s="8"/>
      <c r="I831" s="611"/>
      <c r="J831" s="26"/>
      <c r="K831" s="8"/>
      <c r="L831" s="611"/>
      <c r="M831" s="26"/>
      <c r="N831" s="8"/>
      <c r="O831" s="611"/>
      <c r="P831" s="26"/>
      <c r="Q831" s="8"/>
      <c r="R831" s="611"/>
      <c r="S831" s="26"/>
      <c r="T831" s="8"/>
      <c r="U831" s="611"/>
      <c r="V831" s="26"/>
      <c r="W831" s="8"/>
      <c r="X831" s="611"/>
      <c r="Y831" s="26"/>
      <c r="Z831" s="8"/>
      <c r="AA831" s="611"/>
      <c r="AB831" s="26"/>
      <c r="AC831" s="8"/>
      <c r="AD831" s="26"/>
      <c r="AE831" s="26"/>
      <c r="AF831" s="26"/>
      <c r="AG831" s="26"/>
      <c r="AH831" s="26"/>
    </row>
    <row r="832" ht="12.75" customHeight="1">
      <c r="A832" s="24"/>
      <c r="B832" s="609"/>
      <c r="C832" s="24"/>
      <c r="D832" s="24"/>
      <c r="E832" s="610"/>
      <c r="F832" s="611"/>
      <c r="G832" s="26"/>
      <c r="H832" s="8"/>
      <c r="I832" s="611"/>
      <c r="J832" s="26"/>
      <c r="K832" s="8"/>
      <c r="L832" s="611"/>
      <c r="M832" s="26"/>
      <c r="N832" s="8"/>
      <c r="O832" s="611"/>
      <c r="P832" s="26"/>
      <c r="Q832" s="8"/>
      <c r="R832" s="611"/>
      <c r="S832" s="26"/>
      <c r="T832" s="8"/>
      <c r="U832" s="611"/>
      <c r="V832" s="26"/>
      <c r="W832" s="8"/>
      <c r="X832" s="611"/>
      <c r="Y832" s="26"/>
      <c r="Z832" s="8"/>
      <c r="AA832" s="611"/>
      <c r="AB832" s="26"/>
      <c r="AC832" s="8"/>
      <c r="AD832" s="26"/>
      <c r="AE832" s="26"/>
      <c r="AF832" s="26"/>
      <c r="AG832" s="26"/>
      <c r="AH832" s="26"/>
    </row>
    <row r="833" ht="12.75" customHeight="1">
      <c r="A833" s="24"/>
      <c r="B833" s="609"/>
      <c r="C833" s="24"/>
      <c r="D833" s="24"/>
      <c r="E833" s="610"/>
      <c r="F833" s="611"/>
      <c r="G833" s="26"/>
      <c r="H833" s="8"/>
      <c r="I833" s="611"/>
      <c r="J833" s="26"/>
      <c r="K833" s="8"/>
      <c r="L833" s="611"/>
      <c r="M833" s="26"/>
      <c r="N833" s="8"/>
      <c r="O833" s="611"/>
      <c r="P833" s="26"/>
      <c r="Q833" s="8"/>
      <c r="R833" s="611"/>
      <c r="S833" s="26"/>
      <c r="T833" s="8"/>
      <c r="U833" s="611"/>
      <c r="V833" s="26"/>
      <c r="W833" s="8"/>
      <c r="X833" s="611"/>
      <c r="Y833" s="26"/>
      <c r="Z833" s="8"/>
      <c r="AA833" s="611"/>
      <c r="AB833" s="26"/>
      <c r="AC833" s="8"/>
      <c r="AD833" s="26"/>
      <c r="AE833" s="26"/>
      <c r="AF833" s="26"/>
      <c r="AG833" s="26"/>
      <c r="AH833" s="26"/>
    </row>
    <row r="834" ht="12.75" customHeight="1">
      <c r="A834" s="24"/>
      <c r="B834" s="609"/>
      <c r="C834" s="24"/>
      <c r="D834" s="24"/>
      <c r="E834" s="610"/>
      <c r="F834" s="611"/>
      <c r="G834" s="26"/>
      <c r="H834" s="8"/>
      <c r="I834" s="611"/>
      <c r="J834" s="26"/>
      <c r="K834" s="8"/>
      <c r="L834" s="611"/>
      <c r="M834" s="26"/>
      <c r="N834" s="8"/>
      <c r="O834" s="611"/>
      <c r="P834" s="26"/>
      <c r="Q834" s="8"/>
      <c r="R834" s="611"/>
      <c r="S834" s="26"/>
      <c r="T834" s="8"/>
      <c r="U834" s="611"/>
      <c r="V834" s="26"/>
      <c r="W834" s="8"/>
      <c r="X834" s="611"/>
      <c r="Y834" s="26"/>
      <c r="Z834" s="8"/>
      <c r="AA834" s="611"/>
      <c r="AB834" s="26"/>
      <c r="AC834" s="8"/>
      <c r="AD834" s="26"/>
      <c r="AE834" s="26"/>
      <c r="AF834" s="26"/>
      <c r="AG834" s="26"/>
      <c r="AH834" s="26"/>
    </row>
    <row r="835" ht="12.75" customHeight="1">
      <c r="A835" s="24"/>
      <c r="B835" s="609"/>
      <c r="C835" s="24"/>
      <c r="D835" s="24"/>
      <c r="E835" s="610"/>
      <c r="F835" s="611"/>
      <c r="G835" s="26"/>
      <c r="H835" s="8"/>
      <c r="I835" s="611"/>
      <c r="J835" s="26"/>
      <c r="K835" s="8"/>
      <c r="L835" s="611"/>
      <c r="M835" s="26"/>
      <c r="N835" s="8"/>
      <c r="O835" s="611"/>
      <c r="P835" s="26"/>
      <c r="Q835" s="8"/>
      <c r="R835" s="611"/>
      <c r="S835" s="26"/>
      <c r="T835" s="8"/>
      <c r="U835" s="611"/>
      <c r="V835" s="26"/>
      <c r="W835" s="8"/>
      <c r="X835" s="611"/>
      <c r="Y835" s="26"/>
      <c r="Z835" s="8"/>
      <c r="AA835" s="611"/>
      <c r="AB835" s="26"/>
      <c r="AC835" s="8"/>
      <c r="AD835" s="26"/>
      <c r="AE835" s="26"/>
      <c r="AF835" s="26"/>
      <c r="AG835" s="26"/>
      <c r="AH835" s="26"/>
    </row>
    <row r="836" ht="12.75" customHeight="1">
      <c r="A836" s="24"/>
      <c r="B836" s="609"/>
      <c r="C836" s="24"/>
      <c r="D836" s="24"/>
      <c r="E836" s="610"/>
      <c r="F836" s="611"/>
      <c r="G836" s="26"/>
      <c r="H836" s="8"/>
      <c r="I836" s="611"/>
      <c r="J836" s="26"/>
      <c r="K836" s="8"/>
      <c r="L836" s="611"/>
      <c r="M836" s="26"/>
      <c r="N836" s="8"/>
      <c r="O836" s="611"/>
      <c r="P836" s="26"/>
      <c r="Q836" s="8"/>
      <c r="R836" s="611"/>
      <c r="S836" s="26"/>
      <c r="T836" s="8"/>
      <c r="U836" s="611"/>
      <c r="V836" s="26"/>
      <c r="W836" s="8"/>
      <c r="X836" s="611"/>
      <c r="Y836" s="26"/>
      <c r="Z836" s="8"/>
      <c r="AA836" s="611"/>
      <c r="AB836" s="26"/>
      <c r="AC836" s="8"/>
      <c r="AD836" s="26"/>
      <c r="AE836" s="26"/>
      <c r="AF836" s="26"/>
      <c r="AG836" s="26"/>
      <c r="AH836" s="26"/>
    </row>
    <row r="837" ht="12.75" customHeight="1">
      <c r="A837" s="24"/>
      <c r="B837" s="609"/>
      <c r="C837" s="24"/>
      <c r="D837" s="24"/>
      <c r="E837" s="610"/>
      <c r="F837" s="611"/>
      <c r="G837" s="26"/>
      <c r="H837" s="8"/>
      <c r="I837" s="611"/>
      <c r="J837" s="26"/>
      <c r="K837" s="8"/>
      <c r="L837" s="611"/>
      <c r="M837" s="26"/>
      <c r="N837" s="8"/>
      <c r="O837" s="611"/>
      <c r="P837" s="26"/>
      <c r="Q837" s="8"/>
      <c r="R837" s="611"/>
      <c r="S837" s="26"/>
      <c r="T837" s="8"/>
      <c r="U837" s="611"/>
      <c r="V837" s="26"/>
      <c r="W837" s="8"/>
      <c r="X837" s="611"/>
      <c r="Y837" s="26"/>
      <c r="Z837" s="8"/>
      <c r="AA837" s="611"/>
      <c r="AB837" s="26"/>
      <c r="AC837" s="8"/>
      <c r="AD837" s="26"/>
      <c r="AE837" s="26"/>
      <c r="AF837" s="26"/>
      <c r="AG837" s="26"/>
      <c r="AH837" s="26"/>
    </row>
    <row r="838" ht="12.75" customHeight="1">
      <c r="A838" s="24"/>
      <c r="B838" s="609"/>
      <c r="C838" s="24"/>
      <c r="D838" s="24"/>
      <c r="E838" s="610"/>
      <c r="F838" s="611"/>
      <c r="G838" s="26"/>
      <c r="H838" s="8"/>
      <c r="I838" s="611"/>
      <c r="J838" s="26"/>
      <c r="K838" s="8"/>
      <c r="L838" s="611"/>
      <c r="M838" s="26"/>
      <c r="N838" s="8"/>
      <c r="O838" s="611"/>
      <c r="P838" s="26"/>
      <c r="Q838" s="8"/>
      <c r="R838" s="611"/>
      <c r="S838" s="26"/>
      <c r="T838" s="8"/>
      <c r="U838" s="611"/>
      <c r="V838" s="26"/>
      <c r="W838" s="8"/>
      <c r="X838" s="611"/>
      <c r="Y838" s="26"/>
      <c r="Z838" s="8"/>
      <c r="AA838" s="611"/>
      <c r="AB838" s="26"/>
      <c r="AC838" s="8"/>
      <c r="AD838" s="26"/>
      <c r="AE838" s="26"/>
      <c r="AF838" s="26"/>
      <c r="AG838" s="26"/>
      <c r="AH838" s="26"/>
    </row>
    <row r="839" ht="12.75" customHeight="1">
      <c r="A839" s="24"/>
      <c r="B839" s="609"/>
      <c r="C839" s="24"/>
      <c r="D839" s="24"/>
      <c r="E839" s="610"/>
      <c r="F839" s="611"/>
      <c r="G839" s="26"/>
      <c r="H839" s="8"/>
      <c r="I839" s="611"/>
      <c r="J839" s="26"/>
      <c r="K839" s="8"/>
      <c r="L839" s="611"/>
      <c r="M839" s="26"/>
      <c r="N839" s="8"/>
      <c r="O839" s="611"/>
      <c r="P839" s="26"/>
      <c r="Q839" s="8"/>
      <c r="R839" s="611"/>
      <c r="S839" s="26"/>
      <c r="T839" s="8"/>
      <c r="U839" s="611"/>
      <c r="V839" s="26"/>
      <c r="W839" s="8"/>
      <c r="X839" s="611"/>
      <c r="Y839" s="26"/>
      <c r="Z839" s="8"/>
      <c r="AA839" s="611"/>
      <c r="AB839" s="26"/>
      <c r="AC839" s="8"/>
      <c r="AD839" s="26"/>
      <c r="AE839" s="26"/>
      <c r="AF839" s="26"/>
      <c r="AG839" s="26"/>
      <c r="AH839" s="26"/>
    </row>
    <row r="840" ht="12.75" customHeight="1">
      <c r="A840" s="24"/>
      <c r="B840" s="609"/>
      <c r="C840" s="24"/>
      <c r="D840" s="24"/>
      <c r="E840" s="610"/>
      <c r="F840" s="611"/>
      <c r="G840" s="26"/>
      <c r="H840" s="8"/>
      <c r="I840" s="611"/>
      <c r="J840" s="26"/>
      <c r="K840" s="8"/>
      <c r="L840" s="611"/>
      <c r="M840" s="26"/>
      <c r="N840" s="8"/>
      <c r="O840" s="611"/>
      <c r="P840" s="26"/>
      <c r="Q840" s="8"/>
      <c r="R840" s="611"/>
      <c r="S840" s="26"/>
      <c r="T840" s="8"/>
      <c r="U840" s="611"/>
      <c r="V840" s="26"/>
      <c r="W840" s="8"/>
      <c r="X840" s="611"/>
      <c r="Y840" s="26"/>
      <c r="Z840" s="8"/>
      <c r="AA840" s="611"/>
      <c r="AB840" s="26"/>
      <c r="AC840" s="8"/>
      <c r="AD840" s="26"/>
      <c r="AE840" s="26"/>
      <c r="AF840" s="26"/>
      <c r="AG840" s="26"/>
      <c r="AH840" s="26"/>
    </row>
    <row r="841" ht="12.75" customHeight="1">
      <c r="A841" s="24"/>
      <c r="B841" s="609"/>
      <c r="C841" s="24"/>
      <c r="D841" s="24"/>
      <c r="E841" s="610"/>
      <c r="F841" s="611"/>
      <c r="G841" s="26"/>
      <c r="H841" s="8"/>
      <c r="I841" s="611"/>
      <c r="J841" s="26"/>
      <c r="K841" s="8"/>
      <c r="L841" s="611"/>
      <c r="M841" s="26"/>
      <c r="N841" s="8"/>
      <c r="O841" s="611"/>
      <c r="P841" s="26"/>
      <c r="Q841" s="8"/>
      <c r="R841" s="611"/>
      <c r="S841" s="26"/>
      <c r="T841" s="8"/>
      <c r="U841" s="611"/>
      <c r="V841" s="26"/>
      <c r="W841" s="8"/>
      <c r="X841" s="611"/>
      <c r="Y841" s="26"/>
      <c r="Z841" s="8"/>
      <c r="AA841" s="611"/>
      <c r="AB841" s="26"/>
      <c r="AC841" s="8"/>
      <c r="AD841" s="26"/>
      <c r="AE841" s="26"/>
      <c r="AF841" s="26"/>
      <c r="AG841" s="26"/>
      <c r="AH841" s="26"/>
    </row>
    <row r="842" ht="12.75" customHeight="1">
      <c r="A842" s="24"/>
      <c r="B842" s="609"/>
      <c r="C842" s="24"/>
      <c r="D842" s="24"/>
      <c r="E842" s="610"/>
      <c r="F842" s="611"/>
      <c r="G842" s="26"/>
      <c r="H842" s="8"/>
      <c r="I842" s="611"/>
      <c r="J842" s="26"/>
      <c r="K842" s="8"/>
      <c r="L842" s="611"/>
      <c r="M842" s="26"/>
      <c r="N842" s="8"/>
      <c r="O842" s="611"/>
      <c r="P842" s="26"/>
      <c r="Q842" s="8"/>
      <c r="R842" s="611"/>
      <c r="S842" s="26"/>
      <c r="T842" s="8"/>
      <c r="U842" s="611"/>
      <c r="V842" s="26"/>
      <c r="W842" s="8"/>
      <c r="X842" s="611"/>
      <c r="Y842" s="26"/>
      <c r="Z842" s="8"/>
      <c r="AA842" s="611"/>
      <c r="AB842" s="26"/>
      <c r="AC842" s="8"/>
      <c r="AD842" s="26"/>
      <c r="AE842" s="26"/>
      <c r="AF842" s="26"/>
      <c r="AG842" s="26"/>
      <c r="AH842" s="26"/>
    </row>
    <row r="843" ht="12.75" customHeight="1">
      <c r="A843" s="24"/>
      <c r="B843" s="609"/>
      <c r="C843" s="24"/>
      <c r="D843" s="24"/>
      <c r="E843" s="610"/>
      <c r="F843" s="611"/>
      <c r="G843" s="26"/>
      <c r="H843" s="8"/>
      <c r="I843" s="611"/>
      <c r="J843" s="26"/>
      <c r="K843" s="8"/>
      <c r="L843" s="611"/>
      <c r="M843" s="26"/>
      <c r="N843" s="8"/>
      <c r="O843" s="611"/>
      <c r="P843" s="26"/>
      <c r="Q843" s="8"/>
      <c r="R843" s="611"/>
      <c r="S843" s="26"/>
      <c r="T843" s="8"/>
      <c r="U843" s="611"/>
      <c r="V843" s="26"/>
      <c r="W843" s="8"/>
      <c r="X843" s="611"/>
      <c r="Y843" s="26"/>
      <c r="Z843" s="8"/>
      <c r="AA843" s="611"/>
      <c r="AB843" s="26"/>
      <c r="AC843" s="8"/>
      <c r="AD843" s="26"/>
      <c r="AE843" s="26"/>
      <c r="AF843" s="26"/>
      <c r="AG843" s="26"/>
      <c r="AH843" s="26"/>
    </row>
    <row r="844" ht="12.75" customHeight="1">
      <c r="A844" s="24"/>
      <c r="B844" s="609"/>
      <c r="C844" s="24"/>
      <c r="D844" s="24"/>
      <c r="E844" s="610"/>
      <c r="F844" s="611"/>
      <c r="G844" s="26"/>
      <c r="H844" s="8"/>
      <c r="I844" s="611"/>
      <c r="J844" s="26"/>
      <c r="K844" s="8"/>
      <c r="L844" s="611"/>
      <c r="M844" s="26"/>
      <c r="N844" s="8"/>
      <c r="O844" s="611"/>
      <c r="P844" s="26"/>
      <c r="Q844" s="8"/>
      <c r="R844" s="611"/>
      <c r="S844" s="26"/>
      <c r="T844" s="8"/>
      <c r="U844" s="611"/>
      <c r="V844" s="26"/>
      <c r="W844" s="8"/>
      <c r="X844" s="611"/>
      <c r="Y844" s="26"/>
      <c r="Z844" s="8"/>
      <c r="AA844" s="611"/>
      <c r="AB844" s="26"/>
      <c r="AC844" s="8"/>
      <c r="AD844" s="26"/>
      <c r="AE844" s="26"/>
      <c r="AF844" s="26"/>
      <c r="AG844" s="26"/>
      <c r="AH844" s="26"/>
    </row>
    <row r="845" ht="12.75" customHeight="1">
      <c r="A845" s="24"/>
      <c r="B845" s="609"/>
      <c r="C845" s="24"/>
      <c r="D845" s="24"/>
      <c r="E845" s="610"/>
      <c r="F845" s="611"/>
      <c r="G845" s="26"/>
      <c r="H845" s="8"/>
      <c r="I845" s="611"/>
      <c r="J845" s="26"/>
      <c r="K845" s="8"/>
      <c r="L845" s="611"/>
      <c r="M845" s="26"/>
      <c r="N845" s="8"/>
      <c r="O845" s="611"/>
      <c r="P845" s="26"/>
      <c r="Q845" s="8"/>
      <c r="R845" s="611"/>
      <c r="S845" s="26"/>
      <c r="T845" s="8"/>
      <c r="U845" s="611"/>
      <c r="V845" s="26"/>
      <c r="W845" s="8"/>
      <c r="X845" s="611"/>
      <c r="Y845" s="26"/>
      <c r="Z845" s="8"/>
      <c r="AA845" s="611"/>
      <c r="AB845" s="26"/>
      <c r="AC845" s="8"/>
      <c r="AD845" s="26"/>
      <c r="AE845" s="26"/>
      <c r="AF845" s="26"/>
      <c r="AG845" s="26"/>
      <c r="AH845" s="26"/>
    </row>
    <row r="846" ht="12.75" customHeight="1">
      <c r="A846" s="24"/>
      <c r="B846" s="609"/>
      <c r="C846" s="24"/>
      <c r="D846" s="24"/>
      <c r="E846" s="610"/>
      <c r="F846" s="611"/>
      <c r="G846" s="26"/>
      <c r="H846" s="8"/>
      <c r="I846" s="611"/>
      <c r="J846" s="26"/>
      <c r="K846" s="8"/>
      <c r="L846" s="611"/>
      <c r="M846" s="26"/>
      <c r="N846" s="8"/>
      <c r="O846" s="611"/>
      <c r="P846" s="26"/>
      <c r="Q846" s="8"/>
      <c r="R846" s="611"/>
      <c r="S846" s="26"/>
      <c r="T846" s="8"/>
      <c r="U846" s="611"/>
      <c r="V846" s="26"/>
      <c r="W846" s="8"/>
      <c r="X846" s="611"/>
      <c r="Y846" s="26"/>
      <c r="Z846" s="8"/>
      <c r="AA846" s="611"/>
      <c r="AB846" s="26"/>
      <c r="AC846" s="8"/>
      <c r="AD846" s="26"/>
      <c r="AE846" s="26"/>
      <c r="AF846" s="26"/>
      <c r="AG846" s="26"/>
      <c r="AH846" s="26"/>
    </row>
    <row r="847" ht="12.75" customHeight="1">
      <c r="A847" s="24"/>
      <c r="B847" s="609"/>
      <c r="C847" s="24"/>
      <c r="D847" s="24"/>
      <c r="E847" s="610"/>
      <c r="F847" s="611"/>
      <c r="G847" s="26"/>
      <c r="H847" s="8"/>
      <c r="I847" s="611"/>
      <c r="J847" s="26"/>
      <c r="K847" s="8"/>
      <c r="L847" s="611"/>
      <c r="M847" s="26"/>
      <c r="N847" s="8"/>
      <c r="O847" s="611"/>
      <c r="P847" s="26"/>
      <c r="Q847" s="8"/>
      <c r="R847" s="611"/>
      <c r="S847" s="26"/>
      <c r="T847" s="8"/>
      <c r="U847" s="611"/>
      <c r="V847" s="26"/>
      <c r="W847" s="8"/>
      <c r="X847" s="611"/>
      <c r="Y847" s="26"/>
      <c r="Z847" s="8"/>
      <c r="AA847" s="611"/>
      <c r="AB847" s="26"/>
      <c r="AC847" s="8"/>
      <c r="AD847" s="26"/>
      <c r="AE847" s="26"/>
      <c r="AF847" s="26"/>
      <c r="AG847" s="26"/>
      <c r="AH847" s="26"/>
    </row>
    <row r="848" ht="12.75" customHeight="1">
      <c r="A848" s="24"/>
      <c r="B848" s="609"/>
      <c r="C848" s="24"/>
      <c r="D848" s="24"/>
      <c r="E848" s="610"/>
      <c r="F848" s="611"/>
      <c r="G848" s="26"/>
      <c r="H848" s="8"/>
      <c r="I848" s="611"/>
      <c r="J848" s="26"/>
      <c r="K848" s="8"/>
      <c r="L848" s="611"/>
      <c r="M848" s="26"/>
      <c r="N848" s="8"/>
      <c r="O848" s="611"/>
      <c r="P848" s="26"/>
      <c r="Q848" s="8"/>
      <c r="R848" s="611"/>
      <c r="S848" s="26"/>
      <c r="T848" s="8"/>
      <c r="U848" s="611"/>
      <c r="V848" s="26"/>
      <c r="W848" s="8"/>
      <c r="X848" s="611"/>
      <c r="Y848" s="26"/>
      <c r="Z848" s="8"/>
      <c r="AA848" s="611"/>
      <c r="AB848" s="26"/>
      <c r="AC848" s="8"/>
      <c r="AD848" s="26"/>
      <c r="AE848" s="26"/>
      <c r="AF848" s="26"/>
      <c r="AG848" s="26"/>
      <c r="AH848" s="26"/>
    </row>
    <row r="849" ht="12.75" customHeight="1">
      <c r="A849" s="24"/>
      <c r="B849" s="609"/>
      <c r="C849" s="24"/>
      <c r="D849" s="24"/>
      <c r="E849" s="610"/>
      <c r="F849" s="611"/>
      <c r="G849" s="26"/>
      <c r="H849" s="8"/>
      <c r="I849" s="611"/>
      <c r="J849" s="26"/>
      <c r="K849" s="8"/>
      <c r="L849" s="611"/>
      <c r="M849" s="26"/>
      <c r="N849" s="8"/>
      <c r="O849" s="611"/>
      <c r="P849" s="26"/>
      <c r="Q849" s="8"/>
      <c r="R849" s="611"/>
      <c r="S849" s="26"/>
      <c r="T849" s="8"/>
      <c r="U849" s="611"/>
      <c r="V849" s="26"/>
      <c r="W849" s="8"/>
      <c r="X849" s="611"/>
      <c r="Y849" s="26"/>
      <c r="Z849" s="8"/>
      <c r="AA849" s="611"/>
      <c r="AB849" s="26"/>
      <c r="AC849" s="8"/>
      <c r="AD849" s="26"/>
      <c r="AE849" s="26"/>
      <c r="AF849" s="26"/>
      <c r="AG849" s="26"/>
      <c r="AH849" s="26"/>
    </row>
    <row r="850" ht="12.75" customHeight="1">
      <c r="A850" s="24"/>
      <c r="B850" s="609"/>
      <c r="C850" s="24"/>
      <c r="D850" s="24"/>
      <c r="E850" s="610"/>
      <c r="F850" s="611"/>
      <c r="G850" s="26"/>
      <c r="H850" s="8"/>
      <c r="I850" s="611"/>
      <c r="J850" s="26"/>
      <c r="K850" s="8"/>
      <c r="L850" s="611"/>
      <c r="M850" s="26"/>
      <c r="N850" s="8"/>
      <c r="O850" s="611"/>
      <c r="P850" s="26"/>
      <c r="Q850" s="8"/>
      <c r="R850" s="611"/>
      <c r="S850" s="26"/>
      <c r="T850" s="8"/>
      <c r="U850" s="611"/>
      <c r="V850" s="26"/>
      <c r="W850" s="8"/>
      <c r="X850" s="611"/>
      <c r="Y850" s="26"/>
      <c r="Z850" s="8"/>
      <c r="AA850" s="611"/>
      <c r="AB850" s="26"/>
      <c r="AC850" s="8"/>
      <c r="AD850" s="26"/>
      <c r="AE850" s="26"/>
      <c r="AF850" s="26"/>
      <c r="AG850" s="26"/>
      <c r="AH850" s="26"/>
    </row>
    <row r="851" ht="12.75" customHeight="1">
      <c r="A851" s="24"/>
      <c r="B851" s="609"/>
      <c r="C851" s="24"/>
      <c r="D851" s="24"/>
      <c r="E851" s="610"/>
      <c r="F851" s="611"/>
      <c r="G851" s="26"/>
      <c r="H851" s="8"/>
      <c r="I851" s="611"/>
      <c r="J851" s="26"/>
      <c r="K851" s="8"/>
      <c r="L851" s="611"/>
      <c r="M851" s="26"/>
      <c r="N851" s="8"/>
      <c r="O851" s="611"/>
      <c r="P851" s="26"/>
      <c r="Q851" s="8"/>
      <c r="R851" s="611"/>
      <c r="S851" s="26"/>
      <c r="T851" s="8"/>
      <c r="U851" s="611"/>
      <c r="V851" s="26"/>
      <c r="W851" s="8"/>
      <c r="X851" s="611"/>
      <c r="Y851" s="26"/>
      <c r="Z851" s="8"/>
      <c r="AA851" s="611"/>
      <c r="AB851" s="26"/>
      <c r="AC851" s="8"/>
      <c r="AD851" s="26"/>
      <c r="AE851" s="26"/>
      <c r="AF851" s="26"/>
      <c r="AG851" s="26"/>
      <c r="AH851" s="26"/>
    </row>
    <row r="852" ht="12.75" customHeight="1">
      <c r="A852" s="24"/>
      <c r="B852" s="609"/>
      <c r="C852" s="24"/>
      <c r="D852" s="24"/>
      <c r="E852" s="610"/>
      <c r="F852" s="611"/>
      <c r="G852" s="26"/>
      <c r="H852" s="8"/>
      <c r="I852" s="611"/>
      <c r="J852" s="26"/>
      <c r="K852" s="8"/>
      <c r="L852" s="611"/>
      <c r="M852" s="26"/>
      <c r="N852" s="8"/>
      <c r="O852" s="611"/>
      <c r="P852" s="26"/>
      <c r="Q852" s="8"/>
      <c r="R852" s="611"/>
      <c r="S852" s="26"/>
      <c r="T852" s="8"/>
      <c r="U852" s="611"/>
      <c r="V852" s="26"/>
      <c r="W852" s="8"/>
      <c r="X852" s="611"/>
      <c r="Y852" s="26"/>
      <c r="Z852" s="8"/>
      <c r="AA852" s="611"/>
      <c r="AB852" s="26"/>
      <c r="AC852" s="8"/>
      <c r="AD852" s="26"/>
      <c r="AE852" s="26"/>
      <c r="AF852" s="26"/>
      <c r="AG852" s="26"/>
      <c r="AH852" s="26"/>
    </row>
    <row r="853" ht="12.75" customHeight="1">
      <c r="A853" s="24"/>
      <c r="B853" s="609"/>
      <c r="C853" s="24"/>
      <c r="D853" s="24"/>
      <c r="E853" s="610"/>
      <c r="F853" s="611"/>
      <c r="G853" s="26"/>
      <c r="H853" s="8"/>
      <c r="I853" s="611"/>
      <c r="J853" s="26"/>
      <c r="K853" s="8"/>
      <c r="L853" s="611"/>
      <c r="M853" s="26"/>
      <c r="N853" s="8"/>
      <c r="O853" s="611"/>
      <c r="P853" s="26"/>
      <c r="Q853" s="8"/>
      <c r="R853" s="611"/>
      <c r="S853" s="26"/>
      <c r="T853" s="8"/>
      <c r="U853" s="611"/>
      <c r="V853" s="26"/>
      <c r="W853" s="8"/>
      <c r="X853" s="611"/>
      <c r="Y853" s="26"/>
      <c r="Z853" s="8"/>
      <c r="AA853" s="611"/>
      <c r="AB853" s="26"/>
      <c r="AC853" s="8"/>
      <c r="AD853" s="26"/>
      <c r="AE853" s="26"/>
      <c r="AF853" s="26"/>
      <c r="AG853" s="26"/>
      <c r="AH853" s="26"/>
    </row>
    <row r="854" ht="12.75" customHeight="1">
      <c r="A854" s="24"/>
      <c r="B854" s="609"/>
      <c r="C854" s="24"/>
      <c r="D854" s="24"/>
      <c r="E854" s="610"/>
      <c r="F854" s="611"/>
      <c r="G854" s="26"/>
      <c r="H854" s="8"/>
      <c r="I854" s="611"/>
      <c r="J854" s="26"/>
      <c r="K854" s="8"/>
      <c r="L854" s="611"/>
      <c r="M854" s="26"/>
      <c r="N854" s="8"/>
      <c r="O854" s="611"/>
      <c r="P854" s="26"/>
      <c r="Q854" s="8"/>
      <c r="R854" s="611"/>
      <c r="S854" s="26"/>
      <c r="T854" s="8"/>
      <c r="U854" s="611"/>
      <c r="V854" s="26"/>
      <c r="W854" s="8"/>
      <c r="X854" s="611"/>
      <c r="Y854" s="26"/>
      <c r="Z854" s="8"/>
      <c r="AA854" s="611"/>
      <c r="AB854" s="26"/>
      <c r="AC854" s="8"/>
      <c r="AD854" s="26"/>
      <c r="AE854" s="26"/>
      <c r="AF854" s="26"/>
      <c r="AG854" s="26"/>
      <c r="AH854" s="26"/>
    </row>
    <row r="855" ht="12.75" customHeight="1">
      <c r="A855" s="24"/>
      <c r="B855" s="609"/>
      <c r="C855" s="24"/>
      <c r="D855" s="24"/>
      <c r="E855" s="610"/>
      <c r="F855" s="611"/>
      <c r="G855" s="26"/>
      <c r="H855" s="8"/>
      <c r="I855" s="611"/>
      <c r="J855" s="26"/>
      <c r="K855" s="8"/>
      <c r="L855" s="611"/>
      <c r="M855" s="26"/>
      <c r="N855" s="8"/>
      <c r="O855" s="611"/>
      <c r="P855" s="26"/>
      <c r="Q855" s="8"/>
      <c r="R855" s="611"/>
      <c r="S855" s="26"/>
      <c r="T855" s="8"/>
      <c r="U855" s="611"/>
      <c r="V855" s="26"/>
      <c r="W855" s="8"/>
      <c r="X855" s="611"/>
      <c r="Y855" s="26"/>
      <c r="Z855" s="8"/>
      <c r="AA855" s="611"/>
      <c r="AB855" s="26"/>
      <c r="AC855" s="8"/>
      <c r="AD855" s="26"/>
      <c r="AE855" s="26"/>
      <c r="AF855" s="26"/>
      <c r="AG855" s="26"/>
      <c r="AH855" s="26"/>
    </row>
    <row r="856" ht="12.75" customHeight="1">
      <c r="A856" s="24"/>
      <c r="B856" s="609"/>
      <c r="C856" s="24"/>
      <c r="D856" s="24"/>
      <c r="E856" s="610"/>
      <c r="F856" s="611"/>
      <c r="G856" s="26"/>
      <c r="H856" s="8"/>
      <c r="I856" s="611"/>
      <c r="J856" s="26"/>
      <c r="K856" s="8"/>
      <c r="L856" s="611"/>
      <c r="M856" s="26"/>
      <c r="N856" s="8"/>
      <c r="O856" s="611"/>
      <c r="P856" s="26"/>
      <c r="Q856" s="8"/>
      <c r="R856" s="611"/>
      <c r="S856" s="26"/>
      <c r="T856" s="8"/>
      <c r="U856" s="611"/>
      <c r="V856" s="26"/>
      <c r="W856" s="8"/>
      <c r="X856" s="611"/>
      <c r="Y856" s="26"/>
      <c r="Z856" s="8"/>
      <c r="AA856" s="611"/>
      <c r="AB856" s="26"/>
      <c r="AC856" s="8"/>
      <c r="AD856" s="26"/>
      <c r="AE856" s="26"/>
      <c r="AF856" s="26"/>
      <c r="AG856" s="26"/>
      <c r="AH856" s="26"/>
    </row>
    <row r="857" ht="12.75" customHeight="1">
      <c r="A857" s="24"/>
      <c r="B857" s="609"/>
      <c r="C857" s="24"/>
      <c r="D857" s="24"/>
      <c r="E857" s="610"/>
      <c r="F857" s="611"/>
      <c r="G857" s="26"/>
      <c r="H857" s="8"/>
      <c r="I857" s="611"/>
      <c r="J857" s="26"/>
      <c r="K857" s="8"/>
      <c r="L857" s="611"/>
      <c r="M857" s="26"/>
      <c r="N857" s="8"/>
      <c r="O857" s="611"/>
      <c r="P857" s="26"/>
      <c r="Q857" s="8"/>
      <c r="R857" s="611"/>
      <c r="S857" s="26"/>
      <c r="T857" s="8"/>
      <c r="U857" s="611"/>
      <c r="V857" s="26"/>
      <c r="W857" s="8"/>
      <c r="X857" s="611"/>
      <c r="Y857" s="26"/>
      <c r="Z857" s="8"/>
      <c r="AA857" s="611"/>
      <c r="AB857" s="26"/>
      <c r="AC857" s="8"/>
      <c r="AD857" s="26"/>
      <c r="AE857" s="26"/>
      <c r="AF857" s="26"/>
      <c r="AG857" s="26"/>
      <c r="AH857" s="26"/>
    </row>
    <row r="858" ht="12.75" customHeight="1">
      <c r="A858" s="24"/>
      <c r="B858" s="609"/>
      <c r="C858" s="24"/>
      <c r="D858" s="24"/>
      <c r="E858" s="610"/>
      <c r="F858" s="611"/>
      <c r="G858" s="26"/>
      <c r="H858" s="8"/>
      <c r="I858" s="611"/>
      <c r="J858" s="26"/>
      <c r="K858" s="8"/>
      <c r="L858" s="611"/>
      <c r="M858" s="26"/>
      <c r="N858" s="8"/>
      <c r="O858" s="611"/>
      <c r="P858" s="26"/>
      <c r="Q858" s="8"/>
      <c r="R858" s="611"/>
      <c r="S858" s="26"/>
      <c r="T858" s="8"/>
      <c r="U858" s="611"/>
      <c r="V858" s="26"/>
      <c r="W858" s="8"/>
      <c r="X858" s="611"/>
      <c r="Y858" s="26"/>
      <c r="Z858" s="8"/>
      <c r="AA858" s="611"/>
      <c r="AB858" s="26"/>
      <c r="AC858" s="8"/>
      <c r="AD858" s="26"/>
      <c r="AE858" s="26"/>
      <c r="AF858" s="26"/>
      <c r="AG858" s="26"/>
      <c r="AH858" s="26"/>
    </row>
    <row r="859" ht="12.75" customHeight="1">
      <c r="A859" s="24"/>
      <c r="B859" s="609"/>
      <c r="C859" s="24"/>
      <c r="D859" s="24"/>
      <c r="E859" s="610"/>
      <c r="F859" s="611"/>
      <c r="G859" s="26"/>
      <c r="H859" s="8"/>
      <c r="I859" s="611"/>
      <c r="J859" s="26"/>
      <c r="K859" s="8"/>
      <c r="L859" s="611"/>
      <c r="M859" s="26"/>
      <c r="N859" s="8"/>
      <c r="O859" s="611"/>
      <c r="P859" s="26"/>
      <c r="Q859" s="8"/>
      <c r="R859" s="611"/>
      <c r="S859" s="26"/>
      <c r="T859" s="8"/>
      <c r="U859" s="611"/>
      <c r="V859" s="26"/>
      <c r="W859" s="8"/>
      <c r="X859" s="611"/>
      <c r="Y859" s="26"/>
      <c r="Z859" s="8"/>
      <c r="AA859" s="611"/>
      <c r="AB859" s="26"/>
      <c r="AC859" s="8"/>
      <c r="AD859" s="26"/>
      <c r="AE859" s="26"/>
      <c r="AF859" s="26"/>
      <c r="AG859" s="26"/>
      <c r="AH859" s="26"/>
    </row>
    <row r="860" ht="12.75" customHeight="1">
      <c r="A860" s="24"/>
      <c r="B860" s="609"/>
      <c r="C860" s="24"/>
      <c r="D860" s="24"/>
      <c r="E860" s="610"/>
      <c r="F860" s="611"/>
      <c r="G860" s="26"/>
      <c r="H860" s="8"/>
      <c r="I860" s="611"/>
      <c r="J860" s="26"/>
      <c r="K860" s="8"/>
      <c r="L860" s="611"/>
      <c r="M860" s="26"/>
      <c r="N860" s="8"/>
      <c r="O860" s="611"/>
      <c r="P860" s="26"/>
      <c r="Q860" s="8"/>
      <c r="R860" s="611"/>
      <c r="S860" s="26"/>
      <c r="T860" s="8"/>
      <c r="U860" s="611"/>
      <c r="V860" s="26"/>
      <c r="W860" s="8"/>
      <c r="X860" s="611"/>
      <c r="Y860" s="26"/>
      <c r="Z860" s="8"/>
      <c r="AA860" s="611"/>
      <c r="AB860" s="26"/>
      <c r="AC860" s="8"/>
      <c r="AD860" s="26"/>
      <c r="AE860" s="26"/>
      <c r="AF860" s="26"/>
      <c r="AG860" s="26"/>
      <c r="AH860" s="26"/>
    </row>
    <row r="861" ht="12.75" customHeight="1">
      <c r="A861" s="24"/>
      <c r="B861" s="609"/>
      <c r="C861" s="24"/>
      <c r="D861" s="24"/>
      <c r="E861" s="610"/>
      <c r="F861" s="611"/>
      <c r="G861" s="26"/>
      <c r="H861" s="8"/>
      <c r="I861" s="611"/>
      <c r="J861" s="26"/>
      <c r="K861" s="8"/>
      <c r="L861" s="611"/>
      <c r="M861" s="26"/>
      <c r="N861" s="8"/>
      <c r="O861" s="611"/>
      <c r="P861" s="26"/>
      <c r="Q861" s="8"/>
      <c r="R861" s="611"/>
      <c r="S861" s="26"/>
      <c r="T861" s="8"/>
      <c r="U861" s="611"/>
      <c r="V861" s="26"/>
      <c r="W861" s="8"/>
      <c r="X861" s="611"/>
      <c r="Y861" s="26"/>
      <c r="Z861" s="8"/>
      <c r="AA861" s="611"/>
      <c r="AB861" s="26"/>
      <c r="AC861" s="8"/>
      <c r="AD861" s="26"/>
      <c r="AE861" s="26"/>
      <c r="AF861" s="26"/>
      <c r="AG861" s="26"/>
      <c r="AH861" s="26"/>
    </row>
    <row r="862" ht="12.75" customHeight="1">
      <c r="A862" s="24"/>
      <c r="B862" s="609"/>
      <c r="C862" s="24"/>
      <c r="D862" s="24"/>
      <c r="E862" s="610"/>
      <c r="F862" s="611"/>
      <c r="G862" s="26"/>
      <c r="H862" s="8"/>
      <c r="I862" s="611"/>
      <c r="J862" s="26"/>
      <c r="K862" s="8"/>
      <c r="L862" s="611"/>
      <c r="M862" s="26"/>
      <c r="N862" s="8"/>
      <c r="O862" s="611"/>
      <c r="P862" s="26"/>
      <c r="Q862" s="8"/>
      <c r="R862" s="611"/>
      <c r="S862" s="26"/>
      <c r="T862" s="8"/>
      <c r="U862" s="611"/>
      <c r="V862" s="26"/>
      <c r="W862" s="8"/>
      <c r="X862" s="611"/>
      <c r="Y862" s="26"/>
      <c r="Z862" s="8"/>
      <c r="AA862" s="611"/>
      <c r="AB862" s="26"/>
      <c r="AC862" s="8"/>
      <c r="AD862" s="26"/>
      <c r="AE862" s="26"/>
      <c r="AF862" s="26"/>
      <c r="AG862" s="26"/>
      <c r="AH862" s="26"/>
    </row>
    <row r="863" ht="12.75" customHeight="1">
      <c r="A863" s="24"/>
      <c r="B863" s="609"/>
      <c r="C863" s="24"/>
      <c r="D863" s="24"/>
      <c r="E863" s="610"/>
      <c r="F863" s="611"/>
      <c r="G863" s="26"/>
      <c r="H863" s="8"/>
      <c r="I863" s="611"/>
      <c r="J863" s="26"/>
      <c r="K863" s="8"/>
      <c r="L863" s="611"/>
      <c r="M863" s="26"/>
      <c r="N863" s="8"/>
      <c r="O863" s="611"/>
      <c r="P863" s="26"/>
      <c r="Q863" s="8"/>
      <c r="R863" s="611"/>
      <c r="S863" s="26"/>
      <c r="T863" s="8"/>
      <c r="U863" s="611"/>
      <c r="V863" s="26"/>
      <c r="W863" s="8"/>
      <c r="X863" s="611"/>
      <c r="Y863" s="26"/>
      <c r="Z863" s="8"/>
      <c r="AA863" s="611"/>
      <c r="AB863" s="26"/>
      <c r="AC863" s="8"/>
      <c r="AD863" s="26"/>
      <c r="AE863" s="26"/>
      <c r="AF863" s="26"/>
      <c r="AG863" s="26"/>
      <c r="AH863" s="26"/>
    </row>
    <row r="864" ht="12.75" customHeight="1">
      <c r="A864" s="24"/>
      <c r="B864" s="609"/>
      <c r="C864" s="24"/>
      <c r="D864" s="24"/>
      <c r="E864" s="610"/>
      <c r="F864" s="611"/>
      <c r="G864" s="26"/>
      <c r="H864" s="8"/>
      <c r="I864" s="611"/>
      <c r="J864" s="26"/>
      <c r="K864" s="8"/>
      <c r="L864" s="611"/>
      <c r="M864" s="26"/>
      <c r="N864" s="8"/>
      <c r="O864" s="611"/>
      <c r="P864" s="26"/>
      <c r="Q864" s="8"/>
      <c r="R864" s="611"/>
      <c r="S864" s="26"/>
      <c r="T864" s="8"/>
      <c r="U864" s="611"/>
      <c r="V864" s="26"/>
      <c r="W864" s="8"/>
      <c r="X864" s="611"/>
      <c r="Y864" s="26"/>
      <c r="Z864" s="8"/>
      <c r="AA864" s="611"/>
      <c r="AB864" s="26"/>
      <c r="AC864" s="8"/>
      <c r="AD864" s="26"/>
      <c r="AE864" s="26"/>
      <c r="AF864" s="26"/>
      <c r="AG864" s="26"/>
      <c r="AH864" s="26"/>
    </row>
    <row r="865" ht="12.75" customHeight="1">
      <c r="A865" s="24"/>
      <c r="B865" s="609"/>
      <c r="C865" s="24"/>
      <c r="D865" s="24"/>
      <c r="E865" s="610"/>
      <c r="F865" s="611"/>
      <c r="G865" s="26"/>
      <c r="H865" s="8"/>
      <c r="I865" s="611"/>
      <c r="J865" s="26"/>
      <c r="K865" s="8"/>
      <c r="L865" s="611"/>
      <c r="M865" s="26"/>
      <c r="N865" s="8"/>
      <c r="O865" s="611"/>
      <c r="P865" s="26"/>
      <c r="Q865" s="8"/>
      <c r="R865" s="611"/>
      <c r="S865" s="26"/>
      <c r="T865" s="8"/>
      <c r="U865" s="611"/>
      <c r="V865" s="26"/>
      <c r="W865" s="8"/>
      <c r="X865" s="611"/>
      <c r="Y865" s="26"/>
      <c r="Z865" s="8"/>
      <c r="AA865" s="611"/>
      <c r="AB865" s="26"/>
      <c r="AC865" s="8"/>
      <c r="AD865" s="26"/>
      <c r="AE865" s="26"/>
      <c r="AF865" s="26"/>
      <c r="AG865" s="26"/>
      <c r="AH865" s="26"/>
    </row>
    <row r="866" ht="12.75" customHeight="1">
      <c r="A866" s="24"/>
      <c r="B866" s="609"/>
      <c r="C866" s="24"/>
      <c r="D866" s="24"/>
      <c r="E866" s="610"/>
      <c r="F866" s="611"/>
      <c r="G866" s="26"/>
      <c r="H866" s="8"/>
      <c r="I866" s="611"/>
      <c r="J866" s="26"/>
      <c r="K866" s="8"/>
      <c r="L866" s="611"/>
      <c r="M866" s="26"/>
      <c r="N866" s="8"/>
      <c r="O866" s="611"/>
      <c r="P866" s="26"/>
      <c r="Q866" s="8"/>
      <c r="R866" s="611"/>
      <c r="S866" s="26"/>
      <c r="T866" s="8"/>
      <c r="U866" s="611"/>
      <c r="V866" s="26"/>
      <c r="W866" s="8"/>
      <c r="X866" s="611"/>
      <c r="Y866" s="26"/>
      <c r="Z866" s="8"/>
      <c r="AA866" s="611"/>
      <c r="AB866" s="26"/>
      <c r="AC866" s="8"/>
      <c r="AD866" s="26"/>
      <c r="AE866" s="26"/>
      <c r="AF866" s="26"/>
      <c r="AG866" s="26"/>
      <c r="AH866" s="26"/>
    </row>
    <row r="867" ht="12.75" customHeight="1">
      <c r="A867" s="24"/>
      <c r="B867" s="609"/>
      <c r="C867" s="24"/>
      <c r="D867" s="24"/>
      <c r="E867" s="610"/>
      <c r="F867" s="611"/>
      <c r="G867" s="26"/>
      <c r="H867" s="8"/>
      <c r="I867" s="611"/>
      <c r="J867" s="26"/>
      <c r="K867" s="8"/>
      <c r="L867" s="611"/>
      <c r="M867" s="26"/>
      <c r="N867" s="8"/>
      <c r="O867" s="611"/>
      <c r="P867" s="26"/>
      <c r="Q867" s="8"/>
      <c r="R867" s="611"/>
      <c r="S867" s="26"/>
      <c r="T867" s="8"/>
      <c r="U867" s="611"/>
      <c r="V867" s="26"/>
      <c r="W867" s="8"/>
      <c r="X867" s="611"/>
      <c r="Y867" s="26"/>
      <c r="Z867" s="8"/>
      <c r="AA867" s="611"/>
      <c r="AB867" s="26"/>
      <c r="AC867" s="8"/>
      <c r="AD867" s="26"/>
      <c r="AE867" s="26"/>
      <c r="AF867" s="26"/>
      <c r="AG867" s="26"/>
      <c r="AH867" s="26"/>
    </row>
    <row r="868" ht="12.75" customHeight="1">
      <c r="A868" s="24"/>
      <c r="B868" s="609"/>
      <c r="C868" s="24"/>
      <c r="D868" s="24"/>
      <c r="E868" s="610"/>
      <c r="F868" s="611"/>
      <c r="G868" s="26"/>
      <c r="H868" s="8"/>
      <c r="I868" s="611"/>
      <c r="J868" s="26"/>
      <c r="K868" s="8"/>
      <c r="L868" s="611"/>
      <c r="M868" s="26"/>
      <c r="N868" s="8"/>
      <c r="O868" s="611"/>
      <c r="P868" s="26"/>
      <c r="Q868" s="8"/>
      <c r="R868" s="611"/>
      <c r="S868" s="26"/>
      <c r="T868" s="8"/>
      <c r="U868" s="611"/>
      <c r="V868" s="26"/>
      <c r="W868" s="8"/>
      <c r="X868" s="611"/>
      <c r="Y868" s="26"/>
      <c r="Z868" s="8"/>
      <c r="AA868" s="611"/>
      <c r="AB868" s="26"/>
      <c r="AC868" s="8"/>
      <c r="AD868" s="26"/>
      <c r="AE868" s="26"/>
      <c r="AF868" s="26"/>
      <c r="AG868" s="26"/>
      <c r="AH868" s="26"/>
    </row>
    <row r="869" ht="12.75" customHeight="1">
      <c r="A869" s="24"/>
      <c r="B869" s="609"/>
      <c r="C869" s="24"/>
      <c r="D869" s="24"/>
      <c r="E869" s="610"/>
      <c r="F869" s="611"/>
      <c r="G869" s="26"/>
      <c r="H869" s="8"/>
      <c r="I869" s="611"/>
      <c r="J869" s="26"/>
      <c r="K869" s="8"/>
      <c r="L869" s="611"/>
      <c r="M869" s="26"/>
      <c r="N869" s="8"/>
      <c r="O869" s="611"/>
      <c r="P869" s="26"/>
      <c r="Q869" s="8"/>
      <c r="R869" s="611"/>
      <c r="S869" s="26"/>
      <c r="T869" s="8"/>
      <c r="U869" s="611"/>
      <c r="V869" s="26"/>
      <c r="W869" s="8"/>
      <c r="X869" s="611"/>
      <c r="Y869" s="26"/>
      <c r="Z869" s="8"/>
      <c r="AA869" s="611"/>
      <c r="AB869" s="26"/>
      <c r="AC869" s="8"/>
      <c r="AD869" s="26"/>
      <c r="AE869" s="26"/>
      <c r="AF869" s="26"/>
      <c r="AG869" s="26"/>
      <c r="AH869" s="26"/>
    </row>
    <row r="870" ht="12.75" customHeight="1">
      <c r="A870" s="24"/>
      <c r="B870" s="609"/>
      <c r="C870" s="24"/>
      <c r="D870" s="24"/>
      <c r="E870" s="610"/>
      <c r="F870" s="611"/>
      <c r="G870" s="26"/>
      <c r="H870" s="8"/>
      <c r="I870" s="611"/>
      <c r="J870" s="26"/>
      <c r="K870" s="8"/>
      <c r="L870" s="611"/>
      <c r="M870" s="26"/>
      <c r="N870" s="8"/>
      <c r="O870" s="611"/>
      <c r="P870" s="26"/>
      <c r="Q870" s="8"/>
      <c r="R870" s="611"/>
      <c r="S870" s="26"/>
      <c r="T870" s="8"/>
      <c r="U870" s="611"/>
      <c r="V870" s="26"/>
      <c r="W870" s="8"/>
      <c r="X870" s="611"/>
      <c r="Y870" s="26"/>
      <c r="Z870" s="8"/>
      <c r="AA870" s="611"/>
      <c r="AB870" s="26"/>
      <c r="AC870" s="8"/>
      <c r="AD870" s="26"/>
      <c r="AE870" s="26"/>
      <c r="AF870" s="26"/>
      <c r="AG870" s="26"/>
      <c r="AH870" s="26"/>
    </row>
    <row r="871" ht="12.75" customHeight="1">
      <c r="A871" s="24"/>
      <c r="B871" s="609"/>
      <c r="C871" s="24"/>
      <c r="D871" s="24"/>
      <c r="E871" s="610"/>
      <c r="F871" s="611"/>
      <c r="G871" s="26"/>
      <c r="H871" s="8"/>
      <c r="I871" s="611"/>
      <c r="J871" s="26"/>
      <c r="K871" s="8"/>
      <c r="L871" s="611"/>
      <c r="M871" s="26"/>
      <c r="N871" s="8"/>
      <c r="O871" s="611"/>
      <c r="P871" s="26"/>
      <c r="Q871" s="8"/>
      <c r="R871" s="611"/>
      <c r="S871" s="26"/>
      <c r="T871" s="8"/>
      <c r="U871" s="611"/>
      <c r="V871" s="26"/>
      <c r="W871" s="8"/>
      <c r="X871" s="611"/>
      <c r="Y871" s="26"/>
      <c r="Z871" s="8"/>
      <c r="AA871" s="611"/>
      <c r="AB871" s="26"/>
      <c r="AC871" s="8"/>
      <c r="AD871" s="26"/>
      <c r="AE871" s="26"/>
      <c r="AF871" s="26"/>
      <c r="AG871" s="26"/>
      <c r="AH871" s="26"/>
    </row>
    <row r="872" ht="12.75" customHeight="1">
      <c r="A872" s="24"/>
      <c r="B872" s="609"/>
      <c r="C872" s="24"/>
      <c r="D872" s="24"/>
      <c r="E872" s="610"/>
      <c r="F872" s="611"/>
      <c r="G872" s="26"/>
      <c r="H872" s="8"/>
      <c r="I872" s="611"/>
      <c r="J872" s="26"/>
      <c r="K872" s="8"/>
      <c r="L872" s="611"/>
      <c r="M872" s="26"/>
      <c r="N872" s="8"/>
      <c r="O872" s="611"/>
      <c r="P872" s="26"/>
      <c r="Q872" s="8"/>
      <c r="R872" s="611"/>
      <c r="S872" s="26"/>
      <c r="T872" s="8"/>
      <c r="U872" s="611"/>
      <c r="V872" s="26"/>
      <c r="W872" s="8"/>
      <c r="X872" s="611"/>
      <c r="Y872" s="26"/>
      <c r="Z872" s="8"/>
      <c r="AA872" s="611"/>
      <c r="AB872" s="26"/>
      <c r="AC872" s="8"/>
      <c r="AD872" s="26"/>
      <c r="AE872" s="26"/>
      <c r="AF872" s="26"/>
      <c r="AG872" s="26"/>
      <c r="AH872" s="26"/>
    </row>
    <row r="873" ht="12.75" customHeight="1">
      <c r="A873" s="24"/>
      <c r="B873" s="609"/>
      <c r="C873" s="24"/>
      <c r="D873" s="24"/>
      <c r="E873" s="610"/>
      <c r="F873" s="611"/>
      <c r="G873" s="26"/>
      <c r="H873" s="8"/>
      <c r="I873" s="611"/>
      <c r="J873" s="26"/>
      <c r="K873" s="8"/>
      <c r="L873" s="611"/>
      <c r="M873" s="26"/>
      <c r="N873" s="8"/>
      <c r="O873" s="611"/>
      <c r="P873" s="26"/>
      <c r="Q873" s="8"/>
      <c r="R873" s="611"/>
      <c r="S873" s="26"/>
      <c r="T873" s="8"/>
      <c r="U873" s="611"/>
      <c r="V873" s="26"/>
      <c r="W873" s="8"/>
      <c r="X873" s="611"/>
      <c r="Y873" s="26"/>
      <c r="Z873" s="8"/>
      <c r="AA873" s="611"/>
      <c r="AB873" s="26"/>
      <c r="AC873" s="8"/>
      <c r="AD873" s="26"/>
      <c r="AE873" s="26"/>
      <c r="AF873" s="26"/>
      <c r="AG873" s="26"/>
      <c r="AH873" s="26"/>
    </row>
    <row r="874" ht="12.75" customHeight="1">
      <c r="A874" s="24"/>
      <c r="B874" s="609"/>
      <c r="C874" s="24"/>
      <c r="D874" s="24"/>
      <c r="E874" s="610"/>
      <c r="F874" s="611"/>
      <c r="G874" s="26"/>
      <c r="H874" s="8"/>
      <c r="I874" s="611"/>
      <c r="J874" s="26"/>
      <c r="K874" s="8"/>
      <c r="L874" s="611"/>
      <c r="M874" s="26"/>
      <c r="N874" s="8"/>
      <c r="O874" s="611"/>
      <c r="P874" s="26"/>
      <c r="Q874" s="8"/>
      <c r="R874" s="611"/>
      <c r="S874" s="26"/>
      <c r="T874" s="8"/>
      <c r="U874" s="611"/>
      <c r="V874" s="26"/>
      <c r="W874" s="8"/>
      <c r="X874" s="611"/>
      <c r="Y874" s="26"/>
      <c r="Z874" s="8"/>
      <c r="AA874" s="611"/>
      <c r="AB874" s="26"/>
      <c r="AC874" s="8"/>
      <c r="AD874" s="26"/>
      <c r="AE874" s="26"/>
      <c r="AF874" s="26"/>
      <c r="AG874" s="26"/>
      <c r="AH874" s="26"/>
    </row>
    <row r="875" ht="12.75" customHeight="1">
      <c r="A875" s="24"/>
      <c r="B875" s="609"/>
      <c r="C875" s="24"/>
      <c r="D875" s="24"/>
      <c r="E875" s="610"/>
      <c r="F875" s="611"/>
      <c r="G875" s="26"/>
      <c r="H875" s="8"/>
      <c r="I875" s="611"/>
      <c r="J875" s="26"/>
      <c r="K875" s="8"/>
      <c r="L875" s="611"/>
      <c r="M875" s="26"/>
      <c r="N875" s="8"/>
      <c r="O875" s="611"/>
      <c r="P875" s="26"/>
      <c r="Q875" s="8"/>
      <c r="R875" s="611"/>
      <c r="S875" s="26"/>
      <c r="T875" s="8"/>
      <c r="U875" s="611"/>
      <c r="V875" s="26"/>
      <c r="W875" s="8"/>
      <c r="X875" s="611"/>
      <c r="Y875" s="26"/>
      <c r="Z875" s="8"/>
      <c r="AA875" s="611"/>
      <c r="AB875" s="26"/>
      <c r="AC875" s="8"/>
      <c r="AD875" s="26"/>
      <c r="AE875" s="26"/>
      <c r="AF875" s="26"/>
      <c r="AG875" s="26"/>
      <c r="AH875" s="26"/>
    </row>
    <row r="876" ht="12.75" customHeight="1">
      <c r="A876" s="24"/>
      <c r="B876" s="609"/>
      <c r="C876" s="24"/>
      <c r="D876" s="24"/>
      <c r="E876" s="610"/>
      <c r="F876" s="611"/>
      <c r="G876" s="26"/>
      <c r="H876" s="8"/>
      <c r="I876" s="611"/>
      <c r="J876" s="26"/>
      <c r="K876" s="8"/>
      <c r="L876" s="611"/>
      <c r="M876" s="26"/>
      <c r="N876" s="8"/>
      <c r="O876" s="611"/>
      <c r="P876" s="26"/>
      <c r="Q876" s="8"/>
      <c r="R876" s="611"/>
      <c r="S876" s="26"/>
      <c r="T876" s="8"/>
      <c r="U876" s="611"/>
      <c r="V876" s="26"/>
      <c r="W876" s="8"/>
      <c r="X876" s="611"/>
      <c r="Y876" s="26"/>
      <c r="Z876" s="8"/>
      <c r="AA876" s="611"/>
      <c r="AB876" s="26"/>
      <c r="AC876" s="8"/>
      <c r="AD876" s="26"/>
      <c r="AE876" s="26"/>
      <c r="AF876" s="26"/>
      <c r="AG876" s="26"/>
      <c r="AH876" s="26"/>
    </row>
    <row r="877" ht="12.75" customHeight="1">
      <c r="A877" s="24"/>
      <c r="B877" s="609"/>
      <c r="C877" s="24"/>
      <c r="D877" s="24"/>
      <c r="E877" s="610"/>
      <c r="F877" s="611"/>
      <c r="G877" s="26"/>
      <c r="H877" s="8"/>
      <c r="I877" s="611"/>
      <c r="J877" s="26"/>
      <c r="K877" s="8"/>
      <c r="L877" s="611"/>
      <c r="M877" s="26"/>
      <c r="N877" s="8"/>
      <c r="O877" s="611"/>
      <c r="P877" s="26"/>
      <c r="Q877" s="8"/>
      <c r="R877" s="611"/>
      <c r="S877" s="26"/>
      <c r="T877" s="8"/>
      <c r="U877" s="611"/>
      <c r="V877" s="26"/>
      <c r="W877" s="8"/>
      <c r="X877" s="611"/>
      <c r="Y877" s="26"/>
      <c r="Z877" s="8"/>
      <c r="AA877" s="611"/>
      <c r="AB877" s="26"/>
      <c r="AC877" s="8"/>
      <c r="AD877" s="26"/>
      <c r="AE877" s="26"/>
      <c r="AF877" s="26"/>
      <c r="AG877" s="26"/>
      <c r="AH877" s="26"/>
    </row>
    <row r="878" ht="12.75" customHeight="1">
      <c r="A878" s="24"/>
      <c r="B878" s="609"/>
      <c r="C878" s="24"/>
      <c r="D878" s="24"/>
      <c r="E878" s="610"/>
      <c r="F878" s="611"/>
      <c r="G878" s="26"/>
      <c r="H878" s="8"/>
      <c r="I878" s="611"/>
      <c r="J878" s="26"/>
      <c r="K878" s="8"/>
      <c r="L878" s="611"/>
      <c r="M878" s="26"/>
      <c r="N878" s="8"/>
      <c r="O878" s="611"/>
      <c r="P878" s="26"/>
      <c r="Q878" s="8"/>
      <c r="R878" s="611"/>
      <c r="S878" s="26"/>
      <c r="T878" s="8"/>
      <c r="U878" s="611"/>
      <c r="V878" s="26"/>
      <c r="W878" s="8"/>
      <c r="X878" s="611"/>
      <c r="Y878" s="26"/>
      <c r="Z878" s="8"/>
      <c r="AA878" s="611"/>
      <c r="AB878" s="26"/>
      <c r="AC878" s="8"/>
      <c r="AD878" s="26"/>
      <c r="AE878" s="26"/>
      <c r="AF878" s="26"/>
      <c r="AG878" s="26"/>
      <c r="AH878" s="26"/>
    </row>
    <row r="879" ht="12.75" customHeight="1">
      <c r="A879" s="24"/>
      <c r="B879" s="609"/>
      <c r="C879" s="24"/>
      <c r="D879" s="24"/>
      <c r="E879" s="610"/>
      <c r="F879" s="611"/>
      <c r="G879" s="26"/>
      <c r="H879" s="8"/>
      <c r="I879" s="611"/>
      <c r="J879" s="26"/>
      <c r="K879" s="8"/>
      <c r="L879" s="611"/>
      <c r="M879" s="26"/>
      <c r="N879" s="8"/>
      <c r="O879" s="611"/>
      <c r="P879" s="26"/>
      <c r="Q879" s="8"/>
      <c r="R879" s="611"/>
      <c r="S879" s="26"/>
      <c r="T879" s="8"/>
      <c r="U879" s="611"/>
      <c r="V879" s="26"/>
      <c r="W879" s="8"/>
      <c r="X879" s="611"/>
      <c r="Y879" s="26"/>
      <c r="Z879" s="8"/>
      <c r="AA879" s="611"/>
      <c r="AB879" s="26"/>
      <c r="AC879" s="8"/>
      <c r="AD879" s="26"/>
      <c r="AE879" s="26"/>
      <c r="AF879" s="26"/>
      <c r="AG879" s="26"/>
      <c r="AH879" s="26"/>
    </row>
    <row r="880" ht="12.75" customHeight="1">
      <c r="A880" s="24"/>
      <c r="B880" s="609"/>
      <c r="C880" s="24"/>
      <c r="D880" s="24"/>
      <c r="E880" s="610"/>
      <c r="F880" s="611"/>
      <c r="G880" s="26"/>
      <c r="H880" s="8"/>
      <c r="I880" s="611"/>
      <c r="J880" s="26"/>
      <c r="K880" s="8"/>
      <c r="L880" s="611"/>
      <c r="M880" s="26"/>
      <c r="N880" s="8"/>
      <c r="O880" s="611"/>
      <c r="P880" s="26"/>
      <c r="Q880" s="8"/>
      <c r="R880" s="611"/>
      <c r="S880" s="26"/>
      <c r="T880" s="8"/>
      <c r="U880" s="611"/>
      <c r="V880" s="26"/>
      <c r="W880" s="8"/>
      <c r="X880" s="611"/>
      <c r="Y880" s="26"/>
      <c r="Z880" s="8"/>
      <c r="AA880" s="611"/>
      <c r="AB880" s="26"/>
      <c r="AC880" s="8"/>
      <c r="AD880" s="26"/>
      <c r="AE880" s="26"/>
      <c r="AF880" s="26"/>
      <c r="AG880" s="26"/>
      <c r="AH880" s="26"/>
    </row>
    <row r="881" ht="12.75" customHeight="1">
      <c r="A881" s="24"/>
      <c r="B881" s="609"/>
      <c r="C881" s="24"/>
      <c r="D881" s="24"/>
      <c r="E881" s="610"/>
      <c r="F881" s="611"/>
      <c r="G881" s="26"/>
      <c r="H881" s="8"/>
      <c r="I881" s="611"/>
      <c r="J881" s="26"/>
      <c r="K881" s="8"/>
      <c r="L881" s="611"/>
      <c r="M881" s="26"/>
      <c r="N881" s="8"/>
      <c r="O881" s="611"/>
      <c r="P881" s="26"/>
      <c r="Q881" s="8"/>
      <c r="R881" s="611"/>
      <c r="S881" s="26"/>
      <c r="T881" s="8"/>
      <c r="U881" s="611"/>
      <c r="V881" s="26"/>
      <c r="W881" s="8"/>
      <c r="X881" s="611"/>
      <c r="Y881" s="26"/>
      <c r="Z881" s="8"/>
      <c r="AA881" s="611"/>
      <c r="AB881" s="26"/>
      <c r="AC881" s="8"/>
      <c r="AD881" s="26"/>
      <c r="AE881" s="26"/>
      <c r="AF881" s="26"/>
      <c r="AG881" s="26"/>
      <c r="AH881" s="26"/>
    </row>
    <row r="882" ht="12.75" customHeight="1">
      <c r="A882" s="24"/>
      <c r="B882" s="609"/>
      <c r="C882" s="24"/>
      <c r="D882" s="24"/>
      <c r="E882" s="610"/>
      <c r="F882" s="611"/>
      <c r="G882" s="26"/>
      <c r="H882" s="8"/>
      <c r="I882" s="611"/>
      <c r="J882" s="26"/>
      <c r="K882" s="8"/>
      <c r="L882" s="611"/>
      <c r="M882" s="26"/>
      <c r="N882" s="8"/>
      <c r="O882" s="611"/>
      <c r="P882" s="26"/>
      <c r="Q882" s="8"/>
      <c r="R882" s="611"/>
      <c r="S882" s="26"/>
      <c r="T882" s="8"/>
      <c r="U882" s="611"/>
      <c r="V882" s="26"/>
      <c r="W882" s="8"/>
      <c r="X882" s="611"/>
      <c r="Y882" s="26"/>
      <c r="Z882" s="8"/>
      <c r="AA882" s="611"/>
      <c r="AB882" s="26"/>
      <c r="AC882" s="8"/>
      <c r="AD882" s="26"/>
      <c r="AE882" s="26"/>
      <c r="AF882" s="26"/>
      <c r="AG882" s="26"/>
      <c r="AH882" s="26"/>
    </row>
    <row r="883" ht="12.75" customHeight="1">
      <c r="A883" s="24"/>
      <c r="B883" s="609"/>
      <c r="C883" s="24"/>
      <c r="D883" s="24"/>
      <c r="E883" s="610"/>
      <c r="F883" s="611"/>
      <c r="G883" s="26"/>
      <c r="H883" s="8"/>
      <c r="I883" s="611"/>
      <c r="J883" s="26"/>
      <c r="K883" s="8"/>
      <c r="L883" s="611"/>
      <c r="M883" s="26"/>
      <c r="N883" s="8"/>
      <c r="O883" s="611"/>
      <c r="P883" s="26"/>
      <c r="Q883" s="8"/>
      <c r="R883" s="611"/>
      <c r="S883" s="26"/>
      <c r="T883" s="8"/>
      <c r="U883" s="611"/>
      <c r="V883" s="26"/>
      <c r="W883" s="8"/>
      <c r="X883" s="611"/>
      <c r="Y883" s="26"/>
      <c r="Z883" s="8"/>
      <c r="AA883" s="611"/>
      <c r="AB883" s="26"/>
      <c r="AC883" s="8"/>
      <c r="AD883" s="26"/>
      <c r="AE883" s="26"/>
      <c r="AF883" s="26"/>
      <c r="AG883" s="26"/>
      <c r="AH883" s="26"/>
    </row>
    <row r="884" ht="12.75" customHeight="1">
      <c r="A884" s="24"/>
      <c r="B884" s="609"/>
      <c r="C884" s="24"/>
      <c r="D884" s="24"/>
      <c r="E884" s="610"/>
      <c r="F884" s="611"/>
      <c r="G884" s="26"/>
      <c r="H884" s="8"/>
      <c r="I884" s="611"/>
      <c r="J884" s="26"/>
      <c r="K884" s="8"/>
      <c r="L884" s="611"/>
      <c r="M884" s="26"/>
      <c r="N884" s="8"/>
      <c r="O884" s="611"/>
      <c r="P884" s="26"/>
      <c r="Q884" s="8"/>
      <c r="R884" s="611"/>
      <c r="S884" s="26"/>
      <c r="T884" s="8"/>
      <c r="U884" s="611"/>
      <c r="V884" s="26"/>
      <c r="W884" s="8"/>
      <c r="X884" s="611"/>
      <c r="Y884" s="26"/>
      <c r="Z884" s="8"/>
      <c r="AA884" s="611"/>
      <c r="AB884" s="26"/>
      <c r="AC884" s="8"/>
      <c r="AD884" s="26"/>
      <c r="AE884" s="26"/>
      <c r="AF884" s="26"/>
      <c r="AG884" s="26"/>
      <c r="AH884" s="26"/>
    </row>
    <row r="885" ht="12.75" customHeight="1">
      <c r="A885" s="24"/>
      <c r="B885" s="609"/>
      <c r="C885" s="24"/>
      <c r="D885" s="24"/>
      <c r="E885" s="610"/>
      <c r="F885" s="611"/>
      <c r="G885" s="26"/>
      <c r="H885" s="8"/>
      <c r="I885" s="611"/>
      <c r="J885" s="26"/>
      <c r="K885" s="8"/>
      <c r="L885" s="611"/>
      <c r="M885" s="26"/>
      <c r="N885" s="8"/>
      <c r="O885" s="611"/>
      <c r="P885" s="26"/>
      <c r="Q885" s="8"/>
      <c r="R885" s="611"/>
      <c r="S885" s="26"/>
      <c r="T885" s="8"/>
      <c r="U885" s="611"/>
      <c r="V885" s="26"/>
      <c r="W885" s="8"/>
      <c r="X885" s="611"/>
      <c r="Y885" s="26"/>
      <c r="Z885" s="8"/>
      <c r="AA885" s="611"/>
      <c r="AB885" s="26"/>
      <c r="AC885" s="8"/>
      <c r="AD885" s="26"/>
      <c r="AE885" s="26"/>
      <c r="AF885" s="26"/>
      <c r="AG885" s="26"/>
      <c r="AH885" s="26"/>
    </row>
    <row r="886" ht="12.75" customHeight="1">
      <c r="A886" s="24"/>
      <c r="B886" s="609"/>
      <c r="C886" s="24"/>
      <c r="D886" s="24"/>
      <c r="E886" s="610"/>
      <c r="F886" s="611"/>
      <c r="G886" s="26"/>
      <c r="H886" s="8"/>
      <c r="I886" s="611"/>
      <c r="J886" s="26"/>
      <c r="K886" s="8"/>
      <c r="L886" s="611"/>
      <c r="M886" s="26"/>
      <c r="N886" s="8"/>
      <c r="O886" s="611"/>
      <c r="P886" s="26"/>
      <c r="Q886" s="8"/>
      <c r="R886" s="611"/>
      <c r="S886" s="26"/>
      <c r="T886" s="8"/>
      <c r="U886" s="611"/>
      <c r="V886" s="26"/>
      <c r="W886" s="8"/>
      <c r="X886" s="611"/>
      <c r="Y886" s="26"/>
      <c r="Z886" s="8"/>
      <c r="AA886" s="611"/>
      <c r="AB886" s="26"/>
      <c r="AC886" s="8"/>
      <c r="AD886" s="26"/>
      <c r="AE886" s="26"/>
      <c r="AF886" s="26"/>
      <c r="AG886" s="26"/>
      <c r="AH886" s="26"/>
    </row>
    <row r="887" ht="12.75" customHeight="1">
      <c r="A887" s="24"/>
      <c r="B887" s="609"/>
      <c r="C887" s="24"/>
      <c r="D887" s="24"/>
      <c r="E887" s="610"/>
      <c r="F887" s="611"/>
      <c r="G887" s="26"/>
      <c r="H887" s="8"/>
      <c r="I887" s="611"/>
      <c r="J887" s="26"/>
      <c r="K887" s="8"/>
      <c r="L887" s="611"/>
      <c r="M887" s="26"/>
      <c r="N887" s="8"/>
      <c r="O887" s="611"/>
      <c r="P887" s="26"/>
      <c r="Q887" s="8"/>
      <c r="R887" s="611"/>
      <c r="S887" s="26"/>
      <c r="T887" s="8"/>
      <c r="U887" s="611"/>
      <c r="V887" s="26"/>
      <c r="W887" s="8"/>
      <c r="X887" s="611"/>
      <c r="Y887" s="26"/>
      <c r="Z887" s="8"/>
      <c r="AA887" s="611"/>
      <c r="AB887" s="26"/>
      <c r="AC887" s="8"/>
      <c r="AD887" s="26"/>
      <c r="AE887" s="26"/>
      <c r="AF887" s="26"/>
      <c r="AG887" s="26"/>
      <c r="AH887" s="26"/>
    </row>
    <row r="888" ht="12.75" customHeight="1">
      <c r="A888" s="24"/>
      <c r="B888" s="609"/>
      <c r="C888" s="24"/>
      <c r="D888" s="24"/>
      <c r="E888" s="610"/>
      <c r="F888" s="611"/>
      <c r="G888" s="26"/>
      <c r="H888" s="8"/>
      <c r="I888" s="611"/>
      <c r="J888" s="26"/>
      <c r="K888" s="8"/>
      <c r="L888" s="611"/>
      <c r="M888" s="26"/>
      <c r="N888" s="8"/>
      <c r="O888" s="611"/>
      <c r="P888" s="26"/>
      <c r="Q888" s="8"/>
      <c r="R888" s="611"/>
      <c r="S888" s="26"/>
      <c r="T888" s="8"/>
      <c r="U888" s="611"/>
      <c r="V888" s="26"/>
      <c r="W888" s="8"/>
      <c r="X888" s="611"/>
      <c r="Y888" s="26"/>
      <c r="Z888" s="8"/>
      <c r="AA888" s="611"/>
      <c r="AB888" s="26"/>
      <c r="AC888" s="8"/>
      <c r="AD888" s="26"/>
      <c r="AE888" s="26"/>
      <c r="AF888" s="26"/>
      <c r="AG888" s="26"/>
      <c r="AH888" s="26"/>
    </row>
    <row r="889" ht="12.75" customHeight="1">
      <c r="A889" s="24"/>
      <c r="B889" s="609"/>
      <c r="C889" s="24"/>
      <c r="D889" s="24"/>
      <c r="E889" s="610"/>
      <c r="F889" s="611"/>
      <c r="G889" s="26"/>
      <c r="H889" s="8"/>
      <c r="I889" s="611"/>
      <c r="J889" s="26"/>
      <c r="K889" s="8"/>
      <c r="L889" s="611"/>
      <c r="M889" s="26"/>
      <c r="N889" s="8"/>
      <c r="O889" s="611"/>
      <c r="P889" s="26"/>
      <c r="Q889" s="8"/>
      <c r="R889" s="611"/>
      <c r="S889" s="26"/>
      <c r="T889" s="8"/>
      <c r="U889" s="611"/>
      <c r="V889" s="26"/>
      <c r="W889" s="8"/>
      <c r="X889" s="611"/>
      <c r="Y889" s="26"/>
      <c r="Z889" s="8"/>
      <c r="AA889" s="611"/>
      <c r="AB889" s="26"/>
      <c r="AC889" s="8"/>
      <c r="AD889" s="26"/>
      <c r="AE889" s="26"/>
      <c r="AF889" s="26"/>
      <c r="AG889" s="26"/>
      <c r="AH889" s="26"/>
    </row>
    <row r="890" ht="12.75" customHeight="1">
      <c r="A890" s="24"/>
      <c r="B890" s="609"/>
      <c r="C890" s="24"/>
      <c r="D890" s="24"/>
      <c r="E890" s="610"/>
      <c r="F890" s="611"/>
      <c r="G890" s="26"/>
      <c r="H890" s="8"/>
      <c r="I890" s="611"/>
      <c r="J890" s="26"/>
      <c r="K890" s="8"/>
      <c r="L890" s="611"/>
      <c r="M890" s="26"/>
      <c r="N890" s="8"/>
      <c r="O890" s="611"/>
      <c r="P890" s="26"/>
      <c r="Q890" s="8"/>
      <c r="R890" s="611"/>
      <c r="S890" s="26"/>
      <c r="T890" s="8"/>
      <c r="U890" s="611"/>
      <c r="V890" s="26"/>
      <c r="W890" s="8"/>
      <c r="X890" s="611"/>
      <c r="Y890" s="26"/>
      <c r="Z890" s="8"/>
      <c r="AA890" s="611"/>
      <c r="AB890" s="26"/>
      <c r="AC890" s="8"/>
      <c r="AD890" s="26"/>
      <c r="AE890" s="26"/>
      <c r="AF890" s="26"/>
      <c r="AG890" s="26"/>
      <c r="AH890" s="26"/>
    </row>
    <row r="891" ht="12.75" customHeight="1">
      <c r="A891" s="24"/>
      <c r="B891" s="609"/>
      <c r="C891" s="24"/>
      <c r="D891" s="24"/>
      <c r="E891" s="610"/>
      <c r="F891" s="611"/>
      <c r="G891" s="26"/>
      <c r="H891" s="8"/>
      <c r="I891" s="611"/>
      <c r="J891" s="26"/>
      <c r="K891" s="8"/>
      <c r="L891" s="611"/>
      <c r="M891" s="26"/>
      <c r="N891" s="8"/>
      <c r="O891" s="611"/>
      <c r="P891" s="26"/>
      <c r="Q891" s="8"/>
      <c r="R891" s="611"/>
      <c r="S891" s="26"/>
      <c r="T891" s="8"/>
      <c r="U891" s="611"/>
      <c r="V891" s="26"/>
      <c r="W891" s="8"/>
      <c r="X891" s="611"/>
      <c r="Y891" s="26"/>
      <c r="Z891" s="8"/>
      <c r="AA891" s="611"/>
      <c r="AB891" s="26"/>
      <c r="AC891" s="8"/>
      <c r="AD891" s="26"/>
      <c r="AE891" s="26"/>
      <c r="AF891" s="26"/>
      <c r="AG891" s="26"/>
      <c r="AH891" s="26"/>
    </row>
    <row r="892" ht="12.75" customHeight="1">
      <c r="A892" s="24"/>
      <c r="B892" s="609"/>
      <c r="C892" s="24"/>
      <c r="D892" s="24"/>
      <c r="E892" s="610"/>
      <c r="F892" s="611"/>
      <c r="G892" s="26"/>
      <c r="H892" s="8"/>
      <c r="I892" s="611"/>
      <c r="J892" s="26"/>
      <c r="K892" s="8"/>
      <c r="L892" s="611"/>
      <c r="M892" s="26"/>
      <c r="N892" s="8"/>
      <c r="O892" s="611"/>
      <c r="P892" s="26"/>
      <c r="Q892" s="8"/>
      <c r="R892" s="611"/>
      <c r="S892" s="26"/>
      <c r="T892" s="8"/>
      <c r="U892" s="611"/>
      <c r="V892" s="26"/>
      <c r="W892" s="8"/>
      <c r="X892" s="611"/>
      <c r="Y892" s="26"/>
      <c r="Z892" s="8"/>
      <c r="AA892" s="611"/>
      <c r="AB892" s="26"/>
      <c r="AC892" s="8"/>
      <c r="AD892" s="26"/>
      <c r="AE892" s="26"/>
      <c r="AF892" s="26"/>
      <c r="AG892" s="26"/>
      <c r="AH892" s="26"/>
    </row>
    <row r="893" ht="12.75" customHeight="1">
      <c r="A893" s="24"/>
      <c r="B893" s="609"/>
      <c r="C893" s="24"/>
      <c r="D893" s="24"/>
      <c r="E893" s="610"/>
      <c r="F893" s="611"/>
      <c r="G893" s="26"/>
      <c r="H893" s="8"/>
      <c r="I893" s="611"/>
      <c r="J893" s="26"/>
      <c r="K893" s="8"/>
      <c r="L893" s="611"/>
      <c r="M893" s="26"/>
      <c r="N893" s="8"/>
      <c r="O893" s="611"/>
      <c r="P893" s="26"/>
      <c r="Q893" s="8"/>
      <c r="R893" s="611"/>
      <c r="S893" s="26"/>
      <c r="T893" s="8"/>
      <c r="U893" s="611"/>
      <c r="V893" s="26"/>
      <c r="W893" s="8"/>
      <c r="X893" s="611"/>
      <c r="Y893" s="26"/>
      <c r="Z893" s="8"/>
      <c r="AA893" s="611"/>
      <c r="AB893" s="26"/>
      <c r="AC893" s="8"/>
      <c r="AD893" s="26"/>
      <c r="AE893" s="26"/>
      <c r="AF893" s="26"/>
      <c r="AG893" s="26"/>
      <c r="AH893" s="26"/>
    </row>
    <row r="894" ht="12.75" customHeight="1">
      <c r="A894" s="24"/>
      <c r="B894" s="609"/>
      <c r="C894" s="24"/>
      <c r="D894" s="24"/>
      <c r="E894" s="610"/>
      <c r="F894" s="611"/>
      <c r="G894" s="26"/>
      <c r="H894" s="8"/>
      <c r="I894" s="611"/>
      <c r="J894" s="26"/>
      <c r="K894" s="8"/>
      <c r="L894" s="611"/>
      <c r="M894" s="26"/>
      <c r="N894" s="8"/>
      <c r="O894" s="611"/>
      <c r="P894" s="26"/>
      <c r="Q894" s="8"/>
      <c r="R894" s="611"/>
      <c r="S894" s="26"/>
      <c r="T894" s="8"/>
      <c r="U894" s="611"/>
      <c r="V894" s="26"/>
      <c r="W894" s="8"/>
      <c r="X894" s="611"/>
      <c r="Y894" s="26"/>
      <c r="Z894" s="8"/>
      <c r="AA894" s="611"/>
      <c r="AB894" s="26"/>
      <c r="AC894" s="8"/>
      <c r="AD894" s="26"/>
      <c r="AE894" s="26"/>
      <c r="AF894" s="26"/>
      <c r="AG894" s="26"/>
      <c r="AH894" s="26"/>
    </row>
    <row r="895" ht="12.75" customHeight="1">
      <c r="A895" s="24"/>
      <c r="B895" s="609"/>
      <c r="C895" s="24"/>
      <c r="D895" s="24"/>
      <c r="E895" s="610"/>
      <c r="F895" s="611"/>
      <c r="G895" s="26"/>
      <c r="H895" s="8"/>
      <c r="I895" s="611"/>
      <c r="J895" s="26"/>
      <c r="K895" s="8"/>
      <c r="L895" s="611"/>
      <c r="M895" s="26"/>
      <c r="N895" s="8"/>
      <c r="O895" s="611"/>
      <c r="P895" s="26"/>
      <c r="Q895" s="8"/>
      <c r="R895" s="611"/>
      <c r="S895" s="26"/>
      <c r="T895" s="8"/>
      <c r="U895" s="611"/>
      <c r="V895" s="26"/>
      <c r="W895" s="8"/>
      <c r="X895" s="611"/>
      <c r="Y895" s="26"/>
      <c r="Z895" s="8"/>
      <c r="AA895" s="611"/>
      <c r="AB895" s="26"/>
      <c r="AC895" s="8"/>
      <c r="AD895" s="26"/>
      <c r="AE895" s="26"/>
      <c r="AF895" s="26"/>
      <c r="AG895" s="26"/>
      <c r="AH895" s="26"/>
    </row>
    <row r="896" ht="12.75" customHeight="1">
      <c r="A896" s="24"/>
      <c r="B896" s="609"/>
      <c r="C896" s="24"/>
      <c r="D896" s="24"/>
      <c r="E896" s="610"/>
      <c r="F896" s="611"/>
      <c r="G896" s="26"/>
      <c r="H896" s="8"/>
      <c r="I896" s="611"/>
      <c r="J896" s="26"/>
      <c r="K896" s="8"/>
      <c r="L896" s="611"/>
      <c r="M896" s="26"/>
      <c r="N896" s="8"/>
      <c r="O896" s="611"/>
      <c r="P896" s="26"/>
      <c r="Q896" s="8"/>
      <c r="R896" s="611"/>
      <c r="S896" s="26"/>
      <c r="T896" s="8"/>
      <c r="U896" s="611"/>
      <c r="V896" s="26"/>
      <c r="W896" s="8"/>
      <c r="X896" s="611"/>
      <c r="Y896" s="26"/>
      <c r="Z896" s="8"/>
      <c r="AA896" s="611"/>
      <c r="AB896" s="26"/>
      <c r="AC896" s="8"/>
      <c r="AD896" s="26"/>
      <c r="AE896" s="26"/>
      <c r="AF896" s="26"/>
      <c r="AG896" s="26"/>
      <c r="AH896" s="26"/>
    </row>
    <row r="897" ht="12.75" customHeight="1">
      <c r="A897" s="24"/>
      <c r="B897" s="609"/>
      <c r="C897" s="24"/>
      <c r="D897" s="24"/>
      <c r="E897" s="610"/>
      <c r="F897" s="611"/>
      <c r="G897" s="26"/>
      <c r="H897" s="8"/>
      <c r="I897" s="611"/>
      <c r="J897" s="26"/>
      <c r="K897" s="8"/>
      <c r="L897" s="611"/>
      <c r="M897" s="26"/>
      <c r="N897" s="8"/>
      <c r="O897" s="611"/>
      <c r="P897" s="26"/>
      <c r="Q897" s="8"/>
      <c r="R897" s="611"/>
      <c r="S897" s="26"/>
      <c r="T897" s="8"/>
      <c r="U897" s="611"/>
      <c r="V897" s="26"/>
      <c r="W897" s="8"/>
      <c r="X897" s="611"/>
      <c r="Y897" s="26"/>
      <c r="Z897" s="8"/>
      <c r="AA897" s="611"/>
      <c r="AB897" s="26"/>
      <c r="AC897" s="8"/>
      <c r="AD897" s="26"/>
      <c r="AE897" s="26"/>
      <c r="AF897" s="26"/>
      <c r="AG897" s="26"/>
      <c r="AH897" s="26"/>
    </row>
    <row r="898" ht="12.75" customHeight="1">
      <c r="A898" s="24"/>
      <c r="B898" s="609"/>
      <c r="C898" s="24"/>
      <c r="D898" s="24"/>
      <c r="E898" s="610"/>
      <c r="F898" s="611"/>
      <c r="G898" s="26"/>
      <c r="H898" s="8"/>
      <c r="I898" s="611"/>
      <c r="J898" s="26"/>
      <c r="K898" s="8"/>
      <c r="L898" s="611"/>
      <c r="M898" s="26"/>
      <c r="N898" s="8"/>
      <c r="O898" s="611"/>
      <c r="P898" s="26"/>
      <c r="Q898" s="8"/>
      <c r="R898" s="611"/>
      <c r="S898" s="26"/>
      <c r="T898" s="8"/>
      <c r="U898" s="611"/>
      <c r="V898" s="26"/>
      <c r="W898" s="8"/>
      <c r="X898" s="611"/>
      <c r="Y898" s="26"/>
      <c r="Z898" s="8"/>
      <c r="AA898" s="611"/>
      <c r="AB898" s="26"/>
      <c r="AC898" s="8"/>
      <c r="AD898" s="26"/>
      <c r="AE898" s="26"/>
      <c r="AF898" s="26"/>
      <c r="AG898" s="26"/>
      <c r="AH898" s="26"/>
    </row>
    <row r="899" ht="12.75" customHeight="1">
      <c r="A899" s="24"/>
      <c r="B899" s="609"/>
      <c r="C899" s="24"/>
      <c r="D899" s="24"/>
      <c r="E899" s="610"/>
      <c r="F899" s="611"/>
      <c r="G899" s="26"/>
      <c r="H899" s="8"/>
      <c r="I899" s="611"/>
      <c r="J899" s="26"/>
      <c r="K899" s="8"/>
      <c r="L899" s="611"/>
      <c r="M899" s="26"/>
      <c r="N899" s="8"/>
      <c r="O899" s="611"/>
      <c r="P899" s="26"/>
      <c r="Q899" s="8"/>
      <c r="R899" s="611"/>
      <c r="S899" s="26"/>
      <c r="T899" s="8"/>
      <c r="U899" s="611"/>
      <c r="V899" s="26"/>
      <c r="W899" s="8"/>
      <c r="X899" s="611"/>
      <c r="Y899" s="26"/>
      <c r="Z899" s="8"/>
      <c r="AA899" s="611"/>
      <c r="AB899" s="26"/>
      <c r="AC899" s="8"/>
      <c r="AD899" s="26"/>
      <c r="AE899" s="26"/>
      <c r="AF899" s="26"/>
      <c r="AG899" s="26"/>
      <c r="AH899" s="26"/>
    </row>
    <row r="900" ht="12.75" customHeight="1">
      <c r="A900" s="24"/>
      <c r="B900" s="609"/>
      <c r="C900" s="24"/>
      <c r="D900" s="24"/>
      <c r="E900" s="610"/>
      <c r="F900" s="611"/>
      <c r="G900" s="26"/>
      <c r="H900" s="8"/>
      <c r="I900" s="611"/>
      <c r="J900" s="26"/>
      <c r="K900" s="8"/>
      <c r="L900" s="611"/>
      <c r="M900" s="26"/>
      <c r="N900" s="8"/>
      <c r="O900" s="611"/>
      <c r="P900" s="26"/>
      <c r="Q900" s="8"/>
      <c r="R900" s="611"/>
      <c r="S900" s="26"/>
      <c r="T900" s="8"/>
      <c r="U900" s="611"/>
      <c r="V900" s="26"/>
      <c r="W900" s="8"/>
      <c r="X900" s="611"/>
      <c r="Y900" s="26"/>
      <c r="Z900" s="8"/>
      <c r="AA900" s="611"/>
      <c r="AB900" s="26"/>
      <c r="AC900" s="8"/>
      <c r="AD900" s="26"/>
      <c r="AE900" s="26"/>
      <c r="AF900" s="26"/>
      <c r="AG900" s="26"/>
      <c r="AH900" s="26"/>
    </row>
    <row r="901" ht="12.75" customHeight="1">
      <c r="A901" s="24"/>
      <c r="B901" s="609"/>
      <c r="C901" s="24"/>
      <c r="D901" s="24"/>
      <c r="E901" s="610"/>
      <c r="F901" s="611"/>
      <c r="G901" s="26"/>
      <c r="H901" s="8"/>
      <c r="I901" s="611"/>
      <c r="J901" s="26"/>
      <c r="K901" s="8"/>
      <c r="L901" s="611"/>
      <c r="M901" s="26"/>
      <c r="N901" s="8"/>
      <c r="O901" s="611"/>
      <c r="P901" s="26"/>
      <c r="Q901" s="8"/>
      <c r="R901" s="611"/>
      <c r="S901" s="26"/>
      <c r="T901" s="8"/>
      <c r="U901" s="611"/>
      <c r="V901" s="26"/>
      <c r="W901" s="8"/>
      <c r="X901" s="611"/>
      <c r="Y901" s="26"/>
      <c r="Z901" s="8"/>
      <c r="AA901" s="611"/>
      <c r="AB901" s="26"/>
      <c r="AC901" s="8"/>
      <c r="AD901" s="26"/>
      <c r="AE901" s="26"/>
      <c r="AF901" s="26"/>
      <c r="AG901" s="26"/>
      <c r="AH901" s="26"/>
    </row>
    <row r="902" ht="12.75" customHeight="1">
      <c r="A902" s="24"/>
      <c r="B902" s="609"/>
      <c r="C902" s="24"/>
      <c r="D902" s="24"/>
      <c r="E902" s="610"/>
      <c r="F902" s="611"/>
      <c r="G902" s="26"/>
      <c r="H902" s="8"/>
      <c r="I902" s="611"/>
      <c r="J902" s="26"/>
      <c r="K902" s="8"/>
      <c r="L902" s="611"/>
      <c r="M902" s="26"/>
      <c r="N902" s="8"/>
      <c r="O902" s="611"/>
      <c r="P902" s="26"/>
      <c r="Q902" s="8"/>
      <c r="R902" s="611"/>
      <c r="S902" s="26"/>
      <c r="T902" s="8"/>
      <c r="U902" s="611"/>
      <c r="V902" s="26"/>
      <c r="W902" s="8"/>
      <c r="X902" s="611"/>
      <c r="Y902" s="26"/>
      <c r="Z902" s="8"/>
      <c r="AA902" s="611"/>
      <c r="AB902" s="26"/>
      <c r="AC902" s="8"/>
      <c r="AD902" s="26"/>
      <c r="AE902" s="26"/>
      <c r="AF902" s="26"/>
      <c r="AG902" s="26"/>
      <c r="AH902" s="26"/>
    </row>
    <row r="903" ht="12.75" customHeight="1">
      <c r="A903" s="24"/>
      <c r="B903" s="609"/>
      <c r="C903" s="24"/>
      <c r="D903" s="24"/>
      <c r="E903" s="610"/>
      <c r="F903" s="611"/>
      <c r="G903" s="26"/>
      <c r="H903" s="8"/>
      <c r="I903" s="611"/>
      <c r="J903" s="26"/>
      <c r="K903" s="8"/>
      <c r="L903" s="611"/>
      <c r="M903" s="26"/>
      <c r="N903" s="8"/>
      <c r="O903" s="611"/>
      <c r="P903" s="26"/>
      <c r="Q903" s="8"/>
      <c r="R903" s="611"/>
      <c r="S903" s="26"/>
      <c r="T903" s="8"/>
      <c r="U903" s="611"/>
      <c r="V903" s="26"/>
      <c r="W903" s="8"/>
      <c r="X903" s="611"/>
      <c r="Y903" s="26"/>
      <c r="Z903" s="8"/>
      <c r="AA903" s="611"/>
      <c r="AB903" s="26"/>
      <c r="AC903" s="8"/>
      <c r="AD903" s="26"/>
      <c r="AE903" s="26"/>
      <c r="AF903" s="26"/>
      <c r="AG903" s="26"/>
      <c r="AH903" s="26"/>
    </row>
    <row r="904" ht="12.75" customHeight="1">
      <c r="A904" s="24"/>
      <c r="B904" s="609"/>
      <c r="C904" s="24"/>
      <c r="D904" s="24"/>
      <c r="E904" s="610"/>
      <c r="F904" s="611"/>
      <c r="G904" s="26"/>
      <c r="H904" s="8"/>
      <c r="I904" s="611"/>
      <c r="J904" s="26"/>
      <c r="K904" s="8"/>
      <c r="L904" s="611"/>
      <c r="M904" s="26"/>
      <c r="N904" s="8"/>
      <c r="O904" s="611"/>
      <c r="P904" s="26"/>
      <c r="Q904" s="8"/>
      <c r="R904" s="611"/>
      <c r="S904" s="26"/>
      <c r="T904" s="8"/>
      <c r="U904" s="611"/>
      <c r="V904" s="26"/>
      <c r="W904" s="8"/>
      <c r="X904" s="611"/>
      <c r="Y904" s="26"/>
      <c r="Z904" s="8"/>
      <c r="AA904" s="611"/>
      <c r="AB904" s="26"/>
      <c r="AC904" s="8"/>
      <c r="AD904" s="26"/>
      <c r="AE904" s="26"/>
      <c r="AF904" s="26"/>
      <c r="AG904" s="26"/>
      <c r="AH904" s="26"/>
    </row>
    <row r="905" ht="12.75" customHeight="1">
      <c r="A905" s="24"/>
      <c r="B905" s="609"/>
      <c r="C905" s="24"/>
      <c r="D905" s="24"/>
      <c r="E905" s="610"/>
      <c r="F905" s="611"/>
      <c r="G905" s="26"/>
      <c r="H905" s="8"/>
      <c r="I905" s="611"/>
      <c r="J905" s="26"/>
      <c r="K905" s="8"/>
      <c r="L905" s="611"/>
      <c r="M905" s="26"/>
      <c r="N905" s="8"/>
      <c r="O905" s="611"/>
      <c r="P905" s="26"/>
      <c r="Q905" s="8"/>
      <c r="R905" s="611"/>
      <c r="S905" s="26"/>
      <c r="T905" s="8"/>
      <c r="U905" s="611"/>
      <c r="V905" s="26"/>
      <c r="W905" s="8"/>
      <c r="X905" s="611"/>
      <c r="Y905" s="26"/>
      <c r="Z905" s="8"/>
      <c r="AA905" s="611"/>
      <c r="AB905" s="26"/>
      <c r="AC905" s="8"/>
      <c r="AD905" s="26"/>
      <c r="AE905" s="26"/>
      <c r="AF905" s="26"/>
      <c r="AG905" s="26"/>
      <c r="AH905" s="26"/>
    </row>
    <row r="906" ht="12.75" customHeight="1">
      <c r="A906" s="24"/>
      <c r="B906" s="609"/>
      <c r="C906" s="24"/>
      <c r="D906" s="24"/>
      <c r="E906" s="610"/>
      <c r="F906" s="611"/>
      <c r="G906" s="26"/>
      <c r="H906" s="8"/>
      <c r="I906" s="611"/>
      <c r="J906" s="26"/>
      <c r="K906" s="8"/>
      <c r="L906" s="611"/>
      <c r="M906" s="26"/>
      <c r="N906" s="8"/>
      <c r="O906" s="611"/>
      <c r="P906" s="26"/>
      <c r="Q906" s="8"/>
      <c r="R906" s="611"/>
      <c r="S906" s="26"/>
      <c r="T906" s="8"/>
      <c r="U906" s="611"/>
      <c r="V906" s="26"/>
      <c r="W906" s="8"/>
      <c r="X906" s="611"/>
      <c r="Y906" s="26"/>
      <c r="Z906" s="8"/>
      <c r="AA906" s="611"/>
      <c r="AB906" s="26"/>
      <c r="AC906" s="8"/>
      <c r="AD906" s="26"/>
      <c r="AE906" s="26"/>
      <c r="AF906" s="26"/>
      <c r="AG906" s="26"/>
      <c r="AH906" s="26"/>
    </row>
    <row r="907" ht="12.75" customHeight="1">
      <c r="A907" s="24"/>
      <c r="B907" s="609"/>
      <c r="C907" s="24"/>
      <c r="D907" s="24"/>
      <c r="E907" s="610"/>
      <c r="F907" s="611"/>
      <c r="G907" s="26"/>
      <c r="H907" s="8"/>
      <c r="I907" s="611"/>
      <c r="J907" s="26"/>
      <c r="K907" s="8"/>
      <c r="L907" s="611"/>
      <c r="M907" s="26"/>
      <c r="N907" s="8"/>
      <c r="O907" s="611"/>
      <c r="P907" s="26"/>
      <c r="Q907" s="8"/>
      <c r="R907" s="611"/>
      <c r="S907" s="26"/>
      <c r="T907" s="8"/>
      <c r="U907" s="611"/>
      <c r="V907" s="26"/>
      <c r="W907" s="8"/>
      <c r="X907" s="611"/>
      <c r="Y907" s="26"/>
      <c r="Z907" s="8"/>
      <c r="AA907" s="611"/>
      <c r="AB907" s="26"/>
      <c r="AC907" s="8"/>
      <c r="AD907" s="26"/>
      <c r="AE907" s="26"/>
      <c r="AF907" s="26"/>
      <c r="AG907" s="26"/>
      <c r="AH907" s="26"/>
    </row>
    <row r="908" ht="12.75" customHeight="1">
      <c r="A908" s="24"/>
      <c r="B908" s="609"/>
      <c r="C908" s="24"/>
      <c r="D908" s="24"/>
      <c r="E908" s="610"/>
      <c r="F908" s="611"/>
      <c r="G908" s="26"/>
      <c r="H908" s="8"/>
      <c r="I908" s="611"/>
      <c r="J908" s="26"/>
      <c r="K908" s="8"/>
      <c r="L908" s="611"/>
      <c r="M908" s="26"/>
      <c r="N908" s="8"/>
      <c r="O908" s="611"/>
      <c r="P908" s="26"/>
      <c r="Q908" s="8"/>
      <c r="R908" s="611"/>
      <c r="S908" s="26"/>
      <c r="T908" s="8"/>
      <c r="U908" s="611"/>
      <c r="V908" s="26"/>
      <c r="W908" s="8"/>
      <c r="X908" s="611"/>
      <c r="Y908" s="26"/>
      <c r="Z908" s="8"/>
      <c r="AA908" s="611"/>
      <c r="AB908" s="26"/>
      <c r="AC908" s="8"/>
      <c r="AD908" s="26"/>
      <c r="AE908" s="26"/>
      <c r="AF908" s="26"/>
      <c r="AG908" s="26"/>
      <c r="AH908" s="26"/>
    </row>
    <row r="909" ht="12.75" customHeight="1">
      <c r="A909" s="24"/>
      <c r="B909" s="609"/>
      <c r="C909" s="24"/>
      <c r="D909" s="24"/>
      <c r="E909" s="610"/>
      <c r="F909" s="611"/>
      <c r="G909" s="26"/>
      <c r="H909" s="8"/>
      <c r="I909" s="611"/>
      <c r="J909" s="26"/>
      <c r="K909" s="8"/>
      <c r="L909" s="611"/>
      <c r="M909" s="26"/>
      <c r="N909" s="8"/>
      <c r="O909" s="611"/>
      <c r="P909" s="26"/>
      <c r="Q909" s="8"/>
      <c r="R909" s="611"/>
      <c r="S909" s="26"/>
      <c r="T909" s="8"/>
      <c r="U909" s="611"/>
      <c r="V909" s="26"/>
      <c r="W909" s="8"/>
      <c r="X909" s="611"/>
      <c r="Y909" s="26"/>
      <c r="Z909" s="8"/>
      <c r="AA909" s="611"/>
      <c r="AB909" s="26"/>
      <c r="AC909" s="8"/>
      <c r="AD909" s="26"/>
      <c r="AE909" s="26"/>
      <c r="AF909" s="26"/>
      <c r="AG909" s="26"/>
      <c r="AH909" s="26"/>
    </row>
    <row r="910" ht="12.75" customHeight="1">
      <c r="A910" s="24"/>
      <c r="B910" s="609"/>
      <c r="C910" s="24"/>
      <c r="D910" s="24"/>
      <c r="E910" s="610"/>
      <c r="F910" s="611"/>
      <c r="G910" s="26"/>
      <c r="H910" s="8"/>
      <c r="I910" s="611"/>
      <c r="J910" s="26"/>
      <c r="K910" s="8"/>
      <c r="L910" s="611"/>
      <c r="M910" s="26"/>
      <c r="N910" s="8"/>
      <c r="O910" s="611"/>
      <c r="P910" s="26"/>
      <c r="Q910" s="8"/>
      <c r="R910" s="611"/>
      <c r="S910" s="26"/>
      <c r="T910" s="8"/>
      <c r="U910" s="611"/>
      <c r="V910" s="26"/>
      <c r="W910" s="8"/>
      <c r="X910" s="611"/>
      <c r="Y910" s="26"/>
      <c r="Z910" s="8"/>
      <c r="AA910" s="611"/>
      <c r="AB910" s="26"/>
      <c r="AC910" s="8"/>
      <c r="AD910" s="26"/>
      <c r="AE910" s="26"/>
      <c r="AF910" s="26"/>
      <c r="AG910" s="26"/>
      <c r="AH910" s="26"/>
    </row>
    <row r="911" ht="12.75" customHeight="1">
      <c r="A911" s="24"/>
      <c r="B911" s="609"/>
      <c r="C911" s="24"/>
      <c r="D911" s="24"/>
      <c r="E911" s="610"/>
      <c r="F911" s="611"/>
      <c r="G911" s="26"/>
      <c r="H911" s="8"/>
      <c r="I911" s="611"/>
      <c r="J911" s="26"/>
      <c r="K911" s="8"/>
      <c r="L911" s="611"/>
      <c r="M911" s="26"/>
      <c r="N911" s="8"/>
      <c r="O911" s="611"/>
      <c r="P911" s="26"/>
      <c r="Q911" s="8"/>
      <c r="R911" s="611"/>
      <c r="S911" s="26"/>
      <c r="T911" s="8"/>
      <c r="U911" s="611"/>
      <c r="V911" s="26"/>
      <c r="W911" s="8"/>
      <c r="X911" s="611"/>
      <c r="Y911" s="26"/>
      <c r="Z911" s="8"/>
      <c r="AA911" s="611"/>
      <c r="AB911" s="26"/>
      <c r="AC911" s="8"/>
      <c r="AD911" s="26"/>
      <c r="AE911" s="26"/>
      <c r="AF911" s="26"/>
      <c r="AG911" s="26"/>
      <c r="AH911" s="26"/>
    </row>
    <row r="912" ht="12.75" customHeight="1">
      <c r="A912" s="24"/>
      <c r="B912" s="609"/>
      <c r="C912" s="24"/>
      <c r="D912" s="24"/>
      <c r="E912" s="610"/>
      <c r="F912" s="611"/>
      <c r="G912" s="26"/>
      <c r="H912" s="8"/>
      <c r="I912" s="611"/>
      <c r="J912" s="26"/>
      <c r="K912" s="8"/>
      <c r="L912" s="611"/>
      <c r="M912" s="26"/>
      <c r="N912" s="8"/>
      <c r="O912" s="611"/>
      <c r="P912" s="26"/>
      <c r="Q912" s="8"/>
      <c r="R912" s="611"/>
      <c r="S912" s="26"/>
      <c r="T912" s="8"/>
      <c r="U912" s="611"/>
      <c r="V912" s="26"/>
      <c r="W912" s="8"/>
      <c r="X912" s="611"/>
      <c r="Y912" s="26"/>
      <c r="Z912" s="8"/>
      <c r="AA912" s="611"/>
      <c r="AB912" s="26"/>
      <c r="AC912" s="8"/>
      <c r="AD912" s="26"/>
      <c r="AE912" s="26"/>
      <c r="AF912" s="26"/>
      <c r="AG912" s="26"/>
      <c r="AH912" s="26"/>
    </row>
    <row r="913" ht="12.75" customHeight="1">
      <c r="A913" s="24"/>
      <c r="B913" s="609"/>
      <c r="C913" s="24"/>
      <c r="D913" s="24"/>
      <c r="E913" s="610"/>
      <c r="F913" s="611"/>
      <c r="G913" s="26"/>
      <c r="H913" s="8"/>
      <c r="I913" s="611"/>
      <c r="J913" s="26"/>
      <c r="K913" s="8"/>
      <c r="L913" s="611"/>
      <c r="M913" s="26"/>
      <c r="N913" s="8"/>
      <c r="O913" s="611"/>
      <c r="P913" s="26"/>
      <c r="Q913" s="8"/>
      <c r="R913" s="611"/>
      <c r="S913" s="26"/>
      <c r="T913" s="8"/>
      <c r="U913" s="611"/>
      <c r="V913" s="26"/>
      <c r="W913" s="8"/>
      <c r="X913" s="611"/>
      <c r="Y913" s="26"/>
      <c r="Z913" s="8"/>
      <c r="AA913" s="611"/>
      <c r="AB913" s="26"/>
      <c r="AC913" s="8"/>
      <c r="AD913" s="26"/>
      <c r="AE913" s="26"/>
      <c r="AF913" s="26"/>
      <c r="AG913" s="26"/>
      <c r="AH913" s="26"/>
    </row>
    <row r="914" ht="12.75" customHeight="1">
      <c r="A914" s="24"/>
      <c r="B914" s="609"/>
      <c r="C914" s="24"/>
      <c r="D914" s="24"/>
      <c r="E914" s="610"/>
      <c r="F914" s="611"/>
      <c r="G914" s="26"/>
      <c r="H914" s="8"/>
      <c r="I914" s="611"/>
      <c r="J914" s="26"/>
      <c r="K914" s="8"/>
      <c r="L914" s="611"/>
      <c r="M914" s="26"/>
      <c r="N914" s="8"/>
      <c r="O914" s="611"/>
      <c r="P914" s="26"/>
      <c r="Q914" s="8"/>
      <c r="R914" s="611"/>
      <c r="S914" s="26"/>
      <c r="T914" s="8"/>
      <c r="U914" s="611"/>
      <c r="V914" s="26"/>
      <c r="W914" s="8"/>
      <c r="X914" s="611"/>
      <c r="Y914" s="26"/>
      <c r="Z914" s="8"/>
      <c r="AA914" s="611"/>
      <c r="AB914" s="26"/>
      <c r="AC914" s="8"/>
      <c r="AD914" s="26"/>
      <c r="AE914" s="26"/>
      <c r="AF914" s="26"/>
      <c r="AG914" s="26"/>
      <c r="AH914" s="26"/>
    </row>
    <row r="915" ht="12.75" customHeight="1">
      <c r="A915" s="24"/>
      <c r="B915" s="609"/>
      <c r="C915" s="24"/>
      <c r="D915" s="24"/>
      <c r="E915" s="610"/>
      <c r="F915" s="611"/>
      <c r="G915" s="26"/>
      <c r="H915" s="8"/>
      <c r="I915" s="611"/>
      <c r="J915" s="26"/>
      <c r="K915" s="8"/>
      <c r="L915" s="611"/>
      <c r="M915" s="26"/>
      <c r="N915" s="8"/>
      <c r="O915" s="611"/>
      <c r="P915" s="26"/>
      <c r="Q915" s="8"/>
      <c r="R915" s="611"/>
      <c r="S915" s="26"/>
      <c r="T915" s="8"/>
      <c r="U915" s="611"/>
      <c r="V915" s="26"/>
      <c r="W915" s="8"/>
      <c r="X915" s="611"/>
      <c r="Y915" s="26"/>
      <c r="Z915" s="8"/>
      <c r="AA915" s="611"/>
      <c r="AB915" s="26"/>
      <c r="AC915" s="8"/>
      <c r="AD915" s="26"/>
      <c r="AE915" s="26"/>
      <c r="AF915" s="26"/>
      <c r="AG915" s="26"/>
      <c r="AH915" s="26"/>
    </row>
    <row r="916" ht="12.75" customHeight="1">
      <c r="A916" s="24"/>
      <c r="B916" s="609"/>
      <c r="C916" s="24"/>
      <c r="D916" s="24"/>
      <c r="E916" s="610"/>
      <c r="F916" s="611"/>
      <c r="G916" s="26"/>
      <c r="H916" s="8"/>
      <c r="I916" s="611"/>
      <c r="J916" s="26"/>
      <c r="K916" s="8"/>
      <c r="L916" s="611"/>
      <c r="M916" s="26"/>
      <c r="N916" s="8"/>
      <c r="O916" s="611"/>
      <c r="P916" s="26"/>
      <c r="Q916" s="8"/>
      <c r="R916" s="611"/>
      <c r="S916" s="26"/>
      <c r="T916" s="8"/>
      <c r="U916" s="611"/>
      <c r="V916" s="26"/>
      <c r="W916" s="8"/>
      <c r="X916" s="611"/>
      <c r="Y916" s="26"/>
      <c r="Z916" s="8"/>
      <c r="AA916" s="611"/>
      <c r="AB916" s="26"/>
      <c r="AC916" s="8"/>
      <c r="AD916" s="26"/>
      <c r="AE916" s="26"/>
      <c r="AF916" s="26"/>
      <c r="AG916" s="26"/>
      <c r="AH916" s="26"/>
    </row>
    <row r="917" ht="12.75" customHeight="1">
      <c r="A917" s="24"/>
      <c r="B917" s="609"/>
      <c r="C917" s="24"/>
      <c r="D917" s="24"/>
      <c r="E917" s="610"/>
      <c r="F917" s="611"/>
      <c r="G917" s="26"/>
      <c r="H917" s="8"/>
      <c r="I917" s="611"/>
      <c r="J917" s="26"/>
      <c r="K917" s="8"/>
      <c r="L917" s="611"/>
      <c r="M917" s="26"/>
      <c r="N917" s="8"/>
      <c r="O917" s="611"/>
      <c r="P917" s="26"/>
      <c r="Q917" s="8"/>
      <c r="R917" s="611"/>
      <c r="S917" s="26"/>
      <c r="T917" s="8"/>
      <c r="U917" s="611"/>
      <c r="V917" s="26"/>
      <c r="W917" s="8"/>
      <c r="X917" s="611"/>
      <c r="Y917" s="26"/>
      <c r="Z917" s="8"/>
      <c r="AA917" s="611"/>
      <c r="AB917" s="26"/>
      <c r="AC917" s="8"/>
      <c r="AD917" s="26"/>
      <c r="AE917" s="26"/>
      <c r="AF917" s="26"/>
      <c r="AG917" s="26"/>
      <c r="AH917" s="26"/>
    </row>
    <row r="918" ht="12.75" customHeight="1">
      <c r="A918" s="24"/>
      <c r="B918" s="609"/>
      <c r="C918" s="24"/>
      <c r="D918" s="24"/>
      <c r="E918" s="610"/>
      <c r="F918" s="611"/>
      <c r="G918" s="26"/>
      <c r="H918" s="8"/>
      <c r="I918" s="611"/>
      <c r="J918" s="26"/>
      <c r="K918" s="8"/>
      <c r="L918" s="611"/>
      <c r="M918" s="26"/>
      <c r="N918" s="8"/>
      <c r="O918" s="611"/>
      <c r="P918" s="26"/>
      <c r="Q918" s="8"/>
      <c r="R918" s="611"/>
      <c r="S918" s="26"/>
      <c r="T918" s="8"/>
      <c r="U918" s="611"/>
      <c r="V918" s="26"/>
      <c r="W918" s="8"/>
      <c r="X918" s="611"/>
      <c r="Y918" s="26"/>
      <c r="Z918" s="8"/>
      <c r="AA918" s="611"/>
      <c r="AB918" s="26"/>
      <c r="AC918" s="8"/>
      <c r="AD918" s="26"/>
      <c r="AE918" s="26"/>
      <c r="AF918" s="26"/>
      <c r="AG918" s="26"/>
      <c r="AH918" s="26"/>
    </row>
    <row r="919" ht="12.75" customHeight="1">
      <c r="A919" s="24"/>
      <c r="B919" s="609"/>
      <c r="C919" s="24"/>
      <c r="D919" s="24"/>
      <c r="E919" s="610"/>
      <c r="F919" s="611"/>
      <c r="G919" s="26"/>
      <c r="H919" s="8"/>
      <c r="I919" s="611"/>
      <c r="J919" s="26"/>
      <c r="K919" s="8"/>
      <c r="L919" s="611"/>
      <c r="M919" s="26"/>
      <c r="N919" s="8"/>
      <c r="O919" s="611"/>
      <c r="P919" s="26"/>
      <c r="Q919" s="8"/>
      <c r="R919" s="611"/>
      <c r="S919" s="26"/>
      <c r="T919" s="8"/>
      <c r="U919" s="611"/>
      <c r="V919" s="26"/>
      <c r="W919" s="8"/>
      <c r="X919" s="611"/>
      <c r="Y919" s="26"/>
      <c r="Z919" s="8"/>
      <c r="AA919" s="611"/>
      <c r="AB919" s="26"/>
      <c r="AC919" s="8"/>
      <c r="AD919" s="26"/>
      <c r="AE919" s="26"/>
      <c r="AF919" s="26"/>
      <c r="AG919" s="26"/>
      <c r="AH919" s="26"/>
    </row>
    <row r="920" ht="12.75" customHeight="1">
      <c r="A920" s="24"/>
      <c r="B920" s="609"/>
      <c r="C920" s="24"/>
      <c r="D920" s="24"/>
      <c r="E920" s="610"/>
      <c r="F920" s="611"/>
      <c r="G920" s="26"/>
      <c r="H920" s="8"/>
      <c r="I920" s="611"/>
      <c r="J920" s="26"/>
      <c r="K920" s="8"/>
      <c r="L920" s="611"/>
      <c r="M920" s="26"/>
      <c r="N920" s="8"/>
      <c r="O920" s="611"/>
      <c r="P920" s="26"/>
      <c r="Q920" s="8"/>
      <c r="R920" s="611"/>
      <c r="S920" s="26"/>
      <c r="T920" s="8"/>
      <c r="U920" s="611"/>
      <c r="V920" s="26"/>
      <c r="W920" s="8"/>
      <c r="X920" s="611"/>
      <c r="Y920" s="26"/>
      <c r="Z920" s="8"/>
      <c r="AA920" s="611"/>
      <c r="AB920" s="26"/>
      <c r="AC920" s="8"/>
      <c r="AD920" s="26"/>
      <c r="AE920" s="26"/>
      <c r="AF920" s="26"/>
      <c r="AG920" s="26"/>
      <c r="AH920" s="26"/>
    </row>
    <row r="921" ht="12.75" customHeight="1">
      <c r="A921" s="24"/>
      <c r="B921" s="609"/>
      <c r="C921" s="24"/>
      <c r="D921" s="24"/>
      <c r="E921" s="610"/>
      <c r="F921" s="611"/>
      <c r="G921" s="26"/>
      <c r="H921" s="8"/>
      <c r="I921" s="611"/>
      <c r="J921" s="26"/>
      <c r="K921" s="8"/>
      <c r="L921" s="611"/>
      <c r="M921" s="26"/>
      <c r="N921" s="8"/>
      <c r="O921" s="611"/>
      <c r="P921" s="26"/>
      <c r="Q921" s="8"/>
      <c r="R921" s="611"/>
      <c r="S921" s="26"/>
      <c r="T921" s="8"/>
      <c r="U921" s="611"/>
      <c r="V921" s="26"/>
      <c r="W921" s="8"/>
      <c r="X921" s="611"/>
      <c r="Y921" s="26"/>
      <c r="Z921" s="8"/>
      <c r="AA921" s="611"/>
      <c r="AB921" s="26"/>
      <c r="AC921" s="8"/>
      <c r="AD921" s="26"/>
      <c r="AE921" s="26"/>
      <c r="AF921" s="26"/>
      <c r="AG921" s="26"/>
      <c r="AH921" s="26"/>
    </row>
    <row r="922" ht="12.75" customHeight="1">
      <c r="A922" s="24"/>
      <c r="B922" s="609"/>
      <c r="C922" s="24"/>
      <c r="D922" s="24"/>
      <c r="E922" s="610"/>
      <c r="F922" s="611"/>
      <c r="G922" s="26"/>
      <c r="H922" s="8"/>
      <c r="I922" s="611"/>
      <c r="J922" s="26"/>
      <c r="K922" s="8"/>
      <c r="L922" s="611"/>
      <c r="M922" s="26"/>
      <c r="N922" s="8"/>
      <c r="O922" s="611"/>
      <c r="P922" s="26"/>
      <c r="Q922" s="8"/>
      <c r="R922" s="611"/>
      <c r="S922" s="26"/>
      <c r="T922" s="8"/>
      <c r="U922" s="611"/>
      <c r="V922" s="26"/>
      <c r="W922" s="8"/>
      <c r="X922" s="611"/>
      <c r="Y922" s="26"/>
      <c r="Z922" s="8"/>
      <c r="AA922" s="611"/>
      <c r="AB922" s="26"/>
      <c r="AC922" s="8"/>
      <c r="AD922" s="26"/>
      <c r="AE922" s="26"/>
      <c r="AF922" s="26"/>
      <c r="AG922" s="26"/>
      <c r="AH922" s="26"/>
    </row>
    <row r="923" ht="12.75" customHeight="1">
      <c r="A923" s="24"/>
      <c r="B923" s="609"/>
      <c r="C923" s="24"/>
      <c r="D923" s="24"/>
      <c r="E923" s="610"/>
      <c r="F923" s="611"/>
      <c r="G923" s="26"/>
      <c r="H923" s="8"/>
      <c r="I923" s="611"/>
      <c r="J923" s="26"/>
      <c r="K923" s="8"/>
      <c r="L923" s="611"/>
      <c r="M923" s="26"/>
      <c r="N923" s="8"/>
      <c r="O923" s="611"/>
      <c r="P923" s="26"/>
      <c r="Q923" s="8"/>
      <c r="R923" s="611"/>
      <c r="S923" s="26"/>
      <c r="T923" s="8"/>
      <c r="U923" s="611"/>
      <c r="V923" s="26"/>
      <c r="W923" s="8"/>
      <c r="X923" s="611"/>
      <c r="Y923" s="26"/>
      <c r="Z923" s="8"/>
      <c r="AA923" s="611"/>
      <c r="AB923" s="26"/>
      <c r="AC923" s="8"/>
      <c r="AD923" s="26"/>
      <c r="AE923" s="26"/>
      <c r="AF923" s="26"/>
      <c r="AG923" s="26"/>
      <c r="AH923" s="26"/>
    </row>
    <row r="924" ht="12.75" customHeight="1">
      <c r="A924" s="24"/>
      <c r="B924" s="609"/>
      <c r="C924" s="24"/>
      <c r="D924" s="24"/>
      <c r="E924" s="610"/>
      <c r="F924" s="611"/>
      <c r="G924" s="26"/>
      <c r="H924" s="8"/>
      <c r="I924" s="611"/>
      <c r="J924" s="26"/>
      <c r="K924" s="8"/>
      <c r="L924" s="611"/>
      <c r="M924" s="26"/>
      <c r="N924" s="8"/>
      <c r="O924" s="611"/>
      <c r="P924" s="26"/>
      <c r="Q924" s="8"/>
      <c r="R924" s="611"/>
      <c r="S924" s="26"/>
      <c r="T924" s="8"/>
      <c r="U924" s="611"/>
      <c r="V924" s="26"/>
      <c r="W924" s="8"/>
      <c r="X924" s="611"/>
      <c r="Y924" s="26"/>
      <c r="Z924" s="8"/>
      <c r="AA924" s="611"/>
      <c r="AB924" s="26"/>
      <c r="AC924" s="8"/>
      <c r="AD924" s="26"/>
      <c r="AE924" s="26"/>
      <c r="AF924" s="26"/>
      <c r="AG924" s="26"/>
      <c r="AH924" s="26"/>
    </row>
    <row r="925" ht="12.75" customHeight="1">
      <c r="A925" s="24"/>
      <c r="B925" s="609"/>
      <c r="C925" s="24"/>
      <c r="D925" s="24"/>
      <c r="E925" s="610"/>
      <c r="F925" s="611"/>
      <c r="G925" s="26"/>
      <c r="H925" s="8"/>
      <c r="I925" s="611"/>
      <c r="J925" s="26"/>
      <c r="K925" s="8"/>
      <c r="L925" s="611"/>
      <c r="M925" s="26"/>
      <c r="N925" s="8"/>
      <c r="O925" s="611"/>
      <c r="P925" s="26"/>
      <c r="Q925" s="8"/>
      <c r="R925" s="611"/>
      <c r="S925" s="26"/>
      <c r="T925" s="8"/>
      <c r="U925" s="611"/>
      <c r="V925" s="26"/>
      <c r="W925" s="8"/>
      <c r="X925" s="611"/>
      <c r="Y925" s="26"/>
      <c r="Z925" s="8"/>
      <c r="AA925" s="611"/>
      <c r="AB925" s="26"/>
      <c r="AC925" s="8"/>
      <c r="AD925" s="26"/>
      <c r="AE925" s="26"/>
      <c r="AF925" s="26"/>
      <c r="AG925" s="26"/>
      <c r="AH925" s="26"/>
    </row>
    <row r="926" ht="12.75" customHeight="1">
      <c r="A926" s="24"/>
      <c r="B926" s="609"/>
      <c r="C926" s="24"/>
      <c r="D926" s="24"/>
      <c r="E926" s="610"/>
      <c r="F926" s="611"/>
      <c r="G926" s="26"/>
      <c r="H926" s="8"/>
      <c r="I926" s="611"/>
      <c r="J926" s="26"/>
      <c r="K926" s="8"/>
      <c r="L926" s="611"/>
      <c r="M926" s="26"/>
      <c r="N926" s="8"/>
      <c r="O926" s="611"/>
      <c r="P926" s="26"/>
      <c r="Q926" s="8"/>
      <c r="R926" s="611"/>
      <c r="S926" s="26"/>
      <c r="T926" s="8"/>
      <c r="U926" s="611"/>
      <c r="V926" s="26"/>
      <c r="W926" s="8"/>
      <c r="X926" s="611"/>
      <c r="Y926" s="26"/>
      <c r="Z926" s="8"/>
      <c r="AA926" s="611"/>
      <c r="AB926" s="26"/>
      <c r="AC926" s="8"/>
      <c r="AD926" s="26"/>
      <c r="AE926" s="26"/>
      <c r="AF926" s="26"/>
      <c r="AG926" s="26"/>
      <c r="AH926" s="26"/>
    </row>
    <row r="927" ht="12.75" customHeight="1">
      <c r="A927" s="24"/>
      <c r="B927" s="609"/>
      <c r="C927" s="24"/>
      <c r="D927" s="24"/>
      <c r="E927" s="610"/>
      <c r="F927" s="611"/>
      <c r="G927" s="26"/>
      <c r="H927" s="8"/>
      <c r="I927" s="611"/>
      <c r="J927" s="26"/>
      <c r="K927" s="8"/>
      <c r="L927" s="611"/>
      <c r="M927" s="26"/>
      <c r="N927" s="8"/>
      <c r="O927" s="611"/>
      <c r="P927" s="26"/>
      <c r="Q927" s="8"/>
      <c r="R927" s="611"/>
      <c r="S927" s="26"/>
      <c r="T927" s="8"/>
      <c r="U927" s="611"/>
      <c r="V927" s="26"/>
      <c r="W927" s="8"/>
      <c r="X927" s="611"/>
      <c r="Y927" s="26"/>
      <c r="Z927" s="8"/>
      <c r="AA927" s="611"/>
      <c r="AB927" s="26"/>
      <c r="AC927" s="8"/>
      <c r="AD927" s="26"/>
      <c r="AE927" s="26"/>
      <c r="AF927" s="26"/>
      <c r="AG927" s="26"/>
      <c r="AH927" s="26"/>
    </row>
    <row r="928" ht="12.75" customHeight="1">
      <c r="A928" s="24"/>
      <c r="B928" s="609"/>
      <c r="C928" s="24"/>
      <c r="D928" s="24"/>
      <c r="E928" s="610"/>
      <c r="F928" s="611"/>
      <c r="G928" s="26"/>
      <c r="H928" s="8"/>
      <c r="I928" s="611"/>
      <c r="J928" s="26"/>
      <c r="K928" s="8"/>
      <c r="L928" s="611"/>
      <c r="M928" s="26"/>
      <c r="N928" s="8"/>
      <c r="O928" s="611"/>
      <c r="P928" s="26"/>
      <c r="Q928" s="8"/>
      <c r="R928" s="611"/>
      <c r="S928" s="26"/>
      <c r="T928" s="8"/>
      <c r="U928" s="611"/>
      <c r="V928" s="26"/>
      <c r="W928" s="8"/>
      <c r="X928" s="611"/>
      <c r="Y928" s="26"/>
      <c r="Z928" s="8"/>
      <c r="AA928" s="611"/>
      <c r="AB928" s="26"/>
      <c r="AC928" s="8"/>
      <c r="AD928" s="26"/>
      <c r="AE928" s="26"/>
      <c r="AF928" s="26"/>
      <c r="AG928" s="26"/>
      <c r="AH928" s="26"/>
    </row>
    <row r="929" ht="12.75" customHeight="1">
      <c r="A929" s="24"/>
      <c r="B929" s="609"/>
      <c r="C929" s="24"/>
      <c r="D929" s="24"/>
      <c r="E929" s="610"/>
      <c r="F929" s="611"/>
      <c r="G929" s="26"/>
      <c r="H929" s="8"/>
      <c r="I929" s="611"/>
      <c r="J929" s="26"/>
      <c r="K929" s="8"/>
      <c r="L929" s="611"/>
      <c r="M929" s="26"/>
      <c r="N929" s="8"/>
      <c r="O929" s="611"/>
      <c r="P929" s="26"/>
      <c r="Q929" s="8"/>
      <c r="R929" s="611"/>
      <c r="S929" s="26"/>
      <c r="T929" s="8"/>
      <c r="U929" s="611"/>
      <c r="V929" s="26"/>
      <c r="W929" s="8"/>
      <c r="X929" s="611"/>
      <c r="Y929" s="26"/>
      <c r="Z929" s="8"/>
      <c r="AA929" s="611"/>
      <c r="AB929" s="26"/>
      <c r="AC929" s="8"/>
      <c r="AD929" s="26"/>
      <c r="AE929" s="26"/>
      <c r="AF929" s="26"/>
      <c r="AG929" s="26"/>
      <c r="AH929" s="26"/>
    </row>
    <row r="930" ht="12.75" customHeight="1">
      <c r="A930" s="24"/>
      <c r="B930" s="609"/>
      <c r="C930" s="24"/>
      <c r="D930" s="24"/>
      <c r="E930" s="610"/>
      <c r="F930" s="611"/>
      <c r="G930" s="26"/>
      <c r="H930" s="8"/>
      <c r="I930" s="611"/>
      <c r="J930" s="26"/>
      <c r="K930" s="8"/>
      <c r="L930" s="611"/>
      <c r="M930" s="26"/>
      <c r="N930" s="8"/>
      <c r="O930" s="611"/>
      <c r="P930" s="26"/>
      <c r="Q930" s="8"/>
      <c r="R930" s="611"/>
      <c r="S930" s="26"/>
      <c r="T930" s="8"/>
      <c r="U930" s="611"/>
      <c r="V930" s="26"/>
      <c r="W930" s="8"/>
      <c r="X930" s="611"/>
      <c r="Y930" s="26"/>
      <c r="Z930" s="8"/>
      <c r="AA930" s="611"/>
      <c r="AB930" s="26"/>
      <c r="AC930" s="8"/>
      <c r="AD930" s="26"/>
      <c r="AE930" s="26"/>
      <c r="AF930" s="26"/>
      <c r="AG930" s="26"/>
      <c r="AH930" s="26"/>
    </row>
    <row r="931" ht="12.75" customHeight="1">
      <c r="A931" s="24"/>
      <c r="B931" s="609"/>
      <c r="C931" s="24"/>
      <c r="D931" s="24"/>
      <c r="E931" s="610"/>
      <c r="F931" s="611"/>
      <c r="G931" s="26"/>
      <c r="H931" s="8"/>
      <c r="I931" s="611"/>
      <c r="J931" s="26"/>
      <c r="K931" s="8"/>
      <c r="L931" s="611"/>
      <c r="M931" s="26"/>
      <c r="N931" s="8"/>
      <c r="O931" s="611"/>
      <c r="P931" s="26"/>
      <c r="Q931" s="8"/>
      <c r="R931" s="611"/>
      <c r="S931" s="26"/>
      <c r="T931" s="8"/>
      <c r="U931" s="611"/>
      <c r="V931" s="26"/>
      <c r="W931" s="8"/>
      <c r="X931" s="611"/>
      <c r="Y931" s="26"/>
      <c r="Z931" s="8"/>
      <c r="AA931" s="611"/>
      <c r="AB931" s="26"/>
      <c r="AC931" s="8"/>
      <c r="AD931" s="26"/>
      <c r="AE931" s="26"/>
      <c r="AF931" s="26"/>
      <c r="AG931" s="26"/>
      <c r="AH931" s="26"/>
    </row>
    <row r="932" ht="12.75" customHeight="1">
      <c r="A932" s="24"/>
      <c r="B932" s="609"/>
      <c r="C932" s="24"/>
      <c r="D932" s="24"/>
      <c r="E932" s="610"/>
      <c r="F932" s="611"/>
      <c r="G932" s="26"/>
      <c r="H932" s="8"/>
      <c r="I932" s="611"/>
      <c r="J932" s="26"/>
      <c r="K932" s="8"/>
      <c r="L932" s="611"/>
      <c r="M932" s="26"/>
      <c r="N932" s="8"/>
      <c r="O932" s="611"/>
      <c r="P932" s="26"/>
      <c r="Q932" s="8"/>
      <c r="R932" s="611"/>
      <c r="S932" s="26"/>
      <c r="T932" s="8"/>
      <c r="U932" s="611"/>
      <c r="V932" s="26"/>
      <c r="W932" s="8"/>
      <c r="X932" s="611"/>
      <c r="Y932" s="26"/>
      <c r="Z932" s="8"/>
      <c r="AA932" s="611"/>
      <c r="AB932" s="26"/>
      <c r="AC932" s="8"/>
      <c r="AD932" s="26"/>
      <c r="AE932" s="26"/>
      <c r="AF932" s="26"/>
      <c r="AG932" s="26"/>
      <c r="AH932" s="26"/>
    </row>
    <row r="933" ht="12.75" customHeight="1">
      <c r="A933" s="24"/>
      <c r="B933" s="609"/>
      <c r="C933" s="24"/>
      <c r="D933" s="24"/>
      <c r="E933" s="610"/>
      <c r="F933" s="611"/>
      <c r="G933" s="26"/>
      <c r="H933" s="8"/>
      <c r="I933" s="611"/>
      <c r="J933" s="26"/>
      <c r="K933" s="8"/>
      <c r="L933" s="611"/>
      <c r="M933" s="26"/>
      <c r="N933" s="8"/>
      <c r="O933" s="611"/>
      <c r="P933" s="26"/>
      <c r="Q933" s="8"/>
      <c r="R933" s="611"/>
      <c r="S933" s="26"/>
      <c r="T933" s="8"/>
      <c r="U933" s="611"/>
      <c r="V933" s="26"/>
      <c r="W933" s="8"/>
      <c r="X933" s="611"/>
      <c r="Y933" s="26"/>
      <c r="Z933" s="8"/>
      <c r="AA933" s="611"/>
      <c r="AB933" s="26"/>
      <c r="AC933" s="8"/>
      <c r="AD933" s="26"/>
      <c r="AE933" s="26"/>
      <c r="AF933" s="26"/>
      <c r="AG933" s="26"/>
      <c r="AH933" s="26"/>
    </row>
    <row r="934" ht="12.75" customHeight="1">
      <c r="A934" s="24"/>
      <c r="B934" s="609"/>
      <c r="C934" s="24"/>
      <c r="D934" s="24"/>
      <c r="E934" s="610"/>
      <c r="F934" s="611"/>
      <c r="G934" s="26"/>
      <c r="H934" s="8"/>
      <c r="I934" s="611"/>
      <c r="J934" s="26"/>
      <c r="K934" s="8"/>
      <c r="L934" s="611"/>
      <c r="M934" s="26"/>
      <c r="N934" s="8"/>
      <c r="O934" s="611"/>
      <c r="P934" s="26"/>
      <c r="Q934" s="8"/>
      <c r="R934" s="611"/>
      <c r="S934" s="26"/>
      <c r="T934" s="8"/>
      <c r="U934" s="611"/>
      <c r="V934" s="26"/>
      <c r="W934" s="8"/>
      <c r="X934" s="611"/>
      <c r="Y934" s="26"/>
      <c r="Z934" s="8"/>
      <c r="AA934" s="611"/>
      <c r="AB934" s="26"/>
      <c r="AC934" s="8"/>
      <c r="AD934" s="26"/>
      <c r="AE934" s="26"/>
      <c r="AF934" s="26"/>
      <c r="AG934" s="26"/>
      <c r="AH934" s="26"/>
    </row>
    <row r="935" ht="12.75" customHeight="1">
      <c r="A935" s="24"/>
      <c r="B935" s="609"/>
      <c r="C935" s="24"/>
      <c r="D935" s="24"/>
      <c r="E935" s="610"/>
      <c r="F935" s="611"/>
      <c r="G935" s="26"/>
      <c r="H935" s="8"/>
      <c r="I935" s="611"/>
      <c r="J935" s="26"/>
      <c r="K935" s="8"/>
      <c r="L935" s="611"/>
      <c r="M935" s="26"/>
      <c r="N935" s="8"/>
      <c r="O935" s="611"/>
      <c r="P935" s="26"/>
      <c r="Q935" s="8"/>
      <c r="R935" s="611"/>
      <c r="S935" s="26"/>
      <c r="T935" s="8"/>
      <c r="U935" s="611"/>
      <c r="V935" s="26"/>
      <c r="W935" s="8"/>
      <c r="X935" s="611"/>
      <c r="Y935" s="26"/>
      <c r="Z935" s="8"/>
      <c r="AA935" s="611"/>
      <c r="AB935" s="26"/>
      <c r="AC935" s="8"/>
      <c r="AD935" s="26"/>
      <c r="AE935" s="26"/>
      <c r="AF935" s="26"/>
      <c r="AG935" s="26"/>
      <c r="AH935" s="26"/>
    </row>
    <row r="936" ht="12.75" customHeight="1">
      <c r="A936" s="24"/>
      <c r="B936" s="609"/>
      <c r="C936" s="24"/>
      <c r="D936" s="24"/>
      <c r="E936" s="610"/>
      <c r="F936" s="611"/>
      <c r="G936" s="26"/>
      <c r="H936" s="8"/>
      <c r="I936" s="611"/>
      <c r="J936" s="26"/>
      <c r="K936" s="8"/>
      <c r="L936" s="611"/>
      <c r="M936" s="26"/>
      <c r="N936" s="8"/>
      <c r="O936" s="611"/>
      <c r="P936" s="26"/>
      <c r="Q936" s="8"/>
      <c r="R936" s="611"/>
      <c r="S936" s="26"/>
      <c r="T936" s="8"/>
      <c r="U936" s="611"/>
      <c r="V936" s="26"/>
      <c r="W936" s="8"/>
      <c r="X936" s="611"/>
      <c r="Y936" s="26"/>
      <c r="Z936" s="8"/>
      <c r="AA936" s="611"/>
      <c r="AB936" s="26"/>
      <c r="AC936" s="8"/>
      <c r="AD936" s="26"/>
      <c r="AE936" s="26"/>
      <c r="AF936" s="26"/>
      <c r="AG936" s="26"/>
      <c r="AH936" s="26"/>
    </row>
    <row r="937" ht="12.75" customHeight="1">
      <c r="A937" s="24"/>
      <c r="B937" s="609"/>
      <c r="C937" s="24"/>
      <c r="D937" s="24"/>
      <c r="E937" s="610"/>
      <c r="F937" s="611"/>
      <c r="G937" s="26"/>
      <c r="H937" s="8"/>
      <c r="I937" s="611"/>
      <c r="J937" s="26"/>
      <c r="K937" s="8"/>
      <c r="L937" s="611"/>
      <c r="M937" s="26"/>
      <c r="N937" s="8"/>
      <c r="O937" s="611"/>
      <c r="P937" s="26"/>
      <c r="Q937" s="8"/>
      <c r="R937" s="611"/>
      <c r="S937" s="26"/>
      <c r="T937" s="8"/>
      <c r="U937" s="611"/>
      <c r="V937" s="26"/>
      <c r="W937" s="8"/>
      <c r="X937" s="611"/>
      <c r="Y937" s="26"/>
      <c r="Z937" s="8"/>
      <c r="AA937" s="611"/>
      <c r="AB937" s="26"/>
      <c r="AC937" s="8"/>
      <c r="AD937" s="26"/>
      <c r="AE937" s="26"/>
      <c r="AF937" s="26"/>
      <c r="AG937" s="26"/>
      <c r="AH937" s="26"/>
    </row>
    <row r="938" ht="12.75" customHeight="1">
      <c r="A938" s="24"/>
      <c r="B938" s="609"/>
      <c r="C938" s="24"/>
      <c r="D938" s="24"/>
      <c r="E938" s="610"/>
      <c r="F938" s="611"/>
      <c r="G938" s="26"/>
      <c r="H938" s="8"/>
      <c r="I938" s="611"/>
      <c r="J938" s="26"/>
      <c r="K938" s="8"/>
      <c r="L938" s="611"/>
      <c r="M938" s="26"/>
      <c r="N938" s="8"/>
      <c r="O938" s="611"/>
      <c r="P938" s="26"/>
      <c r="Q938" s="8"/>
      <c r="R938" s="611"/>
      <c r="S938" s="26"/>
      <c r="T938" s="8"/>
      <c r="U938" s="611"/>
      <c r="V938" s="26"/>
      <c r="W938" s="8"/>
      <c r="X938" s="611"/>
      <c r="Y938" s="26"/>
      <c r="Z938" s="8"/>
      <c r="AA938" s="611"/>
      <c r="AB938" s="26"/>
      <c r="AC938" s="8"/>
      <c r="AD938" s="26"/>
      <c r="AE938" s="26"/>
      <c r="AF938" s="26"/>
      <c r="AG938" s="26"/>
      <c r="AH938" s="26"/>
    </row>
    <row r="939" ht="12.75" customHeight="1">
      <c r="A939" s="24"/>
      <c r="B939" s="609"/>
      <c r="C939" s="24"/>
      <c r="D939" s="24"/>
      <c r="E939" s="610"/>
      <c r="F939" s="611"/>
      <c r="G939" s="26"/>
      <c r="H939" s="8"/>
      <c r="I939" s="611"/>
      <c r="J939" s="26"/>
      <c r="K939" s="8"/>
      <c r="L939" s="611"/>
      <c r="M939" s="26"/>
      <c r="N939" s="8"/>
      <c r="O939" s="611"/>
      <c r="P939" s="26"/>
      <c r="Q939" s="8"/>
      <c r="R939" s="611"/>
      <c r="S939" s="26"/>
      <c r="T939" s="8"/>
      <c r="U939" s="611"/>
      <c r="V939" s="26"/>
      <c r="W939" s="8"/>
      <c r="X939" s="611"/>
      <c r="Y939" s="26"/>
      <c r="Z939" s="8"/>
      <c r="AA939" s="611"/>
      <c r="AB939" s="26"/>
      <c r="AC939" s="8"/>
      <c r="AD939" s="26"/>
      <c r="AE939" s="26"/>
      <c r="AF939" s="26"/>
      <c r="AG939" s="26"/>
      <c r="AH939" s="26"/>
    </row>
    <row r="940" ht="12.75" customHeight="1">
      <c r="A940" s="24"/>
      <c r="B940" s="609"/>
      <c r="C940" s="24"/>
      <c r="D940" s="24"/>
      <c r="E940" s="610"/>
      <c r="F940" s="611"/>
      <c r="G940" s="26"/>
      <c r="H940" s="8"/>
      <c r="I940" s="611"/>
      <c r="J940" s="26"/>
      <c r="K940" s="8"/>
      <c r="L940" s="611"/>
      <c r="M940" s="26"/>
      <c r="N940" s="8"/>
      <c r="O940" s="611"/>
      <c r="P940" s="26"/>
      <c r="Q940" s="8"/>
      <c r="R940" s="611"/>
      <c r="S940" s="26"/>
      <c r="T940" s="8"/>
      <c r="U940" s="611"/>
      <c r="V940" s="26"/>
      <c r="W940" s="8"/>
      <c r="X940" s="611"/>
      <c r="Y940" s="26"/>
      <c r="Z940" s="8"/>
      <c r="AA940" s="611"/>
      <c r="AB940" s="26"/>
      <c r="AC940" s="8"/>
      <c r="AD940" s="26"/>
      <c r="AE940" s="26"/>
      <c r="AF940" s="26"/>
      <c r="AG940" s="26"/>
      <c r="AH940" s="26"/>
    </row>
    <row r="941" ht="12.75" customHeight="1">
      <c r="A941" s="24"/>
      <c r="B941" s="609"/>
      <c r="C941" s="24"/>
      <c r="D941" s="24"/>
      <c r="E941" s="610"/>
      <c r="F941" s="611"/>
      <c r="G941" s="26"/>
      <c r="H941" s="8"/>
      <c r="I941" s="611"/>
      <c r="J941" s="26"/>
      <c r="K941" s="8"/>
      <c r="L941" s="611"/>
      <c r="M941" s="26"/>
      <c r="N941" s="8"/>
      <c r="O941" s="611"/>
      <c r="P941" s="26"/>
      <c r="Q941" s="8"/>
      <c r="R941" s="611"/>
      <c r="S941" s="26"/>
      <c r="T941" s="8"/>
      <c r="U941" s="611"/>
      <c r="V941" s="26"/>
      <c r="W941" s="8"/>
      <c r="X941" s="611"/>
      <c r="Y941" s="26"/>
      <c r="Z941" s="8"/>
      <c r="AA941" s="611"/>
      <c r="AB941" s="26"/>
      <c r="AC941" s="8"/>
      <c r="AD941" s="26"/>
      <c r="AE941" s="26"/>
      <c r="AF941" s="26"/>
      <c r="AG941" s="26"/>
      <c r="AH941" s="26"/>
    </row>
    <row r="942" ht="12.75" customHeight="1">
      <c r="A942" s="24"/>
      <c r="B942" s="609"/>
      <c r="C942" s="24"/>
      <c r="D942" s="24"/>
      <c r="E942" s="610"/>
      <c r="F942" s="611"/>
      <c r="G942" s="26"/>
      <c r="H942" s="8"/>
      <c r="I942" s="611"/>
      <c r="J942" s="26"/>
      <c r="K942" s="8"/>
      <c r="L942" s="611"/>
      <c r="M942" s="26"/>
      <c r="N942" s="8"/>
      <c r="O942" s="611"/>
      <c r="P942" s="26"/>
      <c r="Q942" s="8"/>
      <c r="R942" s="611"/>
      <c r="S942" s="26"/>
      <c r="T942" s="8"/>
      <c r="U942" s="611"/>
      <c r="V942" s="26"/>
      <c r="W942" s="8"/>
      <c r="X942" s="611"/>
      <c r="Y942" s="26"/>
      <c r="Z942" s="8"/>
      <c r="AA942" s="611"/>
      <c r="AB942" s="26"/>
      <c r="AC942" s="8"/>
      <c r="AD942" s="26"/>
      <c r="AE942" s="26"/>
      <c r="AF942" s="26"/>
      <c r="AG942" s="26"/>
      <c r="AH942" s="26"/>
    </row>
    <row r="943" ht="12.75" customHeight="1">
      <c r="A943" s="24"/>
      <c r="B943" s="609"/>
      <c r="C943" s="24"/>
      <c r="D943" s="24"/>
      <c r="E943" s="610"/>
      <c r="F943" s="611"/>
      <c r="G943" s="26"/>
      <c r="H943" s="8"/>
      <c r="I943" s="611"/>
      <c r="J943" s="26"/>
      <c r="K943" s="8"/>
      <c r="L943" s="611"/>
      <c r="M943" s="26"/>
      <c r="N943" s="8"/>
      <c r="O943" s="611"/>
      <c r="P943" s="26"/>
      <c r="Q943" s="8"/>
      <c r="R943" s="611"/>
      <c r="S943" s="26"/>
      <c r="T943" s="8"/>
      <c r="U943" s="611"/>
      <c r="V943" s="26"/>
      <c r="W943" s="8"/>
      <c r="X943" s="611"/>
      <c r="Y943" s="26"/>
      <c r="Z943" s="8"/>
      <c r="AA943" s="611"/>
      <c r="AB943" s="26"/>
      <c r="AC943" s="8"/>
      <c r="AD943" s="26"/>
      <c r="AE943" s="26"/>
      <c r="AF943" s="26"/>
      <c r="AG943" s="26"/>
      <c r="AH943" s="26"/>
    </row>
    <row r="944" ht="12.75" customHeight="1">
      <c r="A944" s="24"/>
      <c r="B944" s="609"/>
      <c r="C944" s="24"/>
      <c r="D944" s="24"/>
      <c r="E944" s="610"/>
      <c r="F944" s="611"/>
      <c r="G944" s="26"/>
      <c r="H944" s="8"/>
      <c r="I944" s="611"/>
      <c r="J944" s="26"/>
      <c r="K944" s="8"/>
      <c r="L944" s="611"/>
      <c r="M944" s="26"/>
      <c r="N944" s="8"/>
      <c r="O944" s="611"/>
      <c r="P944" s="26"/>
      <c r="Q944" s="8"/>
      <c r="R944" s="611"/>
      <c r="S944" s="26"/>
      <c r="T944" s="8"/>
      <c r="U944" s="611"/>
      <c r="V944" s="26"/>
      <c r="W944" s="8"/>
      <c r="X944" s="611"/>
      <c r="Y944" s="26"/>
      <c r="Z944" s="8"/>
      <c r="AA944" s="611"/>
      <c r="AB944" s="26"/>
      <c r="AC944" s="8"/>
      <c r="AD944" s="26"/>
      <c r="AE944" s="26"/>
      <c r="AF944" s="26"/>
      <c r="AG944" s="26"/>
      <c r="AH944" s="26"/>
    </row>
    <row r="945" ht="12.75" customHeight="1">
      <c r="A945" s="24"/>
      <c r="B945" s="609"/>
      <c r="C945" s="24"/>
      <c r="D945" s="24"/>
      <c r="E945" s="610"/>
      <c r="F945" s="611"/>
      <c r="G945" s="26"/>
      <c r="H945" s="8"/>
      <c r="I945" s="611"/>
      <c r="J945" s="26"/>
      <c r="K945" s="8"/>
      <c r="L945" s="611"/>
      <c r="M945" s="26"/>
      <c r="N945" s="8"/>
      <c r="O945" s="611"/>
      <c r="P945" s="26"/>
      <c r="Q945" s="8"/>
      <c r="R945" s="611"/>
      <c r="S945" s="26"/>
      <c r="T945" s="8"/>
      <c r="U945" s="611"/>
      <c r="V945" s="26"/>
      <c r="W945" s="8"/>
      <c r="X945" s="611"/>
      <c r="Y945" s="26"/>
      <c r="Z945" s="8"/>
      <c r="AA945" s="611"/>
      <c r="AB945" s="26"/>
      <c r="AC945" s="8"/>
      <c r="AD945" s="26"/>
      <c r="AE945" s="26"/>
      <c r="AF945" s="26"/>
      <c r="AG945" s="26"/>
      <c r="AH945" s="26"/>
    </row>
    <row r="946" ht="12.75" customHeight="1">
      <c r="A946" s="24"/>
      <c r="B946" s="609"/>
      <c r="C946" s="24"/>
      <c r="D946" s="24"/>
      <c r="E946" s="610"/>
      <c r="F946" s="611"/>
      <c r="G946" s="26"/>
      <c r="H946" s="8"/>
      <c r="I946" s="611"/>
      <c r="J946" s="26"/>
      <c r="K946" s="8"/>
      <c r="L946" s="611"/>
      <c r="M946" s="26"/>
      <c r="N946" s="8"/>
      <c r="O946" s="611"/>
      <c r="P946" s="26"/>
      <c r="Q946" s="8"/>
      <c r="R946" s="611"/>
      <c r="S946" s="26"/>
      <c r="T946" s="8"/>
      <c r="U946" s="611"/>
      <c r="V946" s="26"/>
      <c r="W946" s="8"/>
      <c r="X946" s="611"/>
      <c r="Y946" s="26"/>
      <c r="Z946" s="8"/>
      <c r="AA946" s="611"/>
      <c r="AB946" s="26"/>
      <c r="AC946" s="8"/>
      <c r="AD946" s="26"/>
      <c r="AE946" s="26"/>
      <c r="AF946" s="26"/>
      <c r="AG946" s="26"/>
      <c r="AH946" s="26"/>
    </row>
    <row r="947" ht="12.75" customHeight="1">
      <c r="A947" s="24"/>
      <c r="B947" s="609"/>
      <c r="C947" s="24"/>
      <c r="D947" s="24"/>
      <c r="E947" s="610"/>
      <c r="F947" s="611"/>
      <c r="G947" s="26"/>
      <c r="H947" s="8"/>
      <c r="I947" s="611"/>
      <c r="J947" s="26"/>
      <c r="K947" s="8"/>
      <c r="L947" s="611"/>
      <c r="M947" s="26"/>
      <c r="N947" s="8"/>
      <c r="O947" s="611"/>
      <c r="P947" s="26"/>
      <c r="Q947" s="8"/>
      <c r="R947" s="611"/>
      <c r="S947" s="26"/>
      <c r="T947" s="8"/>
      <c r="U947" s="611"/>
      <c r="V947" s="26"/>
      <c r="W947" s="8"/>
      <c r="X947" s="611"/>
      <c r="Y947" s="26"/>
      <c r="Z947" s="8"/>
      <c r="AA947" s="611"/>
      <c r="AB947" s="26"/>
      <c r="AC947" s="8"/>
      <c r="AD947" s="26"/>
      <c r="AE947" s="26"/>
      <c r="AF947" s="26"/>
      <c r="AG947" s="26"/>
      <c r="AH947" s="26"/>
    </row>
    <row r="948" ht="12.75" customHeight="1">
      <c r="A948" s="24"/>
      <c r="B948" s="609"/>
      <c r="C948" s="24"/>
      <c r="D948" s="24"/>
      <c r="E948" s="610"/>
      <c r="F948" s="611"/>
      <c r="G948" s="26"/>
      <c r="H948" s="8"/>
      <c r="I948" s="611"/>
      <c r="J948" s="26"/>
      <c r="K948" s="8"/>
      <c r="L948" s="611"/>
      <c r="M948" s="26"/>
      <c r="N948" s="8"/>
      <c r="O948" s="611"/>
      <c r="P948" s="26"/>
      <c r="Q948" s="8"/>
      <c r="R948" s="611"/>
      <c r="S948" s="26"/>
      <c r="T948" s="8"/>
      <c r="U948" s="611"/>
      <c r="V948" s="26"/>
      <c r="W948" s="8"/>
      <c r="X948" s="611"/>
      <c r="Y948" s="26"/>
      <c r="Z948" s="8"/>
      <c r="AA948" s="611"/>
      <c r="AB948" s="26"/>
      <c r="AC948" s="8"/>
      <c r="AD948" s="26"/>
      <c r="AE948" s="26"/>
      <c r="AF948" s="26"/>
      <c r="AG948" s="26"/>
      <c r="AH948" s="26"/>
    </row>
    <row r="949" ht="12.75" customHeight="1">
      <c r="A949" s="24"/>
      <c r="B949" s="609"/>
      <c r="C949" s="24"/>
      <c r="D949" s="24"/>
      <c r="E949" s="610"/>
      <c r="F949" s="611"/>
      <c r="G949" s="26"/>
      <c r="H949" s="8"/>
      <c r="I949" s="611"/>
      <c r="J949" s="26"/>
      <c r="K949" s="8"/>
      <c r="L949" s="611"/>
      <c r="M949" s="26"/>
      <c r="N949" s="8"/>
      <c r="O949" s="611"/>
      <c r="P949" s="26"/>
      <c r="Q949" s="8"/>
      <c r="R949" s="611"/>
      <c r="S949" s="26"/>
      <c r="T949" s="8"/>
      <c r="U949" s="611"/>
      <c r="V949" s="26"/>
      <c r="W949" s="8"/>
      <c r="X949" s="611"/>
      <c r="Y949" s="26"/>
      <c r="Z949" s="8"/>
      <c r="AA949" s="611"/>
      <c r="AB949" s="26"/>
      <c r="AC949" s="8"/>
      <c r="AD949" s="26"/>
      <c r="AE949" s="26"/>
      <c r="AF949" s="26"/>
      <c r="AG949" s="26"/>
      <c r="AH949" s="26"/>
    </row>
    <row r="950" ht="12.75" customHeight="1">
      <c r="A950" s="24"/>
      <c r="B950" s="609"/>
      <c r="C950" s="24"/>
      <c r="D950" s="24"/>
      <c r="E950" s="610"/>
      <c r="F950" s="611"/>
      <c r="G950" s="26"/>
      <c r="H950" s="8"/>
      <c r="I950" s="611"/>
      <c r="J950" s="26"/>
      <c r="K950" s="8"/>
      <c r="L950" s="611"/>
      <c r="M950" s="26"/>
      <c r="N950" s="8"/>
      <c r="O950" s="611"/>
      <c r="P950" s="26"/>
      <c r="Q950" s="8"/>
      <c r="R950" s="611"/>
      <c r="S950" s="26"/>
      <c r="T950" s="8"/>
      <c r="U950" s="611"/>
      <c r="V950" s="26"/>
      <c r="W950" s="8"/>
      <c r="X950" s="611"/>
      <c r="Y950" s="26"/>
      <c r="Z950" s="8"/>
      <c r="AA950" s="611"/>
      <c r="AB950" s="26"/>
      <c r="AC950" s="8"/>
      <c r="AD950" s="26"/>
      <c r="AE950" s="26"/>
      <c r="AF950" s="26"/>
      <c r="AG950" s="26"/>
      <c r="AH950" s="26"/>
    </row>
    <row r="951" ht="12.75" customHeight="1">
      <c r="A951" s="24"/>
      <c r="B951" s="609"/>
      <c r="C951" s="24"/>
      <c r="D951" s="24"/>
      <c r="E951" s="610"/>
      <c r="F951" s="611"/>
      <c r="G951" s="26"/>
      <c r="H951" s="8"/>
      <c r="I951" s="611"/>
      <c r="J951" s="26"/>
      <c r="K951" s="8"/>
      <c r="L951" s="611"/>
      <c r="M951" s="26"/>
      <c r="N951" s="8"/>
      <c r="O951" s="611"/>
      <c r="P951" s="26"/>
      <c r="Q951" s="8"/>
      <c r="R951" s="611"/>
      <c r="S951" s="26"/>
      <c r="T951" s="8"/>
      <c r="U951" s="611"/>
      <c r="V951" s="26"/>
      <c r="W951" s="8"/>
      <c r="X951" s="611"/>
      <c r="Y951" s="26"/>
      <c r="Z951" s="8"/>
      <c r="AA951" s="611"/>
      <c r="AB951" s="26"/>
      <c r="AC951" s="8"/>
      <c r="AD951" s="26"/>
      <c r="AE951" s="26"/>
      <c r="AF951" s="26"/>
      <c r="AG951" s="26"/>
      <c r="AH951" s="26"/>
    </row>
    <row r="952" ht="12.75" customHeight="1">
      <c r="A952" s="24"/>
      <c r="B952" s="609"/>
      <c r="C952" s="24"/>
      <c r="D952" s="24"/>
      <c r="E952" s="610"/>
      <c r="F952" s="611"/>
      <c r="G952" s="26"/>
      <c r="H952" s="8"/>
      <c r="I952" s="611"/>
      <c r="J952" s="26"/>
      <c r="K952" s="8"/>
      <c r="L952" s="611"/>
      <c r="M952" s="26"/>
      <c r="N952" s="8"/>
      <c r="O952" s="611"/>
      <c r="P952" s="26"/>
      <c r="Q952" s="8"/>
      <c r="R952" s="611"/>
      <c r="S952" s="26"/>
      <c r="T952" s="8"/>
      <c r="U952" s="611"/>
      <c r="V952" s="26"/>
      <c r="W952" s="8"/>
      <c r="X952" s="611"/>
      <c r="Y952" s="26"/>
      <c r="Z952" s="8"/>
      <c r="AA952" s="611"/>
      <c r="AB952" s="26"/>
      <c r="AC952" s="8"/>
      <c r="AD952" s="26"/>
      <c r="AE952" s="26"/>
      <c r="AF952" s="26"/>
      <c r="AG952" s="26"/>
      <c r="AH952" s="26"/>
    </row>
    <row r="953" ht="12.75" customHeight="1">
      <c r="A953" s="24"/>
      <c r="B953" s="609"/>
      <c r="C953" s="24"/>
      <c r="D953" s="24"/>
      <c r="E953" s="610"/>
      <c r="F953" s="611"/>
      <c r="G953" s="26"/>
      <c r="H953" s="8"/>
      <c r="I953" s="611"/>
      <c r="J953" s="26"/>
      <c r="K953" s="8"/>
      <c r="L953" s="611"/>
      <c r="M953" s="26"/>
      <c r="N953" s="8"/>
      <c r="O953" s="611"/>
      <c r="P953" s="26"/>
      <c r="Q953" s="8"/>
      <c r="R953" s="611"/>
      <c r="S953" s="26"/>
      <c r="T953" s="8"/>
      <c r="U953" s="611"/>
      <c r="V953" s="26"/>
      <c r="W953" s="8"/>
      <c r="X953" s="611"/>
      <c r="Y953" s="26"/>
      <c r="Z953" s="8"/>
      <c r="AA953" s="611"/>
      <c r="AB953" s="26"/>
      <c r="AC953" s="8"/>
      <c r="AD953" s="26"/>
      <c r="AE953" s="26"/>
      <c r="AF953" s="26"/>
      <c r="AG953" s="26"/>
      <c r="AH953" s="26"/>
    </row>
    <row r="954" ht="12.75" customHeight="1">
      <c r="A954" s="24"/>
      <c r="B954" s="609"/>
      <c r="C954" s="24"/>
      <c r="D954" s="24"/>
      <c r="E954" s="610"/>
      <c r="F954" s="611"/>
      <c r="G954" s="26"/>
      <c r="H954" s="8"/>
      <c r="I954" s="611"/>
      <c r="J954" s="26"/>
      <c r="K954" s="8"/>
      <c r="L954" s="611"/>
      <c r="M954" s="26"/>
      <c r="N954" s="8"/>
      <c r="O954" s="611"/>
      <c r="P954" s="26"/>
      <c r="Q954" s="8"/>
      <c r="R954" s="611"/>
      <c r="S954" s="26"/>
      <c r="T954" s="8"/>
      <c r="U954" s="611"/>
      <c r="V954" s="26"/>
      <c r="W954" s="8"/>
      <c r="X954" s="611"/>
      <c r="Y954" s="26"/>
      <c r="Z954" s="8"/>
      <c r="AA954" s="611"/>
      <c r="AB954" s="26"/>
      <c r="AC954" s="8"/>
      <c r="AD954" s="26"/>
      <c r="AE954" s="26"/>
      <c r="AF954" s="26"/>
      <c r="AG954" s="26"/>
      <c r="AH954" s="26"/>
    </row>
    <row r="955" ht="12.75" customHeight="1">
      <c r="A955" s="24"/>
      <c r="B955" s="609"/>
      <c r="C955" s="24"/>
      <c r="D955" s="24"/>
      <c r="E955" s="610"/>
      <c r="F955" s="611"/>
      <c r="G955" s="26"/>
      <c r="H955" s="8"/>
      <c r="I955" s="611"/>
      <c r="J955" s="26"/>
      <c r="K955" s="8"/>
      <c r="L955" s="611"/>
      <c r="M955" s="26"/>
      <c r="N955" s="8"/>
      <c r="O955" s="611"/>
      <c r="P955" s="26"/>
      <c r="Q955" s="8"/>
      <c r="R955" s="611"/>
      <c r="S955" s="26"/>
      <c r="T955" s="8"/>
      <c r="U955" s="611"/>
      <c r="V955" s="26"/>
      <c r="W955" s="8"/>
      <c r="X955" s="611"/>
      <c r="Y955" s="26"/>
      <c r="Z955" s="8"/>
      <c r="AA955" s="611"/>
      <c r="AB955" s="26"/>
      <c r="AC955" s="8"/>
      <c r="AD955" s="26"/>
      <c r="AE955" s="26"/>
      <c r="AF955" s="26"/>
      <c r="AG955" s="26"/>
      <c r="AH955" s="26"/>
    </row>
    <row r="956" ht="12.75" customHeight="1">
      <c r="A956" s="24"/>
      <c r="B956" s="609"/>
      <c r="C956" s="24"/>
      <c r="D956" s="24"/>
      <c r="E956" s="610"/>
      <c r="F956" s="611"/>
      <c r="G956" s="26"/>
      <c r="H956" s="8"/>
      <c r="I956" s="611"/>
      <c r="J956" s="26"/>
      <c r="K956" s="8"/>
      <c r="L956" s="611"/>
      <c r="M956" s="26"/>
      <c r="N956" s="8"/>
      <c r="O956" s="611"/>
      <c r="P956" s="26"/>
      <c r="Q956" s="8"/>
      <c r="R956" s="611"/>
      <c r="S956" s="26"/>
      <c r="T956" s="8"/>
      <c r="U956" s="611"/>
      <c r="V956" s="26"/>
      <c r="W956" s="8"/>
      <c r="X956" s="611"/>
      <c r="Y956" s="26"/>
      <c r="Z956" s="8"/>
      <c r="AA956" s="611"/>
      <c r="AB956" s="26"/>
      <c r="AC956" s="8"/>
      <c r="AD956" s="26"/>
      <c r="AE956" s="26"/>
      <c r="AF956" s="26"/>
      <c r="AG956" s="26"/>
      <c r="AH956" s="26"/>
    </row>
    <row r="957" ht="12.75" customHeight="1">
      <c r="A957" s="24"/>
      <c r="B957" s="609"/>
      <c r="C957" s="24"/>
      <c r="D957" s="24"/>
      <c r="E957" s="610"/>
      <c r="F957" s="611"/>
      <c r="G957" s="26"/>
      <c r="H957" s="8"/>
      <c r="I957" s="611"/>
      <c r="J957" s="26"/>
      <c r="K957" s="8"/>
      <c r="L957" s="611"/>
      <c r="M957" s="26"/>
      <c r="N957" s="8"/>
      <c r="O957" s="611"/>
      <c r="P957" s="26"/>
      <c r="Q957" s="8"/>
      <c r="R957" s="611"/>
      <c r="S957" s="26"/>
      <c r="T957" s="8"/>
      <c r="U957" s="611"/>
      <c r="V957" s="26"/>
      <c r="W957" s="8"/>
      <c r="X957" s="611"/>
      <c r="Y957" s="26"/>
      <c r="Z957" s="8"/>
      <c r="AA957" s="611"/>
      <c r="AB957" s="26"/>
      <c r="AC957" s="8"/>
      <c r="AD957" s="26"/>
      <c r="AE957" s="26"/>
      <c r="AF957" s="26"/>
      <c r="AG957" s="26"/>
      <c r="AH957" s="26"/>
    </row>
    <row r="958" ht="12.75" customHeight="1">
      <c r="A958" s="24"/>
      <c r="B958" s="609"/>
      <c r="C958" s="24"/>
      <c r="D958" s="24"/>
      <c r="E958" s="610"/>
      <c r="F958" s="611"/>
      <c r="G958" s="26"/>
      <c r="H958" s="8"/>
      <c r="I958" s="611"/>
      <c r="J958" s="26"/>
      <c r="K958" s="8"/>
      <c r="L958" s="611"/>
      <c r="M958" s="26"/>
      <c r="N958" s="8"/>
      <c r="O958" s="611"/>
      <c r="P958" s="26"/>
      <c r="Q958" s="8"/>
      <c r="R958" s="611"/>
      <c r="S958" s="26"/>
      <c r="T958" s="8"/>
      <c r="U958" s="611"/>
      <c r="V958" s="26"/>
      <c r="W958" s="8"/>
      <c r="X958" s="611"/>
      <c r="Y958" s="26"/>
      <c r="Z958" s="8"/>
      <c r="AA958" s="611"/>
      <c r="AB958" s="26"/>
      <c r="AC958" s="8"/>
      <c r="AD958" s="26"/>
      <c r="AE958" s="26"/>
      <c r="AF958" s="26"/>
      <c r="AG958" s="26"/>
      <c r="AH958" s="26"/>
    </row>
    <row r="959" ht="12.75" customHeight="1">
      <c r="A959" s="24"/>
      <c r="B959" s="609"/>
      <c r="C959" s="24"/>
      <c r="D959" s="24"/>
      <c r="E959" s="610"/>
      <c r="F959" s="611"/>
      <c r="G959" s="26"/>
      <c r="H959" s="8"/>
      <c r="I959" s="611"/>
      <c r="J959" s="26"/>
      <c r="K959" s="8"/>
      <c r="L959" s="611"/>
      <c r="M959" s="26"/>
      <c r="N959" s="8"/>
      <c r="O959" s="611"/>
      <c r="P959" s="26"/>
      <c r="Q959" s="8"/>
      <c r="R959" s="611"/>
      <c r="S959" s="26"/>
      <c r="T959" s="8"/>
      <c r="U959" s="611"/>
      <c r="V959" s="26"/>
      <c r="W959" s="8"/>
      <c r="X959" s="611"/>
      <c r="Y959" s="26"/>
      <c r="Z959" s="8"/>
      <c r="AA959" s="611"/>
      <c r="AB959" s="26"/>
      <c r="AC959" s="8"/>
      <c r="AD959" s="26"/>
      <c r="AE959" s="26"/>
      <c r="AF959" s="26"/>
      <c r="AG959" s="26"/>
      <c r="AH959" s="26"/>
    </row>
    <row r="960" ht="12.75" customHeight="1">
      <c r="A960" s="24"/>
      <c r="B960" s="609"/>
      <c r="C960" s="24"/>
      <c r="D960" s="24"/>
      <c r="E960" s="610"/>
      <c r="F960" s="611"/>
      <c r="G960" s="26"/>
      <c r="H960" s="8"/>
      <c r="I960" s="611"/>
      <c r="J960" s="26"/>
      <c r="K960" s="8"/>
      <c r="L960" s="611"/>
      <c r="M960" s="26"/>
      <c r="N960" s="8"/>
      <c r="O960" s="611"/>
      <c r="P960" s="26"/>
      <c r="Q960" s="8"/>
      <c r="R960" s="611"/>
      <c r="S960" s="26"/>
      <c r="T960" s="8"/>
      <c r="U960" s="611"/>
      <c r="V960" s="26"/>
      <c r="W960" s="8"/>
      <c r="X960" s="611"/>
      <c r="Y960" s="26"/>
      <c r="Z960" s="8"/>
      <c r="AA960" s="611"/>
      <c r="AB960" s="26"/>
      <c r="AC960" s="8"/>
      <c r="AD960" s="26"/>
      <c r="AE960" s="26"/>
      <c r="AF960" s="26"/>
      <c r="AG960" s="26"/>
      <c r="AH960" s="26"/>
    </row>
    <row r="961" ht="12.75" customHeight="1">
      <c r="A961" s="24"/>
      <c r="B961" s="609"/>
      <c r="C961" s="24"/>
      <c r="D961" s="24"/>
      <c r="E961" s="610"/>
      <c r="F961" s="611"/>
      <c r="G961" s="26"/>
      <c r="H961" s="8"/>
      <c r="I961" s="611"/>
      <c r="J961" s="26"/>
      <c r="K961" s="8"/>
      <c r="L961" s="611"/>
      <c r="M961" s="26"/>
      <c r="N961" s="8"/>
      <c r="O961" s="611"/>
      <c r="P961" s="26"/>
      <c r="Q961" s="8"/>
      <c r="R961" s="611"/>
      <c r="S961" s="26"/>
      <c r="T961" s="8"/>
      <c r="U961" s="611"/>
      <c r="V961" s="26"/>
      <c r="W961" s="8"/>
      <c r="X961" s="611"/>
      <c r="Y961" s="26"/>
      <c r="Z961" s="8"/>
      <c r="AA961" s="611"/>
      <c r="AB961" s="26"/>
      <c r="AC961" s="8"/>
      <c r="AD961" s="26"/>
      <c r="AE961" s="26"/>
      <c r="AF961" s="26"/>
      <c r="AG961" s="26"/>
      <c r="AH961" s="26"/>
    </row>
    <row r="962" ht="12.75" customHeight="1">
      <c r="A962" s="24"/>
      <c r="B962" s="609"/>
      <c r="C962" s="24"/>
      <c r="D962" s="24"/>
      <c r="E962" s="610"/>
      <c r="F962" s="611"/>
      <c r="G962" s="26"/>
      <c r="H962" s="8"/>
      <c r="I962" s="611"/>
      <c r="J962" s="26"/>
      <c r="K962" s="8"/>
      <c r="L962" s="611"/>
      <c r="M962" s="26"/>
      <c r="N962" s="8"/>
      <c r="O962" s="611"/>
      <c r="P962" s="26"/>
      <c r="Q962" s="8"/>
      <c r="R962" s="611"/>
      <c r="S962" s="26"/>
      <c r="T962" s="8"/>
      <c r="U962" s="611"/>
      <c r="V962" s="26"/>
      <c r="W962" s="8"/>
      <c r="X962" s="611"/>
      <c r="Y962" s="26"/>
      <c r="Z962" s="8"/>
      <c r="AA962" s="611"/>
      <c r="AB962" s="26"/>
      <c r="AC962" s="8"/>
      <c r="AD962" s="26"/>
      <c r="AE962" s="26"/>
      <c r="AF962" s="26"/>
      <c r="AG962" s="26"/>
      <c r="AH962" s="26"/>
    </row>
    <row r="963" ht="12.75" customHeight="1">
      <c r="A963" s="24"/>
      <c r="B963" s="609"/>
      <c r="C963" s="24"/>
      <c r="D963" s="24"/>
      <c r="E963" s="610"/>
      <c r="F963" s="611"/>
      <c r="G963" s="26"/>
      <c r="H963" s="8"/>
      <c r="I963" s="611"/>
      <c r="J963" s="26"/>
      <c r="K963" s="8"/>
      <c r="L963" s="611"/>
      <c r="M963" s="26"/>
      <c r="N963" s="8"/>
      <c r="O963" s="611"/>
      <c r="P963" s="26"/>
      <c r="Q963" s="8"/>
      <c r="R963" s="611"/>
      <c r="S963" s="26"/>
      <c r="T963" s="8"/>
      <c r="U963" s="611"/>
      <c r="V963" s="26"/>
      <c r="W963" s="8"/>
      <c r="X963" s="611"/>
      <c r="Y963" s="26"/>
      <c r="Z963" s="8"/>
      <c r="AA963" s="611"/>
      <c r="AB963" s="26"/>
      <c r="AC963" s="8"/>
      <c r="AD963" s="26"/>
      <c r="AE963" s="26"/>
      <c r="AF963" s="26"/>
      <c r="AG963" s="26"/>
      <c r="AH963" s="26"/>
    </row>
    <row r="964" ht="12.75" customHeight="1">
      <c r="A964" s="24"/>
      <c r="B964" s="609"/>
      <c r="C964" s="24"/>
      <c r="D964" s="24"/>
      <c r="E964" s="610"/>
      <c r="F964" s="611"/>
      <c r="G964" s="26"/>
      <c r="H964" s="8"/>
      <c r="I964" s="611"/>
      <c r="J964" s="26"/>
      <c r="K964" s="8"/>
      <c r="L964" s="611"/>
      <c r="M964" s="26"/>
      <c r="N964" s="8"/>
      <c r="O964" s="611"/>
      <c r="P964" s="26"/>
      <c r="Q964" s="8"/>
      <c r="R964" s="611"/>
      <c r="S964" s="26"/>
      <c r="T964" s="8"/>
      <c r="U964" s="611"/>
      <c r="V964" s="26"/>
      <c r="W964" s="8"/>
      <c r="X964" s="611"/>
      <c r="Y964" s="26"/>
      <c r="Z964" s="8"/>
      <c r="AA964" s="611"/>
      <c r="AB964" s="26"/>
      <c r="AC964" s="8"/>
      <c r="AD964" s="26"/>
      <c r="AE964" s="26"/>
      <c r="AF964" s="26"/>
      <c r="AG964" s="26"/>
      <c r="AH964" s="26"/>
    </row>
    <row r="965" ht="12.75" customHeight="1">
      <c r="A965" s="24"/>
      <c r="B965" s="609"/>
      <c r="C965" s="24"/>
      <c r="D965" s="24"/>
      <c r="E965" s="610"/>
      <c r="F965" s="611"/>
      <c r="G965" s="26"/>
      <c r="H965" s="8"/>
      <c r="I965" s="611"/>
      <c r="J965" s="26"/>
      <c r="K965" s="8"/>
      <c r="L965" s="611"/>
      <c r="M965" s="26"/>
      <c r="N965" s="8"/>
      <c r="O965" s="611"/>
      <c r="P965" s="26"/>
      <c r="Q965" s="8"/>
      <c r="R965" s="611"/>
      <c r="S965" s="26"/>
      <c r="T965" s="8"/>
      <c r="U965" s="611"/>
      <c r="V965" s="26"/>
      <c r="W965" s="8"/>
      <c r="X965" s="611"/>
      <c r="Y965" s="26"/>
      <c r="Z965" s="8"/>
      <c r="AA965" s="611"/>
      <c r="AB965" s="26"/>
      <c r="AC965" s="8"/>
      <c r="AD965" s="26"/>
      <c r="AE965" s="26"/>
      <c r="AF965" s="26"/>
      <c r="AG965" s="26"/>
      <c r="AH965" s="26"/>
    </row>
    <row r="966" ht="12.75" customHeight="1">
      <c r="A966" s="24"/>
      <c r="B966" s="609"/>
      <c r="C966" s="24"/>
      <c r="D966" s="24"/>
      <c r="E966" s="610"/>
      <c r="F966" s="611"/>
      <c r="G966" s="26"/>
      <c r="H966" s="8"/>
      <c r="I966" s="611"/>
      <c r="J966" s="26"/>
      <c r="K966" s="8"/>
      <c r="L966" s="611"/>
      <c r="M966" s="26"/>
      <c r="N966" s="8"/>
      <c r="O966" s="611"/>
      <c r="P966" s="26"/>
      <c r="Q966" s="8"/>
      <c r="R966" s="611"/>
      <c r="S966" s="26"/>
      <c r="T966" s="8"/>
      <c r="U966" s="611"/>
      <c r="V966" s="26"/>
      <c r="W966" s="8"/>
      <c r="X966" s="611"/>
      <c r="Y966" s="26"/>
      <c r="Z966" s="8"/>
      <c r="AA966" s="611"/>
      <c r="AB966" s="26"/>
      <c r="AC966" s="8"/>
      <c r="AD966" s="26"/>
      <c r="AE966" s="26"/>
      <c r="AF966" s="26"/>
      <c r="AG966" s="26"/>
      <c r="AH966" s="26"/>
    </row>
    <row r="967" ht="12.75" customHeight="1">
      <c r="A967" s="24"/>
      <c r="B967" s="609"/>
      <c r="C967" s="24"/>
      <c r="D967" s="24"/>
      <c r="E967" s="610"/>
      <c r="F967" s="611"/>
      <c r="G967" s="26"/>
      <c r="H967" s="8"/>
      <c r="I967" s="611"/>
      <c r="J967" s="26"/>
      <c r="K967" s="8"/>
      <c r="L967" s="611"/>
      <c r="M967" s="26"/>
      <c r="N967" s="8"/>
      <c r="O967" s="611"/>
      <c r="P967" s="26"/>
      <c r="Q967" s="8"/>
      <c r="R967" s="611"/>
      <c r="S967" s="26"/>
      <c r="T967" s="8"/>
      <c r="U967" s="611"/>
      <c r="V967" s="26"/>
      <c r="W967" s="8"/>
      <c r="X967" s="611"/>
      <c r="Y967" s="26"/>
      <c r="Z967" s="8"/>
      <c r="AA967" s="611"/>
      <c r="AB967" s="26"/>
      <c r="AC967" s="8"/>
      <c r="AD967" s="26"/>
      <c r="AE967" s="26"/>
      <c r="AF967" s="26"/>
      <c r="AG967" s="26"/>
      <c r="AH967" s="26"/>
    </row>
    <row r="968" ht="12.75" customHeight="1">
      <c r="A968" s="24"/>
      <c r="B968" s="609"/>
      <c r="C968" s="24"/>
      <c r="D968" s="24"/>
      <c r="E968" s="610"/>
      <c r="F968" s="611"/>
      <c r="G968" s="26"/>
      <c r="H968" s="8"/>
      <c r="I968" s="611"/>
      <c r="J968" s="26"/>
      <c r="K968" s="8"/>
      <c r="L968" s="611"/>
      <c r="M968" s="26"/>
      <c r="N968" s="8"/>
      <c r="O968" s="611"/>
      <c r="P968" s="26"/>
      <c r="Q968" s="8"/>
      <c r="R968" s="611"/>
      <c r="S968" s="26"/>
      <c r="T968" s="8"/>
      <c r="U968" s="611"/>
      <c r="V968" s="26"/>
      <c r="W968" s="8"/>
      <c r="X968" s="611"/>
      <c r="Y968" s="26"/>
      <c r="Z968" s="8"/>
      <c r="AA968" s="611"/>
      <c r="AB968" s="26"/>
      <c r="AC968" s="8"/>
      <c r="AD968" s="26"/>
      <c r="AE968" s="26"/>
      <c r="AF968" s="26"/>
      <c r="AG968" s="26"/>
      <c r="AH968" s="26"/>
    </row>
    <row r="969" ht="12.75" customHeight="1">
      <c r="A969" s="24"/>
      <c r="B969" s="609"/>
      <c r="C969" s="24"/>
      <c r="D969" s="24"/>
      <c r="E969" s="610"/>
      <c r="F969" s="611"/>
      <c r="G969" s="26"/>
      <c r="H969" s="8"/>
      <c r="I969" s="611"/>
      <c r="J969" s="26"/>
      <c r="K969" s="8"/>
      <c r="L969" s="611"/>
      <c r="M969" s="26"/>
      <c r="N969" s="8"/>
      <c r="O969" s="611"/>
      <c r="P969" s="26"/>
      <c r="Q969" s="8"/>
      <c r="R969" s="611"/>
      <c r="S969" s="26"/>
      <c r="T969" s="8"/>
      <c r="U969" s="611"/>
      <c r="V969" s="26"/>
      <c r="W969" s="8"/>
      <c r="X969" s="611"/>
      <c r="Y969" s="26"/>
      <c r="Z969" s="8"/>
      <c r="AA969" s="611"/>
      <c r="AB969" s="26"/>
      <c r="AC969" s="8"/>
      <c r="AD969" s="26"/>
      <c r="AE969" s="26"/>
      <c r="AF969" s="26"/>
      <c r="AG969" s="26"/>
      <c r="AH969" s="26"/>
    </row>
    <row r="970" ht="12.75" customHeight="1">
      <c r="A970" s="24"/>
      <c r="B970" s="609"/>
      <c r="C970" s="24"/>
      <c r="D970" s="24"/>
      <c r="E970" s="610"/>
      <c r="F970" s="611"/>
      <c r="G970" s="26"/>
      <c r="H970" s="8"/>
      <c r="I970" s="611"/>
      <c r="J970" s="26"/>
      <c r="K970" s="8"/>
      <c r="L970" s="611"/>
      <c r="M970" s="26"/>
      <c r="N970" s="8"/>
      <c r="O970" s="611"/>
      <c r="P970" s="26"/>
      <c r="Q970" s="8"/>
      <c r="R970" s="611"/>
      <c r="S970" s="26"/>
      <c r="T970" s="8"/>
      <c r="U970" s="611"/>
      <c r="V970" s="26"/>
      <c r="W970" s="8"/>
      <c r="X970" s="611"/>
      <c r="Y970" s="26"/>
      <c r="Z970" s="8"/>
      <c r="AA970" s="611"/>
      <c r="AB970" s="26"/>
      <c r="AC970" s="8"/>
      <c r="AD970" s="26"/>
      <c r="AE970" s="26"/>
      <c r="AF970" s="26"/>
      <c r="AG970" s="26"/>
      <c r="AH970" s="26"/>
    </row>
    <row r="971" ht="12.75" customHeight="1">
      <c r="A971" s="24"/>
      <c r="B971" s="609"/>
      <c r="C971" s="24"/>
      <c r="D971" s="24"/>
      <c r="E971" s="610"/>
      <c r="F971" s="611"/>
      <c r="G971" s="26"/>
      <c r="H971" s="8"/>
      <c r="I971" s="611"/>
      <c r="J971" s="26"/>
      <c r="K971" s="8"/>
      <c r="L971" s="611"/>
      <c r="M971" s="26"/>
      <c r="N971" s="8"/>
      <c r="O971" s="611"/>
      <c r="P971" s="26"/>
      <c r="Q971" s="8"/>
      <c r="R971" s="611"/>
      <c r="S971" s="26"/>
      <c r="T971" s="8"/>
      <c r="U971" s="611"/>
      <c r="V971" s="26"/>
      <c r="W971" s="8"/>
      <c r="X971" s="611"/>
      <c r="Y971" s="26"/>
      <c r="Z971" s="8"/>
      <c r="AA971" s="611"/>
      <c r="AB971" s="26"/>
      <c r="AC971" s="8"/>
      <c r="AD971" s="26"/>
      <c r="AE971" s="26"/>
      <c r="AF971" s="26"/>
      <c r="AG971" s="26"/>
      <c r="AH971" s="26"/>
    </row>
    <row r="972" ht="12.75" customHeight="1">
      <c r="A972" s="24"/>
      <c r="B972" s="609"/>
      <c r="C972" s="24"/>
      <c r="D972" s="24"/>
      <c r="E972" s="610"/>
      <c r="F972" s="611"/>
      <c r="G972" s="26"/>
      <c r="H972" s="8"/>
      <c r="I972" s="611"/>
      <c r="J972" s="26"/>
      <c r="K972" s="8"/>
      <c r="L972" s="611"/>
      <c r="M972" s="26"/>
      <c r="N972" s="8"/>
      <c r="O972" s="611"/>
      <c r="P972" s="26"/>
      <c r="Q972" s="8"/>
      <c r="R972" s="611"/>
      <c r="S972" s="26"/>
      <c r="T972" s="8"/>
      <c r="U972" s="611"/>
      <c r="V972" s="26"/>
      <c r="W972" s="8"/>
      <c r="X972" s="611"/>
      <c r="Y972" s="26"/>
      <c r="Z972" s="8"/>
      <c r="AA972" s="611"/>
      <c r="AB972" s="26"/>
      <c r="AC972" s="8"/>
      <c r="AD972" s="26"/>
      <c r="AE972" s="26"/>
      <c r="AF972" s="26"/>
      <c r="AG972" s="26"/>
      <c r="AH972" s="26"/>
    </row>
    <row r="973" ht="12.75" customHeight="1">
      <c r="A973" s="24"/>
      <c r="B973" s="609"/>
      <c r="C973" s="24"/>
      <c r="D973" s="24"/>
      <c r="E973" s="610"/>
      <c r="F973" s="611"/>
      <c r="G973" s="26"/>
      <c r="H973" s="8"/>
      <c r="I973" s="611"/>
      <c r="J973" s="26"/>
      <c r="K973" s="8"/>
      <c r="L973" s="611"/>
      <c r="M973" s="26"/>
      <c r="N973" s="8"/>
      <c r="O973" s="611"/>
      <c r="P973" s="26"/>
      <c r="Q973" s="8"/>
      <c r="R973" s="611"/>
      <c r="S973" s="26"/>
      <c r="T973" s="8"/>
      <c r="U973" s="611"/>
      <c r="V973" s="26"/>
      <c r="W973" s="8"/>
      <c r="X973" s="611"/>
      <c r="Y973" s="26"/>
      <c r="Z973" s="8"/>
      <c r="AA973" s="611"/>
      <c r="AB973" s="26"/>
      <c r="AC973" s="8"/>
      <c r="AD973" s="26"/>
      <c r="AE973" s="26"/>
      <c r="AF973" s="26"/>
      <c r="AG973" s="26"/>
      <c r="AH973" s="26"/>
    </row>
    <row r="974" ht="12.75" customHeight="1">
      <c r="A974" s="24"/>
      <c r="B974" s="609"/>
      <c r="C974" s="24"/>
      <c r="D974" s="24"/>
      <c r="E974" s="610"/>
      <c r="F974" s="611"/>
      <c r="G974" s="26"/>
      <c r="H974" s="8"/>
      <c r="I974" s="611"/>
      <c r="J974" s="26"/>
      <c r="K974" s="8"/>
      <c r="L974" s="611"/>
      <c r="M974" s="26"/>
      <c r="N974" s="8"/>
      <c r="O974" s="611"/>
      <c r="P974" s="26"/>
      <c r="Q974" s="8"/>
      <c r="R974" s="611"/>
      <c r="S974" s="26"/>
      <c r="T974" s="8"/>
      <c r="U974" s="611"/>
      <c r="V974" s="26"/>
      <c r="W974" s="8"/>
      <c r="X974" s="611"/>
      <c r="Y974" s="26"/>
      <c r="Z974" s="8"/>
      <c r="AA974" s="611"/>
      <c r="AB974" s="26"/>
      <c r="AC974" s="8"/>
      <c r="AD974" s="26"/>
      <c r="AE974" s="26"/>
      <c r="AF974" s="26"/>
      <c r="AG974" s="26"/>
      <c r="AH974" s="26"/>
    </row>
    <row r="975" ht="12.75" customHeight="1">
      <c r="A975" s="24"/>
      <c r="B975" s="609"/>
      <c r="C975" s="24"/>
      <c r="D975" s="24"/>
      <c r="E975" s="610"/>
      <c r="F975" s="611"/>
      <c r="G975" s="26"/>
      <c r="H975" s="8"/>
      <c r="I975" s="611"/>
      <c r="J975" s="26"/>
      <c r="K975" s="8"/>
      <c r="L975" s="611"/>
      <c r="M975" s="26"/>
      <c r="N975" s="8"/>
      <c r="O975" s="611"/>
      <c r="P975" s="26"/>
      <c r="Q975" s="8"/>
      <c r="R975" s="611"/>
      <c r="S975" s="26"/>
      <c r="T975" s="8"/>
      <c r="U975" s="611"/>
      <c r="V975" s="26"/>
      <c r="W975" s="8"/>
      <c r="X975" s="611"/>
      <c r="Y975" s="26"/>
      <c r="Z975" s="8"/>
      <c r="AA975" s="611"/>
      <c r="AB975" s="26"/>
      <c r="AC975" s="8"/>
      <c r="AD975" s="26"/>
      <c r="AE975" s="26"/>
      <c r="AF975" s="26"/>
      <c r="AG975" s="26"/>
      <c r="AH975" s="26"/>
    </row>
    <row r="976" ht="12.75" customHeight="1">
      <c r="A976" s="24"/>
      <c r="B976" s="609"/>
      <c r="C976" s="24"/>
      <c r="D976" s="24"/>
      <c r="E976" s="610"/>
      <c r="F976" s="611"/>
      <c r="G976" s="26"/>
      <c r="H976" s="8"/>
      <c r="I976" s="611"/>
      <c r="J976" s="26"/>
      <c r="K976" s="8"/>
      <c r="L976" s="611"/>
      <c r="M976" s="26"/>
      <c r="N976" s="8"/>
      <c r="O976" s="611"/>
      <c r="P976" s="26"/>
      <c r="Q976" s="8"/>
      <c r="R976" s="611"/>
      <c r="S976" s="26"/>
      <c r="T976" s="8"/>
      <c r="U976" s="611"/>
      <c r="V976" s="26"/>
      <c r="W976" s="8"/>
      <c r="X976" s="611"/>
      <c r="Y976" s="26"/>
      <c r="Z976" s="8"/>
      <c r="AA976" s="611"/>
      <c r="AB976" s="26"/>
      <c r="AC976" s="8"/>
      <c r="AD976" s="26"/>
      <c r="AE976" s="26"/>
      <c r="AF976" s="26"/>
      <c r="AG976" s="26"/>
      <c r="AH976" s="26"/>
    </row>
    <row r="977" ht="12.75" customHeight="1">
      <c r="A977" s="24"/>
      <c r="B977" s="609"/>
      <c r="C977" s="24"/>
      <c r="D977" s="24"/>
      <c r="E977" s="610"/>
      <c r="F977" s="611"/>
      <c r="G977" s="26"/>
      <c r="H977" s="8"/>
      <c r="I977" s="611"/>
      <c r="J977" s="26"/>
      <c r="K977" s="8"/>
      <c r="L977" s="611"/>
      <c r="M977" s="26"/>
      <c r="N977" s="8"/>
      <c r="O977" s="611"/>
      <c r="P977" s="26"/>
      <c r="Q977" s="8"/>
      <c r="R977" s="611"/>
      <c r="S977" s="26"/>
      <c r="T977" s="8"/>
      <c r="U977" s="611"/>
      <c r="V977" s="26"/>
      <c r="W977" s="8"/>
      <c r="X977" s="611"/>
      <c r="Y977" s="26"/>
      <c r="Z977" s="8"/>
      <c r="AA977" s="611"/>
      <c r="AB977" s="26"/>
      <c r="AC977" s="8"/>
      <c r="AD977" s="26"/>
      <c r="AE977" s="26"/>
      <c r="AF977" s="26"/>
      <c r="AG977" s="26"/>
      <c r="AH977" s="26"/>
    </row>
    <row r="978" ht="12.75" customHeight="1">
      <c r="A978" s="24"/>
      <c r="B978" s="609"/>
      <c r="C978" s="24"/>
      <c r="D978" s="24"/>
      <c r="E978" s="610"/>
      <c r="F978" s="611"/>
      <c r="G978" s="26"/>
      <c r="H978" s="8"/>
      <c r="I978" s="611"/>
      <c r="J978" s="26"/>
      <c r="K978" s="8"/>
      <c r="L978" s="611"/>
      <c r="M978" s="26"/>
      <c r="N978" s="8"/>
      <c r="O978" s="611"/>
      <c r="P978" s="26"/>
      <c r="Q978" s="8"/>
      <c r="R978" s="611"/>
      <c r="S978" s="26"/>
      <c r="T978" s="8"/>
      <c r="U978" s="611"/>
      <c r="V978" s="26"/>
      <c r="W978" s="8"/>
      <c r="X978" s="611"/>
      <c r="Y978" s="26"/>
      <c r="Z978" s="8"/>
      <c r="AA978" s="611"/>
      <c r="AB978" s="26"/>
      <c r="AC978" s="8"/>
      <c r="AD978" s="26"/>
      <c r="AE978" s="26"/>
      <c r="AF978" s="26"/>
      <c r="AG978" s="26"/>
      <c r="AH978" s="26"/>
    </row>
    <row r="979" ht="12.75" customHeight="1">
      <c r="A979" s="24"/>
      <c r="B979" s="609"/>
      <c r="C979" s="24"/>
      <c r="D979" s="24"/>
      <c r="E979" s="610"/>
      <c r="F979" s="611"/>
      <c r="G979" s="26"/>
      <c r="H979" s="8"/>
      <c r="I979" s="611"/>
      <c r="J979" s="26"/>
      <c r="K979" s="8"/>
      <c r="L979" s="611"/>
      <c r="M979" s="26"/>
      <c r="N979" s="8"/>
      <c r="O979" s="611"/>
      <c r="P979" s="26"/>
      <c r="Q979" s="8"/>
      <c r="R979" s="611"/>
      <c r="S979" s="26"/>
      <c r="T979" s="8"/>
      <c r="U979" s="611"/>
      <c r="V979" s="26"/>
      <c r="W979" s="8"/>
      <c r="X979" s="611"/>
      <c r="Y979" s="26"/>
      <c r="Z979" s="8"/>
      <c r="AA979" s="611"/>
      <c r="AB979" s="26"/>
      <c r="AC979" s="8"/>
      <c r="AD979" s="26"/>
      <c r="AE979" s="26"/>
      <c r="AF979" s="26"/>
      <c r="AG979" s="26"/>
      <c r="AH979" s="26"/>
    </row>
    <row r="980" ht="12.75" customHeight="1">
      <c r="A980" s="24"/>
      <c r="B980" s="609"/>
      <c r="C980" s="24"/>
      <c r="D980" s="24"/>
      <c r="E980" s="610"/>
      <c r="F980" s="611"/>
      <c r="G980" s="26"/>
      <c r="H980" s="8"/>
      <c r="I980" s="611"/>
      <c r="J980" s="26"/>
      <c r="K980" s="8"/>
      <c r="L980" s="611"/>
      <c r="M980" s="26"/>
      <c r="N980" s="8"/>
      <c r="O980" s="611"/>
      <c r="P980" s="26"/>
      <c r="Q980" s="8"/>
      <c r="R980" s="611"/>
      <c r="S980" s="26"/>
      <c r="T980" s="8"/>
      <c r="U980" s="611"/>
      <c r="V980" s="26"/>
      <c r="W980" s="8"/>
      <c r="X980" s="611"/>
      <c r="Y980" s="26"/>
      <c r="Z980" s="8"/>
      <c r="AA980" s="611"/>
      <c r="AB980" s="26"/>
      <c r="AC980" s="8"/>
      <c r="AD980" s="26"/>
      <c r="AE980" s="26"/>
      <c r="AF980" s="26"/>
      <c r="AG980" s="26"/>
      <c r="AH980" s="26"/>
    </row>
    <row r="981" ht="12.75" customHeight="1">
      <c r="A981" s="24"/>
      <c r="B981" s="609"/>
      <c r="C981" s="24"/>
      <c r="D981" s="24"/>
      <c r="E981" s="610"/>
      <c r="F981" s="611"/>
      <c r="G981" s="26"/>
      <c r="H981" s="8"/>
      <c r="I981" s="611"/>
      <c r="J981" s="26"/>
      <c r="K981" s="8"/>
      <c r="L981" s="611"/>
      <c r="M981" s="26"/>
      <c r="N981" s="8"/>
      <c r="O981" s="611"/>
      <c r="P981" s="26"/>
      <c r="Q981" s="8"/>
      <c r="R981" s="611"/>
      <c r="S981" s="26"/>
      <c r="T981" s="8"/>
      <c r="U981" s="611"/>
      <c r="V981" s="26"/>
      <c r="W981" s="8"/>
      <c r="X981" s="611"/>
      <c r="Y981" s="26"/>
      <c r="Z981" s="8"/>
      <c r="AA981" s="611"/>
      <c r="AB981" s="26"/>
      <c r="AC981" s="8"/>
      <c r="AD981" s="26"/>
      <c r="AE981" s="26"/>
      <c r="AF981" s="26"/>
      <c r="AG981" s="26"/>
      <c r="AH981" s="26"/>
    </row>
    <row r="982" ht="12.75" customHeight="1">
      <c r="A982" s="24"/>
      <c r="B982" s="609"/>
      <c r="C982" s="24"/>
      <c r="D982" s="24"/>
      <c r="E982" s="610"/>
      <c r="F982" s="611"/>
      <c r="G982" s="26"/>
      <c r="H982" s="8"/>
      <c r="I982" s="611"/>
      <c r="J982" s="26"/>
      <c r="K982" s="8"/>
      <c r="L982" s="611"/>
      <c r="M982" s="26"/>
      <c r="N982" s="8"/>
      <c r="O982" s="611"/>
      <c r="P982" s="26"/>
      <c r="Q982" s="8"/>
      <c r="R982" s="611"/>
      <c r="S982" s="26"/>
      <c r="T982" s="8"/>
      <c r="U982" s="611"/>
      <c r="V982" s="26"/>
      <c r="W982" s="8"/>
      <c r="X982" s="611"/>
      <c r="Y982" s="26"/>
      <c r="Z982" s="8"/>
      <c r="AA982" s="611"/>
      <c r="AB982" s="26"/>
      <c r="AC982" s="8"/>
      <c r="AD982" s="26"/>
      <c r="AE982" s="26"/>
      <c r="AF982" s="26"/>
      <c r="AG982" s="26"/>
      <c r="AH982" s="26"/>
    </row>
    <row r="983" ht="12.75" customHeight="1">
      <c r="A983" s="24"/>
      <c r="B983" s="609"/>
      <c r="C983" s="24"/>
      <c r="D983" s="24"/>
      <c r="E983" s="610"/>
      <c r="F983" s="611"/>
      <c r="G983" s="26"/>
      <c r="H983" s="8"/>
      <c r="I983" s="611"/>
      <c r="J983" s="26"/>
      <c r="K983" s="8"/>
      <c r="L983" s="611"/>
      <c r="M983" s="26"/>
      <c r="N983" s="8"/>
      <c r="O983" s="611"/>
      <c r="P983" s="26"/>
      <c r="Q983" s="8"/>
      <c r="R983" s="611"/>
      <c r="S983" s="26"/>
      <c r="T983" s="8"/>
      <c r="U983" s="611"/>
      <c r="V983" s="26"/>
      <c r="W983" s="8"/>
      <c r="X983" s="611"/>
      <c r="Y983" s="26"/>
      <c r="Z983" s="8"/>
      <c r="AA983" s="611"/>
      <c r="AB983" s="26"/>
      <c r="AC983" s="8"/>
      <c r="AD983" s="26"/>
      <c r="AE983" s="26"/>
      <c r="AF983" s="26"/>
      <c r="AG983" s="26"/>
      <c r="AH983" s="26"/>
    </row>
    <row r="984" ht="12.75" customHeight="1">
      <c r="A984" s="24"/>
      <c r="B984" s="609"/>
      <c r="C984" s="24"/>
      <c r="D984" s="24"/>
      <c r="E984" s="610"/>
      <c r="F984" s="611"/>
      <c r="G984" s="26"/>
      <c r="H984" s="8"/>
      <c r="I984" s="611"/>
      <c r="J984" s="26"/>
      <c r="K984" s="8"/>
      <c r="L984" s="611"/>
      <c r="M984" s="26"/>
      <c r="N984" s="8"/>
      <c r="O984" s="611"/>
      <c r="P984" s="26"/>
      <c r="Q984" s="8"/>
      <c r="R984" s="611"/>
      <c r="S984" s="26"/>
      <c r="T984" s="8"/>
      <c r="U984" s="611"/>
      <c r="V984" s="26"/>
      <c r="W984" s="8"/>
      <c r="X984" s="611"/>
      <c r="Y984" s="26"/>
      <c r="Z984" s="8"/>
      <c r="AA984" s="611"/>
      <c r="AB984" s="26"/>
      <c r="AC984" s="8"/>
      <c r="AD984" s="26"/>
      <c r="AE984" s="26"/>
      <c r="AF984" s="26"/>
      <c r="AG984" s="26"/>
      <c r="AH984" s="26"/>
    </row>
    <row r="985" ht="12.75" customHeight="1">
      <c r="A985" s="24"/>
      <c r="B985" s="609"/>
      <c r="C985" s="24"/>
      <c r="D985" s="24"/>
      <c r="E985" s="610"/>
      <c r="F985" s="611"/>
      <c r="G985" s="26"/>
      <c r="H985" s="8"/>
      <c r="I985" s="611"/>
      <c r="J985" s="26"/>
      <c r="K985" s="8"/>
      <c r="L985" s="611"/>
      <c r="M985" s="26"/>
      <c r="N985" s="8"/>
      <c r="O985" s="611"/>
      <c r="P985" s="26"/>
      <c r="Q985" s="8"/>
      <c r="R985" s="611"/>
      <c r="S985" s="26"/>
      <c r="T985" s="8"/>
      <c r="U985" s="611"/>
      <c r="V985" s="26"/>
      <c r="W985" s="8"/>
      <c r="X985" s="611"/>
      <c r="Y985" s="26"/>
      <c r="Z985" s="8"/>
      <c r="AA985" s="611"/>
      <c r="AB985" s="26"/>
      <c r="AC985" s="8"/>
      <c r="AD985" s="26"/>
      <c r="AE985" s="26"/>
      <c r="AF985" s="26"/>
      <c r="AG985" s="26"/>
      <c r="AH985" s="26"/>
    </row>
    <row r="986" ht="12.75" customHeight="1">
      <c r="A986" s="24"/>
      <c r="B986" s="609"/>
      <c r="C986" s="24"/>
      <c r="D986" s="24"/>
      <c r="E986" s="610"/>
      <c r="F986" s="611"/>
      <c r="G986" s="26"/>
      <c r="H986" s="8"/>
      <c r="I986" s="611"/>
      <c r="J986" s="26"/>
      <c r="K986" s="8"/>
      <c r="L986" s="611"/>
      <c r="M986" s="26"/>
      <c r="N986" s="8"/>
      <c r="O986" s="611"/>
      <c r="P986" s="26"/>
      <c r="Q986" s="8"/>
      <c r="R986" s="611"/>
      <c r="S986" s="26"/>
      <c r="T986" s="8"/>
      <c r="U986" s="611"/>
      <c r="V986" s="26"/>
      <c r="W986" s="8"/>
      <c r="X986" s="611"/>
      <c r="Y986" s="26"/>
      <c r="Z986" s="8"/>
      <c r="AA986" s="611"/>
      <c r="AB986" s="26"/>
      <c r="AC986" s="8"/>
      <c r="AD986" s="26"/>
      <c r="AE986" s="26"/>
      <c r="AF986" s="26"/>
      <c r="AG986" s="26"/>
      <c r="AH986" s="26"/>
    </row>
    <row r="987" ht="12.75" customHeight="1">
      <c r="A987" s="24"/>
      <c r="B987" s="609"/>
      <c r="C987" s="24"/>
      <c r="D987" s="24"/>
      <c r="E987" s="610"/>
      <c r="F987" s="611"/>
      <c r="G987" s="26"/>
      <c r="H987" s="8"/>
      <c r="I987" s="611"/>
      <c r="J987" s="26"/>
      <c r="K987" s="8"/>
      <c r="L987" s="611"/>
      <c r="M987" s="26"/>
      <c r="N987" s="8"/>
      <c r="O987" s="611"/>
      <c r="P987" s="26"/>
      <c r="Q987" s="8"/>
      <c r="R987" s="611"/>
      <c r="S987" s="26"/>
      <c r="T987" s="8"/>
      <c r="U987" s="611"/>
      <c r="V987" s="26"/>
      <c r="W987" s="8"/>
      <c r="X987" s="611"/>
      <c r="Y987" s="26"/>
      <c r="Z987" s="8"/>
      <c r="AA987" s="611"/>
      <c r="AB987" s="26"/>
      <c r="AC987" s="8"/>
      <c r="AD987" s="26"/>
      <c r="AE987" s="26"/>
      <c r="AF987" s="26"/>
      <c r="AG987" s="26"/>
      <c r="AH987" s="26"/>
    </row>
    <row r="988" ht="12.75" customHeight="1">
      <c r="A988" s="24"/>
      <c r="B988" s="609"/>
      <c r="C988" s="24"/>
      <c r="D988" s="24"/>
      <c r="E988" s="610"/>
      <c r="F988" s="611"/>
      <c r="G988" s="26"/>
      <c r="H988" s="8"/>
      <c r="I988" s="611"/>
      <c r="J988" s="26"/>
      <c r="K988" s="8"/>
      <c r="L988" s="611"/>
      <c r="M988" s="26"/>
      <c r="N988" s="8"/>
      <c r="O988" s="611"/>
      <c r="P988" s="26"/>
      <c r="Q988" s="8"/>
      <c r="R988" s="611"/>
      <c r="S988" s="26"/>
      <c r="T988" s="8"/>
      <c r="U988" s="611"/>
      <c r="V988" s="26"/>
      <c r="W988" s="8"/>
      <c r="X988" s="611"/>
      <c r="Y988" s="26"/>
      <c r="Z988" s="8"/>
      <c r="AA988" s="611"/>
      <c r="AB988" s="26"/>
      <c r="AC988" s="8"/>
      <c r="AD988" s="26"/>
      <c r="AE988" s="26"/>
      <c r="AF988" s="26"/>
      <c r="AG988" s="26"/>
      <c r="AH988" s="26"/>
    </row>
    <row r="989" ht="12.75" customHeight="1">
      <c r="A989" s="24"/>
      <c r="B989" s="609"/>
      <c r="C989" s="24"/>
      <c r="D989" s="24"/>
      <c r="E989" s="610"/>
      <c r="F989" s="611"/>
      <c r="G989" s="26"/>
      <c r="H989" s="8"/>
      <c r="I989" s="611"/>
      <c r="J989" s="26"/>
      <c r="K989" s="8"/>
      <c r="L989" s="611"/>
      <c r="M989" s="26"/>
      <c r="N989" s="8"/>
      <c r="O989" s="611"/>
      <c r="P989" s="26"/>
      <c r="Q989" s="8"/>
      <c r="R989" s="611"/>
      <c r="S989" s="26"/>
      <c r="T989" s="8"/>
      <c r="U989" s="611"/>
      <c r="V989" s="26"/>
      <c r="W989" s="8"/>
      <c r="X989" s="611"/>
      <c r="Y989" s="26"/>
      <c r="Z989" s="8"/>
      <c r="AA989" s="611"/>
      <c r="AB989" s="26"/>
      <c r="AC989" s="8"/>
      <c r="AD989" s="26"/>
      <c r="AE989" s="26"/>
      <c r="AF989" s="26"/>
      <c r="AG989" s="26"/>
      <c r="AH989" s="26"/>
    </row>
    <row r="990" ht="12.75" customHeight="1">
      <c r="A990" s="24"/>
      <c r="B990" s="609"/>
      <c r="C990" s="24"/>
      <c r="D990" s="24"/>
      <c r="E990" s="610"/>
      <c r="F990" s="611"/>
      <c r="G990" s="26"/>
      <c r="H990" s="8"/>
      <c r="I990" s="611"/>
      <c r="J990" s="26"/>
      <c r="K990" s="8"/>
      <c r="L990" s="611"/>
      <c r="M990" s="26"/>
      <c r="N990" s="8"/>
      <c r="O990" s="611"/>
      <c r="P990" s="26"/>
      <c r="Q990" s="8"/>
      <c r="R990" s="611"/>
      <c r="S990" s="26"/>
      <c r="T990" s="8"/>
      <c r="U990" s="611"/>
      <c r="V990" s="26"/>
      <c r="W990" s="8"/>
      <c r="X990" s="611"/>
      <c r="Y990" s="26"/>
      <c r="Z990" s="8"/>
      <c r="AA990" s="611"/>
      <c r="AB990" s="26"/>
      <c r="AC990" s="8"/>
      <c r="AD990" s="26"/>
      <c r="AE990" s="26"/>
      <c r="AF990" s="26"/>
      <c r="AG990" s="26"/>
      <c r="AH990" s="26"/>
    </row>
    <row r="991" ht="12.75" customHeight="1">
      <c r="A991" s="24"/>
      <c r="B991" s="609"/>
      <c r="C991" s="24"/>
      <c r="D991" s="24"/>
      <c r="E991" s="610"/>
      <c r="F991" s="611"/>
      <c r="G991" s="26"/>
      <c r="H991" s="8"/>
      <c r="I991" s="611"/>
      <c r="J991" s="26"/>
      <c r="K991" s="8"/>
      <c r="L991" s="611"/>
      <c r="M991" s="26"/>
      <c r="N991" s="8"/>
      <c r="O991" s="611"/>
      <c r="P991" s="26"/>
      <c r="Q991" s="8"/>
      <c r="R991" s="611"/>
      <c r="S991" s="26"/>
      <c r="T991" s="8"/>
      <c r="U991" s="611"/>
      <c r="V991" s="26"/>
      <c r="W991" s="8"/>
      <c r="X991" s="611"/>
      <c r="Y991" s="26"/>
      <c r="Z991" s="8"/>
      <c r="AA991" s="611"/>
      <c r="AB991" s="26"/>
      <c r="AC991" s="8"/>
      <c r="AD991" s="26"/>
      <c r="AE991" s="26"/>
      <c r="AF991" s="26"/>
      <c r="AG991" s="26"/>
      <c r="AH991" s="26"/>
    </row>
    <row r="992" ht="12.75" customHeight="1">
      <c r="A992" s="24"/>
      <c r="B992" s="609"/>
      <c r="C992" s="24"/>
      <c r="D992" s="24"/>
      <c r="E992" s="610"/>
      <c r="F992" s="611"/>
      <c r="G992" s="26"/>
      <c r="H992" s="8"/>
      <c r="I992" s="611"/>
      <c r="J992" s="26"/>
      <c r="K992" s="8"/>
      <c r="L992" s="611"/>
      <c r="M992" s="26"/>
      <c r="N992" s="8"/>
      <c r="O992" s="611"/>
      <c r="P992" s="26"/>
      <c r="Q992" s="8"/>
      <c r="R992" s="611"/>
      <c r="S992" s="26"/>
      <c r="T992" s="8"/>
      <c r="U992" s="611"/>
      <c r="V992" s="26"/>
      <c r="W992" s="8"/>
      <c r="X992" s="611"/>
      <c r="Y992" s="26"/>
      <c r="Z992" s="8"/>
      <c r="AA992" s="611"/>
      <c r="AB992" s="26"/>
      <c r="AC992" s="8"/>
      <c r="AD992" s="26"/>
      <c r="AE992" s="26"/>
      <c r="AF992" s="26"/>
      <c r="AG992" s="26"/>
      <c r="AH992" s="26"/>
    </row>
    <row r="993" ht="12.75" customHeight="1">
      <c r="A993" s="24"/>
      <c r="B993" s="609"/>
      <c r="C993" s="24"/>
      <c r="D993" s="24"/>
      <c r="E993" s="610"/>
      <c r="F993" s="611"/>
      <c r="G993" s="26"/>
      <c r="H993" s="8"/>
      <c r="I993" s="611"/>
      <c r="J993" s="26"/>
      <c r="K993" s="8"/>
      <c r="L993" s="611"/>
      <c r="M993" s="26"/>
      <c r="N993" s="8"/>
      <c r="O993" s="611"/>
      <c r="P993" s="26"/>
      <c r="Q993" s="8"/>
      <c r="R993" s="611"/>
      <c r="S993" s="26"/>
      <c r="T993" s="8"/>
      <c r="U993" s="611"/>
      <c r="V993" s="26"/>
      <c r="W993" s="8"/>
      <c r="X993" s="611"/>
      <c r="Y993" s="26"/>
      <c r="Z993" s="8"/>
      <c r="AA993" s="611"/>
      <c r="AB993" s="26"/>
      <c r="AC993" s="8"/>
      <c r="AD993" s="26"/>
      <c r="AE993" s="26"/>
      <c r="AF993" s="26"/>
      <c r="AG993" s="26"/>
      <c r="AH993" s="26"/>
    </row>
    <row r="994" ht="12.75" customHeight="1">
      <c r="A994" s="24"/>
      <c r="B994" s="609"/>
      <c r="C994" s="24"/>
      <c r="D994" s="24"/>
      <c r="E994" s="610"/>
      <c r="F994" s="611"/>
      <c r="G994" s="26"/>
      <c r="H994" s="8"/>
      <c r="I994" s="611"/>
      <c r="J994" s="26"/>
      <c r="K994" s="8"/>
      <c r="L994" s="611"/>
      <c r="M994" s="26"/>
      <c r="N994" s="8"/>
      <c r="O994" s="611"/>
      <c r="P994" s="26"/>
      <c r="Q994" s="8"/>
      <c r="R994" s="611"/>
      <c r="S994" s="26"/>
      <c r="T994" s="8"/>
      <c r="U994" s="611"/>
      <c r="V994" s="26"/>
      <c r="W994" s="8"/>
      <c r="X994" s="611"/>
      <c r="Y994" s="26"/>
      <c r="Z994" s="8"/>
      <c r="AA994" s="611"/>
      <c r="AB994" s="26"/>
      <c r="AC994" s="8"/>
      <c r="AD994" s="26"/>
      <c r="AE994" s="26"/>
      <c r="AF994" s="26"/>
      <c r="AG994" s="26"/>
      <c r="AH994" s="26"/>
    </row>
    <row r="995" ht="12.75" customHeight="1">
      <c r="A995" s="24"/>
      <c r="B995" s="609"/>
      <c r="C995" s="24"/>
      <c r="D995" s="24"/>
      <c r="E995" s="610"/>
      <c r="F995" s="611"/>
      <c r="G995" s="26"/>
      <c r="H995" s="8"/>
      <c r="I995" s="611"/>
      <c r="J995" s="26"/>
      <c r="K995" s="8"/>
      <c r="L995" s="611"/>
      <c r="M995" s="26"/>
      <c r="N995" s="8"/>
      <c r="O995" s="611"/>
      <c r="P995" s="26"/>
      <c r="Q995" s="8"/>
      <c r="R995" s="611"/>
      <c r="S995" s="26"/>
      <c r="T995" s="8"/>
      <c r="U995" s="611"/>
      <c r="V995" s="26"/>
      <c r="W995" s="8"/>
      <c r="X995" s="611"/>
      <c r="Y995" s="26"/>
      <c r="Z995" s="8"/>
      <c r="AA995" s="611"/>
      <c r="AB995" s="26"/>
      <c r="AC995" s="8"/>
      <c r="AD995" s="26"/>
      <c r="AE995" s="26"/>
      <c r="AF995" s="26"/>
      <c r="AG995" s="26"/>
      <c r="AH995" s="26"/>
    </row>
    <row r="996" ht="12.75" customHeight="1">
      <c r="A996" s="24"/>
      <c r="B996" s="609"/>
      <c r="C996" s="24"/>
      <c r="D996" s="24"/>
      <c r="E996" s="610"/>
      <c r="F996" s="611"/>
      <c r="G996" s="26"/>
      <c r="H996" s="8"/>
      <c r="I996" s="611"/>
      <c r="J996" s="26"/>
      <c r="K996" s="8"/>
      <c r="L996" s="611"/>
      <c r="M996" s="26"/>
      <c r="N996" s="8"/>
      <c r="O996" s="611"/>
      <c r="P996" s="26"/>
      <c r="Q996" s="8"/>
      <c r="R996" s="611"/>
      <c r="S996" s="26"/>
      <c r="T996" s="8"/>
      <c r="U996" s="611"/>
      <c r="V996" s="26"/>
      <c r="W996" s="8"/>
      <c r="X996" s="611"/>
      <c r="Y996" s="26"/>
      <c r="Z996" s="8"/>
      <c r="AA996" s="611"/>
      <c r="AB996" s="26"/>
      <c r="AC996" s="8"/>
      <c r="AD996" s="26"/>
      <c r="AE996" s="26"/>
      <c r="AF996" s="26"/>
      <c r="AG996" s="26"/>
      <c r="AH996" s="26"/>
    </row>
    <row r="997" ht="12.75" customHeight="1">
      <c r="A997" s="24"/>
      <c r="B997" s="609"/>
      <c r="C997" s="24"/>
      <c r="D997" s="24"/>
      <c r="E997" s="610"/>
      <c r="F997" s="611"/>
      <c r="G997" s="26"/>
      <c r="H997" s="8"/>
      <c r="I997" s="611"/>
      <c r="J997" s="26"/>
      <c r="K997" s="8"/>
      <c r="L997" s="611"/>
      <c r="M997" s="26"/>
      <c r="N997" s="8"/>
      <c r="O997" s="611"/>
      <c r="P997" s="26"/>
      <c r="Q997" s="8"/>
      <c r="R997" s="611"/>
      <c r="S997" s="26"/>
      <c r="T997" s="8"/>
      <c r="U997" s="611"/>
      <c r="V997" s="26"/>
      <c r="W997" s="8"/>
      <c r="X997" s="611"/>
      <c r="Y997" s="26"/>
      <c r="Z997" s="8"/>
      <c r="AA997" s="611"/>
      <c r="AB997" s="26"/>
      <c r="AC997" s="8"/>
      <c r="AD997" s="26"/>
      <c r="AE997" s="26"/>
      <c r="AF997" s="26"/>
      <c r="AG997" s="26"/>
      <c r="AH997" s="26"/>
    </row>
    <row r="998" ht="12.75" customHeight="1">
      <c r="A998" s="24"/>
      <c r="B998" s="609"/>
      <c r="C998" s="24"/>
      <c r="D998" s="24"/>
      <c r="E998" s="610"/>
      <c r="F998" s="611"/>
      <c r="G998" s="26"/>
      <c r="H998" s="8"/>
      <c r="I998" s="611"/>
      <c r="J998" s="26"/>
      <c r="K998" s="8"/>
      <c r="L998" s="611"/>
      <c r="M998" s="26"/>
      <c r="N998" s="8"/>
      <c r="O998" s="611"/>
      <c r="P998" s="26"/>
      <c r="Q998" s="8"/>
      <c r="R998" s="611"/>
      <c r="S998" s="26"/>
      <c r="T998" s="8"/>
      <c r="U998" s="611"/>
      <c r="V998" s="26"/>
      <c r="W998" s="8"/>
      <c r="X998" s="611"/>
      <c r="Y998" s="26"/>
      <c r="Z998" s="8"/>
      <c r="AA998" s="611"/>
      <c r="AB998" s="26"/>
      <c r="AC998" s="8"/>
      <c r="AD998" s="26"/>
      <c r="AE998" s="26"/>
      <c r="AF998" s="26"/>
      <c r="AG998" s="26"/>
      <c r="AH998" s="26"/>
    </row>
    <row r="999" ht="12.75" customHeight="1">
      <c r="A999" s="24"/>
      <c r="B999" s="609"/>
      <c r="C999" s="24"/>
      <c r="D999" s="24"/>
      <c r="E999" s="610"/>
      <c r="F999" s="611"/>
      <c r="G999" s="26"/>
      <c r="H999" s="8"/>
      <c r="I999" s="611"/>
      <c r="J999" s="26"/>
      <c r="K999" s="8"/>
      <c r="L999" s="611"/>
      <c r="M999" s="26"/>
      <c r="N999" s="8"/>
      <c r="O999" s="611"/>
      <c r="P999" s="26"/>
      <c r="Q999" s="8"/>
      <c r="R999" s="611"/>
      <c r="S999" s="26"/>
      <c r="T999" s="8"/>
      <c r="U999" s="611"/>
      <c r="V999" s="26"/>
      <c r="W999" s="8"/>
      <c r="X999" s="611"/>
      <c r="Y999" s="26"/>
      <c r="Z999" s="8"/>
      <c r="AA999" s="611"/>
      <c r="AB999" s="26"/>
      <c r="AC999" s="8"/>
      <c r="AD999" s="26"/>
      <c r="AE999" s="26"/>
      <c r="AF999" s="26"/>
      <c r="AG999" s="26"/>
      <c r="AH999" s="26"/>
    </row>
    <row r="1000" ht="12.75" customHeight="1">
      <c r="A1000" s="24"/>
      <c r="B1000" s="609"/>
      <c r="C1000" s="24"/>
      <c r="D1000" s="24"/>
      <c r="E1000" s="610"/>
      <c r="F1000" s="611"/>
      <c r="G1000" s="26"/>
      <c r="H1000" s="8"/>
      <c r="I1000" s="611"/>
      <c r="J1000" s="26"/>
      <c r="K1000" s="8"/>
      <c r="L1000" s="611"/>
      <c r="M1000" s="26"/>
      <c r="N1000" s="8"/>
      <c r="O1000" s="611"/>
      <c r="P1000" s="26"/>
      <c r="Q1000" s="8"/>
      <c r="R1000" s="611"/>
      <c r="S1000" s="26"/>
      <c r="T1000" s="8"/>
      <c r="U1000" s="611"/>
      <c r="V1000" s="26"/>
      <c r="W1000" s="8"/>
      <c r="X1000" s="611"/>
      <c r="Y1000" s="26"/>
      <c r="Z1000" s="8"/>
      <c r="AA1000" s="611"/>
      <c r="AB1000" s="26"/>
      <c r="AC1000" s="8"/>
      <c r="AD1000" s="26"/>
      <c r="AE1000" s="26"/>
      <c r="AF1000" s="26"/>
      <c r="AG1000" s="26"/>
      <c r="AH1000" s="26"/>
    </row>
  </sheetData>
  <mergeCells count="9">
    <mergeCell ref="X12:Z12"/>
    <mergeCell ref="AA12:AC12"/>
    <mergeCell ref="A3:C3"/>
    <mergeCell ref="F12:H12"/>
    <mergeCell ref="I12:K12"/>
    <mergeCell ref="L12:N12"/>
    <mergeCell ref="O12:Q12"/>
    <mergeCell ref="R12:T12"/>
    <mergeCell ref="U12:W1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5.14"/>
    <col customWidth="1" min="3" max="3" width="24.71"/>
  </cols>
  <sheetData>
    <row r="1">
      <c r="A1" s="618"/>
      <c r="B1" s="618"/>
      <c r="C1" s="618"/>
      <c r="D1" s="618"/>
    </row>
    <row r="2">
      <c r="A2" s="618"/>
      <c r="B2" s="619"/>
      <c r="C2" s="620" t="s">
        <v>777</v>
      </c>
      <c r="D2" s="618"/>
    </row>
    <row r="3">
      <c r="A3" s="618"/>
      <c r="B3" s="619"/>
      <c r="C3" s="621"/>
      <c r="D3" s="618"/>
    </row>
    <row r="4">
      <c r="A4" s="618"/>
      <c r="B4" s="619"/>
      <c r="C4" s="619"/>
      <c r="D4" s="618"/>
    </row>
    <row r="5" ht="24.75" customHeight="1">
      <c r="A5" s="618"/>
      <c r="B5" s="622" t="s">
        <v>551</v>
      </c>
      <c r="C5" s="623">
        <v>22170.0</v>
      </c>
      <c r="D5" s="618"/>
    </row>
    <row r="6" ht="25.5" customHeight="1">
      <c r="A6" s="618"/>
      <c r="B6" s="624" t="s">
        <v>778</v>
      </c>
      <c r="C6" s="619"/>
      <c r="D6" s="618"/>
    </row>
    <row r="7">
      <c r="A7" s="618"/>
      <c r="B7" s="618"/>
      <c r="C7" s="618"/>
      <c r="D7" s="618"/>
    </row>
    <row r="8">
      <c r="A8" s="618"/>
      <c r="B8" s="618"/>
      <c r="C8" s="618"/>
      <c r="D8" s="618"/>
    </row>
    <row r="9">
      <c r="A9" s="618"/>
      <c r="B9" s="618"/>
      <c r="C9" s="618"/>
      <c r="D9" s="618"/>
    </row>
    <row r="10">
      <c r="A10" s="618"/>
      <c r="B10" s="618"/>
      <c r="C10" s="618"/>
      <c r="D10" s="618"/>
    </row>
    <row r="11">
      <c r="A11" s="618"/>
      <c r="B11" s="618"/>
      <c r="C11" s="618"/>
      <c r="D11" s="618"/>
    </row>
    <row r="12">
      <c r="A12" s="618"/>
      <c r="B12" s="618"/>
      <c r="C12" s="618"/>
      <c r="D12" s="618"/>
    </row>
    <row r="13">
      <c r="A13" s="618"/>
      <c r="B13" s="618"/>
      <c r="C13" s="618"/>
      <c r="D13" s="618"/>
    </row>
    <row r="14">
      <c r="A14" s="618"/>
      <c r="B14" s="618"/>
      <c r="C14" s="618"/>
      <c r="D14" s="618"/>
    </row>
    <row r="15">
      <c r="A15" s="618"/>
      <c r="B15" s="618"/>
      <c r="C15" s="618"/>
      <c r="D15" s="618"/>
    </row>
    <row r="20">
      <c r="E20" s="151" t="s">
        <v>779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3.43"/>
    <col customWidth="1" min="2" max="2" width="17.57"/>
    <col customWidth="1" min="3" max="3" width="10.14"/>
    <col customWidth="1" min="4" max="4" width="10.29"/>
    <col customWidth="1" min="5" max="5" width="10.86"/>
    <col customWidth="1" min="6" max="7" width="8.86"/>
    <col customWidth="1" min="8" max="8" width="11.29"/>
    <col customWidth="1" min="9" max="9" width="10.0"/>
    <col customWidth="1" min="10" max="10" width="9.86"/>
    <col customWidth="1" min="11" max="11" width="11.57"/>
    <col customWidth="1" min="12" max="12" width="9.14"/>
    <col customWidth="1" min="13" max="13" width="11.14"/>
    <col customWidth="1" min="14" max="14" width="11.0"/>
    <col customWidth="1" min="15" max="15" width="10.0"/>
    <col customWidth="1" min="16" max="26" width="8.86"/>
  </cols>
  <sheetData>
    <row r="1" ht="15.75" customHeight="1">
      <c r="A1" s="22" t="s">
        <v>0</v>
      </c>
      <c r="B1" s="179"/>
      <c r="C1" s="460"/>
      <c r="D1" s="460"/>
      <c r="E1" s="460"/>
      <c r="F1" s="460"/>
      <c r="G1" s="460"/>
      <c r="H1" s="460"/>
      <c r="I1" s="558" t="s">
        <v>214</v>
      </c>
      <c r="J1" s="460"/>
      <c r="K1" s="460"/>
      <c r="L1" s="460"/>
      <c r="M1" s="460"/>
      <c r="N1" s="460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5.75" customHeight="1">
      <c r="A2" s="22" t="s">
        <v>780</v>
      </c>
      <c r="B2" s="179"/>
      <c r="C2" s="460">
        <f t="shared" ref="C2:I2" si="1">C3-C4</f>
        <v>0</v>
      </c>
      <c r="D2" s="460">
        <f t="shared" si="1"/>
        <v>0</v>
      </c>
      <c r="E2" s="460">
        <f t="shared" si="1"/>
        <v>0</v>
      </c>
      <c r="F2" s="460">
        <f t="shared" si="1"/>
        <v>0</v>
      </c>
      <c r="G2" s="460">
        <f t="shared" si="1"/>
        <v>0</v>
      </c>
      <c r="H2" s="460">
        <f t="shared" si="1"/>
        <v>0</v>
      </c>
      <c r="I2" s="460">
        <f t="shared" si="1"/>
        <v>2000</v>
      </c>
      <c r="J2" s="460"/>
      <c r="K2" s="460"/>
      <c r="L2" s="460"/>
      <c r="M2" s="460"/>
      <c r="N2" s="460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ht="15.75" customHeight="1">
      <c r="A3" s="179"/>
      <c r="B3" s="179"/>
      <c r="C3" s="460">
        <f>'2026 DS'!K3</f>
        <v>7449.12</v>
      </c>
      <c r="D3" s="460">
        <f>'2026 IS'!D32</f>
        <v>8046.984</v>
      </c>
      <c r="E3" s="460">
        <f>'2026 IS'!E32</f>
        <v>3061.1</v>
      </c>
      <c r="F3" s="460">
        <f>'2026 IS'!F32</f>
        <v>6234.4</v>
      </c>
      <c r="G3" s="460">
        <f>'2026 IS'!G32</f>
        <v>6360.22</v>
      </c>
      <c r="H3" s="460">
        <f>'2026 IS'!H32</f>
        <v>11371.94</v>
      </c>
      <c r="I3" s="460">
        <f>'2026 IS'!I32</f>
        <v>11635.78</v>
      </c>
      <c r="J3" s="460"/>
      <c r="K3" s="460"/>
      <c r="L3" s="460"/>
      <c r="M3" s="460"/>
      <c r="N3" s="460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ht="15.75" customHeight="1">
      <c r="A4" s="179"/>
      <c r="B4" s="179"/>
      <c r="C4" s="650">
        <f t="shared" ref="C4:O4" si="2">SUM(C6:C25)</f>
        <v>7449.12</v>
      </c>
      <c r="D4" s="650">
        <f t="shared" si="2"/>
        <v>8046.984</v>
      </c>
      <c r="E4" s="650">
        <f t="shared" si="2"/>
        <v>3061.1</v>
      </c>
      <c r="F4" s="650">
        <f t="shared" si="2"/>
        <v>6234.4</v>
      </c>
      <c r="G4" s="650">
        <f t="shared" si="2"/>
        <v>6360.22</v>
      </c>
      <c r="H4" s="650">
        <f t="shared" si="2"/>
        <v>11371.94</v>
      </c>
      <c r="I4" s="650">
        <f t="shared" si="2"/>
        <v>9635.78</v>
      </c>
      <c r="J4" s="650">
        <f t="shared" si="2"/>
        <v>0</v>
      </c>
      <c r="K4" s="650">
        <f t="shared" si="2"/>
        <v>0</v>
      </c>
      <c r="L4" s="650">
        <f t="shared" si="2"/>
        <v>0</v>
      </c>
      <c r="M4" s="650">
        <f t="shared" si="2"/>
        <v>0</v>
      </c>
      <c r="N4" s="650">
        <f t="shared" si="2"/>
        <v>0</v>
      </c>
      <c r="O4" s="650">
        <f t="shared" si="2"/>
        <v>52159.544</v>
      </c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ht="15.75" customHeight="1">
      <c r="A5" s="651" t="s">
        <v>785</v>
      </c>
      <c r="B5" s="651" t="s">
        <v>786</v>
      </c>
      <c r="C5" s="431" t="s">
        <v>4</v>
      </c>
      <c r="D5" s="431" t="s">
        <v>5</v>
      </c>
      <c r="E5" s="431" t="s">
        <v>6</v>
      </c>
      <c r="F5" s="431" t="s">
        <v>8</v>
      </c>
      <c r="G5" s="431" t="s">
        <v>15</v>
      </c>
      <c r="H5" s="431" t="s">
        <v>16</v>
      </c>
      <c r="I5" s="431" t="s">
        <v>17</v>
      </c>
      <c r="J5" s="431" t="s">
        <v>18</v>
      </c>
      <c r="K5" s="431" t="s">
        <v>19</v>
      </c>
      <c r="L5" s="431" t="s">
        <v>20</v>
      </c>
      <c r="M5" s="431" t="s">
        <v>21</v>
      </c>
      <c r="N5" s="431" t="s">
        <v>22</v>
      </c>
      <c r="O5" s="651" t="s">
        <v>23</v>
      </c>
      <c r="P5" s="651"/>
      <c r="Q5" s="651"/>
      <c r="R5" s="651"/>
      <c r="S5" s="651"/>
      <c r="T5" s="651"/>
      <c r="U5" s="651"/>
      <c r="V5" s="651"/>
      <c r="W5" s="651"/>
      <c r="X5" s="651"/>
      <c r="Y5" s="651"/>
      <c r="Z5" s="651"/>
    </row>
    <row r="6" ht="15.75" customHeight="1">
      <c r="A6" s="180" t="s">
        <v>213</v>
      </c>
      <c r="B6" s="179"/>
      <c r="C6" s="460">
        <f>sumif('2026 DS'!$D$4:$D$42,$A$6,'2026 DS'!$K$4:$K$42)</f>
        <v>0</v>
      </c>
      <c r="D6" s="460">
        <f>sumif('2026 DS'!$D$45:$D$102,$A6,'2026 DS'!$K$45:$K$102)</f>
        <v>0</v>
      </c>
      <c r="E6" s="460">
        <f>sumif('2026 DS'!$D$104:$D$169,$A6,'2026 DS'!$K$104:$K$169)</f>
        <v>0</v>
      </c>
      <c r="F6" s="460">
        <f>sumif('2026 DS'!$D$171:$D$238,$A6,'2026 DS'!$K$171:$K$238)</f>
        <v>0</v>
      </c>
      <c r="G6" s="460">
        <f>sumif('2026 DS'!$D$240:$D$290,$A6,'2026 DS'!$K$240:$K$290)</f>
        <v>44</v>
      </c>
      <c r="H6" s="460">
        <f>sumif('2026 DS'!$D$292:$D$357,A6,'2026 DS'!$K$292:$K$357)</f>
        <v>0</v>
      </c>
      <c r="I6" s="460">
        <f>sumif('2026 DS'!$D$359:$D$435,A6,'2026 DS'!$K$359:$K$435)</f>
        <v>0</v>
      </c>
      <c r="J6" s="460"/>
      <c r="K6" s="460"/>
      <c r="L6" s="460"/>
      <c r="M6" s="460"/>
      <c r="N6" s="460"/>
      <c r="O6" s="460">
        <f t="shared" ref="O6:O9" si="3">SUM(C6:N6)</f>
        <v>44</v>
      </c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ht="15.75" customHeight="1">
      <c r="A7" s="180" t="s">
        <v>84</v>
      </c>
      <c r="B7" s="179"/>
      <c r="C7" s="460">
        <f>sumif('2026 DS'!D$4:D$42,A7,'2026 DS'!K$4:K$42)</f>
        <v>5397.52</v>
      </c>
      <c r="D7" s="460">
        <f>sumif('2026 DS'!$D$45:$D$102,$A7,'2026 DS'!$K$45:$K$102)</f>
        <v>2392.984</v>
      </c>
      <c r="E7" s="460">
        <f>sumif('2026 DS'!$D$104:$D$169,$A7,'2026 DS'!$K$104:$K$169)</f>
        <v>593</v>
      </c>
      <c r="F7" s="460">
        <f>sumif('2026 DS'!$D$171:$D$238,$A7,'2026 DS'!$K$171:$K$238)</f>
        <v>3131.2</v>
      </c>
      <c r="G7" s="460">
        <f>sumif('2026 DS'!$D$240:$D$290,$A7,'2026 DS'!$K$240:$K$290)</f>
        <v>3654.32</v>
      </c>
      <c r="H7" s="460">
        <f>sumif('2026 DS'!$D$292:$D$357,A7,'2026 DS'!$K$292:$K$357)</f>
        <v>8659.44</v>
      </c>
      <c r="I7" s="460">
        <f>sumif('2026 DS'!$D$359:$D$435,A7,'2026 DS'!$K$359:$K$435)</f>
        <v>3758.08</v>
      </c>
      <c r="J7" s="460"/>
      <c r="K7" s="460"/>
      <c r="L7" s="460"/>
      <c r="M7" s="460"/>
      <c r="N7" s="460"/>
      <c r="O7" s="460">
        <f t="shared" si="3"/>
        <v>27586.544</v>
      </c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ht="15.75" customHeight="1">
      <c r="A8" s="180" t="s">
        <v>236</v>
      </c>
      <c r="B8" s="179"/>
      <c r="C8" s="460">
        <f>sumif('2026 DS'!D$4:D$42,A8,'2026 DS'!K$4:K$42)</f>
        <v>0</v>
      </c>
      <c r="D8" s="460">
        <f>sumif('2026 DS'!$D$45:$D$102,$A8,'2026 DS'!$K$45:$K$102)</f>
        <v>3788</v>
      </c>
      <c r="E8" s="460">
        <f>sumif('2026 DS'!$D$104:$D$169,$A8,'2026 DS'!$K$104:$K$169)</f>
        <v>0</v>
      </c>
      <c r="F8" s="460">
        <f>sumif('2026 DS'!$D$171:$D$238,$A8,'2026 DS'!$K$171:$K$238)</f>
        <v>0</v>
      </c>
      <c r="G8" s="460">
        <f>sumif('2026 DS'!$D$240:$D$290,$A8,'2026 DS'!$K$240:$K$290)</f>
        <v>0</v>
      </c>
      <c r="H8" s="460">
        <f>sumif('2026 DS'!$D$292:$D$357,A8,'2026 DS'!$K$292:$K$357)</f>
        <v>0</v>
      </c>
      <c r="I8" s="460">
        <f>sumif('2026 DS'!$D$359:$D$435,A8,'2026 DS'!$K$359:$K$435)</f>
        <v>0</v>
      </c>
      <c r="J8" s="460"/>
      <c r="K8" s="460"/>
      <c r="L8" s="460"/>
      <c r="M8" s="460"/>
      <c r="N8" s="460"/>
      <c r="O8" s="460">
        <f t="shared" si="3"/>
        <v>3788</v>
      </c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ht="15.75" customHeight="1">
      <c r="A9" s="180" t="s">
        <v>215</v>
      </c>
      <c r="B9" s="179"/>
      <c r="C9" s="460">
        <f>sumif('2026 DS'!D$4:D$42,A9,'2026 DS'!K$4:K$42)</f>
        <v>2051.6</v>
      </c>
      <c r="D9" s="460">
        <f>sumif('2026 DS'!$D$45:$D$102,$A9,'2026 DS'!$K$45:$K$102)</f>
        <v>1866</v>
      </c>
      <c r="E9" s="460">
        <f>sumif('2026 DS'!$D$104:$D$169,$A9,'2026 DS'!$K$104:$K$169)</f>
        <v>2468.1</v>
      </c>
      <c r="F9" s="460">
        <f>sumif('2026 DS'!$D$171:$D$238,$A9,'2026 DS'!$K$171:$K$238)</f>
        <v>3103.2</v>
      </c>
      <c r="G9" s="460">
        <f>sumif('2026 DS'!$D$240:$D$290,$A9,'2026 DS'!$K$240:$K$290)</f>
        <v>2661.9</v>
      </c>
      <c r="H9" s="460">
        <f>sumif('2026 DS'!$D$292:$D$357,A9,'2026 DS'!$K$292:$K$357)</f>
        <v>2712.5</v>
      </c>
      <c r="I9" s="460">
        <f>sumif('2026 DS'!$D$359:$D$435,A9,'2026 DS'!$K$359:$K$435)</f>
        <v>5877.7</v>
      </c>
      <c r="J9" s="460"/>
      <c r="K9" s="460"/>
      <c r="L9" s="460"/>
      <c r="M9" s="460"/>
      <c r="N9" s="460"/>
      <c r="O9" s="460">
        <f t="shared" si="3"/>
        <v>20741</v>
      </c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ht="15.75" customHeight="1">
      <c r="A10" s="196" t="s">
        <v>798</v>
      </c>
      <c r="B10" s="179"/>
      <c r="C10" s="460">
        <f>sumif('2026 DS'!D$4:D$42,A10,'2026 DS'!K$4:K$42)</f>
        <v>0</v>
      </c>
      <c r="D10" s="460"/>
      <c r="E10" s="460">
        <f>sumif('2026 DS'!$D$104:$D$169,$A10,'2026 DS'!$K$104:$K$169)</f>
        <v>0</v>
      </c>
      <c r="F10" s="460">
        <f>sumif('2026 DS'!$D$171:$D$238,$A10,'2026 DS'!$K$171:$K$238)</f>
        <v>0</v>
      </c>
      <c r="G10" s="460">
        <f>sumif('2026 DS'!$D$240:$D$290,$A10,'2026 DS'!$K$240:$K$290)</f>
        <v>0</v>
      </c>
      <c r="H10" s="460">
        <f>sumif('2026 DS'!$D$292:$D$357,A10,'2026 DS'!$K$292:$K$357)</f>
        <v>0</v>
      </c>
      <c r="I10" s="460">
        <f>sumif('2026 DS'!$D$359:$D$435,A10,'2026 DS'!$K$359:$K$435)</f>
        <v>0</v>
      </c>
      <c r="J10" s="460"/>
      <c r="K10" s="460"/>
      <c r="L10" s="460"/>
      <c r="M10" s="460"/>
      <c r="N10" s="460"/>
      <c r="O10" s="460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15.75" customHeight="1">
      <c r="A11" s="180"/>
      <c r="B11" s="179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0"/>
      <c r="O11" s="460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5.75" customHeight="1">
      <c r="A12" s="180"/>
      <c r="B12" s="179"/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460"/>
      <c r="O12" s="460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5.75" customHeight="1">
      <c r="A13" s="180"/>
      <c r="B13" s="179"/>
      <c r="C13" s="460"/>
      <c r="D13" s="460"/>
      <c r="E13" s="460"/>
      <c r="F13" s="460"/>
      <c r="G13" s="460"/>
      <c r="H13" s="460"/>
      <c r="I13" s="460"/>
      <c r="J13" s="460"/>
      <c r="K13" s="460"/>
      <c r="L13" s="460"/>
      <c r="M13" s="460"/>
      <c r="N13" s="460"/>
      <c r="O13" s="460">
        <f>SUM(C13:N13)</f>
        <v>0</v>
      </c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5.75" customHeight="1">
      <c r="A14" s="179"/>
      <c r="B14" s="179"/>
      <c r="C14" s="460"/>
      <c r="D14" s="460"/>
      <c r="E14" s="460"/>
      <c r="F14" s="460"/>
      <c r="G14" s="460"/>
      <c r="H14" s="460"/>
      <c r="I14" s="460"/>
      <c r="J14" s="460"/>
      <c r="K14" s="460"/>
      <c r="L14" s="460"/>
      <c r="M14" s="460"/>
      <c r="N14" s="460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5.75" customHeight="1">
      <c r="A15" s="179"/>
      <c r="B15" s="179"/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5.75" customHeight="1">
      <c r="A16" s="179"/>
      <c r="B16" s="179"/>
      <c r="C16" s="460"/>
      <c r="D16" s="460"/>
      <c r="E16" s="460"/>
      <c r="F16" s="460"/>
      <c r="G16" s="460"/>
      <c r="H16" s="460"/>
      <c r="I16" s="460"/>
      <c r="J16" s="460"/>
      <c r="K16" s="460"/>
      <c r="L16" s="460"/>
      <c r="M16" s="460"/>
      <c r="N16" s="460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5.75" customHeight="1">
      <c r="A17" s="179"/>
      <c r="B17" s="179"/>
      <c r="C17" s="460"/>
      <c r="D17" s="460"/>
      <c r="E17" s="460"/>
      <c r="F17" s="460"/>
      <c r="G17" s="460"/>
      <c r="H17" s="460"/>
      <c r="I17" s="460"/>
      <c r="J17" s="460"/>
      <c r="K17" s="460"/>
      <c r="L17" s="460"/>
      <c r="M17" s="460"/>
      <c r="N17" s="460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5.75" customHeight="1">
      <c r="A18" s="179"/>
      <c r="B18" s="179"/>
      <c r="C18" s="460"/>
      <c r="D18" s="460"/>
      <c r="E18" s="460"/>
      <c r="F18" s="460"/>
      <c r="G18" s="460"/>
      <c r="H18" s="460"/>
      <c r="I18" s="460"/>
      <c r="J18" s="460"/>
      <c r="K18" s="460"/>
      <c r="L18" s="460"/>
      <c r="M18" s="460"/>
      <c r="N18" s="460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15.75" customHeight="1">
      <c r="A19" s="179"/>
      <c r="B19" s="179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0"/>
      <c r="N19" s="460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ht="15.75" customHeight="1">
      <c r="A20" s="179"/>
      <c r="B20" s="179"/>
      <c r="C20" s="460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ht="15.75" customHeight="1">
      <c r="A21" s="179"/>
      <c r="B21" s="179"/>
      <c r="C21" s="460"/>
      <c r="D21" s="460"/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15.75" customHeight="1">
      <c r="A22" s="179"/>
      <c r="B22" s="179"/>
      <c r="C22" s="460"/>
      <c r="D22" s="460"/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ht="15.75" customHeight="1">
      <c r="A23" s="179"/>
      <c r="B23" s="179"/>
      <c r="C23" s="460"/>
      <c r="D23" s="460"/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ht="15.75" customHeight="1">
      <c r="A24" s="179"/>
      <c r="B24" s="179"/>
      <c r="C24" s="460"/>
      <c r="D24" s="460"/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ht="15.75" customHeight="1">
      <c r="A25" s="179"/>
      <c r="B25" s="179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15.75" customHeight="1">
      <c r="A26" s="179"/>
      <c r="B26" s="179"/>
      <c r="C26" s="460"/>
      <c r="D26" s="460"/>
      <c r="E26" s="460"/>
      <c r="F26" s="460"/>
      <c r="G26" s="460"/>
      <c r="H26" s="460"/>
      <c r="I26" s="460"/>
      <c r="J26" s="460"/>
      <c r="K26" s="460"/>
      <c r="L26" s="460"/>
      <c r="M26" s="460"/>
      <c r="N26" s="460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 ht="15.75" customHeight="1">
      <c r="A27" s="179"/>
      <c r="B27" s="179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ht="15.75" customHeight="1">
      <c r="A28" s="179"/>
      <c r="B28" s="179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ht="15.75" customHeight="1">
      <c r="A29" s="179"/>
      <c r="B29" s="179"/>
      <c r="C29" s="460"/>
      <c r="D29" s="460"/>
      <c r="E29" s="460"/>
      <c r="F29" s="460"/>
      <c r="G29" s="460"/>
      <c r="H29" s="460"/>
      <c r="I29" s="460"/>
      <c r="J29" s="460"/>
      <c r="K29" s="460"/>
      <c r="L29" s="460"/>
      <c r="M29" s="460"/>
      <c r="N29" s="460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ht="15.75" customHeight="1">
      <c r="A30" s="179"/>
      <c r="B30" s="179"/>
      <c r="C30" s="460"/>
      <c r="D30" s="460"/>
      <c r="E30" s="460"/>
      <c r="F30" s="460"/>
      <c r="G30" s="460"/>
      <c r="H30" s="460"/>
      <c r="I30" s="460"/>
      <c r="J30" s="460"/>
      <c r="K30" s="460"/>
      <c r="L30" s="460"/>
      <c r="M30" s="460"/>
      <c r="N30" s="460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15.75" customHeight="1">
      <c r="A31" s="179"/>
      <c r="B31" s="179"/>
      <c r="C31" s="460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460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ht="15.75" customHeight="1">
      <c r="A32" s="179"/>
      <c r="B32" s="179"/>
      <c r="C32" s="460"/>
      <c r="D32" s="460"/>
      <c r="E32" s="460"/>
      <c r="F32" s="460"/>
      <c r="G32" s="460"/>
      <c r="H32" s="460"/>
      <c r="I32" s="460"/>
      <c r="J32" s="460"/>
      <c r="K32" s="460"/>
      <c r="L32" s="460"/>
      <c r="M32" s="460"/>
      <c r="N32" s="460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 ht="15.75" customHeight="1">
      <c r="A33" s="179"/>
      <c r="B33" s="179"/>
      <c r="C33" s="460"/>
      <c r="D33" s="460"/>
      <c r="E33" s="460"/>
      <c r="F33" s="460"/>
      <c r="G33" s="460"/>
      <c r="H33" s="460"/>
      <c r="I33" s="460"/>
      <c r="J33" s="460"/>
      <c r="K33" s="460"/>
      <c r="L33" s="460"/>
      <c r="M33" s="460"/>
      <c r="N33" s="460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 ht="15.75" customHeight="1">
      <c r="A34" s="179"/>
      <c r="B34" s="179"/>
      <c r="C34" s="460"/>
      <c r="D34" s="460"/>
      <c r="E34" s="460"/>
      <c r="F34" s="460"/>
      <c r="G34" s="460"/>
      <c r="H34" s="460"/>
      <c r="I34" s="460"/>
      <c r="J34" s="460"/>
      <c r="K34" s="460"/>
      <c r="L34" s="460"/>
      <c r="M34" s="460"/>
      <c r="N34" s="460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 ht="15.75" customHeight="1">
      <c r="A35" s="179"/>
      <c r="B35" s="179"/>
      <c r="C35" s="460"/>
      <c r="D35" s="460"/>
      <c r="E35" s="460"/>
      <c r="F35" s="460"/>
      <c r="G35" s="460"/>
      <c r="H35" s="460"/>
      <c r="I35" s="460"/>
      <c r="J35" s="460"/>
      <c r="K35" s="460"/>
      <c r="L35" s="460"/>
      <c r="M35" s="460"/>
      <c r="N35" s="460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 ht="15.75" customHeight="1">
      <c r="A36" s="179"/>
      <c r="B36" s="179"/>
      <c r="C36" s="460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 ht="15.75" customHeight="1">
      <c r="A37" s="179"/>
      <c r="B37" s="179"/>
      <c r="C37" s="460"/>
      <c r="D37" s="460"/>
      <c r="E37" s="460"/>
      <c r="F37" s="460"/>
      <c r="G37" s="460"/>
      <c r="H37" s="460"/>
      <c r="I37" s="460"/>
      <c r="J37" s="460"/>
      <c r="K37" s="460"/>
      <c r="L37" s="460"/>
      <c r="M37" s="460"/>
      <c r="N37" s="460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 ht="15.75" customHeight="1">
      <c r="A38" s="179"/>
      <c r="B38" s="179"/>
      <c r="C38" s="460"/>
      <c r="D38" s="460"/>
      <c r="E38" s="460"/>
      <c r="F38" s="460"/>
      <c r="G38" s="460"/>
      <c r="H38" s="460"/>
      <c r="I38" s="460"/>
      <c r="J38" s="460"/>
      <c r="K38" s="460"/>
      <c r="L38" s="460"/>
      <c r="M38" s="460"/>
      <c r="N38" s="460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 ht="15.75" customHeight="1">
      <c r="A39" s="179"/>
      <c r="B39" s="179"/>
      <c r="C39" s="460"/>
      <c r="D39" s="460"/>
      <c r="E39" s="460"/>
      <c r="F39" s="460"/>
      <c r="G39" s="460"/>
      <c r="H39" s="460"/>
      <c r="I39" s="460"/>
      <c r="J39" s="460"/>
      <c r="K39" s="460"/>
      <c r="L39" s="460"/>
      <c r="M39" s="460"/>
      <c r="N39" s="460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 ht="15.75" customHeight="1">
      <c r="A40" s="179"/>
      <c r="B40" s="179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 ht="15.75" customHeight="1">
      <c r="A41" s="179"/>
      <c r="B41" s="179"/>
      <c r="C41" s="460"/>
      <c r="D41" s="460"/>
      <c r="E41" s="460"/>
      <c r="F41" s="460"/>
      <c r="G41" s="460"/>
      <c r="H41" s="460"/>
      <c r="I41" s="460"/>
      <c r="J41" s="460"/>
      <c r="K41" s="460"/>
      <c r="L41" s="460"/>
      <c r="M41" s="460"/>
      <c r="N41" s="460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 ht="15.75" customHeight="1">
      <c r="A42" s="179"/>
      <c r="B42" s="179"/>
      <c r="C42" s="460"/>
      <c r="D42" s="460"/>
      <c r="E42" s="460"/>
      <c r="F42" s="460"/>
      <c r="G42" s="460"/>
      <c r="H42" s="460"/>
      <c r="I42" s="460"/>
      <c r="J42" s="460"/>
      <c r="K42" s="460"/>
      <c r="L42" s="460"/>
      <c r="M42" s="460"/>
      <c r="N42" s="460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 ht="15.75" customHeight="1">
      <c r="A43" s="179"/>
      <c r="B43" s="179"/>
      <c r="C43" s="460"/>
      <c r="D43" s="460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 ht="15.75" customHeight="1">
      <c r="A44" s="179"/>
      <c r="B44" s="179"/>
      <c r="C44" s="460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 ht="15.75" customHeight="1">
      <c r="A45" s="179"/>
      <c r="B45" s="179"/>
      <c r="C45" s="460"/>
      <c r="D45" s="460"/>
      <c r="E45" s="460"/>
      <c r="F45" s="460"/>
      <c r="G45" s="460"/>
      <c r="H45" s="460"/>
      <c r="I45" s="460"/>
      <c r="J45" s="460"/>
      <c r="K45" s="460"/>
      <c r="L45" s="460"/>
      <c r="M45" s="460"/>
      <c r="N45" s="460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 ht="15.75" customHeight="1">
      <c r="A46" s="179"/>
      <c r="B46" s="179"/>
      <c r="C46" s="460"/>
      <c r="D46" s="460"/>
      <c r="E46" s="460"/>
      <c r="F46" s="460"/>
      <c r="G46" s="460"/>
      <c r="H46" s="460"/>
      <c r="I46" s="460"/>
      <c r="J46" s="460"/>
      <c r="K46" s="460"/>
      <c r="L46" s="460"/>
      <c r="M46" s="460"/>
      <c r="N46" s="460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 ht="15.75" customHeight="1">
      <c r="A47" s="179"/>
      <c r="B47" s="179"/>
      <c r="C47" s="460"/>
      <c r="D47" s="460"/>
      <c r="E47" s="460"/>
      <c r="F47" s="460"/>
      <c r="G47" s="460"/>
      <c r="H47" s="460"/>
      <c r="I47" s="460"/>
      <c r="J47" s="460"/>
      <c r="K47" s="460"/>
      <c r="L47" s="460"/>
      <c r="M47" s="460"/>
      <c r="N47" s="460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 ht="15.75" customHeight="1">
      <c r="A48" s="179"/>
      <c r="B48" s="179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0"/>
      <c r="N48" s="460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 ht="15.75" customHeight="1">
      <c r="A49" s="179"/>
      <c r="B49" s="179"/>
      <c r="C49" s="460"/>
      <c r="D49" s="460"/>
      <c r="E49" s="460"/>
      <c r="F49" s="460"/>
      <c r="G49" s="460"/>
      <c r="H49" s="460"/>
      <c r="I49" s="460"/>
      <c r="J49" s="460"/>
      <c r="K49" s="460"/>
      <c r="L49" s="460"/>
      <c r="M49" s="460"/>
      <c r="N49" s="460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 ht="15.75" customHeight="1">
      <c r="A50" s="179"/>
      <c r="B50" s="179"/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460"/>
      <c r="N50" s="460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 ht="15.75" customHeight="1">
      <c r="A51" s="179"/>
      <c r="B51" s="179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 ht="15.75" customHeight="1">
      <c r="A52" s="179"/>
      <c r="B52" s="179"/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ht="15.75" customHeight="1">
      <c r="A53" s="179"/>
      <c r="B53" s="179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 ht="15.75" customHeight="1">
      <c r="A54" s="179"/>
      <c r="B54" s="179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460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 ht="15.75" customHeight="1">
      <c r="A55" s="179"/>
      <c r="B55" s="179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  <c r="N55" s="460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 ht="15.75" customHeight="1">
      <c r="A56" s="179"/>
      <c r="B56" s="179"/>
      <c r="C56" s="460"/>
      <c r="D56" s="460"/>
      <c r="E56" s="460"/>
      <c r="F56" s="460"/>
      <c r="G56" s="460"/>
      <c r="H56" s="460"/>
      <c r="I56" s="460"/>
      <c r="J56" s="460"/>
      <c r="K56" s="460"/>
      <c r="L56" s="460"/>
      <c r="M56" s="460"/>
      <c r="N56" s="460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 ht="15.75" customHeight="1">
      <c r="A57" s="179"/>
      <c r="B57" s="179"/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0"/>
      <c r="N57" s="460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 ht="15.75" customHeight="1">
      <c r="A58" s="179"/>
      <c r="B58" s="179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 ht="15.75" customHeight="1">
      <c r="A59" s="179"/>
      <c r="B59" s="179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0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 ht="15.75" customHeight="1">
      <c r="A60" s="179"/>
      <c r="B60" s="179"/>
      <c r="C60" s="460"/>
      <c r="D60" s="460"/>
      <c r="E60" s="460"/>
      <c r="F60" s="460"/>
      <c r="G60" s="460"/>
      <c r="H60" s="460"/>
      <c r="I60" s="460"/>
      <c r="J60" s="460"/>
      <c r="K60" s="460"/>
      <c r="L60" s="460"/>
      <c r="M60" s="460"/>
      <c r="N60" s="460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 ht="15.75" customHeight="1">
      <c r="A61" s="179"/>
      <c r="B61" s="179"/>
      <c r="C61" s="460"/>
      <c r="D61" s="460"/>
      <c r="E61" s="460"/>
      <c r="F61" s="460"/>
      <c r="G61" s="460"/>
      <c r="H61" s="460"/>
      <c r="I61" s="460"/>
      <c r="J61" s="460"/>
      <c r="K61" s="460"/>
      <c r="L61" s="460"/>
      <c r="M61" s="460"/>
      <c r="N61" s="460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ht="15.75" customHeight="1">
      <c r="A62" s="179"/>
      <c r="B62" s="179"/>
      <c r="C62" s="460"/>
      <c r="D62" s="460"/>
      <c r="E62" s="460"/>
      <c r="F62" s="460"/>
      <c r="G62" s="460"/>
      <c r="H62" s="460"/>
      <c r="I62" s="460"/>
      <c r="J62" s="460"/>
      <c r="K62" s="460"/>
      <c r="L62" s="460"/>
      <c r="M62" s="460"/>
      <c r="N62" s="460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 ht="15.75" customHeight="1">
      <c r="A63" s="179"/>
      <c r="B63" s="179"/>
      <c r="C63" s="460"/>
      <c r="D63" s="460"/>
      <c r="E63" s="460"/>
      <c r="F63" s="460"/>
      <c r="G63" s="460"/>
      <c r="H63" s="460"/>
      <c r="I63" s="460"/>
      <c r="J63" s="460"/>
      <c r="K63" s="460"/>
      <c r="L63" s="460"/>
      <c r="M63" s="460"/>
      <c r="N63" s="460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 ht="15.75" customHeight="1">
      <c r="A64" s="179"/>
      <c r="B64" s="179"/>
      <c r="C64" s="460"/>
      <c r="D64" s="460"/>
      <c r="E64" s="460"/>
      <c r="F64" s="460"/>
      <c r="G64" s="460"/>
      <c r="H64" s="460"/>
      <c r="I64" s="460"/>
      <c r="J64" s="460"/>
      <c r="K64" s="460"/>
      <c r="L64" s="460"/>
      <c r="M64" s="460"/>
      <c r="N64" s="460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 ht="15.75" customHeight="1">
      <c r="A65" s="179"/>
      <c r="B65" s="179"/>
      <c r="C65" s="460"/>
      <c r="D65" s="460"/>
      <c r="E65" s="460"/>
      <c r="F65" s="460"/>
      <c r="G65" s="460"/>
      <c r="H65" s="460"/>
      <c r="I65" s="460"/>
      <c r="J65" s="460"/>
      <c r="K65" s="460"/>
      <c r="L65" s="460"/>
      <c r="M65" s="460"/>
      <c r="N65" s="460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 ht="15.75" customHeight="1">
      <c r="A66" s="179"/>
      <c r="B66" s="179"/>
      <c r="C66" s="460"/>
      <c r="D66" s="460"/>
      <c r="E66" s="460"/>
      <c r="F66" s="460"/>
      <c r="G66" s="460"/>
      <c r="H66" s="460"/>
      <c r="I66" s="460"/>
      <c r="J66" s="460"/>
      <c r="K66" s="460"/>
      <c r="L66" s="460"/>
      <c r="M66" s="460"/>
      <c r="N66" s="460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 ht="15.75" customHeight="1">
      <c r="A67" s="179"/>
      <c r="B67" s="179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 ht="15.75" customHeight="1">
      <c r="A68" s="179"/>
      <c r="B68" s="179"/>
      <c r="C68" s="460"/>
      <c r="D68" s="460"/>
      <c r="E68" s="460"/>
      <c r="F68" s="460"/>
      <c r="G68" s="460"/>
      <c r="H68" s="460"/>
      <c r="I68" s="460"/>
      <c r="J68" s="460"/>
      <c r="K68" s="460"/>
      <c r="L68" s="460"/>
      <c r="M68" s="460"/>
      <c r="N68" s="460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 ht="15.75" customHeight="1">
      <c r="A69" s="179"/>
      <c r="B69" s="179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460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ht="15.75" customHeight="1">
      <c r="A70" s="179"/>
      <c r="B70" s="179"/>
      <c r="C70" s="460"/>
      <c r="D70" s="460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 ht="15.75" customHeight="1">
      <c r="A71" s="179"/>
      <c r="B71" s="179"/>
      <c r="C71" s="460"/>
      <c r="D71" s="460"/>
      <c r="E71" s="460"/>
      <c r="F71" s="460"/>
      <c r="G71" s="460"/>
      <c r="H71" s="460"/>
      <c r="I71" s="460"/>
      <c r="J71" s="460"/>
      <c r="K71" s="460"/>
      <c r="L71" s="460"/>
      <c r="M71" s="460"/>
      <c r="N71" s="460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 ht="15.75" customHeight="1">
      <c r="A72" s="179"/>
      <c r="B72" s="179"/>
      <c r="C72" s="460"/>
      <c r="D72" s="460"/>
      <c r="E72" s="460"/>
      <c r="F72" s="460"/>
      <c r="G72" s="460"/>
      <c r="H72" s="460"/>
      <c r="I72" s="460"/>
      <c r="J72" s="460"/>
      <c r="K72" s="460"/>
      <c r="L72" s="460"/>
      <c r="M72" s="460"/>
      <c r="N72" s="460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 ht="15.75" customHeight="1">
      <c r="A73" s="179"/>
      <c r="B73" s="179"/>
      <c r="C73" s="460"/>
      <c r="D73" s="460"/>
      <c r="E73" s="460"/>
      <c r="F73" s="460"/>
      <c r="G73" s="460"/>
      <c r="H73" s="460"/>
      <c r="I73" s="460"/>
      <c r="J73" s="460"/>
      <c r="K73" s="460"/>
      <c r="L73" s="460"/>
      <c r="M73" s="460"/>
      <c r="N73" s="460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 ht="15.75" customHeight="1">
      <c r="A74" s="179"/>
      <c r="B74" s="179"/>
      <c r="C74" s="460"/>
      <c r="D74" s="460"/>
      <c r="E74" s="460"/>
      <c r="F74" s="460"/>
      <c r="G74" s="460"/>
      <c r="H74" s="460"/>
      <c r="I74" s="460"/>
      <c r="J74" s="460"/>
      <c r="K74" s="460"/>
      <c r="L74" s="460"/>
      <c r="M74" s="460"/>
      <c r="N74" s="460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 ht="15.75" customHeight="1">
      <c r="A75" s="179"/>
      <c r="B75" s="179"/>
      <c r="C75" s="460"/>
      <c r="D75" s="460"/>
      <c r="E75" s="460"/>
      <c r="F75" s="460"/>
      <c r="G75" s="460"/>
      <c r="H75" s="460"/>
      <c r="I75" s="460"/>
      <c r="J75" s="460"/>
      <c r="K75" s="460"/>
      <c r="L75" s="460"/>
      <c r="M75" s="460"/>
      <c r="N75" s="460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 ht="15.75" customHeight="1">
      <c r="A76" s="179"/>
      <c r="B76" s="179"/>
      <c r="C76" s="460"/>
      <c r="D76" s="460"/>
      <c r="E76" s="460"/>
      <c r="F76" s="460"/>
      <c r="G76" s="460"/>
      <c r="H76" s="460"/>
      <c r="I76" s="460"/>
      <c r="J76" s="460"/>
      <c r="K76" s="460"/>
      <c r="L76" s="460"/>
      <c r="M76" s="460"/>
      <c r="N76" s="460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 ht="15.75" customHeight="1">
      <c r="A77" s="179"/>
      <c r="B77" s="179"/>
      <c r="C77" s="460"/>
      <c r="D77" s="460"/>
      <c r="E77" s="460"/>
      <c r="F77" s="460"/>
      <c r="G77" s="460"/>
      <c r="H77" s="460"/>
      <c r="I77" s="460"/>
      <c r="J77" s="460"/>
      <c r="K77" s="460"/>
      <c r="L77" s="460"/>
      <c r="M77" s="460"/>
      <c r="N77" s="460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 ht="15.75" customHeight="1">
      <c r="A78" s="179"/>
      <c r="B78" s="179"/>
      <c r="C78" s="460"/>
      <c r="D78" s="460"/>
      <c r="E78" s="460"/>
      <c r="F78" s="460"/>
      <c r="G78" s="460"/>
      <c r="H78" s="460"/>
      <c r="I78" s="460"/>
      <c r="J78" s="460"/>
      <c r="K78" s="460"/>
      <c r="L78" s="460"/>
      <c r="M78" s="460"/>
      <c r="N78" s="460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 ht="15.75" customHeight="1">
      <c r="A79" s="179"/>
      <c r="B79" s="179"/>
      <c r="C79" s="460"/>
      <c r="D79" s="460"/>
      <c r="E79" s="460"/>
      <c r="F79" s="460"/>
      <c r="G79" s="460"/>
      <c r="H79" s="460"/>
      <c r="I79" s="460"/>
      <c r="J79" s="460"/>
      <c r="K79" s="460"/>
      <c r="L79" s="460"/>
      <c r="M79" s="460"/>
      <c r="N79" s="460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 ht="15.75" customHeight="1">
      <c r="A80" s="179"/>
      <c r="B80" s="179"/>
      <c r="C80" s="460"/>
      <c r="D80" s="460"/>
      <c r="E80" s="460"/>
      <c r="F80" s="460"/>
      <c r="G80" s="460"/>
      <c r="H80" s="460"/>
      <c r="I80" s="460"/>
      <c r="J80" s="460"/>
      <c r="K80" s="460"/>
      <c r="L80" s="460"/>
      <c r="M80" s="460"/>
      <c r="N80" s="460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 ht="15.75" customHeight="1">
      <c r="A81" s="179"/>
      <c r="B81" s="179"/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 ht="15.75" customHeight="1">
      <c r="A82" s="179"/>
      <c r="B82" s="179"/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 ht="15.75" customHeight="1">
      <c r="A83" s="179"/>
      <c r="B83" s="179"/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 ht="15.75" customHeight="1">
      <c r="A84" s="179"/>
      <c r="B84" s="179"/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 ht="15.75" customHeight="1">
      <c r="A85" s="179"/>
      <c r="B85" s="179"/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 ht="15.75" customHeight="1">
      <c r="A86" s="179"/>
      <c r="B86" s="179"/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 ht="15.75" customHeight="1">
      <c r="A87" s="179"/>
      <c r="B87" s="179"/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 ht="15.75" customHeight="1">
      <c r="A88" s="179"/>
      <c r="B88" s="179"/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 ht="15.75" customHeight="1">
      <c r="A89" s="179"/>
      <c r="B89" s="179"/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 ht="15.75" customHeight="1">
      <c r="A90" s="179"/>
      <c r="B90" s="179"/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 ht="15.75" customHeight="1">
      <c r="A91" s="179"/>
      <c r="B91" s="179"/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 ht="15.75" customHeight="1">
      <c r="A92" s="179"/>
      <c r="B92" s="179"/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 ht="15.75" customHeight="1">
      <c r="A93" s="179"/>
      <c r="B93" s="179"/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 ht="15.75" customHeight="1">
      <c r="A94" s="179"/>
      <c r="B94" s="179"/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 ht="15.75" customHeight="1">
      <c r="A95" s="179"/>
      <c r="B95" s="179"/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 ht="15.75" customHeight="1">
      <c r="A96" s="179"/>
      <c r="B96" s="179"/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 ht="15.75" customHeight="1">
      <c r="A97" s="179"/>
      <c r="B97" s="179"/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ht="15.75" customHeight="1">
      <c r="A98" s="179"/>
      <c r="B98" s="179"/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 ht="15.75" customHeight="1">
      <c r="A99" s="179"/>
      <c r="B99" s="179"/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 ht="15.75" customHeight="1">
      <c r="A100" s="179"/>
      <c r="B100" s="179"/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 ht="15.75" customHeight="1">
      <c r="A101" s="179"/>
      <c r="B101" s="179"/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 ht="15.75" customHeight="1">
      <c r="A102" s="179"/>
      <c r="B102" s="179"/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 ht="15.75" customHeight="1">
      <c r="A103" s="179"/>
      <c r="B103" s="179"/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 ht="15.75" customHeight="1">
      <c r="A104" s="179"/>
      <c r="B104" s="179"/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 ht="15.75" customHeight="1">
      <c r="A105" s="179"/>
      <c r="B105" s="179"/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 ht="15.75" customHeight="1">
      <c r="A106" s="179"/>
      <c r="B106" s="179"/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 ht="15.75" customHeight="1">
      <c r="A107" s="179"/>
      <c r="B107" s="179"/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 ht="15.75" customHeight="1">
      <c r="A108" s="179"/>
      <c r="B108" s="179"/>
      <c r="C108" s="460"/>
      <c r="D108" s="460"/>
      <c r="E108" s="460"/>
      <c r="F108" s="460"/>
      <c r="G108" s="460"/>
      <c r="H108" s="460"/>
      <c r="I108" s="460"/>
      <c r="J108" s="460"/>
      <c r="K108" s="460"/>
      <c r="L108" s="460"/>
      <c r="M108" s="460"/>
      <c r="N108" s="460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 ht="15.75" customHeight="1">
      <c r="A109" s="179"/>
      <c r="B109" s="179"/>
      <c r="C109" s="460"/>
      <c r="D109" s="460"/>
      <c r="E109" s="460"/>
      <c r="F109" s="460"/>
      <c r="G109" s="460"/>
      <c r="H109" s="460"/>
      <c r="I109" s="460"/>
      <c r="J109" s="460"/>
      <c r="K109" s="460"/>
      <c r="L109" s="460"/>
      <c r="M109" s="460"/>
      <c r="N109" s="460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 ht="15.75" customHeight="1">
      <c r="A110" s="179"/>
      <c r="B110" s="179"/>
      <c r="C110" s="460"/>
      <c r="D110" s="460"/>
      <c r="E110" s="460"/>
      <c r="F110" s="460"/>
      <c r="G110" s="460"/>
      <c r="H110" s="460"/>
      <c r="I110" s="460"/>
      <c r="J110" s="460"/>
      <c r="K110" s="460"/>
      <c r="L110" s="460"/>
      <c r="M110" s="460"/>
      <c r="N110" s="460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 ht="15.75" customHeight="1">
      <c r="A111" s="179"/>
      <c r="B111" s="179"/>
      <c r="C111" s="460"/>
      <c r="D111" s="460"/>
      <c r="E111" s="460"/>
      <c r="F111" s="460"/>
      <c r="G111" s="460"/>
      <c r="H111" s="460"/>
      <c r="I111" s="460"/>
      <c r="J111" s="460"/>
      <c r="K111" s="460"/>
      <c r="L111" s="460"/>
      <c r="M111" s="460"/>
      <c r="N111" s="460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 ht="15.75" customHeight="1">
      <c r="A112" s="179"/>
      <c r="B112" s="179"/>
      <c r="C112" s="460"/>
      <c r="D112" s="460"/>
      <c r="E112" s="460"/>
      <c r="F112" s="460"/>
      <c r="G112" s="460"/>
      <c r="H112" s="460"/>
      <c r="I112" s="460"/>
      <c r="J112" s="460"/>
      <c r="K112" s="460"/>
      <c r="L112" s="460"/>
      <c r="M112" s="460"/>
      <c r="N112" s="460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 ht="15.75" customHeight="1">
      <c r="A113" s="179"/>
      <c r="B113" s="179"/>
      <c r="C113" s="460"/>
      <c r="D113" s="460"/>
      <c r="E113" s="460"/>
      <c r="F113" s="460"/>
      <c r="G113" s="460"/>
      <c r="H113" s="460"/>
      <c r="I113" s="460"/>
      <c r="J113" s="460"/>
      <c r="K113" s="460"/>
      <c r="L113" s="460"/>
      <c r="M113" s="460"/>
      <c r="N113" s="460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 ht="15.75" customHeight="1">
      <c r="A114" s="179"/>
      <c r="B114" s="179"/>
      <c r="C114" s="460"/>
      <c r="D114" s="460"/>
      <c r="E114" s="460"/>
      <c r="F114" s="460"/>
      <c r="G114" s="460"/>
      <c r="H114" s="460"/>
      <c r="I114" s="460"/>
      <c r="J114" s="460"/>
      <c r="K114" s="460"/>
      <c r="L114" s="460"/>
      <c r="M114" s="460"/>
      <c r="N114" s="460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 ht="15.75" customHeight="1">
      <c r="A115" s="179"/>
      <c r="B115" s="179"/>
      <c r="C115" s="460"/>
      <c r="D115" s="460"/>
      <c r="E115" s="460"/>
      <c r="F115" s="460"/>
      <c r="G115" s="460"/>
      <c r="H115" s="460"/>
      <c r="I115" s="460"/>
      <c r="J115" s="460"/>
      <c r="K115" s="460"/>
      <c r="L115" s="460"/>
      <c r="M115" s="460"/>
      <c r="N115" s="460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 ht="15.75" customHeight="1">
      <c r="A116" s="179"/>
      <c r="B116" s="179"/>
      <c r="C116" s="460"/>
      <c r="D116" s="460"/>
      <c r="E116" s="460"/>
      <c r="F116" s="460"/>
      <c r="G116" s="460"/>
      <c r="H116" s="460"/>
      <c r="I116" s="460"/>
      <c r="J116" s="460"/>
      <c r="K116" s="460"/>
      <c r="L116" s="460"/>
      <c r="M116" s="460"/>
      <c r="N116" s="460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 ht="15.75" customHeight="1">
      <c r="A117" s="179"/>
      <c r="B117" s="179"/>
      <c r="C117" s="460"/>
      <c r="D117" s="460"/>
      <c r="E117" s="460"/>
      <c r="F117" s="460"/>
      <c r="G117" s="460"/>
      <c r="H117" s="460"/>
      <c r="I117" s="460"/>
      <c r="J117" s="460"/>
      <c r="K117" s="460"/>
      <c r="L117" s="460"/>
      <c r="M117" s="460"/>
      <c r="N117" s="460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 ht="15.75" customHeight="1">
      <c r="A118" s="179"/>
      <c r="B118" s="179"/>
      <c r="C118" s="460"/>
      <c r="D118" s="460"/>
      <c r="E118" s="460"/>
      <c r="F118" s="460"/>
      <c r="G118" s="460"/>
      <c r="H118" s="460"/>
      <c r="I118" s="460"/>
      <c r="J118" s="460"/>
      <c r="K118" s="460"/>
      <c r="L118" s="460"/>
      <c r="M118" s="460"/>
      <c r="N118" s="460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 ht="15.75" customHeight="1">
      <c r="A119" s="179"/>
      <c r="B119" s="179"/>
      <c r="C119" s="460"/>
      <c r="D119" s="460"/>
      <c r="E119" s="460"/>
      <c r="F119" s="460"/>
      <c r="G119" s="460"/>
      <c r="H119" s="460"/>
      <c r="I119" s="460"/>
      <c r="J119" s="460"/>
      <c r="K119" s="460"/>
      <c r="L119" s="460"/>
      <c r="M119" s="460"/>
      <c r="N119" s="460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 ht="15.75" customHeight="1">
      <c r="A120" s="179"/>
      <c r="B120" s="179"/>
      <c r="C120" s="460"/>
      <c r="D120" s="460"/>
      <c r="E120" s="460"/>
      <c r="F120" s="460"/>
      <c r="G120" s="460"/>
      <c r="H120" s="460"/>
      <c r="I120" s="460"/>
      <c r="J120" s="460"/>
      <c r="K120" s="460"/>
      <c r="L120" s="460"/>
      <c r="M120" s="460"/>
      <c r="N120" s="460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 ht="15.75" customHeight="1">
      <c r="A121" s="179"/>
      <c r="B121" s="179"/>
      <c r="C121" s="460"/>
      <c r="D121" s="460"/>
      <c r="E121" s="460"/>
      <c r="F121" s="460"/>
      <c r="G121" s="460"/>
      <c r="H121" s="460"/>
      <c r="I121" s="460"/>
      <c r="J121" s="460"/>
      <c r="K121" s="460"/>
      <c r="L121" s="460"/>
      <c r="M121" s="460"/>
      <c r="N121" s="460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 ht="15.75" customHeight="1">
      <c r="A122" s="179"/>
      <c r="B122" s="179"/>
      <c r="C122" s="460"/>
      <c r="D122" s="460"/>
      <c r="E122" s="460"/>
      <c r="F122" s="460"/>
      <c r="G122" s="460"/>
      <c r="H122" s="460"/>
      <c r="I122" s="460"/>
      <c r="J122" s="460"/>
      <c r="K122" s="460"/>
      <c r="L122" s="460"/>
      <c r="M122" s="460"/>
      <c r="N122" s="460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 ht="15.75" customHeight="1">
      <c r="A123" s="179"/>
      <c r="B123" s="179"/>
      <c r="C123" s="460"/>
      <c r="D123" s="460"/>
      <c r="E123" s="460"/>
      <c r="F123" s="460"/>
      <c r="G123" s="460"/>
      <c r="H123" s="460"/>
      <c r="I123" s="460"/>
      <c r="J123" s="460"/>
      <c r="K123" s="460"/>
      <c r="L123" s="460"/>
      <c r="M123" s="460"/>
      <c r="N123" s="460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 ht="15.75" customHeight="1">
      <c r="A124" s="179"/>
      <c r="B124" s="179"/>
      <c r="C124" s="460"/>
      <c r="D124" s="460"/>
      <c r="E124" s="460"/>
      <c r="F124" s="460"/>
      <c r="G124" s="460"/>
      <c r="H124" s="460"/>
      <c r="I124" s="460"/>
      <c r="J124" s="460"/>
      <c r="K124" s="460"/>
      <c r="L124" s="460"/>
      <c r="M124" s="460"/>
      <c r="N124" s="460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 ht="15.75" customHeight="1">
      <c r="A125" s="179"/>
      <c r="B125" s="179"/>
      <c r="C125" s="460"/>
      <c r="D125" s="460"/>
      <c r="E125" s="460"/>
      <c r="F125" s="460"/>
      <c r="G125" s="460"/>
      <c r="H125" s="460"/>
      <c r="I125" s="460"/>
      <c r="J125" s="460"/>
      <c r="K125" s="460"/>
      <c r="L125" s="460"/>
      <c r="M125" s="460"/>
      <c r="N125" s="460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 ht="15.75" customHeight="1">
      <c r="A126" s="179"/>
      <c r="B126" s="179"/>
      <c r="C126" s="460"/>
      <c r="D126" s="460"/>
      <c r="E126" s="460"/>
      <c r="F126" s="460"/>
      <c r="G126" s="460"/>
      <c r="H126" s="460"/>
      <c r="I126" s="460"/>
      <c r="J126" s="460"/>
      <c r="K126" s="460"/>
      <c r="L126" s="460"/>
      <c r="M126" s="460"/>
      <c r="N126" s="460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 ht="15.75" customHeight="1">
      <c r="A127" s="179"/>
      <c r="B127" s="179"/>
      <c r="C127" s="460"/>
      <c r="D127" s="460"/>
      <c r="E127" s="460"/>
      <c r="F127" s="460"/>
      <c r="G127" s="460"/>
      <c r="H127" s="460"/>
      <c r="I127" s="460"/>
      <c r="J127" s="460"/>
      <c r="K127" s="460"/>
      <c r="L127" s="460"/>
      <c r="M127" s="460"/>
      <c r="N127" s="460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 ht="15.75" customHeight="1">
      <c r="A128" s="179"/>
      <c r="B128" s="179"/>
      <c r="C128" s="460"/>
      <c r="D128" s="460"/>
      <c r="E128" s="460"/>
      <c r="F128" s="460"/>
      <c r="G128" s="460"/>
      <c r="H128" s="460"/>
      <c r="I128" s="460"/>
      <c r="J128" s="460"/>
      <c r="K128" s="460"/>
      <c r="L128" s="460"/>
      <c r="M128" s="460"/>
      <c r="N128" s="460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 ht="15.75" customHeight="1">
      <c r="A129" s="179"/>
      <c r="B129" s="179"/>
      <c r="C129" s="460"/>
      <c r="D129" s="460"/>
      <c r="E129" s="460"/>
      <c r="F129" s="460"/>
      <c r="G129" s="460"/>
      <c r="H129" s="460"/>
      <c r="I129" s="460"/>
      <c r="J129" s="460"/>
      <c r="K129" s="460"/>
      <c r="L129" s="460"/>
      <c r="M129" s="460"/>
      <c r="N129" s="460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 ht="15.75" customHeight="1">
      <c r="A130" s="179"/>
      <c r="B130" s="179"/>
      <c r="C130" s="460"/>
      <c r="D130" s="460"/>
      <c r="E130" s="460"/>
      <c r="F130" s="460"/>
      <c r="G130" s="460"/>
      <c r="H130" s="460"/>
      <c r="I130" s="460"/>
      <c r="J130" s="460"/>
      <c r="K130" s="460"/>
      <c r="L130" s="460"/>
      <c r="M130" s="460"/>
      <c r="N130" s="460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 ht="15.75" customHeight="1">
      <c r="A131" s="179"/>
      <c r="B131" s="179"/>
      <c r="C131" s="460"/>
      <c r="D131" s="460"/>
      <c r="E131" s="460"/>
      <c r="F131" s="460"/>
      <c r="G131" s="460"/>
      <c r="H131" s="460"/>
      <c r="I131" s="460"/>
      <c r="J131" s="460"/>
      <c r="K131" s="460"/>
      <c r="L131" s="460"/>
      <c r="M131" s="460"/>
      <c r="N131" s="460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 ht="15.75" customHeight="1">
      <c r="A132" s="179"/>
      <c r="B132" s="179"/>
      <c r="C132" s="460"/>
      <c r="D132" s="460"/>
      <c r="E132" s="460"/>
      <c r="F132" s="460"/>
      <c r="G132" s="460"/>
      <c r="H132" s="460"/>
      <c r="I132" s="460"/>
      <c r="J132" s="460"/>
      <c r="K132" s="460"/>
      <c r="L132" s="460"/>
      <c r="M132" s="460"/>
      <c r="N132" s="460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 ht="15.75" customHeight="1">
      <c r="A133" s="179"/>
      <c r="B133" s="179"/>
      <c r="C133" s="460"/>
      <c r="D133" s="460"/>
      <c r="E133" s="460"/>
      <c r="F133" s="460"/>
      <c r="G133" s="460"/>
      <c r="H133" s="460"/>
      <c r="I133" s="460"/>
      <c r="J133" s="460"/>
      <c r="K133" s="460"/>
      <c r="L133" s="460"/>
      <c r="M133" s="460"/>
      <c r="N133" s="460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 ht="15.75" customHeight="1">
      <c r="A134" s="179"/>
      <c r="B134" s="179"/>
      <c r="C134" s="460"/>
      <c r="D134" s="460"/>
      <c r="E134" s="460"/>
      <c r="F134" s="460"/>
      <c r="G134" s="460"/>
      <c r="H134" s="460"/>
      <c r="I134" s="460"/>
      <c r="J134" s="460"/>
      <c r="K134" s="460"/>
      <c r="L134" s="460"/>
      <c r="M134" s="460"/>
      <c r="N134" s="460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 ht="15.75" customHeight="1">
      <c r="A135" s="179"/>
      <c r="B135" s="179"/>
      <c r="C135" s="460"/>
      <c r="D135" s="460"/>
      <c r="E135" s="460"/>
      <c r="F135" s="460"/>
      <c r="G135" s="460"/>
      <c r="H135" s="460"/>
      <c r="I135" s="460"/>
      <c r="J135" s="460"/>
      <c r="K135" s="460"/>
      <c r="L135" s="460"/>
      <c r="M135" s="460"/>
      <c r="N135" s="460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 ht="15.75" customHeight="1">
      <c r="A136" s="179"/>
      <c r="B136" s="179"/>
      <c r="C136" s="460"/>
      <c r="D136" s="460"/>
      <c r="E136" s="460"/>
      <c r="F136" s="460"/>
      <c r="G136" s="460"/>
      <c r="H136" s="460"/>
      <c r="I136" s="460"/>
      <c r="J136" s="460"/>
      <c r="K136" s="460"/>
      <c r="L136" s="460"/>
      <c r="M136" s="460"/>
      <c r="N136" s="460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 ht="15.75" customHeight="1">
      <c r="A137" s="179"/>
      <c r="B137" s="179"/>
      <c r="C137" s="460"/>
      <c r="D137" s="460"/>
      <c r="E137" s="460"/>
      <c r="F137" s="460"/>
      <c r="G137" s="460"/>
      <c r="H137" s="460"/>
      <c r="I137" s="460"/>
      <c r="J137" s="460"/>
      <c r="K137" s="460"/>
      <c r="L137" s="460"/>
      <c r="M137" s="460"/>
      <c r="N137" s="460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 ht="15.75" customHeight="1">
      <c r="A138" s="179"/>
      <c r="B138" s="179"/>
      <c r="C138" s="460"/>
      <c r="D138" s="460"/>
      <c r="E138" s="460"/>
      <c r="F138" s="460"/>
      <c r="G138" s="460"/>
      <c r="H138" s="460"/>
      <c r="I138" s="460"/>
      <c r="J138" s="460"/>
      <c r="K138" s="460"/>
      <c r="L138" s="460"/>
      <c r="M138" s="460"/>
      <c r="N138" s="460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 ht="15.75" customHeight="1">
      <c r="A139" s="179"/>
      <c r="B139" s="179"/>
      <c r="C139" s="460"/>
      <c r="D139" s="460"/>
      <c r="E139" s="460"/>
      <c r="F139" s="460"/>
      <c r="G139" s="460"/>
      <c r="H139" s="460"/>
      <c r="I139" s="460"/>
      <c r="J139" s="460"/>
      <c r="K139" s="460"/>
      <c r="L139" s="460"/>
      <c r="M139" s="460"/>
      <c r="N139" s="460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 ht="15.75" customHeight="1">
      <c r="A140" s="179"/>
      <c r="B140" s="179"/>
      <c r="C140" s="460"/>
      <c r="D140" s="460"/>
      <c r="E140" s="460"/>
      <c r="F140" s="460"/>
      <c r="G140" s="460"/>
      <c r="H140" s="460"/>
      <c r="I140" s="460"/>
      <c r="J140" s="460"/>
      <c r="K140" s="460"/>
      <c r="L140" s="460"/>
      <c r="M140" s="460"/>
      <c r="N140" s="460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ht="15.75" customHeight="1">
      <c r="A141" s="179"/>
      <c r="B141" s="179"/>
      <c r="C141" s="460"/>
      <c r="D141" s="460"/>
      <c r="E141" s="460"/>
      <c r="F141" s="460"/>
      <c r="G141" s="460"/>
      <c r="H141" s="460"/>
      <c r="I141" s="460"/>
      <c r="J141" s="460"/>
      <c r="K141" s="460"/>
      <c r="L141" s="460"/>
      <c r="M141" s="460"/>
      <c r="N141" s="460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 ht="15.75" customHeight="1">
      <c r="A142" s="179"/>
      <c r="B142" s="179"/>
      <c r="C142" s="460"/>
      <c r="D142" s="460"/>
      <c r="E142" s="460"/>
      <c r="F142" s="460"/>
      <c r="G142" s="460"/>
      <c r="H142" s="460"/>
      <c r="I142" s="460"/>
      <c r="J142" s="460"/>
      <c r="K142" s="460"/>
      <c r="L142" s="460"/>
      <c r="M142" s="460"/>
      <c r="N142" s="460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 ht="15.75" customHeight="1">
      <c r="A143" s="179"/>
      <c r="B143" s="179"/>
      <c r="C143" s="460"/>
      <c r="D143" s="460"/>
      <c r="E143" s="460"/>
      <c r="F143" s="460"/>
      <c r="G143" s="460"/>
      <c r="H143" s="460"/>
      <c r="I143" s="460"/>
      <c r="J143" s="460"/>
      <c r="K143" s="460"/>
      <c r="L143" s="460"/>
      <c r="M143" s="460"/>
      <c r="N143" s="460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 ht="15.75" customHeight="1">
      <c r="A144" s="179"/>
      <c r="B144" s="179"/>
      <c r="C144" s="460"/>
      <c r="D144" s="460"/>
      <c r="E144" s="460"/>
      <c r="F144" s="460"/>
      <c r="G144" s="460"/>
      <c r="H144" s="460"/>
      <c r="I144" s="460"/>
      <c r="J144" s="460"/>
      <c r="K144" s="460"/>
      <c r="L144" s="460"/>
      <c r="M144" s="460"/>
      <c r="N144" s="460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 ht="15.75" customHeight="1">
      <c r="A145" s="179"/>
      <c r="B145" s="179"/>
      <c r="C145" s="460"/>
      <c r="D145" s="460"/>
      <c r="E145" s="460"/>
      <c r="F145" s="460"/>
      <c r="G145" s="460"/>
      <c r="H145" s="460"/>
      <c r="I145" s="460"/>
      <c r="J145" s="460"/>
      <c r="K145" s="460"/>
      <c r="L145" s="460"/>
      <c r="M145" s="460"/>
      <c r="N145" s="460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 ht="15.75" customHeight="1">
      <c r="A146" s="179"/>
      <c r="B146" s="179"/>
      <c r="C146" s="460"/>
      <c r="D146" s="460"/>
      <c r="E146" s="460"/>
      <c r="F146" s="460"/>
      <c r="G146" s="460"/>
      <c r="H146" s="460"/>
      <c r="I146" s="460"/>
      <c r="J146" s="460"/>
      <c r="K146" s="460"/>
      <c r="L146" s="460"/>
      <c r="M146" s="460"/>
      <c r="N146" s="460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 ht="15.75" customHeight="1">
      <c r="A147" s="179"/>
      <c r="B147" s="179"/>
      <c r="C147" s="460"/>
      <c r="D147" s="460"/>
      <c r="E147" s="460"/>
      <c r="F147" s="460"/>
      <c r="G147" s="460"/>
      <c r="H147" s="460"/>
      <c r="I147" s="460"/>
      <c r="J147" s="460"/>
      <c r="K147" s="460"/>
      <c r="L147" s="460"/>
      <c r="M147" s="460"/>
      <c r="N147" s="460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 ht="15.75" customHeight="1">
      <c r="A148" s="179"/>
      <c r="B148" s="179"/>
      <c r="C148" s="460"/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 ht="15.75" customHeight="1">
      <c r="A149" s="179"/>
      <c r="B149" s="179"/>
      <c r="C149" s="460"/>
      <c r="D149" s="460"/>
      <c r="E149" s="460"/>
      <c r="F149" s="460"/>
      <c r="G149" s="460"/>
      <c r="H149" s="460"/>
      <c r="I149" s="460"/>
      <c r="J149" s="460"/>
      <c r="K149" s="460"/>
      <c r="L149" s="460"/>
      <c r="M149" s="460"/>
      <c r="N149" s="460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 ht="15.75" customHeight="1">
      <c r="A150" s="179"/>
      <c r="B150" s="179"/>
      <c r="C150" s="460"/>
      <c r="D150" s="460"/>
      <c r="E150" s="460"/>
      <c r="F150" s="460"/>
      <c r="G150" s="460"/>
      <c r="H150" s="460"/>
      <c r="I150" s="460"/>
      <c r="J150" s="460"/>
      <c r="K150" s="460"/>
      <c r="L150" s="460"/>
      <c r="M150" s="460"/>
      <c r="N150" s="460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 ht="15.75" customHeight="1">
      <c r="A151" s="179"/>
      <c r="B151" s="179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0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 ht="15.75" customHeight="1">
      <c r="A152" s="179"/>
      <c r="B152" s="179"/>
      <c r="C152" s="460"/>
      <c r="D152" s="460"/>
      <c r="E152" s="460"/>
      <c r="F152" s="460"/>
      <c r="G152" s="460"/>
      <c r="H152" s="460"/>
      <c r="I152" s="460"/>
      <c r="J152" s="460"/>
      <c r="K152" s="460"/>
      <c r="L152" s="460"/>
      <c r="M152" s="460"/>
      <c r="N152" s="460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 ht="15.75" customHeight="1">
      <c r="A153" s="179"/>
      <c r="B153" s="179"/>
      <c r="C153" s="460"/>
      <c r="D153" s="460"/>
      <c r="E153" s="460"/>
      <c r="F153" s="460"/>
      <c r="G153" s="460"/>
      <c r="H153" s="460"/>
      <c r="I153" s="460"/>
      <c r="J153" s="460"/>
      <c r="K153" s="460"/>
      <c r="L153" s="460"/>
      <c r="M153" s="460"/>
      <c r="N153" s="460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 ht="15.75" customHeight="1">
      <c r="A154" s="179"/>
      <c r="B154" s="179"/>
      <c r="C154" s="460"/>
      <c r="D154" s="460"/>
      <c r="E154" s="460"/>
      <c r="F154" s="460"/>
      <c r="G154" s="460"/>
      <c r="H154" s="460"/>
      <c r="I154" s="460"/>
      <c r="J154" s="460"/>
      <c r="K154" s="460"/>
      <c r="L154" s="460"/>
      <c r="M154" s="460"/>
      <c r="N154" s="460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 ht="15.75" customHeight="1">
      <c r="A155" s="179"/>
      <c r="B155" s="179"/>
      <c r="C155" s="460"/>
      <c r="D155" s="460"/>
      <c r="E155" s="460"/>
      <c r="F155" s="460"/>
      <c r="G155" s="460"/>
      <c r="H155" s="460"/>
      <c r="I155" s="460"/>
      <c r="J155" s="460"/>
      <c r="K155" s="460"/>
      <c r="L155" s="460"/>
      <c r="M155" s="460"/>
      <c r="N155" s="460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 ht="15.75" customHeight="1">
      <c r="A156" s="179"/>
      <c r="B156" s="179"/>
      <c r="C156" s="460"/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 ht="15.75" customHeight="1">
      <c r="A157" s="179"/>
      <c r="B157" s="179"/>
      <c r="C157" s="460"/>
      <c r="D157" s="460"/>
      <c r="E157" s="460"/>
      <c r="F157" s="460"/>
      <c r="G157" s="460"/>
      <c r="H157" s="460"/>
      <c r="I157" s="460"/>
      <c r="J157" s="460"/>
      <c r="K157" s="460"/>
      <c r="L157" s="460"/>
      <c r="M157" s="460"/>
      <c r="N157" s="460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 ht="15.75" customHeight="1">
      <c r="A158" s="179"/>
      <c r="B158" s="179"/>
      <c r="C158" s="460"/>
      <c r="D158" s="460"/>
      <c r="E158" s="460"/>
      <c r="F158" s="460"/>
      <c r="G158" s="460"/>
      <c r="H158" s="460"/>
      <c r="I158" s="460"/>
      <c r="J158" s="460"/>
      <c r="K158" s="460"/>
      <c r="L158" s="460"/>
      <c r="M158" s="460"/>
      <c r="N158" s="460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 ht="15.75" customHeight="1">
      <c r="A159" s="179"/>
      <c r="B159" s="179"/>
      <c r="C159" s="460"/>
      <c r="D159" s="460"/>
      <c r="E159" s="460"/>
      <c r="F159" s="460"/>
      <c r="G159" s="460"/>
      <c r="H159" s="460"/>
      <c r="I159" s="460"/>
      <c r="J159" s="460"/>
      <c r="K159" s="460"/>
      <c r="L159" s="460"/>
      <c r="M159" s="460"/>
      <c r="N159" s="460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 ht="15.75" customHeight="1">
      <c r="A160" s="179"/>
      <c r="B160" s="179"/>
      <c r="C160" s="460"/>
      <c r="D160" s="460"/>
      <c r="E160" s="460"/>
      <c r="F160" s="460"/>
      <c r="G160" s="460"/>
      <c r="H160" s="460"/>
      <c r="I160" s="460"/>
      <c r="J160" s="460"/>
      <c r="K160" s="460"/>
      <c r="L160" s="460"/>
      <c r="M160" s="460"/>
      <c r="N160" s="460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 ht="15.75" customHeight="1">
      <c r="A161" s="179"/>
      <c r="B161" s="179"/>
      <c r="C161" s="460"/>
      <c r="D161" s="460"/>
      <c r="E161" s="460"/>
      <c r="F161" s="460"/>
      <c r="G161" s="460"/>
      <c r="H161" s="460"/>
      <c r="I161" s="460"/>
      <c r="J161" s="460"/>
      <c r="K161" s="460"/>
      <c r="L161" s="460"/>
      <c r="M161" s="460"/>
      <c r="N161" s="460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 ht="15.75" customHeight="1">
      <c r="A162" s="179"/>
      <c r="B162" s="179"/>
      <c r="C162" s="460"/>
      <c r="D162" s="460"/>
      <c r="E162" s="460"/>
      <c r="F162" s="460"/>
      <c r="G162" s="460"/>
      <c r="H162" s="460"/>
      <c r="I162" s="460"/>
      <c r="J162" s="460"/>
      <c r="K162" s="460"/>
      <c r="L162" s="460"/>
      <c r="M162" s="460"/>
      <c r="N162" s="460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 ht="15.75" customHeight="1">
      <c r="A163" s="179"/>
      <c r="B163" s="179"/>
      <c r="C163" s="460"/>
      <c r="D163" s="460"/>
      <c r="E163" s="460"/>
      <c r="F163" s="460"/>
      <c r="G163" s="460"/>
      <c r="H163" s="460"/>
      <c r="I163" s="460"/>
      <c r="J163" s="460"/>
      <c r="K163" s="460"/>
      <c r="L163" s="460"/>
      <c r="M163" s="460"/>
      <c r="N163" s="460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 ht="15.75" customHeight="1">
      <c r="A164" s="179"/>
      <c r="B164" s="179"/>
      <c r="C164" s="460"/>
      <c r="D164" s="460"/>
      <c r="E164" s="460"/>
      <c r="F164" s="460"/>
      <c r="G164" s="460"/>
      <c r="H164" s="460"/>
      <c r="I164" s="460"/>
      <c r="J164" s="460"/>
      <c r="K164" s="460"/>
      <c r="L164" s="460"/>
      <c r="M164" s="460"/>
      <c r="N164" s="460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 ht="15.75" customHeight="1">
      <c r="A165" s="179"/>
      <c r="B165" s="179"/>
      <c r="C165" s="460"/>
      <c r="D165" s="460"/>
      <c r="E165" s="460"/>
      <c r="F165" s="460"/>
      <c r="G165" s="460"/>
      <c r="H165" s="460"/>
      <c r="I165" s="460"/>
      <c r="J165" s="460"/>
      <c r="K165" s="460"/>
      <c r="L165" s="460"/>
      <c r="M165" s="460"/>
      <c r="N165" s="460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 ht="15.75" customHeight="1">
      <c r="A166" s="179"/>
      <c r="B166" s="179"/>
      <c r="C166" s="460"/>
      <c r="D166" s="460"/>
      <c r="E166" s="460"/>
      <c r="F166" s="460"/>
      <c r="G166" s="460"/>
      <c r="H166" s="460"/>
      <c r="I166" s="460"/>
      <c r="J166" s="460"/>
      <c r="K166" s="460"/>
      <c r="L166" s="460"/>
      <c r="M166" s="460"/>
      <c r="N166" s="460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 ht="15.75" customHeight="1">
      <c r="A167" s="179"/>
      <c r="B167" s="179"/>
      <c r="C167" s="460"/>
      <c r="D167" s="460"/>
      <c r="E167" s="460"/>
      <c r="F167" s="460"/>
      <c r="G167" s="460"/>
      <c r="H167" s="460"/>
      <c r="I167" s="460"/>
      <c r="J167" s="460"/>
      <c r="K167" s="460"/>
      <c r="L167" s="460"/>
      <c r="M167" s="460"/>
      <c r="N167" s="460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 ht="15.75" customHeight="1">
      <c r="A168" s="179"/>
      <c r="B168" s="179"/>
      <c r="C168" s="460"/>
      <c r="D168" s="460"/>
      <c r="E168" s="460"/>
      <c r="F168" s="460"/>
      <c r="G168" s="460"/>
      <c r="H168" s="460"/>
      <c r="I168" s="460"/>
      <c r="J168" s="460"/>
      <c r="K168" s="460"/>
      <c r="L168" s="460"/>
      <c r="M168" s="460"/>
      <c r="N168" s="460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 ht="15.75" customHeight="1">
      <c r="A169" s="179"/>
      <c r="B169" s="179"/>
      <c r="C169" s="460"/>
      <c r="D169" s="460"/>
      <c r="E169" s="460"/>
      <c r="F169" s="460"/>
      <c r="G169" s="460"/>
      <c r="H169" s="460"/>
      <c r="I169" s="460"/>
      <c r="J169" s="460"/>
      <c r="K169" s="460"/>
      <c r="L169" s="460"/>
      <c r="M169" s="460"/>
      <c r="N169" s="460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 ht="15.75" customHeight="1">
      <c r="A170" s="179"/>
      <c r="B170" s="179"/>
      <c r="C170" s="460"/>
      <c r="D170" s="460"/>
      <c r="E170" s="460"/>
      <c r="F170" s="460"/>
      <c r="G170" s="460"/>
      <c r="H170" s="460"/>
      <c r="I170" s="460"/>
      <c r="J170" s="460"/>
      <c r="K170" s="460"/>
      <c r="L170" s="460"/>
      <c r="M170" s="460"/>
      <c r="N170" s="460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 ht="15.75" customHeight="1">
      <c r="A171" s="179"/>
      <c r="B171" s="179"/>
      <c r="C171" s="460"/>
      <c r="D171" s="460"/>
      <c r="E171" s="460"/>
      <c r="F171" s="460"/>
      <c r="G171" s="460"/>
      <c r="H171" s="460"/>
      <c r="I171" s="460"/>
      <c r="J171" s="460"/>
      <c r="K171" s="460"/>
      <c r="L171" s="460"/>
      <c r="M171" s="460"/>
      <c r="N171" s="460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 ht="15.75" customHeight="1">
      <c r="A172" s="179"/>
      <c r="B172" s="179"/>
      <c r="C172" s="460"/>
      <c r="D172" s="460"/>
      <c r="E172" s="460"/>
      <c r="F172" s="460"/>
      <c r="G172" s="460"/>
      <c r="H172" s="460"/>
      <c r="I172" s="460"/>
      <c r="J172" s="460"/>
      <c r="K172" s="460"/>
      <c r="L172" s="460"/>
      <c r="M172" s="460"/>
      <c r="N172" s="460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 ht="15.75" customHeight="1">
      <c r="A173" s="179"/>
      <c r="B173" s="179"/>
      <c r="C173" s="460"/>
      <c r="D173" s="460"/>
      <c r="E173" s="460"/>
      <c r="F173" s="460"/>
      <c r="G173" s="460"/>
      <c r="H173" s="460"/>
      <c r="I173" s="460"/>
      <c r="J173" s="460"/>
      <c r="K173" s="460"/>
      <c r="L173" s="460"/>
      <c r="M173" s="460"/>
      <c r="N173" s="460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 ht="15.75" customHeight="1">
      <c r="A174" s="179"/>
      <c r="B174" s="179"/>
      <c r="C174" s="460"/>
      <c r="D174" s="460"/>
      <c r="E174" s="460"/>
      <c r="F174" s="460"/>
      <c r="G174" s="460"/>
      <c r="H174" s="460"/>
      <c r="I174" s="460"/>
      <c r="J174" s="460"/>
      <c r="K174" s="460"/>
      <c r="L174" s="460"/>
      <c r="M174" s="460"/>
      <c r="N174" s="460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 ht="15.75" customHeight="1">
      <c r="A175" s="179"/>
      <c r="B175" s="179"/>
      <c r="C175" s="460"/>
      <c r="D175" s="460"/>
      <c r="E175" s="460"/>
      <c r="F175" s="460"/>
      <c r="G175" s="460"/>
      <c r="H175" s="460"/>
      <c r="I175" s="460"/>
      <c r="J175" s="460"/>
      <c r="K175" s="460"/>
      <c r="L175" s="460"/>
      <c r="M175" s="460"/>
      <c r="N175" s="460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 ht="15.75" customHeight="1">
      <c r="A176" s="179"/>
      <c r="B176" s="179"/>
      <c r="C176" s="460"/>
      <c r="D176" s="460"/>
      <c r="E176" s="460"/>
      <c r="F176" s="460"/>
      <c r="G176" s="460"/>
      <c r="H176" s="460"/>
      <c r="I176" s="460"/>
      <c r="J176" s="460"/>
      <c r="K176" s="460"/>
      <c r="L176" s="460"/>
      <c r="M176" s="460"/>
      <c r="N176" s="460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 ht="15.75" customHeight="1">
      <c r="A177" s="179"/>
      <c r="B177" s="179"/>
      <c r="C177" s="460"/>
      <c r="D177" s="460"/>
      <c r="E177" s="460"/>
      <c r="F177" s="460"/>
      <c r="G177" s="460"/>
      <c r="H177" s="460"/>
      <c r="I177" s="460"/>
      <c r="J177" s="460"/>
      <c r="K177" s="460"/>
      <c r="L177" s="460"/>
      <c r="M177" s="460"/>
      <c r="N177" s="460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 ht="15.75" customHeight="1">
      <c r="A178" s="179"/>
      <c r="B178" s="179"/>
      <c r="C178" s="460"/>
      <c r="D178" s="460"/>
      <c r="E178" s="460"/>
      <c r="F178" s="460"/>
      <c r="G178" s="460"/>
      <c r="H178" s="460"/>
      <c r="I178" s="460"/>
      <c r="J178" s="460"/>
      <c r="K178" s="460"/>
      <c r="L178" s="460"/>
      <c r="M178" s="460"/>
      <c r="N178" s="460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 ht="15.75" customHeight="1">
      <c r="A179" s="179"/>
      <c r="B179" s="179"/>
      <c r="C179" s="460"/>
      <c r="D179" s="460"/>
      <c r="E179" s="460"/>
      <c r="F179" s="460"/>
      <c r="G179" s="460"/>
      <c r="H179" s="460"/>
      <c r="I179" s="460"/>
      <c r="J179" s="460"/>
      <c r="K179" s="460"/>
      <c r="L179" s="460"/>
      <c r="M179" s="460"/>
      <c r="N179" s="460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 ht="15.75" customHeight="1">
      <c r="A180" s="179"/>
      <c r="B180" s="179"/>
      <c r="C180" s="460"/>
      <c r="D180" s="460"/>
      <c r="E180" s="460"/>
      <c r="F180" s="460"/>
      <c r="G180" s="460"/>
      <c r="H180" s="460"/>
      <c r="I180" s="460"/>
      <c r="J180" s="460"/>
      <c r="K180" s="460"/>
      <c r="L180" s="460"/>
      <c r="M180" s="460"/>
      <c r="N180" s="460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 ht="15.75" customHeight="1">
      <c r="A181" s="179"/>
      <c r="B181" s="179"/>
      <c r="C181" s="460"/>
      <c r="D181" s="460"/>
      <c r="E181" s="460"/>
      <c r="F181" s="460"/>
      <c r="G181" s="460"/>
      <c r="H181" s="460"/>
      <c r="I181" s="460"/>
      <c r="J181" s="460"/>
      <c r="K181" s="460"/>
      <c r="L181" s="460"/>
      <c r="M181" s="460"/>
      <c r="N181" s="460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 ht="15.75" customHeight="1">
      <c r="A182" s="179"/>
      <c r="B182" s="179"/>
      <c r="C182" s="460"/>
      <c r="D182" s="460"/>
      <c r="E182" s="460"/>
      <c r="F182" s="460"/>
      <c r="G182" s="460"/>
      <c r="H182" s="460"/>
      <c r="I182" s="460"/>
      <c r="J182" s="460"/>
      <c r="K182" s="460"/>
      <c r="L182" s="460"/>
      <c r="M182" s="460"/>
      <c r="N182" s="460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 ht="15.75" customHeight="1">
      <c r="A183" s="179"/>
      <c r="B183" s="179"/>
      <c r="C183" s="460"/>
      <c r="D183" s="460"/>
      <c r="E183" s="460"/>
      <c r="F183" s="460"/>
      <c r="G183" s="460"/>
      <c r="H183" s="460"/>
      <c r="I183" s="460"/>
      <c r="J183" s="460"/>
      <c r="K183" s="460"/>
      <c r="L183" s="460"/>
      <c r="M183" s="460"/>
      <c r="N183" s="460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 ht="15.75" customHeight="1">
      <c r="A184" s="179"/>
      <c r="B184" s="179"/>
      <c r="C184" s="460"/>
      <c r="D184" s="460"/>
      <c r="E184" s="460"/>
      <c r="F184" s="460"/>
      <c r="G184" s="460"/>
      <c r="H184" s="460"/>
      <c r="I184" s="460"/>
      <c r="J184" s="460"/>
      <c r="K184" s="460"/>
      <c r="L184" s="460"/>
      <c r="M184" s="460"/>
      <c r="N184" s="460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 ht="15.75" customHeight="1">
      <c r="A185" s="179"/>
      <c r="B185" s="179"/>
      <c r="C185" s="460"/>
      <c r="D185" s="460"/>
      <c r="E185" s="460"/>
      <c r="F185" s="460"/>
      <c r="G185" s="460"/>
      <c r="H185" s="460"/>
      <c r="I185" s="460"/>
      <c r="J185" s="460"/>
      <c r="K185" s="460"/>
      <c r="L185" s="460"/>
      <c r="M185" s="460"/>
      <c r="N185" s="460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 ht="15.75" customHeight="1">
      <c r="A186" s="179"/>
      <c r="B186" s="179"/>
      <c r="C186" s="460"/>
      <c r="D186" s="460"/>
      <c r="E186" s="460"/>
      <c r="F186" s="460"/>
      <c r="G186" s="460"/>
      <c r="H186" s="460"/>
      <c r="I186" s="460"/>
      <c r="J186" s="460"/>
      <c r="K186" s="460"/>
      <c r="L186" s="460"/>
      <c r="M186" s="460"/>
      <c r="N186" s="460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 ht="15.75" customHeight="1">
      <c r="A187" s="179"/>
      <c r="B187" s="179"/>
      <c r="C187" s="460"/>
      <c r="D187" s="460"/>
      <c r="E187" s="460"/>
      <c r="F187" s="460"/>
      <c r="G187" s="460"/>
      <c r="H187" s="460"/>
      <c r="I187" s="460"/>
      <c r="J187" s="460"/>
      <c r="K187" s="460"/>
      <c r="L187" s="460"/>
      <c r="M187" s="460"/>
      <c r="N187" s="460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 ht="15.75" customHeight="1">
      <c r="A188" s="179"/>
      <c r="B188" s="179"/>
      <c r="C188" s="460"/>
      <c r="D188" s="460"/>
      <c r="E188" s="460"/>
      <c r="F188" s="460"/>
      <c r="G188" s="460"/>
      <c r="H188" s="460"/>
      <c r="I188" s="460"/>
      <c r="J188" s="460"/>
      <c r="K188" s="460"/>
      <c r="L188" s="460"/>
      <c r="M188" s="460"/>
      <c r="N188" s="460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 ht="15.75" customHeight="1">
      <c r="A189" s="179"/>
      <c r="B189" s="179"/>
      <c r="C189" s="460"/>
      <c r="D189" s="460"/>
      <c r="E189" s="460"/>
      <c r="F189" s="460"/>
      <c r="G189" s="460"/>
      <c r="H189" s="460"/>
      <c r="I189" s="460"/>
      <c r="J189" s="460"/>
      <c r="K189" s="460"/>
      <c r="L189" s="460"/>
      <c r="M189" s="460"/>
      <c r="N189" s="460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 ht="15.75" customHeight="1">
      <c r="A190" s="179"/>
      <c r="B190" s="179"/>
      <c r="C190" s="460"/>
      <c r="D190" s="460"/>
      <c r="E190" s="460"/>
      <c r="F190" s="460"/>
      <c r="G190" s="460"/>
      <c r="H190" s="460"/>
      <c r="I190" s="460"/>
      <c r="J190" s="460"/>
      <c r="K190" s="460"/>
      <c r="L190" s="460"/>
      <c r="M190" s="460"/>
      <c r="N190" s="460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 ht="15.75" customHeight="1">
      <c r="A191" s="179"/>
      <c r="B191" s="179"/>
      <c r="C191" s="460"/>
      <c r="D191" s="460"/>
      <c r="E191" s="460"/>
      <c r="F191" s="460"/>
      <c r="G191" s="460"/>
      <c r="H191" s="460"/>
      <c r="I191" s="460"/>
      <c r="J191" s="460"/>
      <c r="K191" s="460"/>
      <c r="L191" s="460"/>
      <c r="M191" s="460"/>
      <c r="N191" s="460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 ht="15.75" customHeight="1">
      <c r="A192" s="179"/>
      <c r="B192" s="179"/>
      <c r="C192" s="460"/>
      <c r="D192" s="460"/>
      <c r="E192" s="460"/>
      <c r="F192" s="460"/>
      <c r="G192" s="460"/>
      <c r="H192" s="460"/>
      <c r="I192" s="460"/>
      <c r="J192" s="460"/>
      <c r="K192" s="460"/>
      <c r="L192" s="460"/>
      <c r="M192" s="460"/>
      <c r="N192" s="460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 ht="15.75" customHeight="1">
      <c r="A193" s="179"/>
      <c r="B193" s="179"/>
      <c r="C193" s="460"/>
      <c r="D193" s="460"/>
      <c r="E193" s="460"/>
      <c r="F193" s="460"/>
      <c r="G193" s="460"/>
      <c r="H193" s="460"/>
      <c r="I193" s="460"/>
      <c r="J193" s="460"/>
      <c r="K193" s="460"/>
      <c r="L193" s="460"/>
      <c r="M193" s="460"/>
      <c r="N193" s="460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 ht="15.75" customHeight="1">
      <c r="A194" s="179"/>
      <c r="B194" s="179"/>
      <c r="C194" s="460"/>
      <c r="D194" s="460"/>
      <c r="E194" s="460"/>
      <c r="F194" s="460"/>
      <c r="G194" s="460"/>
      <c r="H194" s="460"/>
      <c r="I194" s="460"/>
      <c r="J194" s="460"/>
      <c r="K194" s="460"/>
      <c r="L194" s="460"/>
      <c r="M194" s="460"/>
      <c r="N194" s="460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 ht="15.75" customHeight="1">
      <c r="A195" s="179"/>
      <c r="B195" s="179"/>
      <c r="C195" s="460"/>
      <c r="D195" s="460"/>
      <c r="E195" s="460"/>
      <c r="F195" s="460"/>
      <c r="G195" s="460"/>
      <c r="H195" s="460"/>
      <c r="I195" s="460"/>
      <c r="J195" s="460"/>
      <c r="K195" s="460"/>
      <c r="L195" s="460"/>
      <c r="M195" s="460"/>
      <c r="N195" s="460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 ht="15.75" customHeight="1">
      <c r="A196" s="179"/>
      <c r="B196" s="179"/>
      <c r="C196" s="460"/>
      <c r="D196" s="460"/>
      <c r="E196" s="460"/>
      <c r="F196" s="460"/>
      <c r="G196" s="460"/>
      <c r="H196" s="460"/>
      <c r="I196" s="460"/>
      <c r="J196" s="460"/>
      <c r="K196" s="460"/>
      <c r="L196" s="460"/>
      <c r="M196" s="460"/>
      <c r="N196" s="460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 ht="15.75" customHeight="1">
      <c r="A197" s="179"/>
      <c r="B197" s="179"/>
      <c r="C197" s="460"/>
      <c r="D197" s="460"/>
      <c r="E197" s="460"/>
      <c r="F197" s="460"/>
      <c r="G197" s="460"/>
      <c r="H197" s="460"/>
      <c r="I197" s="460"/>
      <c r="J197" s="460"/>
      <c r="K197" s="460"/>
      <c r="L197" s="460"/>
      <c r="M197" s="460"/>
      <c r="N197" s="460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 ht="15.75" customHeight="1">
      <c r="A198" s="179"/>
      <c r="B198" s="179"/>
      <c r="C198" s="460"/>
      <c r="D198" s="460"/>
      <c r="E198" s="460"/>
      <c r="F198" s="460"/>
      <c r="G198" s="460"/>
      <c r="H198" s="460"/>
      <c r="I198" s="460"/>
      <c r="J198" s="460"/>
      <c r="K198" s="460"/>
      <c r="L198" s="460"/>
      <c r="M198" s="460"/>
      <c r="N198" s="460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 ht="15.75" customHeight="1">
      <c r="A199" s="179"/>
      <c r="B199" s="179"/>
      <c r="C199" s="460"/>
      <c r="D199" s="460"/>
      <c r="E199" s="460"/>
      <c r="F199" s="460"/>
      <c r="G199" s="460"/>
      <c r="H199" s="460"/>
      <c r="I199" s="460"/>
      <c r="J199" s="460"/>
      <c r="K199" s="460"/>
      <c r="L199" s="460"/>
      <c r="M199" s="460"/>
      <c r="N199" s="460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 ht="15.75" customHeight="1">
      <c r="A200" s="179"/>
      <c r="B200" s="179"/>
      <c r="C200" s="460"/>
      <c r="D200" s="460"/>
      <c r="E200" s="460"/>
      <c r="F200" s="460"/>
      <c r="G200" s="460"/>
      <c r="H200" s="460"/>
      <c r="I200" s="460"/>
      <c r="J200" s="460"/>
      <c r="K200" s="460"/>
      <c r="L200" s="460"/>
      <c r="M200" s="460"/>
      <c r="N200" s="460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 ht="15.75" customHeight="1">
      <c r="A201" s="179"/>
      <c r="B201" s="179"/>
      <c r="C201" s="460"/>
      <c r="D201" s="460"/>
      <c r="E201" s="460"/>
      <c r="F201" s="460"/>
      <c r="G201" s="460"/>
      <c r="H201" s="460"/>
      <c r="I201" s="460"/>
      <c r="J201" s="460"/>
      <c r="K201" s="460"/>
      <c r="L201" s="460"/>
      <c r="M201" s="460"/>
      <c r="N201" s="460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 ht="15.75" customHeight="1">
      <c r="A202" s="179"/>
      <c r="B202" s="179"/>
      <c r="C202" s="460"/>
      <c r="D202" s="460"/>
      <c r="E202" s="460"/>
      <c r="F202" s="460"/>
      <c r="G202" s="460"/>
      <c r="H202" s="460"/>
      <c r="I202" s="460"/>
      <c r="J202" s="460"/>
      <c r="K202" s="460"/>
      <c r="L202" s="460"/>
      <c r="M202" s="460"/>
      <c r="N202" s="460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 ht="15.75" customHeight="1">
      <c r="A203" s="179"/>
      <c r="B203" s="179"/>
      <c r="C203" s="460"/>
      <c r="D203" s="460"/>
      <c r="E203" s="460"/>
      <c r="F203" s="460"/>
      <c r="G203" s="460"/>
      <c r="H203" s="460"/>
      <c r="I203" s="460"/>
      <c r="J203" s="460"/>
      <c r="K203" s="460"/>
      <c r="L203" s="460"/>
      <c r="M203" s="460"/>
      <c r="N203" s="460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 ht="15.75" customHeight="1">
      <c r="A204" s="179"/>
      <c r="B204" s="179"/>
      <c r="C204" s="460"/>
      <c r="D204" s="460"/>
      <c r="E204" s="460"/>
      <c r="F204" s="460"/>
      <c r="G204" s="460"/>
      <c r="H204" s="460"/>
      <c r="I204" s="460"/>
      <c r="J204" s="460"/>
      <c r="K204" s="460"/>
      <c r="L204" s="460"/>
      <c r="M204" s="460"/>
      <c r="N204" s="460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 ht="15.75" customHeight="1">
      <c r="A205" s="179"/>
      <c r="B205" s="179"/>
      <c r="C205" s="460"/>
      <c r="D205" s="460"/>
      <c r="E205" s="460"/>
      <c r="F205" s="460"/>
      <c r="G205" s="460"/>
      <c r="H205" s="460"/>
      <c r="I205" s="460"/>
      <c r="J205" s="460"/>
      <c r="K205" s="460"/>
      <c r="L205" s="460"/>
      <c r="M205" s="460"/>
      <c r="N205" s="460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 ht="15.75" customHeight="1">
      <c r="A206" s="179"/>
      <c r="B206" s="179"/>
      <c r="C206" s="460"/>
      <c r="D206" s="460"/>
      <c r="E206" s="460"/>
      <c r="F206" s="460"/>
      <c r="G206" s="460"/>
      <c r="H206" s="460"/>
      <c r="I206" s="460"/>
      <c r="J206" s="460"/>
      <c r="K206" s="460"/>
      <c r="L206" s="460"/>
      <c r="M206" s="460"/>
      <c r="N206" s="460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 ht="15.75" customHeight="1">
      <c r="A207" s="179"/>
      <c r="B207" s="179"/>
      <c r="C207" s="460"/>
      <c r="D207" s="460"/>
      <c r="E207" s="460"/>
      <c r="F207" s="460"/>
      <c r="G207" s="460"/>
      <c r="H207" s="460"/>
      <c r="I207" s="460"/>
      <c r="J207" s="460"/>
      <c r="K207" s="460"/>
      <c r="L207" s="460"/>
      <c r="M207" s="460"/>
      <c r="N207" s="460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 ht="15.75" customHeight="1">
      <c r="A208" s="179"/>
      <c r="B208" s="179"/>
      <c r="C208" s="460"/>
      <c r="D208" s="460"/>
      <c r="E208" s="460"/>
      <c r="F208" s="460"/>
      <c r="G208" s="460"/>
      <c r="H208" s="460"/>
      <c r="I208" s="460"/>
      <c r="J208" s="460"/>
      <c r="K208" s="460"/>
      <c r="L208" s="460"/>
      <c r="M208" s="460"/>
      <c r="N208" s="460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 ht="15.75" customHeight="1">
      <c r="A209" s="179"/>
      <c r="B209" s="179"/>
      <c r="C209" s="460"/>
      <c r="D209" s="460"/>
      <c r="E209" s="460"/>
      <c r="F209" s="460"/>
      <c r="G209" s="460"/>
      <c r="H209" s="460"/>
      <c r="I209" s="460"/>
      <c r="J209" s="460"/>
      <c r="K209" s="460"/>
      <c r="L209" s="460"/>
      <c r="M209" s="460"/>
      <c r="N209" s="460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 ht="15.75" customHeight="1">
      <c r="A210" s="179"/>
      <c r="B210" s="179"/>
      <c r="C210" s="460"/>
      <c r="D210" s="460"/>
      <c r="E210" s="460"/>
      <c r="F210" s="460"/>
      <c r="G210" s="460"/>
      <c r="H210" s="460"/>
      <c r="I210" s="460"/>
      <c r="J210" s="460"/>
      <c r="K210" s="460"/>
      <c r="L210" s="460"/>
      <c r="M210" s="460"/>
      <c r="N210" s="460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 ht="15.75" customHeight="1">
      <c r="A211" s="179"/>
      <c r="B211" s="179"/>
      <c r="C211" s="460"/>
      <c r="D211" s="460"/>
      <c r="E211" s="460"/>
      <c r="F211" s="460"/>
      <c r="G211" s="460"/>
      <c r="H211" s="460"/>
      <c r="I211" s="460"/>
      <c r="J211" s="460"/>
      <c r="K211" s="460"/>
      <c r="L211" s="460"/>
      <c r="M211" s="460"/>
      <c r="N211" s="460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 ht="15.75" customHeight="1">
      <c r="A212" s="179"/>
      <c r="B212" s="179"/>
      <c r="C212" s="460"/>
      <c r="D212" s="460"/>
      <c r="E212" s="460"/>
      <c r="F212" s="460"/>
      <c r="G212" s="460"/>
      <c r="H212" s="460"/>
      <c r="I212" s="460"/>
      <c r="J212" s="460"/>
      <c r="K212" s="460"/>
      <c r="L212" s="460"/>
      <c r="M212" s="460"/>
      <c r="N212" s="460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 ht="15.75" customHeight="1">
      <c r="A213" s="179"/>
      <c r="B213" s="179"/>
      <c r="C213" s="460"/>
      <c r="D213" s="460"/>
      <c r="E213" s="460"/>
      <c r="F213" s="460"/>
      <c r="G213" s="460"/>
      <c r="H213" s="460"/>
      <c r="I213" s="460"/>
      <c r="J213" s="460"/>
      <c r="K213" s="460"/>
      <c r="L213" s="460"/>
      <c r="M213" s="460"/>
      <c r="N213" s="460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 ht="15.75" customHeight="1">
      <c r="A214" s="179"/>
      <c r="B214" s="179"/>
      <c r="C214" s="460"/>
      <c r="D214" s="460"/>
      <c r="E214" s="460"/>
      <c r="F214" s="460"/>
      <c r="G214" s="460"/>
      <c r="H214" s="460"/>
      <c r="I214" s="460"/>
      <c r="J214" s="460"/>
      <c r="K214" s="460"/>
      <c r="L214" s="460"/>
      <c r="M214" s="460"/>
      <c r="N214" s="460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ht="15.75" customHeight="1">
      <c r="A215" s="179"/>
      <c r="B215" s="179"/>
      <c r="C215" s="460"/>
      <c r="D215" s="460"/>
      <c r="E215" s="460"/>
      <c r="F215" s="460"/>
      <c r="G215" s="460"/>
      <c r="H215" s="460"/>
      <c r="I215" s="460"/>
      <c r="J215" s="460"/>
      <c r="K215" s="460"/>
      <c r="L215" s="460"/>
      <c r="M215" s="460"/>
      <c r="N215" s="460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 ht="15.75" customHeight="1">
      <c r="A216" s="179"/>
      <c r="B216" s="179"/>
      <c r="C216" s="460"/>
      <c r="D216" s="460"/>
      <c r="E216" s="460"/>
      <c r="F216" s="460"/>
      <c r="G216" s="460"/>
      <c r="H216" s="460"/>
      <c r="I216" s="460"/>
      <c r="J216" s="460"/>
      <c r="K216" s="460"/>
      <c r="L216" s="460"/>
      <c r="M216" s="460"/>
      <c r="N216" s="460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 ht="15.75" customHeight="1">
      <c r="A217" s="179"/>
      <c r="B217" s="179"/>
      <c r="C217" s="460"/>
      <c r="D217" s="460"/>
      <c r="E217" s="460"/>
      <c r="F217" s="460"/>
      <c r="G217" s="460"/>
      <c r="H217" s="460"/>
      <c r="I217" s="460"/>
      <c r="J217" s="460"/>
      <c r="K217" s="460"/>
      <c r="L217" s="460"/>
      <c r="M217" s="460"/>
      <c r="N217" s="460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 ht="15.75" customHeight="1">
      <c r="A218" s="179"/>
      <c r="B218" s="179"/>
      <c r="C218" s="460"/>
      <c r="D218" s="460"/>
      <c r="E218" s="460"/>
      <c r="F218" s="460"/>
      <c r="G218" s="460"/>
      <c r="H218" s="460"/>
      <c r="I218" s="460"/>
      <c r="J218" s="460"/>
      <c r="K218" s="460"/>
      <c r="L218" s="460"/>
      <c r="M218" s="460"/>
      <c r="N218" s="460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 ht="15.75" customHeight="1">
      <c r="A219" s="179"/>
      <c r="B219" s="179"/>
      <c r="C219" s="460"/>
      <c r="D219" s="460"/>
      <c r="E219" s="460"/>
      <c r="F219" s="460"/>
      <c r="G219" s="460"/>
      <c r="H219" s="460"/>
      <c r="I219" s="460"/>
      <c r="J219" s="460"/>
      <c r="K219" s="460"/>
      <c r="L219" s="460"/>
      <c r="M219" s="460"/>
      <c r="N219" s="460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ht="15.75" customHeight="1">
      <c r="A220" s="179"/>
      <c r="B220" s="179"/>
      <c r="C220" s="460"/>
      <c r="D220" s="460"/>
      <c r="E220" s="460"/>
      <c r="F220" s="460"/>
      <c r="G220" s="460"/>
      <c r="H220" s="460"/>
      <c r="I220" s="460"/>
      <c r="J220" s="460"/>
      <c r="K220" s="460"/>
      <c r="L220" s="460"/>
      <c r="M220" s="460"/>
      <c r="N220" s="460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ht="15.75" customHeight="1">
      <c r="A221" s="179"/>
      <c r="B221" s="179"/>
      <c r="C221" s="460"/>
      <c r="D221" s="460"/>
      <c r="E221" s="460"/>
      <c r="F221" s="460"/>
      <c r="G221" s="460"/>
      <c r="H221" s="460"/>
      <c r="I221" s="460"/>
      <c r="J221" s="460"/>
      <c r="K221" s="460"/>
      <c r="L221" s="460"/>
      <c r="M221" s="460"/>
      <c r="N221" s="460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ht="15.75" customHeight="1">
      <c r="A222" s="179"/>
      <c r="B222" s="179"/>
      <c r="C222" s="460"/>
      <c r="D222" s="460"/>
      <c r="E222" s="460"/>
      <c r="F222" s="460"/>
      <c r="G222" s="460"/>
      <c r="H222" s="460"/>
      <c r="I222" s="460"/>
      <c r="J222" s="460"/>
      <c r="K222" s="460"/>
      <c r="L222" s="460"/>
      <c r="M222" s="460"/>
      <c r="N222" s="460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ht="15.75" customHeight="1">
      <c r="A223" s="179"/>
      <c r="B223" s="179"/>
      <c r="C223" s="460"/>
      <c r="D223" s="460"/>
      <c r="E223" s="460"/>
      <c r="F223" s="460"/>
      <c r="G223" s="460"/>
      <c r="H223" s="460"/>
      <c r="I223" s="460"/>
      <c r="J223" s="460"/>
      <c r="K223" s="460"/>
      <c r="L223" s="460"/>
      <c r="M223" s="460"/>
      <c r="N223" s="460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ht="15.75" customHeight="1">
      <c r="A224" s="179"/>
      <c r="B224" s="179"/>
      <c r="C224" s="460"/>
      <c r="D224" s="460"/>
      <c r="E224" s="460"/>
      <c r="F224" s="460"/>
      <c r="G224" s="460"/>
      <c r="H224" s="460"/>
      <c r="I224" s="460"/>
      <c r="J224" s="460"/>
      <c r="K224" s="460"/>
      <c r="L224" s="460"/>
      <c r="M224" s="460"/>
      <c r="N224" s="460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ht="15.75" customHeight="1">
      <c r="A225" s="179"/>
      <c r="B225" s="179"/>
      <c r="C225" s="460"/>
      <c r="D225" s="460"/>
      <c r="E225" s="460"/>
      <c r="F225" s="460"/>
      <c r="G225" s="460"/>
      <c r="H225" s="460"/>
      <c r="I225" s="460"/>
      <c r="J225" s="460"/>
      <c r="K225" s="460"/>
      <c r="L225" s="460"/>
      <c r="M225" s="460"/>
      <c r="N225" s="460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ht="15.75" customHeight="1">
      <c r="A226" s="179"/>
      <c r="B226" s="179"/>
      <c r="C226" s="460"/>
      <c r="D226" s="460"/>
      <c r="E226" s="460"/>
      <c r="F226" s="460"/>
      <c r="G226" s="460"/>
      <c r="H226" s="460"/>
      <c r="I226" s="460"/>
      <c r="J226" s="460"/>
      <c r="K226" s="460"/>
      <c r="L226" s="460"/>
      <c r="M226" s="460"/>
      <c r="N226" s="460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ht="15.75" customHeight="1">
      <c r="A227" s="179"/>
      <c r="B227" s="179"/>
      <c r="C227" s="460"/>
      <c r="D227" s="460"/>
      <c r="E227" s="460"/>
      <c r="F227" s="460"/>
      <c r="G227" s="460"/>
      <c r="H227" s="460"/>
      <c r="I227" s="460"/>
      <c r="J227" s="460"/>
      <c r="K227" s="460"/>
      <c r="L227" s="460"/>
      <c r="M227" s="460"/>
      <c r="N227" s="460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ht="15.75" customHeight="1">
      <c r="A228" s="179"/>
      <c r="B228" s="179"/>
      <c r="C228" s="460"/>
      <c r="D228" s="460"/>
      <c r="E228" s="460"/>
      <c r="F228" s="460"/>
      <c r="G228" s="460"/>
      <c r="H228" s="460"/>
      <c r="I228" s="460"/>
      <c r="J228" s="460"/>
      <c r="K228" s="460"/>
      <c r="L228" s="460"/>
      <c r="M228" s="460"/>
      <c r="N228" s="460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ht="15.75" customHeight="1">
      <c r="A229" s="179"/>
      <c r="B229" s="179"/>
      <c r="C229" s="460"/>
      <c r="D229" s="460"/>
      <c r="E229" s="460"/>
      <c r="F229" s="460"/>
      <c r="G229" s="460"/>
      <c r="H229" s="460"/>
      <c r="I229" s="460"/>
      <c r="J229" s="460"/>
      <c r="K229" s="460"/>
      <c r="L229" s="460"/>
      <c r="M229" s="460"/>
      <c r="N229" s="460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ht="15.75" customHeight="1">
      <c r="A230" s="179"/>
      <c r="B230" s="179"/>
      <c r="C230" s="460"/>
      <c r="D230" s="460"/>
      <c r="E230" s="460"/>
      <c r="F230" s="460"/>
      <c r="G230" s="460"/>
      <c r="H230" s="460"/>
      <c r="I230" s="460"/>
      <c r="J230" s="460"/>
      <c r="K230" s="460"/>
      <c r="L230" s="460"/>
      <c r="M230" s="460"/>
      <c r="N230" s="460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ht="15.75" customHeight="1">
      <c r="A231" s="179"/>
      <c r="B231" s="179"/>
      <c r="C231" s="460"/>
      <c r="D231" s="460"/>
      <c r="E231" s="460"/>
      <c r="F231" s="460"/>
      <c r="G231" s="460"/>
      <c r="H231" s="460"/>
      <c r="I231" s="460"/>
      <c r="J231" s="460"/>
      <c r="K231" s="460"/>
      <c r="L231" s="460"/>
      <c r="M231" s="460"/>
      <c r="N231" s="460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ht="15.75" customHeight="1">
      <c r="A232" s="179"/>
      <c r="B232" s="179"/>
      <c r="C232" s="460"/>
      <c r="D232" s="460"/>
      <c r="E232" s="460"/>
      <c r="F232" s="460"/>
      <c r="G232" s="460"/>
      <c r="H232" s="460"/>
      <c r="I232" s="460"/>
      <c r="J232" s="460"/>
      <c r="K232" s="460"/>
      <c r="L232" s="460"/>
      <c r="M232" s="460"/>
      <c r="N232" s="460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ht="15.75" customHeight="1">
      <c r="A233" s="179"/>
      <c r="B233" s="179"/>
      <c r="C233" s="460"/>
      <c r="D233" s="460"/>
      <c r="E233" s="460"/>
      <c r="F233" s="460"/>
      <c r="G233" s="460"/>
      <c r="H233" s="460"/>
      <c r="I233" s="460"/>
      <c r="J233" s="460"/>
      <c r="K233" s="460"/>
      <c r="L233" s="460"/>
      <c r="M233" s="460"/>
      <c r="N233" s="460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ht="15.75" customHeight="1">
      <c r="A234" s="179"/>
      <c r="B234" s="179"/>
      <c r="C234" s="460"/>
      <c r="D234" s="460"/>
      <c r="E234" s="460"/>
      <c r="F234" s="460"/>
      <c r="G234" s="460"/>
      <c r="H234" s="460"/>
      <c r="I234" s="460"/>
      <c r="J234" s="460"/>
      <c r="K234" s="460"/>
      <c r="L234" s="460"/>
      <c r="M234" s="460"/>
      <c r="N234" s="460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ht="15.75" customHeight="1">
      <c r="A235" s="179"/>
      <c r="B235" s="179"/>
      <c r="C235" s="460"/>
      <c r="D235" s="460"/>
      <c r="E235" s="460"/>
      <c r="F235" s="460"/>
      <c r="G235" s="460"/>
      <c r="H235" s="460"/>
      <c r="I235" s="460"/>
      <c r="J235" s="460"/>
      <c r="K235" s="460"/>
      <c r="L235" s="460"/>
      <c r="M235" s="460"/>
      <c r="N235" s="460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ht="15.75" customHeight="1">
      <c r="A236" s="179"/>
      <c r="B236" s="179"/>
      <c r="C236" s="460"/>
      <c r="D236" s="460"/>
      <c r="E236" s="460"/>
      <c r="F236" s="460"/>
      <c r="G236" s="460"/>
      <c r="H236" s="460"/>
      <c r="I236" s="460"/>
      <c r="J236" s="460"/>
      <c r="K236" s="460"/>
      <c r="L236" s="460"/>
      <c r="M236" s="460"/>
      <c r="N236" s="460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ht="15.75" customHeight="1">
      <c r="A237" s="179"/>
      <c r="B237" s="179"/>
      <c r="C237" s="460"/>
      <c r="D237" s="460"/>
      <c r="E237" s="460"/>
      <c r="F237" s="460"/>
      <c r="G237" s="460"/>
      <c r="H237" s="460"/>
      <c r="I237" s="460"/>
      <c r="J237" s="460"/>
      <c r="K237" s="460"/>
      <c r="L237" s="460"/>
      <c r="M237" s="460"/>
      <c r="N237" s="460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 ht="15.75" customHeight="1">
      <c r="A238" s="179"/>
      <c r="B238" s="179"/>
      <c r="C238" s="460"/>
      <c r="D238" s="460"/>
      <c r="E238" s="460"/>
      <c r="F238" s="460"/>
      <c r="G238" s="460"/>
      <c r="H238" s="460"/>
      <c r="I238" s="460"/>
      <c r="J238" s="460"/>
      <c r="K238" s="460"/>
      <c r="L238" s="460"/>
      <c r="M238" s="460"/>
      <c r="N238" s="460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 ht="15.75" customHeight="1">
      <c r="A239" s="179"/>
      <c r="B239" s="179"/>
      <c r="C239" s="460"/>
      <c r="D239" s="460"/>
      <c r="E239" s="460"/>
      <c r="F239" s="460"/>
      <c r="G239" s="460"/>
      <c r="H239" s="460"/>
      <c r="I239" s="460"/>
      <c r="J239" s="460"/>
      <c r="K239" s="460"/>
      <c r="L239" s="460"/>
      <c r="M239" s="460"/>
      <c r="N239" s="460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 ht="15.75" customHeight="1">
      <c r="A240" s="179"/>
      <c r="B240" s="179"/>
      <c r="C240" s="460"/>
      <c r="D240" s="460"/>
      <c r="E240" s="460"/>
      <c r="F240" s="460"/>
      <c r="G240" s="460"/>
      <c r="H240" s="460"/>
      <c r="I240" s="460"/>
      <c r="J240" s="460"/>
      <c r="K240" s="460"/>
      <c r="L240" s="460"/>
      <c r="M240" s="460"/>
      <c r="N240" s="460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 ht="15.75" customHeight="1">
      <c r="A241" s="179"/>
      <c r="B241" s="179"/>
      <c r="C241" s="460"/>
      <c r="D241" s="460"/>
      <c r="E241" s="460"/>
      <c r="F241" s="460"/>
      <c r="G241" s="460"/>
      <c r="H241" s="460"/>
      <c r="I241" s="460"/>
      <c r="J241" s="460"/>
      <c r="K241" s="460"/>
      <c r="L241" s="460"/>
      <c r="M241" s="460"/>
      <c r="N241" s="460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ht="15.75" customHeight="1">
      <c r="A242" s="179"/>
      <c r="B242" s="179"/>
      <c r="C242" s="460"/>
      <c r="D242" s="460"/>
      <c r="E242" s="460"/>
      <c r="F242" s="460"/>
      <c r="G242" s="460"/>
      <c r="H242" s="460"/>
      <c r="I242" s="460"/>
      <c r="J242" s="460"/>
      <c r="K242" s="460"/>
      <c r="L242" s="460"/>
      <c r="M242" s="460"/>
      <c r="N242" s="460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ht="15.75" customHeight="1">
      <c r="A243" s="179"/>
      <c r="B243" s="179"/>
      <c r="C243" s="460"/>
      <c r="D243" s="460"/>
      <c r="E243" s="460"/>
      <c r="F243" s="460"/>
      <c r="G243" s="460"/>
      <c r="H243" s="460"/>
      <c r="I243" s="460"/>
      <c r="J243" s="460"/>
      <c r="K243" s="460"/>
      <c r="L243" s="460"/>
      <c r="M243" s="460"/>
      <c r="N243" s="460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ht="15.75" customHeight="1">
      <c r="A244" s="179"/>
      <c r="B244" s="179"/>
      <c r="C244" s="460"/>
      <c r="D244" s="460"/>
      <c r="E244" s="460"/>
      <c r="F244" s="460"/>
      <c r="G244" s="460"/>
      <c r="H244" s="460"/>
      <c r="I244" s="460"/>
      <c r="J244" s="460"/>
      <c r="K244" s="460"/>
      <c r="L244" s="460"/>
      <c r="M244" s="460"/>
      <c r="N244" s="460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 ht="15.75" customHeight="1">
      <c r="A245" s="179"/>
      <c r="B245" s="179"/>
      <c r="C245" s="460"/>
      <c r="D245" s="460"/>
      <c r="E245" s="460"/>
      <c r="F245" s="460"/>
      <c r="G245" s="460"/>
      <c r="H245" s="460"/>
      <c r="I245" s="460"/>
      <c r="J245" s="460"/>
      <c r="K245" s="460"/>
      <c r="L245" s="460"/>
      <c r="M245" s="460"/>
      <c r="N245" s="460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 ht="15.75" customHeight="1">
      <c r="A246" s="179"/>
      <c r="B246" s="179"/>
      <c r="C246" s="460"/>
      <c r="D246" s="460"/>
      <c r="E246" s="460"/>
      <c r="F246" s="460"/>
      <c r="G246" s="460"/>
      <c r="H246" s="460"/>
      <c r="I246" s="460"/>
      <c r="J246" s="460"/>
      <c r="K246" s="460"/>
      <c r="L246" s="460"/>
      <c r="M246" s="460"/>
      <c r="N246" s="460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 ht="15.75" customHeight="1">
      <c r="A247" s="179"/>
      <c r="B247" s="179"/>
      <c r="C247" s="460"/>
      <c r="D247" s="460"/>
      <c r="E247" s="460"/>
      <c r="F247" s="460"/>
      <c r="G247" s="460"/>
      <c r="H247" s="460"/>
      <c r="I247" s="460"/>
      <c r="J247" s="460"/>
      <c r="K247" s="460"/>
      <c r="L247" s="460"/>
      <c r="M247" s="460"/>
      <c r="N247" s="460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 ht="15.75" customHeight="1">
      <c r="A248" s="179"/>
      <c r="B248" s="179"/>
      <c r="C248" s="460"/>
      <c r="D248" s="460"/>
      <c r="E248" s="460"/>
      <c r="F248" s="460"/>
      <c r="G248" s="460"/>
      <c r="H248" s="460"/>
      <c r="I248" s="460"/>
      <c r="J248" s="460"/>
      <c r="K248" s="460"/>
      <c r="L248" s="460"/>
      <c r="M248" s="460"/>
      <c r="N248" s="460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 ht="15.75" customHeight="1">
      <c r="A249" s="179"/>
      <c r="B249" s="179"/>
      <c r="C249" s="460"/>
      <c r="D249" s="460"/>
      <c r="E249" s="460"/>
      <c r="F249" s="460"/>
      <c r="G249" s="460"/>
      <c r="H249" s="460"/>
      <c r="I249" s="460"/>
      <c r="J249" s="460"/>
      <c r="K249" s="460"/>
      <c r="L249" s="460"/>
      <c r="M249" s="460"/>
      <c r="N249" s="460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 ht="15.75" customHeight="1">
      <c r="A250" s="179"/>
      <c r="B250" s="179"/>
      <c r="C250" s="460"/>
      <c r="D250" s="460"/>
      <c r="E250" s="460"/>
      <c r="F250" s="460"/>
      <c r="G250" s="460"/>
      <c r="H250" s="460"/>
      <c r="I250" s="460"/>
      <c r="J250" s="460"/>
      <c r="K250" s="460"/>
      <c r="L250" s="460"/>
      <c r="M250" s="460"/>
      <c r="N250" s="460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 ht="15.75" customHeight="1">
      <c r="A251" s="179"/>
      <c r="B251" s="179"/>
      <c r="C251" s="460"/>
      <c r="D251" s="460"/>
      <c r="E251" s="460"/>
      <c r="F251" s="460"/>
      <c r="G251" s="460"/>
      <c r="H251" s="460"/>
      <c r="I251" s="460"/>
      <c r="J251" s="460"/>
      <c r="K251" s="460"/>
      <c r="L251" s="460"/>
      <c r="M251" s="460"/>
      <c r="N251" s="460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 ht="15.75" customHeight="1">
      <c r="A252" s="179"/>
      <c r="B252" s="179"/>
      <c r="C252" s="460"/>
      <c r="D252" s="460"/>
      <c r="E252" s="460"/>
      <c r="F252" s="460"/>
      <c r="G252" s="460"/>
      <c r="H252" s="460"/>
      <c r="I252" s="460"/>
      <c r="J252" s="460"/>
      <c r="K252" s="460"/>
      <c r="L252" s="460"/>
      <c r="M252" s="460"/>
      <c r="N252" s="460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 ht="15.75" customHeight="1">
      <c r="A253" s="179"/>
      <c r="B253" s="179"/>
      <c r="C253" s="460"/>
      <c r="D253" s="460"/>
      <c r="E253" s="460"/>
      <c r="F253" s="460"/>
      <c r="G253" s="460"/>
      <c r="H253" s="460"/>
      <c r="I253" s="460"/>
      <c r="J253" s="460"/>
      <c r="K253" s="460"/>
      <c r="L253" s="460"/>
      <c r="M253" s="460"/>
      <c r="N253" s="460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 ht="15.75" customHeight="1">
      <c r="A254" s="179"/>
      <c r="B254" s="179"/>
      <c r="C254" s="460"/>
      <c r="D254" s="460"/>
      <c r="E254" s="460"/>
      <c r="F254" s="460"/>
      <c r="G254" s="460"/>
      <c r="H254" s="460"/>
      <c r="I254" s="460"/>
      <c r="J254" s="460"/>
      <c r="K254" s="460"/>
      <c r="L254" s="460"/>
      <c r="M254" s="460"/>
      <c r="N254" s="460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 ht="15.75" customHeight="1">
      <c r="A255" s="179"/>
      <c r="B255" s="179"/>
      <c r="C255" s="460"/>
      <c r="D255" s="460"/>
      <c r="E255" s="460"/>
      <c r="F255" s="460"/>
      <c r="G255" s="460"/>
      <c r="H255" s="460"/>
      <c r="I255" s="460"/>
      <c r="J255" s="460"/>
      <c r="K255" s="460"/>
      <c r="L255" s="460"/>
      <c r="M255" s="460"/>
      <c r="N255" s="460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 ht="15.75" customHeight="1">
      <c r="A256" s="179"/>
      <c r="B256" s="179"/>
      <c r="C256" s="460"/>
      <c r="D256" s="460"/>
      <c r="E256" s="460"/>
      <c r="F256" s="460"/>
      <c r="G256" s="460"/>
      <c r="H256" s="460"/>
      <c r="I256" s="460"/>
      <c r="J256" s="460"/>
      <c r="K256" s="460"/>
      <c r="L256" s="460"/>
      <c r="M256" s="460"/>
      <c r="N256" s="460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 ht="15.75" customHeight="1">
      <c r="A257" s="179"/>
      <c r="B257" s="179"/>
      <c r="C257" s="460"/>
      <c r="D257" s="460"/>
      <c r="E257" s="460"/>
      <c r="F257" s="460"/>
      <c r="G257" s="460"/>
      <c r="H257" s="460"/>
      <c r="I257" s="460"/>
      <c r="J257" s="460"/>
      <c r="K257" s="460"/>
      <c r="L257" s="460"/>
      <c r="M257" s="460"/>
      <c r="N257" s="460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 ht="15.75" customHeight="1">
      <c r="A258" s="179"/>
      <c r="B258" s="17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 ht="15.75" customHeight="1">
      <c r="A259" s="179"/>
      <c r="B259" s="179"/>
      <c r="C259" s="460"/>
      <c r="D259" s="460"/>
      <c r="E259" s="460"/>
      <c r="F259" s="460"/>
      <c r="G259" s="460"/>
      <c r="H259" s="460"/>
      <c r="I259" s="460"/>
      <c r="J259" s="460"/>
      <c r="K259" s="460"/>
      <c r="L259" s="460"/>
      <c r="M259" s="460"/>
      <c r="N259" s="460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 ht="15.75" customHeight="1">
      <c r="A260" s="179"/>
      <c r="B260" s="179"/>
      <c r="C260" s="460"/>
      <c r="D260" s="460"/>
      <c r="E260" s="460"/>
      <c r="F260" s="460"/>
      <c r="G260" s="460"/>
      <c r="H260" s="460"/>
      <c r="I260" s="460"/>
      <c r="J260" s="460"/>
      <c r="K260" s="460"/>
      <c r="L260" s="460"/>
      <c r="M260" s="460"/>
      <c r="N260" s="460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 ht="15.75" customHeight="1">
      <c r="A261" s="179"/>
      <c r="B261" s="179"/>
      <c r="C261" s="460"/>
      <c r="D261" s="460"/>
      <c r="E261" s="460"/>
      <c r="F261" s="460"/>
      <c r="G261" s="460"/>
      <c r="H261" s="460"/>
      <c r="I261" s="460"/>
      <c r="J261" s="460"/>
      <c r="K261" s="460"/>
      <c r="L261" s="460"/>
      <c r="M261" s="460"/>
      <c r="N261" s="460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 ht="15.75" customHeight="1">
      <c r="A262" s="179"/>
      <c r="B262" s="179"/>
      <c r="C262" s="460"/>
      <c r="D262" s="460"/>
      <c r="E262" s="460"/>
      <c r="F262" s="460"/>
      <c r="G262" s="460"/>
      <c r="H262" s="460"/>
      <c r="I262" s="460"/>
      <c r="J262" s="460"/>
      <c r="K262" s="460"/>
      <c r="L262" s="460"/>
      <c r="M262" s="460"/>
      <c r="N262" s="460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 ht="15.75" customHeight="1">
      <c r="A263" s="179"/>
      <c r="B263" s="179"/>
      <c r="C263" s="460"/>
      <c r="D263" s="460"/>
      <c r="E263" s="460"/>
      <c r="F263" s="460"/>
      <c r="G263" s="460"/>
      <c r="H263" s="460"/>
      <c r="I263" s="460"/>
      <c r="J263" s="460"/>
      <c r="K263" s="460"/>
      <c r="L263" s="460"/>
      <c r="M263" s="460"/>
      <c r="N263" s="460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 ht="15.75" customHeight="1">
      <c r="A264" s="179"/>
      <c r="B264" s="179"/>
      <c r="C264" s="460"/>
      <c r="D264" s="460"/>
      <c r="E264" s="460"/>
      <c r="F264" s="460"/>
      <c r="G264" s="460"/>
      <c r="H264" s="460"/>
      <c r="I264" s="460"/>
      <c r="J264" s="460"/>
      <c r="K264" s="460"/>
      <c r="L264" s="460"/>
      <c r="M264" s="460"/>
      <c r="N264" s="460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 ht="15.75" customHeight="1">
      <c r="A265" s="179"/>
      <c r="B265" s="179"/>
      <c r="C265" s="460"/>
      <c r="D265" s="460"/>
      <c r="E265" s="460"/>
      <c r="F265" s="460"/>
      <c r="G265" s="460"/>
      <c r="H265" s="460"/>
      <c r="I265" s="460"/>
      <c r="J265" s="460"/>
      <c r="K265" s="460"/>
      <c r="L265" s="460"/>
      <c r="M265" s="460"/>
      <c r="N265" s="460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 ht="15.75" customHeight="1">
      <c r="A266" s="179"/>
      <c r="B266" s="179"/>
      <c r="C266" s="460"/>
      <c r="D266" s="460"/>
      <c r="E266" s="460"/>
      <c r="F266" s="460"/>
      <c r="G266" s="460"/>
      <c r="H266" s="460"/>
      <c r="I266" s="460"/>
      <c r="J266" s="460"/>
      <c r="K266" s="460"/>
      <c r="L266" s="460"/>
      <c r="M266" s="460"/>
      <c r="N266" s="460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 ht="15.75" customHeight="1">
      <c r="A267" s="179"/>
      <c r="B267" s="179"/>
      <c r="C267" s="460"/>
      <c r="D267" s="460"/>
      <c r="E267" s="460"/>
      <c r="F267" s="460"/>
      <c r="G267" s="460"/>
      <c r="H267" s="460"/>
      <c r="I267" s="460"/>
      <c r="J267" s="460"/>
      <c r="K267" s="460"/>
      <c r="L267" s="460"/>
      <c r="M267" s="460"/>
      <c r="N267" s="460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 ht="15.75" customHeight="1">
      <c r="A268" s="179"/>
      <c r="B268" s="179"/>
      <c r="C268" s="460"/>
      <c r="D268" s="460"/>
      <c r="E268" s="460"/>
      <c r="F268" s="460"/>
      <c r="G268" s="460"/>
      <c r="H268" s="460"/>
      <c r="I268" s="460"/>
      <c r="J268" s="460"/>
      <c r="K268" s="460"/>
      <c r="L268" s="460"/>
      <c r="M268" s="460"/>
      <c r="N268" s="460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 ht="15.75" customHeight="1">
      <c r="A269" s="179"/>
      <c r="B269" s="179"/>
      <c r="C269" s="460"/>
      <c r="D269" s="460"/>
      <c r="E269" s="460"/>
      <c r="F269" s="460"/>
      <c r="G269" s="460"/>
      <c r="H269" s="460"/>
      <c r="I269" s="460"/>
      <c r="J269" s="460"/>
      <c r="K269" s="460"/>
      <c r="L269" s="460"/>
      <c r="M269" s="460"/>
      <c r="N269" s="460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ht="15.75" customHeight="1">
      <c r="A270" s="179"/>
      <c r="B270" s="179"/>
      <c r="C270" s="460"/>
      <c r="D270" s="460"/>
      <c r="E270" s="460"/>
      <c r="F270" s="460"/>
      <c r="G270" s="460"/>
      <c r="H270" s="460"/>
      <c r="I270" s="460"/>
      <c r="J270" s="460"/>
      <c r="K270" s="460"/>
      <c r="L270" s="460"/>
      <c r="M270" s="460"/>
      <c r="N270" s="460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 ht="15.75" customHeight="1">
      <c r="A271" s="179"/>
      <c r="B271" s="1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 ht="15.75" customHeight="1">
      <c r="A272" s="179"/>
      <c r="B272" s="179"/>
      <c r="C272" s="460"/>
      <c r="D272" s="460"/>
      <c r="E272" s="460"/>
      <c r="F272" s="460"/>
      <c r="G272" s="460"/>
      <c r="H272" s="460"/>
      <c r="I272" s="460"/>
      <c r="J272" s="460"/>
      <c r="K272" s="460"/>
      <c r="L272" s="460"/>
      <c r="M272" s="460"/>
      <c r="N272" s="460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 ht="15.75" customHeight="1">
      <c r="A273" s="179"/>
      <c r="B273" s="179"/>
      <c r="C273" s="460"/>
      <c r="D273" s="460"/>
      <c r="E273" s="460"/>
      <c r="F273" s="460"/>
      <c r="G273" s="460"/>
      <c r="H273" s="460"/>
      <c r="I273" s="460"/>
      <c r="J273" s="460"/>
      <c r="K273" s="460"/>
      <c r="L273" s="460"/>
      <c r="M273" s="460"/>
      <c r="N273" s="460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 ht="15.75" customHeight="1">
      <c r="A274" s="179"/>
      <c r="B274" s="179"/>
      <c r="C274" s="460"/>
      <c r="D274" s="460"/>
      <c r="E274" s="460"/>
      <c r="F274" s="460"/>
      <c r="G274" s="460"/>
      <c r="H274" s="460"/>
      <c r="I274" s="460"/>
      <c r="J274" s="460"/>
      <c r="K274" s="460"/>
      <c r="L274" s="460"/>
      <c r="M274" s="460"/>
      <c r="N274" s="460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 ht="15.75" customHeight="1">
      <c r="A275" s="179"/>
      <c r="B275" s="179"/>
      <c r="C275" s="460"/>
      <c r="D275" s="460"/>
      <c r="E275" s="460"/>
      <c r="F275" s="460"/>
      <c r="G275" s="460"/>
      <c r="H275" s="460"/>
      <c r="I275" s="460"/>
      <c r="J275" s="460"/>
      <c r="K275" s="460"/>
      <c r="L275" s="460"/>
      <c r="M275" s="460"/>
      <c r="N275" s="460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 ht="15.75" customHeight="1">
      <c r="A276" s="179"/>
      <c r="B276" s="179"/>
      <c r="C276" s="460"/>
      <c r="D276" s="460"/>
      <c r="E276" s="460"/>
      <c r="F276" s="460"/>
      <c r="G276" s="460"/>
      <c r="H276" s="460"/>
      <c r="I276" s="460"/>
      <c r="J276" s="460"/>
      <c r="K276" s="460"/>
      <c r="L276" s="460"/>
      <c r="M276" s="460"/>
      <c r="N276" s="460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 ht="15.75" customHeight="1">
      <c r="A277" s="179"/>
      <c r="B277" s="179"/>
      <c r="C277" s="460"/>
      <c r="D277" s="460"/>
      <c r="E277" s="460"/>
      <c r="F277" s="460"/>
      <c r="G277" s="460"/>
      <c r="H277" s="460"/>
      <c r="I277" s="460"/>
      <c r="J277" s="460"/>
      <c r="K277" s="460"/>
      <c r="L277" s="460"/>
      <c r="M277" s="460"/>
      <c r="N277" s="460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 ht="15.75" customHeight="1">
      <c r="A278" s="179"/>
      <c r="B278" s="179"/>
      <c r="C278" s="460"/>
      <c r="D278" s="460"/>
      <c r="E278" s="460"/>
      <c r="F278" s="460"/>
      <c r="G278" s="460"/>
      <c r="H278" s="460"/>
      <c r="I278" s="460"/>
      <c r="J278" s="460"/>
      <c r="K278" s="460"/>
      <c r="L278" s="460"/>
      <c r="M278" s="460"/>
      <c r="N278" s="460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 ht="15.75" customHeight="1">
      <c r="A279" s="179"/>
      <c r="B279" s="179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460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 ht="15.75" customHeight="1">
      <c r="A280" s="179"/>
      <c r="B280" s="179"/>
      <c r="C280" s="460"/>
      <c r="D280" s="460"/>
      <c r="E280" s="460"/>
      <c r="F280" s="460"/>
      <c r="G280" s="460"/>
      <c r="H280" s="460"/>
      <c r="I280" s="460"/>
      <c r="J280" s="460"/>
      <c r="K280" s="460"/>
      <c r="L280" s="460"/>
      <c r="M280" s="460"/>
      <c r="N280" s="460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 ht="15.75" customHeight="1">
      <c r="A281" s="179"/>
      <c r="B281" s="179"/>
      <c r="C281" s="460"/>
      <c r="D281" s="460"/>
      <c r="E281" s="460"/>
      <c r="F281" s="460"/>
      <c r="G281" s="460"/>
      <c r="H281" s="460"/>
      <c r="I281" s="460"/>
      <c r="J281" s="460"/>
      <c r="K281" s="460"/>
      <c r="L281" s="460"/>
      <c r="M281" s="460"/>
      <c r="N281" s="460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 ht="15.75" customHeight="1">
      <c r="A282" s="179"/>
      <c r="B282" s="179"/>
      <c r="C282" s="460"/>
      <c r="D282" s="460"/>
      <c r="E282" s="460"/>
      <c r="F282" s="460"/>
      <c r="G282" s="460"/>
      <c r="H282" s="460"/>
      <c r="I282" s="460"/>
      <c r="J282" s="460"/>
      <c r="K282" s="460"/>
      <c r="L282" s="460"/>
      <c r="M282" s="460"/>
      <c r="N282" s="460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ht="15.75" customHeight="1">
      <c r="A283" s="179"/>
      <c r="B283" s="179"/>
      <c r="C283" s="460"/>
      <c r="D283" s="460"/>
      <c r="E283" s="460"/>
      <c r="F283" s="460"/>
      <c r="G283" s="460"/>
      <c r="H283" s="460"/>
      <c r="I283" s="460"/>
      <c r="J283" s="460"/>
      <c r="K283" s="460"/>
      <c r="L283" s="460"/>
      <c r="M283" s="460"/>
      <c r="N283" s="460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 ht="15.75" customHeight="1">
      <c r="A284" s="179"/>
      <c r="B284" s="179"/>
      <c r="C284" s="460"/>
      <c r="D284" s="460"/>
      <c r="E284" s="460"/>
      <c r="F284" s="460"/>
      <c r="G284" s="460"/>
      <c r="H284" s="460"/>
      <c r="I284" s="460"/>
      <c r="J284" s="460"/>
      <c r="K284" s="460"/>
      <c r="L284" s="460"/>
      <c r="M284" s="460"/>
      <c r="N284" s="460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 ht="15.75" customHeight="1">
      <c r="A285" s="179"/>
      <c r="B285" s="179"/>
      <c r="C285" s="460"/>
      <c r="D285" s="460"/>
      <c r="E285" s="460"/>
      <c r="F285" s="460"/>
      <c r="G285" s="460"/>
      <c r="H285" s="460"/>
      <c r="I285" s="460"/>
      <c r="J285" s="460"/>
      <c r="K285" s="460"/>
      <c r="L285" s="460"/>
      <c r="M285" s="460"/>
      <c r="N285" s="460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 ht="15.75" customHeight="1">
      <c r="A286" s="179"/>
      <c r="B286" s="179"/>
      <c r="C286" s="460"/>
      <c r="D286" s="460"/>
      <c r="E286" s="460"/>
      <c r="F286" s="460"/>
      <c r="G286" s="460"/>
      <c r="H286" s="460"/>
      <c r="I286" s="460"/>
      <c r="J286" s="460"/>
      <c r="K286" s="460"/>
      <c r="L286" s="460"/>
      <c r="M286" s="460"/>
      <c r="N286" s="460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 ht="15.75" customHeight="1">
      <c r="A287" s="179"/>
      <c r="B287" s="179"/>
      <c r="C287" s="460"/>
      <c r="D287" s="460"/>
      <c r="E287" s="460"/>
      <c r="F287" s="460"/>
      <c r="G287" s="460"/>
      <c r="H287" s="460"/>
      <c r="I287" s="460"/>
      <c r="J287" s="460"/>
      <c r="K287" s="460"/>
      <c r="L287" s="460"/>
      <c r="M287" s="460"/>
      <c r="N287" s="460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 ht="15.75" customHeight="1">
      <c r="A288" s="179"/>
      <c r="B288" s="179"/>
      <c r="C288" s="460"/>
      <c r="D288" s="460"/>
      <c r="E288" s="460"/>
      <c r="F288" s="460"/>
      <c r="G288" s="460"/>
      <c r="H288" s="460"/>
      <c r="I288" s="460"/>
      <c r="J288" s="460"/>
      <c r="K288" s="460"/>
      <c r="L288" s="460"/>
      <c r="M288" s="460"/>
      <c r="N288" s="460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 ht="15.75" customHeight="1">
      <c r="A289" s="179"/>
      <c r="B289" s="179"/>
      <c r="C289" s="460"/>
      <c r="D289" s="460"/>
      <c r="E289" s="460"/>
      <c r="F289" s="460"/>
      <c r="G289" s="460"/>
      <c r="H289" s="460"/>
      <c r="I289" s="460"/>
      <c r="J289" s="460"/>
      <c r="K289" s="460"/>
      <c r="L289" s="460"/>
      <c r="M289" s="460"/>
      <c r="N289" s="460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 ht="15.75" customHeight="1">
      <c r="A290" s="179"/>
      <c r="B290" s="179"/>
      <c r="C290" s="460"/>
      <c r="D290" s="460"/>
      <c r="E290" s="460"/>
      <c r="F290" s="460"/>
      <c r="G290" s="460"/>
      <c r="H290" s="460"/>
      <c r="I290" s="460"/>
      <c r="J290" s="460"/>
      <c r="K290" s="460"/>
      <c r="L290" s="460"/>
      <c r="M290" s="460"/>
      <c r="N290" s="460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 ht="15.75" customHeight="1">
      <c r="A291" s="179"/>
      <c r="B291" s="179"/>
      <c r="C291" s="460"/>
      <c r="D291" s="460"/>
      <c r="E291" s="460"/>
      <c r="F291" s="460"/>
      <c r="G291" s="460"/>
      <c r="H291" s="460"/>
      <c r="I291" s="460"/>
      <c r="J291" s="460"/>
      <c r="K291" s="460"/>
      <c r="L291" s="460"/>
      <c r="M291" s="460"/>
      <c r="N291" s="460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 ht="15.75" customHeight="1">
      <c r="A292" s="179"/>
      <c r="B292" s="179"/>
      <c r="C292" s="460"/>
      <c r="D292" s="460"/>
      <c r="E292" s="460"/>
      <c r="F292" s="460"/>
      <c r="G292" s="460"/>
      <c r="H292" s="460"/>
      <c r="I292" s="460"/>
      <c r="J292" s="460"/>
      <c r="K292" s="460"/>
      <c r="L292" s="460"/>
      <c r="M292" s="460"/>
      <c r="N292" s="460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 ht="15.75" customHeight="1">
      <c r="A293" s="179"/>
      <c r="B293" s="179"/>
      <c r="C293" s="460"/>
      <c r="D293" s="460"/>
      <c r="E293" s="460"/>
      <c r="F293" s="460"/>
      <c r="G293" s="460"/>
      <c r="H293" s="460"/>
      <c r="I293" s="460"/>
      <c r="J293" s="460"/>
      <c r="K293" s="460"/>
      <c r="L293" s="460"/>
      <c r="M293" s="460"/>
      <c r="N293" s="460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 ht="15.75" customHeight="1">
      <c r="A294" s="179"/>
      <c r="B294" s="179"/>
      <c r="C294" s="460"/>
      <c r="D294" s="460"/>
      <c r="E294" s="460"/>
      <c r="F294" s="460"/>
      <c r="G294" s="460"/>
      <c r="H294" s="460"/>
      <c r="I294" s="460"/>
      <c r="J294" s="460"/>
      <c r="K294" s="460"/>
      <c r="L294" s="460"/>
      <c r="M294" s="460"/>
      <c r="N294" s="460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 ht="15.75" customHeight="1">
      <c r="A295" s="179"/>
      <c r="B295" s="179"/>
      <c r="C295" s="460"/>
      <c r="D295" s="460"/>
      <c r="E295" s="460"/>
      <c r="F295" s="460"/>
      <c r="G295" s="460"/>
      <c r="H295" s="460"/>
      <c r="I295" s="460"/>
      <c r="J295" s="460"/>
      <c r="K295" s="460"/>
      <c r="L295" s="460"/>
      <c r="M295" s="460"/>
      <c r="N295" s="460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 ht="15.75" customHeight="1">
      <c r="A296" s="179"/>
      <c r="B296" s="179"/>
      <c r="C296" s="460"/>
      <c r="D296" s="460"/>
      <c r="E296" s="460"/>
      <c r="F296" s="460"/>
      <c r="G296" s="460"/>
      <c r="H296" s="460"/>
      <c r="I296" s="460"/>
      <c r="J296" s="460"/>
      <c r="K296" s="460"/>
      <c r="L296" s="460"/>
      <c r="M296" s="460"/>
      <c r="N296" s="460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 ht="15.75" customHeight="1">
      <c r="A297" s="179"/>
      <c r="B297" s="179"/>
      <c r="C297" s="460"/>
      <c r="D297" s="460"/>
      <c r="E297" s="460"/>
      <c r="F297" s="460"/>
      <c r="G297" s="460"/>
      <c r="H297" s="460"/>
      <c r="I297" s="460"/>
      <c r="J297" s="460"/>
      <c r="K297" s="460"/>
      <c r="L297" s="460"/>
      <c r="M297" s="460"/>
      <c r="N297" s="460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 ht="15.75" customHeight="1">
      <c r="A298" s="179"/>
      <c r="B298" s="179"/>
      <c r="C298" s="460"/>
      <c r="D298" s="460"/>
      <c r="E298" s="460"/>
      <c r="F298" s="460"/>
      <c r="G298" s="460"/>
      <c r="H298" s="460"/>
      <c r="I298" s="460"/>
      <c r="J298" s="460"/>
      <c r="K298" s="460"/>
      <c r="L298" s="460"/>
      <c r="M298" s="460"/>
      <c r="N298" s="460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 ht="15.75" customHeight="1">
      <c r="A299" s="179"/>
      <c r="B299" s="179"/>
      <c r="C299" s="460"/>
      <c r="D299" s="460"/>
      <c r="E299" s="460"/>
      <c r="F299" s="460"/>
      <c r="G299" s="460"/>
      <c r="H299" s="460"/>
      <c r="I299" s="460"/>
      <c r="J299" s="460"/>
      <c r="K299" s="460"/>
      <c r="L299" s="460"/>
      <c r="M299" s="460"/>
      <c r="N299" s="460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 ht="15.75" customHeight="1">
      <c r="A300" s="179"/>
      <c r="B300" s="179"/>
      <c r="C300" s="460"/>
      <c r="D300" s="460"/>
      <c r="E300" s="460"/>
      <c r="F300" s="460"/>
      <c r="G300" s="460"/>
      <c r="H300" s="460"/>
      <c r="I300" s="460"/>
      <c r="J300" s="460"/>
      <c r="K300" s="460"/>
      <c r="L300" s="460"/>
      <c r="M300" s="460"/>
      <c r="N300" s="460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 ht="15.75" customHeight="1">
      <c r="A301" s="179"/>
      <c r="B301" s="179"/>
      <c r="C301" s="460"/>
      <c r="D301" s="460"/>
      <c r="E301" s="460"/>
      <c r="F301" s="460"/>
      <c r="G301" s="460"/>
      <c r="H301" s="460"/>
      <c r="I301" s="460"/>
      <c r="J301" s="460"/>
      <c r="K301" s="460"/>
      <c r="L301" s="460"/>
      <c r="M301" s="460"/>
      <c r="N301" s="460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 ht="15.75" customHeight="1">
      <c r="A302" s="179"/>
      <c r="B302" s="179"/>
      <c r="C302" s="460"/>
      <c r="D302" s="460"/>
      <c r="E302" s="460"/>
      <c r="F302" s="460"/>
      <c r="G302" s="460"/>
      <c r="H302" s="460"/>
      <c r="I302" s="460"/>
      <c r="J302" s="460"/>
      <c r="K302" s="460"/>
      <c r="L302" s="460"/>
      <c r="M302" s="460"/>
      <c r="N302" s="460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 ht="15.75" customHeight="1">
      <c r="A303" s="179"/>
      <c r="B303" s="179"/>
      <c r="C303" s="460"/>
      <c r="D303" s="460"/>
      <c r="E303" s="460"/>
      <c r="F303" s="460"/>
      <c r="G303" s="460"/>
      <c r="H303" s="460"/>
      <c r="I303" s="460"/>
      <c r="J303" s="460"/>
      <c r="K303" s="460"/>
      <c r="L303" s="460"/>
      <c r="M303" s="460"/>
      <c r="N303" s="460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 ht="15.75" customHeight="1">
      <c r="A304" s="179"/>
      <c r="B304" s="179"/>
      <c r="C304" s="460"/>
      <c r="D304" s="460"/>
      <c r="E304" s="460"/>
      <c r="F304" s="460"/>
      <c r="G304" s="460"/>
      <c r="H304" s="460"/>
      <c r="I304" s="460"/>
      <c r="J304" s="460"/>
      <c r="K304" s="460"/>
      <c r="L304" s="460"/>
      <c r="M304" s="460"/>
      <c r="N304" s="460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 ht="15.75" customHeight="1">
      <c r="A305" s="179"/>
      <c r="B305" s="179"/>
      <c r="C305" s="460"/>
      <c r="D305" s="460"/>
      <c r="E305" s="460"/>
      <c r="F305" s="460"/>
      <c r="G305" s="460"/>
      <c r="H305" s="460"/>
      <c r="I305" s="460"/>
      <c r="J305" s="460"/>
      <c r="K305" s="460"/>
      <c r="L305" s="460"/>
      <c r="M305" s="460"/>
      <c r="N305" s="460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 ht="15.75" customHeight="1">
      <c r="A306" s="179"/>
      <c r="B306" s="179"/>
      <c r="C306" s="460"/>
      <c r="D306" s="460"/>
      <c r="E306" s="460"/>
      <c r="F306" s="460"/>
      <c r="G306" s="460"/>
      <c r="H306" s="460"/>
      <c r="I306" s="460"/>
      <c r="J306" s="460"/>
      <c r="K306" s="460"/>
      <c r="L306" s="460"/>
      <c r="M306" s="460"/>
      <c r="N306" s="460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 ht="15.75" customHeight="1">
      <c r="A307" s="179"/>
      <c r="B307" s="179"/>
      <c r="C307" s="460"/>
      <c r="D307" s="460"/>
      <c r="E307" s="460"/>
      <c r="F307" s="460"/>
      <c r="G307" s="460"/>
      <c r="H307" s="460"/>
      <c r="I307" s="460"/>
      <c r="J307" s="460"/>
      <c r="K307" s="460"/>
      <c r="L307" s="460"/>
      <c r="M307" s="460"/>
      <c r="N307" s="460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 ht="15.75" customHeight="1">
      <c r="A308" s="179"/>
      <c r="B308" s="179"/>
      <c r="C308" s="460"/>
      <c r="D308" s="460"/>
      <c r="E308" s="460"/>
      <c r="F308" s="460"/>
      <c r="G308" s="460"/>
      <c r="H308" s="460"/>
      <c r="I308" s="460"/>
      <c r="J308" s="460"/>
      <c r="K308" s="460"/>
      <c r="L308" s="460"/>
      <c r="M308" s="460"/>
      <c r="N308" s="460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 ht="15.75" customHeight="1">
      <c r="A309" s="179"/>
      <c r="B309" s="179"/>
      <c r="C309" s="460"/>
      <c r="D309" s="460"/>
      <c r="E309" s="460"/>
      <c r="F309" s="460"/>
      <c r="G309" s="460"/>
      <c r="H309" s="460"/>
      <c r="I309" s="460"/>
      <c r="J309" s="460"/>
      <c r="K309" s="460"/>
      <c r="L309" s="460"/>
      <c r="M309" s="460"/>
      <c r="N309" s="460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 ht="15.75" customHeight="1">
      <c r="A310" s="179"/>
      <c r="B310" s="179"/>
      <c r="C310" s="460"/>
      <c r="D310" s="460"/>
      <c r="E310" s="460"/>
      <c r="F310" s="460"/>
      <c r="G310" s="460"/>
      <c r="H310" s="460"/>
      <c r="I310" s="460"/>
      <c r="J310" s="460"/>
      <c r="K310" s="460"/>
      <c r="L310" s="460"/>
      <c r="M310" s="460"/>
      <c r="N310" s="460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 ht="15.75" customHeight="1">
      <c r="A311" s="179"/>
      <c r="B311" s="179"/>
      <c r="C311" s="460"/>
      <c r="D311" s="460"/>
      <c r="E311" s="460"/>
      <c r="F311" s="460"/>
      <c r="G311" s="460"/>
      <c r="H311" s="460"/>
      <c r="I311" s="460"/>
      <c r="J311" s="460"/>
      <c r="K311" s="460"/>
      <c r="L311" s="460"/>
      <c r="M311" s="460"/>
      <c r="N311" s="460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 ht="15.75" customHeight="1">
      <c r="A312" s="179"/>
      <c r="B312" s="179"/>
      <c r="C312" s="460"/>
      <c r="D312" s="460"/>
      <c r="E312" s="460"/>
      <c r="F312" s="460"/>
      <c r="G312" s="460"/>
      <c r="H312" s="460"/>
      <c r="I312" s="460"/>
      <c r="J312" s="460"/>
      <c r="K312" s="460"/>
      <c r="L312" s="460"/>
      <c r="M312" s="460"/>
      <c r="N312" s="460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 ht="15.75" customHeight="1">
      <c r="A313" s="179"/>
      <c r="B313" s="179"/>
      <c r="C313" s="460"/>
      <c r="D313" s="460"/>
      <c r="E313" s="460"/>
      <c r="F313" s="460"/>
      <c r="G313" s="460"/>
      <c r="H313" s="460"/>
      <c r="I313" s="460"/>
      <c r="J313" s="460"/>
      <c r="K313" s="460"/>
      <c r="L313" s="460"/>
      <c r="M313" s="460"/>
      <c r="N313" s="460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 ht="15.75" customHeight="1">
      <c r="A314" s="179"/>
      <c r="B314" s="179"/>
      <c r="C314" s="460"/>
      <c r="D314" s="460"/>
      <c r="E314" s="460"/>
      <c r="F314" s="460"/>
      <c r="G314" s="460"/>
      <c r="H314" s="460"/>
      <c r="I314" s="460"/>
      <c r="J314" s="460"/>
      <c r="K314" s="460"/>
      <c r="L314" s="460"/>
      <c r="M314" s="460"/>
      <c r="N314" s="460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 ht="15.75" customHeight="1">
      <c r="A315" s="179"/>
      <c r="B315" s="179"/>
      <c r="C315" s="460"/>
      <c r="D315" s="460"/>
      <c r="E315" s="460"/>
      <c r="F315" s="460"/>
      <c r="G315" s="460"/>
      <c r="H315" s="460"/>
      <c r="I315" s="460"/>
      <c r="J315" s="460"/>
      <c r="K315" s="460"/>
      <c r="L315" s="460"/>
      <c r="M315" s="460"/>
      <c r="N315" s="460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 ht="15.75" customHeight="1">
      <c r="A316" s="179"/>
      <c r="B316" s="179"/>
      <c r="C316" s="460"/>
      <c r="D316" s="460"/>
      <c r="E316" s="460"/>
      <c r="F316" s="460"/>
      <c r="G316" s="460"/>
      <c r="H316" s="460"/>
      <c r="I316" s="460"/>
      <c r="J316" s="460"/>
      <c r="K316" s="460"/>
      <c r="L316" s="460"/>
      <c r="M316" s="460"/>
      <c r="N316" s="460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 ht="15.75" customHeight="1">
      <c r="A317" s="179"/>
      <c r="B317" s="179"/>
      <c r="C317" s="460"/>
      <c r="D317" s="460"/>
      <c r="E317" s="460"/>
      <c r="F317" s="460"/>
      <c r="G317" s="460"/>
      <c r="H317" s="460"/>
      <c r="I317" s="460"/>
      <c r="J317" s="460"/>
      <c r="K317" s="460"/>
      <c r="L317" s="460"/>
      <c r="M317" s="460"/>
      <c r="N317" s="460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 ht="15.75" customHeight="1">
      <c r="A318" s="179"/>
      <c r="B318" s="179"/>
      <c r="C318" s="460"/>
      <c r="D318" s="460"/>
      <c r="E318" s="460"/>
      <c r="F318" s="460"/>
      <c r="G318" s="460"/>
      <c r="H318" s="460"/>
      <c r="I318" s="460"/>
      <c r="J318" s="460"/>
      <c r="K318" s="460"/>
      <c r="L318" s="460"/>
      <c r="M318" s="460"/>
      <c r="N318" s="460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 ht="15.75" customHeight="1">
      <c r="A319" s="179"/>
      <c r="B319" s="179"/>
      <c r="C319" s="460"/>
      <c r="D319" s="460"/>
      <c r="E319" s="460"/>
      <c r="F319" s="460"/>
      <c r="G319" s="460"/>
      <c r="H319" s="460"/>
      <c r="I319" s="460"/>
      <c r="J319" s="460"/>
      <c r="K319" s="460"/>
      <c r="L319" s="460"/>
      <c r="M319" s="460"/>
      <c r="N319" s="460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 ht="15.75" customHeight="1">
      <c r="A320" s="179"/>
      <c r="B320" s="179"/>
      <c r="C320" s="460"/>
      <c r="D320" s="460"/>
      <c r="E320" s="460"/>
      <c r="F320" s="460"/>
      <c r="G320" s="460"/>
      <c r="H320" s="460"/>
      <c r="I320" s="460"/>
      <c r="J320" s="460"/>
      <c r="K320" s="460"/>
      <c r="L320" s="460"/>
      <c r="M320" s="460"/>
      <c r="N320" s="460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 ht="15.75" customHeight="1">
      <c r="A321" s="179"/>
      <c r="B321" s="179"/>
      <c r="C321" s="460"/>
      <c r="D321" s="460"/>
      <c r="E321" s="460"/>
      <c r="F321" s="460"/>
      <c r="G321" s="460"/>
      <c r="H321" s="460"/>
      <c r="I321" s="460"/>
      <c r="J321" s="460"/>
      <c r="K321" s="460"/>
      <c r="L321" s="460"/>
      <c r="M321" s="460"/>
      <c r="N321" s="460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 ht="15.75" customHeight="1">
      <c r="A322" s="179"/>
      <c r="B322" s="179"/>
      <c r="C322" s="460"/>
      <c r="D322" s="460"/>
      <c r="E322" s="460"/>
      <c r="F322" s="460"/>
      <c r="G322" s="460"/>
      <c r="H322" s="460"/>
      <c r="I322" s="460"/>
      <c r="J322" s="460"/>
      <c r="K322" s="460"/>
      <c r="L322" s="460"/>
      <c r="M322" s="460"/>
      <c r="N322" s="460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 ht="15.75" customHeight="1">
      <c r="A323" s="179"/>
      <c r="B323" s="179"/>
      <c r="C323" s="460"/>
      <c r="D323" s="460"/>
      <c r="E323" s="460"/>
      <c r="F323" s="460"/>
      <c r="G323" s="460"/>
      <c r="H323" s="460"/>
      <c r="I323" s="460"/>
      <c r="J323" s="460"/>
      <c r="K323" s="460"/>
      <c r="L323" s="460"/>
      <c r="M323" s="460"/>
      <c r="N323" s="460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 ht="15.75" customHeight="1">
      <c r="A324" s="179"/>
      <c r="B324" s="179"/>
      <c r="C324" s="460"/>
      <c r="D324" s="460"/>
      <c r="E324" s="460"/>
      <c r="F324" s="460"/>
      <c r="G324" s="460"/>
      <c r="H324" s="460"/>
      <c r="I324" s="460"/>
      <c r="J324" s="460"/>
      <c r="K324" s="460"/>
      <c r="L324" s="460"/>
      <c r="M324" s="460"/>
      <c r="N324" s="460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 ht="15.75" customHeight="1">
      <c r="A325" s="179"/>
      <c r="B325" s="179"/>
      <c r="C325" s="460"/>
      <c r="D325" s="460"/>
      <c r="E325" s="460"/>
      <c r="F325" s="460"/>
      <c r="G325" s="460"/>
      <c r="H325" s="460"/>
      <c r="I325" s="460"/>
      <c r="J325" s="460"/>
      <c r="K325" s="460"/>
      <c r="L325" s="460"/>
      <c r="M325" s="460"/>
      <c r="N325" s="460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 ht="15.75" customHeight="1">
      <c r="A326" s="179"/>
      <c r="B326" s="179"/>
      <c r="C326" s="460"/>
      <c r="D326" s="460"/>
      <c r="E326" s="460"/>
      <c r="F326" s="460"/>
      <c r="G326" s="460"/>
      <c r="H326" s="460"/>
      <c r="I326" s="460"/>
      <c r="J326" s="460"/>
      <c r="K326" s="460"/>
      <c r="L326" s="460"/>
      <c r="M326" s="460"/>
      <c r="N326" s="460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 ht="15.75" customHeight="1">
      <c r="A327" s="179"/>
      <c r="B327" s="179"/>
      <c r="C327" s="460"/>
      <c r="D327" s="460"/>
      <c r="E327" s="460"/>
      <c r="F327" s="460"/>
      <c r="G327" s="460"/>
      <c r="H327" s="460"/>
      <c r="I327" s="460"/>
      <c r="J327" s="460"/>
      <c r="K327" s="460"/>
      <c r="L327" s="460"/>
      <c r="M327" s="460"/>
      <c r="N327" s="460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 ht="15.75" customHeight="1">
      <c r="A328" s="179"/>
      <c r="B328" s="179"/>
      <c r="C328" s="460"/>
      <c r="D328" s="460"/>
      <c r="E328" s="460"/>
      <c r="F328" s="460"/>
      <c r="G328" s="460"/>
      <c r="H328" s="460"/>
      <c r="I328" s="460"/>
      <c r="J328" s="460"/>
      <c r="K328" s="460"/>
      <c r="L328" s="460"/>
      <c r="M328" s="460"/>
      <c r="N328" s="460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 ht="15.75" customHeight="1">
      <c r="A329" s="179"/>
      <c r="B329" s="179"/>
      <c r="C329" s="460"/>
      <c r="D329" s="460"/>
      <c r="E329" s="460"/>
      <c r="F329" s="460"/>
      <c r="G329" s="460"/>
      <c r="H329" s="460"/>
      <c r="I329" s="460"/>
      <c r="J329" s="460"/>
      <c r="K329" s="460"/>
      <c r="L329" s="460"/>
      <c r="M329" s="460"/>
      <c r="N329" s="460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 ht="15.75" customHeight="1">
      <c r="A330" s="179"/>
      <c r="B330" s="179"/>
      <c r="C330" s="460"/>
      <c r="D330" s="460"/>
      <c r="E330" s="460"/>
      <c r="F330" s="460"/>
      <c r="G330" s="460"/>
      <c r="H330" s="460"/>
      <c r="I330" s="460"/>
      <c r="J330" s="460"/>
      <c r="K330" s="460"/>
      <c r="L330" s="460"/>
      <c r="M330" s="460"/>
      <c r="N330" s="460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 ht="15.75" customHeight="1">
      <c r="A331" s="179"/>
      <c r="B331" s="179"/>
      <c r="C331" s="460"/>
      <c r="D331" s="460"/>
      <c r="E331" s="460"/>
      <c r="F331" s="460"/>
      <c r="G331" s="460"/>
      <c r="H331" s="460"/>
      <c r="I331" s="460"/>
      <c r="J331" s="460"/>
      <c r="K331" s="460"/>
      <c r="L331" s="460"/>
      <c r="M331" s="460"/>
      <c r="N331" s="460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 ht="15.75" customHeight="1">
      <c r="A332" s="179"/>
      <c r="B332" s="179"/>
      <c r="C332" s="460"/>
      <c r="D332" s="460"/>
      <c r="E332" s="460"/>
      <c r="F332" s="460"/>
      <c r="G332" s="460"/>
      <c r="H332" s="460"/>
      <c r="I332" s="460"/>
      <c r="J332" s="460"/>
      <c r="K332" s="460"/>
      <c r="L332" s="460"/>
      <c r="M332" s="460"/>
      <c r="N332" s="460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 ht="15.75" customHeight="1">
      <c r="A333" s="179"/>
      <c r="B333" s="179"/>
      <c r="C333" s="460"/>
      <c r="D333" s="460"/>
      <c r="E333" s="460"/>
      <c r="F333" s="460"/>
      <c r="G333" s="460"/>
      <c r="H333" s="460"/>
      <c r="I333" s="460"/>
      <c r="J333" s="460"/>
      <c r="K333" s="460"/>
      <c r="L333" s="460"/>
      <c r="M333" s="460"/>
      <c r="N333" s="460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 ht="15.75" customHeight="1">
      <c r="A334" s="179"/>
      <c r="B334" s="179"/>
      <c r="C334" s="460"/>
      <c r="D334" s="460"/>
      <c r="E334" s="460"/>
      <c r="F334" s="460"/>
      <c r="G334" s="460"/>
      <c r="H334" s="460"/>
      <c r="I334" s="460"/>
      <c r="J334" s="460"/>
      <c r="K334" s="460"/>
      <c r="L334" s="460"/>
      <c r="M334" s="460"/>
      <c r="N334" s="460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 ht="15.75" customHeight="1">
      <c r="A335" s="179"/>
      <c r="B335" s="179"/>
      <c r="C335" s="460"/>
      <c r="D335" s="460"/>
      <c r="E335" s="460"/>
      <c r="F335" s="460"/>
      <c r="G335" s="460"/>
      <c r="H335" s="460"/>
      <c r="I335" s="460"/>
      <c r="J335" s="460"/>
      <c r="K335" s="460"/>
      <c r="L335" s="460"/>
      <c r="M335" s="460"/>
      <c r="N335" s="460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 ht="15.75" customHeight="1">
      <c r="A336" s="179"/>
      <c r="B336" s="179"/>
      <c r="C336" s="460"/>
      <c r="D336" s="460"/>
      <c r="E336" s="460"/>
      <c r="F336" s="460"/>
      <c r="G336" s="460"/>
      <c r="H336" s="460"/>
      <c r="I336" s="460"/>
      <c r="J336" s="460"/>
      <c r="K336" s="460"/>
      <c r="L336" s="460"/>
      <c r="M336" s="460"/>
      <c r="N336" s="460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 ht="15.75" customHeight="1">
      <c r="A337" s="179"/>
      <c r="B337" s="179"/>
      <c r="C337" s="460"/>
      <c r="D337" s="460"/>
      <c r="E337" s="460"/>
      <c r="F337" s="460"/>
      <c r="G337" s="460"/>
      <c r="H337" s="460"/>
      <c r="I337" s="460"/>
      <c r="J337" s="460"/>
      <c r="K337" s="460"/>
      <c r="L337" s="460"/>
      <c r="M337" s="460"/>
      <c r="N337" s="460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 ht="15.75" customHeight="1">
      <c r="A338" s="179"/>
      <c r="B338" s="179"/>
      <c r="C338" s="460"/>
      <c r="D338" s="460"/>
      <c r="E338" s="460"/>
      <c r="F338" s="460"/>
      <c r="G338" s="460"/>
      <c r="H338" s="460"/>
      <c r="I338" s="460"/>
      <c r="J338" s="460"/>
      <c r="K338" s="460"/>
      <c r="L338" s="460"/>
      <c r="M338" s="460"/>
      <c r="N338" s="460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 ht="15.75" customHeight="1">
      <c r="A339" s="179"/>
      <c r="B339" s="179"/>
      <c r="C339" s="460"/>
      <c r="D339" s="460"/>
      <c r="E339" s="460"/>
      <c r="F339" s="460"/>
      <c r="G339" s="460"/>
      <c r="H339" s="460"/>
      <c r="I339" s="460"/>
      <c r="J339" s="460"/>
      <c r="K339" s="460"/>
      <c r="L339" s="460"/>
      <c r="M339" s="460"/>
      <c r="N339" s="460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 ht="15.75" customHeight="1">
      <c r="A340" s="179"/>
      <c r="B340" s="179"/>
      <c r="C340" s="460"/>
      <c r="D340" s="460"/>
      <c r="E340" s="460"/>
      <c r="F340" s="460"/>
      <c r="G340" s="460"/>
      <c r="H340" s="460"/>
      <c r="I340" s="460"/>
      <c r="J340" s="460"/>
      <c r="K340" s="460"/>
      <c r="L340" s="460"/>
      <c r="M340" s="460"/>
      <c r="N340" s="460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 ht="15.75" customHeight="1">
      <c r="A341" s="179"/>
      <c r="B341" s="179"/>
      <c r="C341" s="460"/>
      <c r="D341" s="460"/>
      <c r="E341" s="460"/>
      <c r="F341" s="460"/>
      <c r="G341" s="460"/>
      <c r="H341" s="460"/>
      <c r="I341" s="460"/>
      <c r="J341" s="460"/>
      <c r="K341" s="460"/>
      <c r="L341" s="460"/>
      <c r="M341" s="460"/>
      <c r="N341" s="460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 ht="15.75" customHeight="1">
      <c r="A342" s="179"/>
      <c r="B342" s="179"/>
      <c r="C342" s="460"/>
      <c r="D342" s="460"/>
      <c r="E342" s="460"/>
      <c r="F342" s="460"/>
      <c r="G342" s="460"/>
      <c r="H342" s="460"/>
      <c r="I342" s="460"/>
      <c r="J342" s="460"/>
      <c r="K342" s="460"/>
      <c r="L342" s="460"/>
      <c r="M342" s="460"/>
      <c r="N342" s="460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 ht="15.75" customHeight="1">
      <c r="A343" s="179"/>
      <c r="B343" s="179"/>
      <c r="C343" s="460"/>
      <c r="D343" s="460"/>
      <c r="E343" s="460"/>
      <c r="F343" s="460"/>
      <c r="G343" s="460"/>
      <c r="H343" s="460"/>
      <c r="I343" s="460"/>
      <c r="J343" s="460"/>
      <c r="K343" s="460"/>
      <c r="L343" s="460"/>
      <c r="M343" s="460"/>
      <c r="N343" s="460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 ht="15.75" customHeight="1">
      <c r="A344" s="179"/>
      <c r="B344" s="179"/>
      <c r="C344" s="460"/>
      <c r="D344" s="460"/>
      <c r="E344" s="460"/>
      <c r="F344" s="460"/>
      <c r="G344" s="460"/>
      <c r="H344" s="460"/>
      <c r="I344" s="460"/>
      <c r="J344" s="460"/>
      <c r="K344" s="460"/>
      <c r="L344" s="460"/>
      <c r="M344" s="460"/>
      <c r="N344" s="460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 ht="15.75" customHeight="1">
      <c r="A345" s="179"/>
      <c r="B345" s="179"/>
      <c r="C345" s="460"/>
      <c r="D345" s="460"/>
      <c r="E345" s="460"/>
      <c r="F345" s="460"/>
      <c r="G345" s="460"/>
      <c r="H345" s="460"/>
      <c r="I345" s="460"/>
      <c r="J345" s="460"/>
      <c r="K345" s="460"/>
      <c r="L345" s="460"/>
      <c r="M345" s="460"/>
      <c r="N345" s="460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 ht="15.75" customHeight="1">
      <c r="A346" s="179"/>
      <c r="B346" s="179"/>
      <c r="C346" s="460"/>
      <c r="D346" s="460"/>
      <c r="E346" s="460"/>
      <c r="F346" s="460"/>
      <c r="G346" s="460"/>
      <c r="H346" s="460"/>
      <c r="I346" s="460"/>
      <c r="J346" s="460"/>
      <c r="K346" s="460"/>
      <c r="L346" s="460"/>
      <c r="M346" s="460"/>
      <c r="N346" s="460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 ht="15.75" customHeight="1">
      <c r="A347" s="179"/>
      <c r="B347" s="179"/>
      <c r="C347" s="460"/>
      <c r="D347" s="460"/>
      <c r="E347" s="460"/>
      <c r="F347" s="460"/>
      <c r="G347" s="460"/>
      <c r="H347" s="460"/>
      <c r="I347" s="460"/>
      <c r="J347" s="460"/>
      <c r="K347" s="460"/>
      <c r="L347" s="460"/>
      <c r="M347" s="460"/>
      <c r="N347" s="460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 ht="15.75" customHeight="1">
      <c r="A348" s="179"/>
      <c r="B348" s="179"/>
      <c r="C348" s="460"/>
      <c r="D348" s="460"/>
      <c r="E348" s="460"/>
      <c r="F348" s="460"/>
      <c r="G348" s="460"/>
      <c r="H348" s="460"/>
      <c r="I348" s="460"/>
      <c r="J348" s="460"/>
      <c r="K348" s="460"/>
      <c r="L348" s="460"/>
      <c r="M348" s="460"/>
      <c r="N348" s="460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 ht="15.75" customHeight="1">
      <c r="A349" s="179"/>
      <c r="B349" s="179"/>
      <c r="C349" s="460"/>
      <c r="D349" s="460"/>
      <c r="E349" s="460"/>
      <c r="F349" s="460"/>
      <c r="G349" s="460"/>
      <c r="H349" s="460"/>
      <c r="I349" s="460"/>
      <c r="J349" s="460"/>
      <c r="K349" s="460"/>
      <c r="L349" s="460"/>
      <c r="M349" s="460"/>
      <c r="N349" s="460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 ht="15.75" customHeight="1">
      <c r="A350" s="179"/>
      <c r="B350" s="179"/>
      <c r="C350" s="460"/>
      <c r="D350" s="460"/>
      <c r="E350" s="460"/>
      <c r="F350" s="460"/>
      <c r="G350" s="460"/>
      <c r="H350" s="460"/>
      <c r="I350" s="460"/>
      <c r="J350" s="460"/>
      <c r="K350" s="460"/>
      <c r="L350" s="460"/>
      <c r="M350" s="460"/>
      <c r="N350" s="460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 ht="15.75" customHeight="1">
      <c r="A351" s="179"/>
      <c r="B351" s="179"/>
      <c r="C351" s="460"/>
      <c r="D351" s="460"/>
      <c r="E351" s="460"/>
      <c r="F351" s="460"/>
      <c r="G351" s="460"/>
      <c r="H351" s="460"/>
      <c r="I351" s="460"/>
      <c r="J351" s="460"/>
      <c r="K351" s="460"/>
      <c r="L351" s="460"/>
      <c r="M351" s="460"/>
      <c r="N351" s="460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 ht="15.75" customHeight="1">
      <c r="A352" s="179"/>
      <c r="B352" s="179"/>
      <c r="C352" s="460"/>
      <c r="D352" s="460"/>
      <c r="E352" s="460"/>
      <c r="F352" s="460"/>
      <c r="G352" s="460"/>
      <c r="H352" s="460"/>
      <c r="I352" s="460"/>
      <c r="J352" s="460"/>
      <c r="K352" s="460"/>
      <c r="L352" s="460"/>
      <c r="M352" s="460"/>
      <c r="N352" s="460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 ht="15.75" customHeight="1">
      <c r="A353" s="179"/>
      <c r="B353" s="179"/>
      <c r="C353" s="460"/>
      <c r="D353" s="460"/>
      <c r="E353" s="460"/>
      <c r="F353" s="460"/>
      <c r="G353" s="460"/>
      <c r="H353" s="460"/>
      <c r="I353" s="460"/>
      <c r="J353" s="460"/>
      <c r="K353" s="460"/>
      <c r="L353" s="460"/>
      <c r="M353" s="460"/>
      <c r="N353" s="460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 ht="15.75" customHeight="1">
      <c r="A354" s="179"/>
      <c r="B354" s="179"/>
      <c r="C354" s="460"/>
      <c r="D354" s="460"/>
      <c r="E354" s="460"/>
      <c r="F354" s="460"/>
      <c r="G354" s="460"/>
      <c r="H354" s="460"/>
      <c r="I354" s="460"/>
      <c r="J354" s="460"/>
      <c r="K354" s="460"/>
      <c r="L354" s="460"/>
      <c r="M354" s="460"/>
      <c r="N354" s="460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 ht="15.75" customHeight="1">
      <c r="A355" s="179"/>
      <c r="B355" s="179"/>
      <c r="C355" s="460"/>
      <c r="D355" s="460"/>
      <c r="E355" s="460"/>
      <c r="F355" s="460"/>
      <c r="G355" s="460"/>
      <c r="H355" s="460"/>
      <c r="I355" s="460"/>
      <c r="J355" s="460"/>
      <c r="K355" s="460"/>
      <c r="L355" s="460"/>
      <c r="M355" s="460"/>
      <c r="N355" s="460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 ht="15.75" customHeight="1">
      <c r="A356" s="179"/>
      <c r="B356" s="179"/>
      <c r="C356" s="460"/>
      <c r="D356" s="460"/>
      <c r="E356" s="460"/>
      <c r="F356" s="460"/>
      <c r="G356" s="460"/>
      <c r="H356" s="460"/>
      <c r="I356" s="460"/>
      <c r="J356" s="460"/>
      <c r="K356" s="460"/>
      <c r="L356" s="460"/>
      <c r="M356" s="460"/>
      <c r="N356" s="460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 ht="15.75" customHeight="1">
      <c r="A357" s="179"/>
      <c r="B357" s="179"/>
      <c r="C357" s="460"/>
      <c r="D357" s="460"/>
      <c r="E357" s="460"/>
      <c r="F357" s="460"/>
      <c r="G357" s="460"/>
      <c r="H357" s="460"/>
      <c r="I357" s="460"/>
      <c r="J357" s="460"/>
      <c r="K357" s="460"/>
      <c r="L357" s="460"/>
      <c r="M357" s="460"/>
      <c r="N357" s="460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 ht="15.75" customHeight="1">
      <c r="A358" s="179"/>
      <c r="B358" s="179"/>
      <c r="C358" s="460"/>
      <c r="D358" s="460"/>
      <c r="E358" s="460"/>
      <c r="F358" s="460"/>
      <c r="G358" s="460"/>
      <c r="H358" s="460"/>
      <c r="I358" s="460"/>
      <c r="J358" s="460"/>
      <c r="K358" s="460"/>
      <c r="L358" s="460"/>
      <c r="M358" s="460"/>
      <c r="N358" s="460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 ht="15.75" customHeight="1">
      <c r="A359" s="179"/>
      <c r="B359" s="179"/>
      <c r="C359" s="460"/>
      <c r="D359" s="460"/>
      <c r="E359" s="460"/>
      <c r="F359" s="460"/>
      <c r="G359" s="460"/>
      <c r="H359" s="460"/>
      <c r="I359" s="460"/>
      <c r="J359" s="460"/>
      <c r="K359" s="460"/>
      <c r="L359" s="460"/>
      <c r="M359" s="460"/>
      <c r="N359" s="460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 ht="15.75" customHeight="1">
      <c r="A360" s="179"/>
      <c r="B360" s="179"/>
      <c r="C360" s="460"/>
      <c r="D360" s="460"/>
      <c r="E360" s="460"/>
      <c r="F360" s="460"/>
      <c r="G360" s="460"/>
      <c r="H360" s="460"/>
      <c r="I360" s="460"/>
      <c r="J360" s="460"/>
      <c r="K360" s="460"/>
      <c r="L360" s="460"/>
      <c r="M360" s="460"/>
      <c r="N360" s="460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 ht="15.75" customHeight="1">
      <c r="A361" s="179"/>
      <c r="B361" s="179"/>
      <c r="C361" s="460"/>
      <c r="D361" s="460"/>
      <c r="E361" s="460"/>
      <c r="F361" s="460"/>
      <c r="G361" s="460"/>
      <c r="H361" s="460"/>
      <c r="I361" s="460"/>
      <c r="J361" s="460"/>
      <c r="K361" s="460"/>
      <c r="L361" s="460"/>
      <c r="M361" s="460"/>
      <c r="N361" s="460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 ht="15.75" customHeight="1">
      <c r="A362" s="179"/>
      <c r="B362" s="179"/>
      <c r="C362" s="460"/>
      <c r="D362" s="460"/>
      <c r="E362" s="460"/>
      <c r="F362" s="460"/>
      <c r="G362" s="460"/>
      <c r="H362" s="460"/>
      <c r="I362" s="460"/>
      <c r="J362" s="460"/>
      <c r="K362" s="460"/>
      <c r="L362" s="460"/>
      <c r="M362" s="460"/>
      <c r="N362" s="460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 ht="15.75" customHeight="1">
      <c r="A363" s="179"/>
      <c r="B363" s="179"/>
      <c r="C363" s="460"/>
      <c r="D363" s="460"/>
      <c r="E363" s="460"/>
      <c r="F363" s="460"/>
      <c r="G363" s="460"/>
      <c r="H363" s="460"/>
      <c r="I363" s="460"/>
      <c r="J363" s="460"/>
      <c r="K363" s="460"/>
      <c r="L363" s="460"/>
      <c r="M363" s="460"/>
      <c r="N363" s="460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 ht="15.75" customHeight="1">
      <c r="A364" s="179"/>
      <c r="B364" s="179"/>
      <c r="C364" s="460"/>
      <c r="D364" s="460"/>
      <c r="E364" s="460"/>
      <c r="F364" s="460"/>
      <c r="G364" s="460"/>
      <c r="H364" s="460"/>
      <c r="I364" s="460"/>
      <c r="J364" s="460"/>
      <c r="K364" s="460"/>
      <c r="L364" s="460"/>
      <c r="M364" s="460"/>
      <c r="N364" s="460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 ht="15.75" customHeight="1">
      <c r="A365" s="179"/>
      <c r="B365" s="179"/>
      <c r="C365" s="460"/>
      <c r="D365" s="460"/>
      <c r="E365" s="460"/>
      <c r="F365" s="460"/>
      <c r="G365" s="460"/>
      <c r="H365" s="460"/>
      <c r="I365" s="460"/>
      <c r="J365" s="460"/>
      <c r="K365" s="460"/>
      <c r="L365" s="460"/>
      <c r="M365" s="460"/>
      <c r="N365" s="460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 ht="15.75" customHeight="1">
      <c r="A366" s="179"/>
      <c r="B366" s="179"/>
      <c r="C366" s="460"/>
      <c r="D366" s="460"/>
      <c r="E366" s="460"/>
      <c r="F366" s="460"/>
      <c r="G366" s="460"/>
      <c r="H366" s="460"/>
      <c r="I366" s="460"/>
      <c r="J366" s="460"/>
      <c r="K366" s="460"/>
      <c r="L366" s="460"/>
      <c r="M366" s="460"/>
      <c r="N366" s="460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 ht="15.75" customHeight="1">
      <c r="A367" s="179"/>
      <c r="B367" s="179"/>
      <c r="C367" s="460"/>
      <c r="D367" s="460"/>
      <c r="E367" s="460"/>
      <c r="F367" s="460"/>
      <c r="G367" s="460"/>
      <c r="H367" s="460"/>
      <c r="I367" s="460"/>
      <c r="J367" s="460"/>
      <c r="K367" s="460"/>
      <c r="L367" s="460"/>
      <c r="M367" s="460"/>
      <c r="N367" s="460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 ht="15.75" customHeight="1">
      <c r="A368" s="179"/>
      <c r="B368" s="179"/>
      <c r="C368" s="460"/>
      <c r="D368" s="460"/>
      <c r="E368" s="460"/>
      <c r="F368" s="460"/>
      <c r="G368" s="460"/>
      <c r="H368" s="460"/>
      <c r="I368" s="460"/>
      <c r="J368" s="460"/>
      <c r="K368" s="460"/>
      <c r="L368" s="460"/>
      <c r="M368" s="460"/>
      <c r="N368" s="460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 ht="15.75" customHeight="1">
      <c r="A369" s="179"/>
      <c r="B369" s="179"/>
      <c r="C369" s="460"/>
      <c r="D369" s="460"/>
      <c r="E369" s="460"/>
      <c r="F369" s="460"/>
      <c r="G369" s="460"/>
      <c r="H369" s="460"/>
      <c r="I369" s="460"/>
      <c r="J369" s="460"/>
      <c r="K369" s="460"/>
      <c r="L369" s="460"/>
      <c r="M369" s="460"/>
      <c r="N369" s="460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 ht="15.75" customHeight="1">
      <c r="A370" s="179"/>
      <c r="B370" s="179"/>
      <c r="C370" s="460"/>
      <c r="D370" s="460"/>
      <c r="E370" s="460"/>
      <c r="F370" s="460"/>
      <c r="G370" s="460"/>
      <c r="H370" s="460"/>
      <c r="I370" s="460"/>
      <c r="J370" s="460"/>
      <c r="K370" s="460"/>
      <c r="L370" s="460"/>
      <c r="M370" s="460"/>
      <c r="N370" s="460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 ht="15.75" customHeight="1">
      <c r="A371" s="179"/>
      <c r="B371" s="179"/>
      <c r="C371" s="460"/>
      <c r="D371" s="460"/>
      <c r="E371" s="460"/>
      <c r="F371" s="460"/>
      <c r="G371" s="460"/>
      <c r="H371" s="460"/>
      <c r="I371" s="460"/>
      <c r="J371" s="460"/>
      <c r="K371" s="460"/>
      <c r="L371" s="460"/>
      <c r="M371" s="460"/>
      <c r="N371" s="460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 ht="15.75" customHeight="1">
      <c r="A372" s="179"/>
      <c r="B372" s="179"/>
      <c r="C372" s="460"/>
      <c r="D372" s="460"/>
      <c r="E372" s="460"/>
      <c r="F372" s="460"/>
      <c r="G372" s="460"/>
      <c r="H372" s="460"/>
      <c r="I372" s="460"/>
      <c r="J372" s="460"/>
      <c r="K372" s="460"/>
      <c r="L372" s="460"/>
      <c r="M372" s="460"/>
      <c r="N372" s="460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 ht="15.75" customHeight="1">
      <c r="A373" s="179"/>
      <c r="B373" s="179"/>
      <c r="C373" s="460"/>
      <c r="D373" s="460"/>
      <c r="E373" s="460"/>
      <c r="F373" s="460"/>
      <c r="G373" s="460"/>
      <c r="H373" s="460"/>
      <c r="I373" s="460"/>
      <c r="J373" s="460"/>
      <c r="K373" s="460"/>
      <c r="L373" s="460"/>
      <c r="M373" s="460"/>
      <c r="N373" s="460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 ht="15.75" customHeight="1">
      <c r="A374" s="179"/>
      <c r="B374" s="179"/>
      <c r="C374" s="460"/>
      <c r="D374" s="460"/>
      <c r="E374" s="460"/>
      <c r="F374" s="460"/>
      <c r="G374" s="460"/>
      <c r="H374" s="460"/>
      <c r="I374" s="460"/>
      <c r="J374" s="460"/>
      <c r="K374" s="460"/>
      <c r="L374" s="460"/>
      <c r="M374" s="460"/>
      <c r="N374" s="460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 ht="15.75" customHeight="1">
      <c r="A375" s="179"/>
      <c r="B375" s="179"/>
      <c r="C375" s="460"/>
      <c r="D375" s="460"/>
      <c r="E375" s="460"/>
      <c r="F375" s="460"/>
      <c r="G375" s="460"/>
      <c r="H375" s="460"/>
      <c r="I375" s="460"/>
      <c r="J375" s="460"/>
      <c r="K375" s="460"/>
      <c r="L375" s="460"/>
      <c r="M375" s="460"/>
      <c r="N375" s="460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 ht="15.75" customHeight="1">
      <c r="A376" s="179"/>
      <c r="B376" s="179"/>
      <c r="C376" s="460"/>
      <c r="D376" s="460"/>
      <c r="E376" s="460"/>
      <c r="F376" s="460"/>
      <c r="G376" s="460"/>
      <c r="H376" s="460"/>
      <c r="I376" s="460"/>
      <c r="J376" s="460"/>
      <c r="K376" s="460"/>
      <c r="L376" s="460"/>
      <c r="M376" s="460"/>
      <c r="N376" s="460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 ht="15.75" customHeight="1">
      <c r="A377" s="179"/>
      <c r="B377" s="179"/>
      <c r="C377" s="460"/>
      <c r="D377" s="460"/>
      <c r="E377" s="460"/>
      <c r="F377" s="460"/>
      <c r="G377" s="460"/>
      <c r="H377" s="460"/>
      <c r="I377" s="460"/>
      <c r="J377" s="460"/>
      <c r="K377" s="460"/>
      <c r="L377" s="460"/>
      <c r="M377" s="460"/>
      <c r="N377" s="460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 ht="15.75" customHeight="1">
      <c r="A378" s="179"/>
      <c r="B378" s="179"/>
      <c r="C378" s="460"/>
      <c r="D378" s="460"/>
      <c r="E378" s="460"/>
      <c r="F378" s="460"/>
      <c r="G378" s="460"/>
      <c r="H378" s="460"/>
      <c r="I378" s="460"/>
      <c r="J378" s="460"/>
      <c r="K378" s="460"/>
      <c r="L378" s="460"/>
      <c r="M378" s="460"/>
      <c r="N378" s="460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 ht="15.75" customHeight="1">
      <c r="A379" s="179"/>
      <c r="B379" s="179"/>
      <c r="C379" s="460"/>
      <c r="D379" s="460"/>
      <c r="E379" s="460"/>
      <c r="F379" s="460"/>
      <c r="G379" s="460"/>
      <c r="H379" s="460"/>
      <c r="I379" s="460"/>
      <c r="J379" s="460"/>
      <c r="K379" s="460"/>
      <c r="L379" s="460"/>
      <c r="M379" s="460"/>
      <c r="N379" s="460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 ht="15.75" customHeight="1">
      <c r="A380" s="179"/>
      <c r="B380" s="179"/>
      <c r="C380" s="460"/>
      <c r="D380" s="460"/>
      <c r="E380" s="460"/>
      <c r="F380" s="460"/>
      <c r="G380" s="460"/>
      <c r="H380" s="460"/>
      <c r="I380" s="460"/>
      <c r="J380" s="460"/>
      <c r="K380" s="460"/>
      <c r="L380" s="460"/>
      <c r="M380" s="460"/>
      <c r="N380" s="460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 ht="15.75" customHeight="1">
      <c r="A381" s="179"/>
      <c r="B381" s="179"/>
      <c r="C381" s="460"/>
      <c r="D381" s="460"/>
      <c r="E381" s="460"/>
      <c r="F381" s="460"/>
      <c r="G381" s="460"/>
      <c r="H381" s="460"/>
      <c r="I381" s="460"/>
      <c r="J381" s="460"/>
      <c r="K381" s="460"/>
      <c r="L381" s="460"/>
      <c r="M381" s="460"/>
      <c r="N381" s="460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 ht="15.75" customHeight="1">
      <c r="A382" s="179"/>
      <c r="B382" s="179"/>
      <c r="C382" s="460"/>
      <c r="D382" s="460"/>
      <c r="E382" s="460"/>
      <c r="F382" s="460"/>
      <c r="G382" s="460"/>
      <c r="H382" s="460"/>
      <c r="I382" s="460"/>
      <c r="J382" s="460"/>
      <c r="K382" s="460"/>
      <c r="L382" s="460"/>
      <c r="M382" s="460"/>
      <c r="N382" s="460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 ht="15.75" customHeight="1">
      <c r="A383" s="179"/>
      <c r="B383" s="179"/>
      <c r="C383" s="460"/>
      <c r="D383" s="460"/>
      <c r="E383" s="460"/>
      <c r="F383" s="460"/>
      <c r="G383" s="460"/>
      <c r="H383" s="460"/>
      <c r="I383" s="460"/>
      <c r="J383" s="460"/>
      <c r="K383" s="460"/>
      <c r="L383" s="460"/>
      <c r="M383" s="460"/>
      <c r="N383" s="460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 ht="15.75" customHeight="1">
      <c r="A384" s="179"/>
      <c r="B384" s="179"/>
      <c r="C384" s="460"/>
      <c r="D384" s="460"/>
      <c r="E384" s="460"/>
      <c r="F384" s="460"/>
      <c r="G384" s="460"/>
      <c r="H384" s="460"/>
      <c r="I384" s="460"/>
      <c r="J384" s="460"/>
      <c r="K384" s="460"/>
      <c r="L384" s="460"/>
      <c r="M384" s="460"/>
      <c r="N384" s="460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 ht="15.75" customHeight="1">
      <c r="A385" s="179"/>
      <c r="B385" s="179"/>
      <c r="C385" s="460"/>
      <c r="D385" s="460"/>
      <c r="E385" s="460"/>
      <c r="F385" s="460"/>
      <c r="G385" s="460"/>
      <c r="H385" s="460"/>
      <c r="I385" s="460"/>
      <c r="J385" s="460"/>
      <c r="K385" s="460"/>
      <c r="L385" s="460"/>
      <c r="M385" s="460"/>
      <c r="N385" s="460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 ht="15.75" customHeight="1">
      <c r="A386" s="179"/>
      <c r="B386" s="179"/>
      <c r="C386" s="460"/>
      <c r="D386" s="460"/>
      <c r="E386" s="460"/>
      <c r="F386" s="460"/>
      <c r="G386" s="460"/>
      <c r="H386" s="460"/>
      <c r="I386" s="460"/>
      <c r="J386" s="460"/>
      <c r="K386" s="460"/>
      <c r="L386" s="460"/>
      <c r="M386" s="460"/>
      <c r="N386" s="460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 ht="15.75" customHeight="1">
      <c r="A387" s="179"/>
      <c r="B387" s="179"/>
      <c r="C387" s="460"/>
      <c r="D387" s="460"/>
      <c r="E387" s="460"/>
      <c r="F387" s="460"/>
      <c r="G387" s="460"/>
      <c r="H387" s="460"/>
      <c r="I387" s="460"/>
      <c r="J387" s="460"/>
      <c r="K387" s="460"/>
      <c r="L387" s="460"/>
      <c r="M387" s="460"/>
      <c r="N387" s="460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 ht="15.75" customHeight="1">
      <c r="A388" s="179"/>
      <c r="B388" s="179"/>
      <c r="C388" s="460"/>
      <c r="D388" s="460"/>
      <c r="E388" s="460"/>
      <c r="F388" s="460"/>
      <c r="G388" s="460"/>
      <c r="H388" s="460"/>
      <c r="I388" s="460"/>
      <c r="J388" s="460"/>
      <c r="K388" s="460"/>
      <c r="L388" s="460"/>
      <c r="M388" s="460"/>
      <c r="N388" s="460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 ht="15.75" customHeight="1">
      <c r="A389" s="179"/>
      <c r="B389" s="179"/>
      <c r="C389" s="460"/>
      <c r="D389" s="460"/>
      <c r="E389" s="460"/>
      <c r="F389" s="460"/>
      <c r="G389" s="460"/>
      <c r="H389" s="460"/>
      <c r="I389" s="460"/>
      <c r="J389" s="460"/>
      <c r="K389" s="460"/>
      <c r="L389" s="460"/>
      <c r="M389" s="460"/>
      <c r="N389" s="460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 ht="15.75" customHeight="1">
      <c r="A390" s="179"/>
      <c r="B390" s="179"/>
      <c r="C390" s="460"/>
      <c r="D390" s="460"/>
      <c r="E390" s="460"/>
      <c r="F390" s="460"/>
      <c r="G390" s="460"/>
      <c r="H390" s="460"/>
      <c r="I390" s="460"/>
      <c r="J390" s="460"/>
      <c r="K390" s="460"/>
      <c r="L390" s="460"/>
      <c r="M390" s="460"/>
      <c r="N390" s="460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 ht="15.75" customHeight="1">
      <c r="A391" s="179"/>
      <c r="B391" s="179"/>
      <c r="C391" s="460"/>
      <c r="D391" s="460"/>
      <c r="E391" s="460"/>
      <c r="F391" s="460"/>
      <c r="G391" s="460"/>
      <c r="H391" s="460"/>
      <c r="I391" s="460"/>
      <c r="J391" s="460"/>
      <c r="K391" s="460"/>
      <c r="L391" s="460"/>
      <c r="M391" s="460"/>
      <c r="N391" s="460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 ht="15.75" customHeight="1">
      <c r="A392" s="179"/>
      <c r="B392" s="179"/>
      <c r="C392" s="460"/>
      <c r="D392" s="460"/>
      <c r="E392" s="460"/>
      <c r="F392" s="460"/>
      <c r="G392" s="460"/>
      <c r="H392" s="460"/>
      <c r="I392" s="460"/>
      <c r="J392" s="460"/>
      <c r="K392" s="460"/>
      <c r="L392" s="460"/>
      <c r="M392" s="460"/>
      <c r="N392" s="460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 ht="15.75" customHeight="1">
      <c r="A393" s="179"/>
      <c r="B393" s="179"/>
      <c r="C393" s="460"/>
      <c r="D393" s="460"/>
      <c r="E393" s="460"/>
      <c r="F393" s="460"/>
      <c r="G393" s="460"/>
      <c r="H393" s="460"/>
      <c r="I393" s="460"/>
      <c r="J393" s="460"/>
      <c r="K393" s="460"/>
      <c r="L393" s="460"/>
      <c r="M393" s="460"/>
      <c r="N393" s="460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 ht="15.75" customHeight="1">
      <c r="A394" s="179"/>
      <c r="B394" s="179"/>
      <c r="C394" s="460"/>
      <c r="D394" s="460"/>
      <c r="E394" s="460"/>
      <c r="F394" s="460"/>
      <c r="G394" s="460"/>
      <c r="H394" s="460"/>
      <c r="I394" s="460"/>
      <c r="J394" s="460"/>
      <c r="K394" s="460"/>
      <c r="L394" s="460"/>
      <c r="M394" s="460"/>
      <c r="N394" s="460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 ht="15.75" customHeight="1">
      <c r="A395" s="179"/>
      <c r="B395" s="179"/>
      <c r="C395" s="460"/>
      <c r="D395" s="460"/>
      <c r="E395" s="460"/>
      <c r="F395" s="460"/>
      <c r="G395" s="460"/>
      <c r="H395" s="460"/>
      <c r="I395" s="460"/>
      <c r="J395" s="460"/>
      <c r="K395" s="460"/>
      <c r="L395" s="460"/>
      <c r="M395" s="460"/>
      <c r="N395" s="460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 ht="15.75" customHeight="1">
      <c r="A396" s="179"/>
      <c r="B396" s="179"/>
      <c r="C396" s="460"/>
      <c r="D396" s="460"/>
      <c r="E396" s="460"/>
      <c r="F396" s="460"/>
      <c r="G396" s="460"/>
      <c r="H396" s="460"/>
      <c r="I396" s="460"/>
      <c r="J396" s="460"/>
      <c r="K396" s="460"/>
      <c r="L396" s="460"/>
      <c r="M396" s="460"/>
      <c r="N396" s="460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 ht="15.75" customHeight="1">
      <c r="A397" s="179"/>
      <c r="B397" s="179"/>
      <c r="C397" s="460"/>
      <c r="D397" s="460"/>
      <c r="E397" s="460"/>
      <c r="F397" s="460"/>
      <c r="G397" s="460"/>
      <c r="H397" s="460"/>
      <c r="I397" s="460"/>
      <c r="J397" s="460"/>
      <c r="K397" s="460"/>
      <c r="L397" s="460"/>
      <c r="M397" s="460"/>
      <c r="N397" s="460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 ht="15.75" customHeight="1">
      <c r="A398" s="179"/>
      <c r="B398" s="179"/>
      <c r="C398" s="460"/>
      <c r="D398" s="460"/>
      <c r="E398" s="460"/>
      <c r="F398" s="460"/>
      <c r="G398" s="460"/>
      <c r="H398" s="460"/>
      <c r="I398" s="460"/>
      <c r="J398" s="460"/>
      <c r="K398" s="460"/>
      <c r="L398" s="460"/>
      <c r="M398" s="460"/>
      <c r="N398" s="460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 ht="15.75" customHeight="1">
      <c r="A399" s="179"/>
      <c r="B399" s="179"/>
      <c r="C399" s="460"/>
      <c r="D399" s="460"/>
      <c r="E399" s="460"/>
      <c r="F399" s="460"/>
      <c r="G399" s="460"/>
      <c r="H399" s="460"/>
      <c r="I399" s="460"/>
      <c r="J399" s="460"/>
      <c r="K399" s="460"/>
      <c r="L399" s="460"/>
      <c r="M399" s="460"/>
      <c r="N399" s="460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 ht="15.75" customHeight="1">
      <c r="A400" s="179"/>
      <c r="B400" s="179"/>
      <c r="C400" s="460"/>
      <c r="D400" s="460"/>
      <c r="E400" s="460"/>
      <c r="F400" s="460"/>
      <c r="G400" s="460"/>
      <c r="H400" s="460"/>
      <c r="I400" s="460"/>
      <c r="J400" s="460"/>
      <c r="K400" s="460"/>
      <c r="L400" s="460"/>
      <c r="M400" s="460"/>
      <c r="N400" s="460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ht="15.75" customHeight="1">
      <c r="A401" s="179"/>
      <c r="B401" s="179"/>
      <c r="C401" s="460"/>
      <c r="D401" s="460"/>
      <c r="E401" s="460"/>
      <c r="F401" s="460"/>
      <c r="G401" s="460"/>
      <c r="H401" s="460"/>
      <c r="I401" s="460"/>
      <c r="J401" s="460"/>
      <c r="K401" s="460"/>
      <c r="L401" s="460"/>
      <c r="M401" s="460"/>
      <c r="N401" s="460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 ht="15.75" customHeight="1">
      <c r="A402" s="179"/>
      <c r="B402" s="179"/>
      <c r="C402" s="460"/>
      <c r="D402" s="460"/>
      <c r="E402" s="460"/>
      <c r="F402" s="460"/>
      <c r="G402" s="460"/>
      <c r="H402" s="460"/>
      <c r="I402" s="460"/>
      <c r="J402" s="460"/>
      <c r="K402" s="460"/>
      <c r="L402" s="460"/>
      <c r="M402" s="460"/>
      <c r="N402" s="460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ht="15.75" customHeight="1">
      <c r="A403" s="179"/>
      <c r="B403" s="179"/>
      <c r="C403" s="460"/>
      <c r="D403" s="460"/>
      <c r="E403" s="460"/>
      <c r="F403" s="460"/>
      <c r="G403" s="460"/>
      <c r="H403" s="460"/>
      <c r="I403" s="460"/>
      <c r="J403" s="460"/>
      <c r="K403" s="460"/>
      <c r="L403" s="460"/>
      <c r="M403" s="460"/>
      <c r="N403" s="460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 ht="15.75" customHeight="1">
      <c r="A404" s="179"/>
      <c r="B404" s="179"/>
      <c r="C404" s="460"/>
      <c r="D404" s="460"/>
      <c r="E404" s="460"/>
      <c r="F404" s="460"/>
      <c r="G404" s="460"/>
      <c r="H404" s="460"/>
      <c r="I404" s="460"/>
      <c r="J404" s="460"/>
      <c r="K404" s="460"/>
      <c r="L404" s="460"/>
      <c r="M404" s="460"/>
      <c r="N404" s="460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ht="15.75" customHeight="1">
      <c r="A405" s="179"/>
      <c r="B405" s="179"/>
      <c r="C405" s="460"/>
      <c r="D405" s="460"/>
      <c r="E405" s="460"/>
      <c r="F405" s="460"/>
      <c r="G405" s="460"/>
      <c r="H405" s="460"/>
      <c r="I405" s="460"/>
      <c r="J405" s="460"/>
      <c r="K405" s="460"/>
      <c r="L405" s="460"/>
      <c r="M405" s="460"/>
      <c r="N405" s="460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 ht="15.75" customHeight="1">
      <c r="A406" s="179"/>
      <c r="B406" s="179"/>
      <c r="C406" s="460"/>
      <c r="D406" s="460"/>
      <c r="E406" s="460"/>
      <c r="F406" s="460"/>
      <c r="G406" s="460"/>
      <c r="H406" s="460"/>
      <c r="I406" s="460"/>
      <c r="J406" s="460"/>
      <c r="K406" s="460"/>
      <c r="L406" s="460"/>
      <c r="M406" s="460"/>
      <c r="N406" s="460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ht="15.75" customHeight="1">
      <c r="A407" s="179"/>
      <c r="B407" s="179"/>
      <c r="C407" s="460"/>
      <c r="D407" s="460"/>
      <c r="E407" s="460"/>
      <c r="F407" s="460"/>
      <c r="G407" s="460"/>
      <c r="H407" s="460"/>
      <c r="I407" s="460"/>
      <c r="J407" s="460"/>
      <c r="K407" s="460"/>
      <c r="L407" s="460"/>
      <c r="M407" s="460"/>
      <c r="N407" s="460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 ht="15.75" customHeight="1">
      <c r="A408" s="179"/>
      <c r="B408" s="179"/>
      <c r="C408" s="460"/>
      <c r="D408" s="460"/>
      <c r="E408" s="460"/>
      <c r="F408" s="460"/>
      <c r="G408" s="460"/>
      <c r="H408" s="460"/>
      <c r="I408" s="460"/>
      <c r="J408" s="460"/>
      <c r="K408" s="460"/>
      <c r="L408" s="460"/>
      <c r="M408" s="460"/>
      <c r="N408" s="460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 ht="15.75" customHeight="1">
      <c r="A409" s="179"/>
      <c r="B409" s="179"/>
      <c r="C409" s="460"/>
      <c r="D409" s="460"/>
      <c r="E409" s="460"/>
      <c r="F409" s="460"/>
      <c r="G409" s="460"/>
      <c r="H409" s="460"/>
      <c r="I409" s="460"/>
      <c r="J409" s="460"/>
      <c r="K409" s="460"/>
      <c r="L409" s="460"/>
      <c r="M409" s="460"/>
      <c r="N409" s="460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 ht="15.75" customHeight="1">
      <c r="A410" s="179"/>
      <c r="B410" s="179"/>
      <c r="C410" s="460"/>
      <c r="D410" s="460"/>
      <c r="E410" s="460"/>
      <c r="F410" s="460"/>
      <c r="G410" s="460"/>
      <c r="H410" s="460"/>
      <c r="I410" s="460"/>
      <c r="J410" s="460"/>
      <c r="K410" s="460"/>
      <c r="L410" s="460"/>
      <c r="M410" s="460"/>
      <c r="N410" s="460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 ht="15.75" customHeight="1">
      <c r="A411" s="179"/>
      <c r="B411" s="179"/>
      <c r="C411" s="460"/>
      <c r="D411" s="460"/>
      <c r="E411" s="460"/>
      <c r="F411" s="460"/>
      <c r="G411" s="460"/>
      <c r="H411" s="460"/>
      <c r="I411" s="460"/>
      <c r="J411" s="460"/>
      <c r="K411" s="460"/>
      <c r="L411" s="460"/>
      <c r="M411" s="460"/>
      <c r="N411" s="460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 ht="15.75" customHeight="1">
      <c r="A412" s="179"/>
      <c r="B412" s="179"/>
      <c r="C412" s="460"/>
      <c r="D412" s="460"/>
      <c r="E412" s="460"/>
      <c r="F412" s="460"/>
      <c r="G412" s="460"/>
      <c r="H412" s="460"/>
      <c r="I412" s="460"/>
      <c r="J412" s="460"/>
      <c r="K412" s="460"/>
      <c r="L412" s="460"/>
      <c r="M412" s="460"/>
      <c r="N412" s="460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 ht="15.75" customHeight="1">
      <c r="A413" s="179"/>
      <c r="B413" s="179"/>
      <c r="C413" s="460"/>
      <c r="D413" s="460"/>
      <c r="E413" s="460"/>
      <c r="F413" s="460"/>
      <c r="G413" s="460"/>
      <c r="H413" s="460"/>
      <c r="I413" s="460"/>
      <c r="J413" s="460"/>
      <c r="K413" s="460"/>
      <c r="L413" s="460"/>
      <c r="M413" s="460"/>
      <c r="N413" s="460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 ht="15.75" customHeight="1">
      <c r="A414" s="179"/>
      <c r="B414" s="179"/>
      <c r="C414" s="460"/>
      <c r="D414" s="460"/>
      <c r="E414" s="460"/>
      <c r="F414" s="460"/>
      <c r="G414" s="460"/>
      <c r="H414" s="460"/>
      <c r="I414" s="460"/>
      <c r="J414" s="460"/>
      <c r="K414" s="460"/>
      <c r="L414" s="460"/>
      <c r="M414" s="460"/>
      <c r="N414" s="460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 ht="15.75" customHeight="1">
      <c r="A415" s="179"/>
      <c r="B415" s="179"/>
      <c r="C415" s="460"/>
      <c r="D415" s="460"/>
      <c r="E415" s="460"/>
      <c r="F415" s="460"/>
      <c r="G415" s="460"/>
      <c r="H415" s="460"/>
      <c r="I415" s="460"/>
      <c r="J415" s="460"/>
      <c r="K415" s="460"/>
      <c r="L415" s="460"/>
      <c r="M415" s="460"/>
      <c r="N415" s="460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 ht="15.75" customHeight="1">
      <c r="A416" s="179"/>
      <c r="B416" s="179"/>
      <c r="C416" s="460"/>
      <c r="D416" s="460"/>
      <c r="E416" s="460"/>
      <c r="F416" s="460"/>
      <c r="G416" s="460"/>
      <c r="H416" s="460"/>
      <c r="I416" s="460"/>
      <c r="J416" s="460"/>
      <c r="K416" s="460"/>
      <c r="L416" s="460"/>
      <c r="M416" s="460"/>
      <c r="N416" s="460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 ht="15.75" customHeight="1">
      <c r="A417" s="179"/>
      <c r="B417" s="179"/>
      <c r="C417" s="460"/>
      <c r="D417" s="460"/>
      <c r="E417" s="460"/>
      <c r="F417" s="460"/>
      <c r="G417" s="460"/>
      <c r="H417" s="460"/>
      <c r="I417" s="460"/>
      <c r="J417" s="460"/>
      <c r="K417" s="460"/>
      <c r="L417" s="460"/>
      <c r="M417" s="460"/>
      <c r="N417" s="460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ht="15.75" customHeight="1">
      <c r="A418" s="179"/>
      <c r="B418" s="179"/>
      <c r="C418" s="460"/>
      <c r="D418" s="460"/>
      <c r="E418" s="460"/>
      <c r="F418" s="460"/>
      <c r="G418" s="460"/>
      <c r="H418" s="460"/>
      <c r="I418" s="460"/>
      <c r="J418" s="460"/>
      <c r="K418" s="460"/>
      <c r="L418" s="460"/>
      <c r="M418" s="460"/>
      <c r="N418" s="460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 ht="15.75" customHeight="1">
      <c r="A419" s="179"/>
      <c r="B419" s="179"/>
      <c r="C419" s="460"/>
      <c r="D419" s="460"/>
      <c r="E419" s="460"/>
      <c r="F419" s="460"/>
      <c r="G419" s="460"/>
      <c r="H419" s="460"/>
      <c r="I419" s="460"/>
      <c r="J419" s="460"/>
      <c r="K419" s="460"/>
      <c r="L419" s="460"/>
      <c r="M419" s="460"/>
      <c r="N419" s="460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ht="15.75" customHeight="1">
      <c r="A420" s="179"/>
      <c r="B420" s="179"/>
      <c r="C420" s="460"/>
      <c r="D420" s="460"/>
      <c r="E420" s="460"/>
      <c r="F420" s="460"/>
      <c r="G420" s="460"/>
      <c r="H420" s="460"/>
      <c r="I420" s="460"/>
      <c r="J420" s="460"/>
      <c r="K420" s="460"/>
      <c r="L420" s="460"/>
      <c r="M420" s="460"/>
      <c r="N420" s="460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 ht="15.75" customHeight="1">
      <c r="A421" s="179"/>
      <c r="B421" s="179"/>
      <c r="C421" s="460"/>
      <c r="D421" s="460"/>
      <c r="E421" s="460"/>
      <c r="F421" s="460"/>
      <c r="G421" s="460"/>
      <c r="H421" s="460"/>
      <c r="I421" s="460"/>
      <c r="J421" s="460"/>
      <c r="K421" s="460"/>
      <c r="L421" s="460"/>
      <c r="M421" s="460"/>
      <c r="N421" s="460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ht="15.75" customHeight="1">
      <c r="A422" s="179"/>
      <c r="B422" s="179"/>
      <c r="C422" s="460"/>
      <c r="D422" s="460"/>
      <c r="E422" s="460"/>
      <c r="F422" s="460"/>
      <c r="G422" s="460"/>
      <c r="H422" s="460"/>
      <c r="I422" s="460"/>
      <c r="J422" s="460"/>
      <c r="K422" s="460"/>
      <c r="L422" s="460"/>
      <c r="M422" s="460"/>
      <c r="N422" s="460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 ht="15.75" customHeight="1">
      <c r="A423" s="179"/>
      <c r="B423" s="179"/>
      <c r="C423" s="460"/>
      <c r="D423" s="460"/>
      <c r="E423" s="460"/>
      <c r="F423" s="460"/>
      <c r="G423" s="460"/>
      <c r="H423" s="460"/>
      <c r="I423" s="460"/>
      <c r="J423" s="460"/>
      <c r="K423" s="460"/>
      <c r="L423" s="460"/>
      <c r="M423" s="460"/>
      <c r="N423" s="460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ht="15.75" customHeight="1">
      <c r="A424" s="179"/>
      <c r="B424" s="179"/>
      <c r="C424" s="460"/>
      <c r="D424" s="460"/>
      <c r="E424" s="460"/>
      <c r="F424" s="460"/>
      <c r="G424" s="460"/>
      <c r="H424" s="460"/>
      <c r="I424" s="460"/>
      <c r="J424" s="460"/>
      <c r="K424" s="460"/>
      <c r="L424" s="460"/>
      <c r="M424" s="460"/>
      <c r="N424" s="460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 ht="15.75" customHeight="1">
      <c r="A425" s="179"/>
      <c r="B425" s="179"/>
      <c r="C425" s="460"/>
      <c r="D425" s="460"/>
      <c r="E425" s="460"/>
      <c r="F425" s="460"/>
      <c r="G425" s="460"/>
      <c r="H425" s="460"/>
      <c r="I425" s="460"/>
      <c r="J425" s="460"/>
      <c r="K425" s="460"/>
      <c r="L425" s="460"/>
      <c r="M425" s="460"/>
      <c r="N425" s="460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 ht="15.75" customHeight="1">
      <c r="A426" s="179"/>
      <c r="B426" s="179"/>
      <c r="C426" s="460"/>
      <c r="D426" s="460"/>
      <c r="E426" s="460"/>
      <c r="F426" s="460"/>
      <c r="G426" s="460"/>
      <c r="H426" s="460"/>
      <c r="I426" s="460"/>
      <c r="J426" s="460"/>
      <c r="K426" s="460"/>
      <c r="L426" s="460"/>
      <c r="M426" s="460"/>
      <c r="N426" s="460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 ht="15.75" customHeight="1">
      <c r="A427" s="179"/>
      <c r="B427" s="179"/>
      <c r="C427" s="460"/>
      <c r="D427" s="460"/>
      <c r="E427" s="460"/>
      <c r="F427" s="460"/>
      <c r="G427" s="460"/>
      <c r="H427" s="460"/>
      <c r="I427" s="460"/>
      <c r="J427" s="460"/>
      <c r="K427" s="460"/>
      <c r="L427" s="460"/>
      <c r="M427" s="460"/>
      <c r="N427" s="460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 ht="15.75" customHeight="1">
      <c r="A428" s="179"/>
      <c r="B428" s="179"/>
      <c r="C428" s="460"/>
      <c r="D428" s="460"/>
      <c r="E428" s="460"/>
      <c r="F428" s="460"/>
      <c r="G428" s="460"/>
      <c r="H428" s="460"/>
      <c r="I428" s="460"/>
      <c r="J428" s="460"/>
      <c r="K428" s="460"/>
      <c r="L428" s="460"/>
      <c r="M428" s="460"/>
      <c r="N428" s="460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 ht="15.75" customHeight="1">
      <c r="A429" s="179"/>
      <c r="B429" s="179"/>
      <c r="C429" s="460"/>
      <c r="D429" s="460"/>
      <c r="E429" s="460"/>
      <c r="F429" s="460"/>
      <c r="G429" s="460"/>
      <c r="H429" s="460"/>
      <c r="I429" s="460"/>
      <c r="J429" s="460"/>
      <c r="K429" s="460"/>
      <c r="L429" s="460"/>
      <c r="M429" s="460"/>
      <c r="N429" s="460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 ht="15.75" customHeight="1">
      <c r="A430" s="179"/>
      <c r="B430" s="179"/>
      <c r="C430" s="460"/>
      <c r="D430" s="460"/>
      <c r="E430" s="460"/>
      <c r="F430" s="460"/>
      <c r="G430" s="460"/>
      <c r="H430" s="460"/>
      <c r="I430" s="460"/>
      <c r="J430" s="460"/>
      <c r="K430" s="460"/>
      <c r="L430" s="460"/>
      <c r="M430" s="460"/>
      <c r="N430" s="460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 ht="15.75" customHeight="1">
      <c r="A431" s="179"/>
      <c r="B431" s="179"/>
      <c r="C431" s="460"/>
      <c r="D431" s="460"/>
      <c r="E431" s="460"/>
      <c r="F431" s="460"/>
      <c r="G431" s="460"/>
      <c r="H431" s="460"/>
      <c r="I431" s="460"/>
      <c r="J431" s="460"/>
      <c r="K431" s="460"/>
      <c r="L431" s="460"/>
      <c r="M431" s="460"/>
      <c r="N431" s="460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 ht="15.75" customHeight="1">
      <c r="A432" s="179"/>
      <c r="B432" s="179"/>
      <c r="C432" s="460"/>
      <c r="D432" s="460"/>
      <c r="E432" s="460"/>
      <c r="F432" s="460"/>
      <c r="G432" s="460"/>
      <c r="H432" s="460"/>
      <c r="I432" s="460"/>
      <c r="J432" s="460"/>
      <c r="K432" s="460"/>
      <c r="L432" s="460"/>
      <c r="M432" s="460"/>
      <c r="N432" s="460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 ht="15.75" customHeight="1">
      <c r="A433" s="179"/>
      <c r="B433" s="179"/>
      <c r="C433" s="460"/>
      <c r="D433" s="460"/>
      <c r="E433" s="460"/>
      <c r="F433" s="460"/>
      <c r="G433" s="460"/>
      <c r="H433" s="460"/>
      <c r="I433" s="460"/>
      <c r="J433" s="460"/>
      <c r="K433" s="460"/>
      <c r="L433" s="460"/>
      <c r="M433" s="460"/>
      <c r="N433" s="460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 ht="15.75" customHeight="1">
      <c r="A434" s="179"/>
      <c r="B434" s="179"/>
      <c r="C434" s="460"/>
      <c r="D434" s="460"/>
      <c r="E434" s="460"/>
      <c r="F434" s="460"/>
      <c r="G434" s="460"/>
      <c r="H434" s="460"/>
      <c r="I434" s="460"/>
      <c r="J434" s="460"/>
      <c r="K434" s="460"/>
      <c r="L434" s="460"/>
      <c r="M434" s="460"/>
      <c r="N434" s="460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 ht="15.75" customHeight="1">
      <c r="A435" s="179"/>
      <c r="B435" s="179"/>
      <c r="C435" s="460"/>
      <c r="D435" s="460"/>
      <c r="E435" s="460"/>
      <c r="F435" s="460"/>
      <c r="G435" s="460"/>
      <c r="H435" s="460"/>
      <c r="I435" s="460"/>
      <c r="J435" s="460"/>
      <c r="K435" s="460"/>
      <c r="L435" s="460"/>
      <c r="M435" s="460"/>
      <c r="N435" s="460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 ht="15.75" customHeight="1">
      <c r="A436" s="179"/>
      <c r="B436" s="179"/>
      <c r="C436" s="460"/>
      <c r="D436" s="460"/>
      <c r="E436" s="460"/>
      <c r="F436" s="460"/>
      <c r="G436" s="460"/>
      <c r="H436" s="460"/>
      <c r="I436" s="460"/>
      <c r="J436" s="460"/>
      <c r="K436" s="460"/>
      <c r="L436" s="460"/>
      <c r="M436" s="460"/>
      <c r="N436" s="460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 ht="15.75" customHeight="1">
      <c r="A437" s="179"/>
      <c r="B437" s="179"/>
      <c r="C437" s="460"/>
      <c r="D437" s="460"/>
      <c r="E437" s="460"/>
      <c r="F437" s="460"/>
      <c r="G437" s="460"/>
      <c r="H437" s="460"/>
      <c r="I437" s="460"/>
      <c r="J437" s="460"/>
      <c r="K437" s="460"/>
      <c r="L437" s="460"/>
      <c r="M437" s="460"/>
      <c r="N437" s="460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 ht="15.75" customHeight="1">
      <c r="A438" s="179"/>
      <c r="B438" s="179"/>
      <c r="C438" s="460"/>
      <c r="D438" s="460"/>
      <c r="E438" s="460"/>
      <c r="F438" s="460"/>
      <c r="G438" s="460"/>
      <c r="H438" s="460"/>
      <c r="I438" s="460"/>
      <c r="J438" s="460"/>
      <c r="K438" s="460"/>
      <c r="L438" s="460"/>
      <c r="M438" s="460"/>
      <c r="N438" s="460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 ht="15.75" customHeight="1">
      <c r="A439" s="179"/>
      <c r="B439" s="179"/>
      <c r="C439" s="460"/>
      <c r="D439" s="460"/>
      <c r="E439" s="460"/>
      <c r="F439" s="460"/>
      <c r="G439" s="460"/>
      <c r="H439" s="460"/>
      <c r="I439" s="460"/>
      <c r="J439" s="460"/>
      <c r="K439" s="460"/>
      <c r="L439" s="460"/>
      <c r="M439" s="460"/>
      <c r="N439" s="460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 ht="15.75" customHeight="1">
      <c r="A440" s="179"/>
      <c r="B440" s="179"/>
      <c r="C440" s="460"/>
      <c r="D440" s="460"/>
      <c r="E440" s="460"/>
      <c r="F440" s="460"/>
      <c r="G440" s="460"/>
      <c r="H440" s="460"/>
      <c r="I440" s="460"/>
      <c r="J440" s="460"/>
      <c r="K440" s="460"/>
      <c r="L440" s="460"/>
      <c r="M440" s="460"/>
      <c r="N440" s="460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 ht="15.75" customHeight="1">
      <c r="A441" s="179"/>
      <c r="B441" s="179"/>
      <c r="C441" s="460"/>
      <c r="D441" s="460"/>
      <c r="E441" s="460"/>
      <c r="F441" s="460"/>
      <c r="G441" s="460"/>
      <c r="H441" s="460"/>
      <c r="I441" s="460"/>
      <c r="J441" s="460"/>
      <c r="K441" s="460"/>
      <c r="L441" s="460"/>
      <c r="M441" s="460"/>
      <c r="N441" s="460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 ht="15.75" customHeight="1">
      <c r="A442" s="179"/>
      <c r="B442" s="179"/>
      <c r="C442" s="460"/>
      <c r="D442" s="460"/>
      <c r="E442" s="460"/>
      <c r="F442" s="460"/>
      <c r="G442" s="460"/>
      <c r="H442" s="460"/>
      <c r="I442" s="460"/>
      <c r="J442" s="460"/>
      <c r="K442" s="460"/>
      <c r="L442" s="460"/>
      <c r="M442" s="460"/>
      <c r="N442" s="460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 ht="15.75" customHeight="1">
      <c r="A443" s="179"/>
      <c r="B443" s="179"/>
      <c r="C443" s="460"/>
      <c r="D443" s="460"/>
      <c r="E443" s="460"/>
      <c r="F443" s="460"/>
      <c r="G443" s="460"/>
      <c r="H443" s="460"/>
      <c r="I443" s="460"/>
      <c r="J443" s="460"/>
      <c r="K443" s="460"/>
      <c r="L443" s="460"/>
      <c r="M443" s="460"/>
      <c r="N443" s="460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 ht="15.75" customHeight="1">
      <c r="A444" s="179"/>
      <c r="B444" s="179"/>
      <c r="C444" s="460"/>
      <c r="D444" s="460"/>
      <c r="E444" s="460"/>
      <c r="F444" s="460"/>
      <c r="G444" s="460"/>
      <c r="H444" s="460"/>
      <c r="I444" s="460"/>
      <c r="J444" s="460"/>
      <c r="K444" s="460"/>
      <c r="L444" s="460"/>
      <c r="M444" s="460"/>
      <c r="N444" s="460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 ht="15.75" customHeight="1">
      <c r="A445" s="179"/>
      <c r="B445" s="179"/>
      <c r="C445" s="460"/>
      <c r="D445" s="460"/>
      <c r="E445" s="460"/>
      <c r="F445" s="460"/>
      <c r="G445" s="460"/>
      <c r="H445" s="460"/>
      <c r="I445" s="460"/>
      <c r="J445" s="460"/>
      <c r="K445" s="460"/>
      <c r="L445" s="460"/>
      <c r="M445" s="460"/>
      <c r="N445" s="460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 ht="15.75" customHeight="1">
      <c r="A446" s="179"/>
      <c r="B446" s="179"/>
      <c r="C446" s="460"/>
      <c r="D446" s="460"/>
      <c r="E446" s="460"/>
      <c r="F446" s="460"/>
      <c r="G446" s="460"/>
      <c r="H446" s="460"/>
      <c r="I446" s="460"/>
      <c r="J446" s="460"/>
      <c r="K446" s="460"/>
      <c r="L446" s="460"/>
      <c r="M446" s="460"/>
      <c r="N446" s="460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 ht="15.75" customHeight="1">
      <c r="A447" s="179"/>
      <c r="B447" s="179"/>
      <c r="C447" s="460"/>
      <c r="D447" s="460"/>
      <c r="E447" s="460"/>
      <c r="F447" s="460"/>
      <c r="G447" s="460"/>
      <c r="H447" s="460"/>
      <c r="I447" s="460"/>
      <c r="J447" s="460"/>
      <c r="K447" s="460"/>
      <c r="L447" s="460"/>
      <c r="M447" s="460"/>
      <c r="N447" s="460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 ht="15.75" customHeight="1">
      <c r="A448" s="179"/>
      <c r="B448" s="179"/>
      <c r="C448" s="460"/>
      <c r="D448" s="460"/>
      <c r="E448" s="460"/>
      <c r="F448" s="460"/>
      <c r="G448" s="460"/>
      <c r="H448" s="460"/>
      <c r="I448" s="460"/>
      <c r="J448" s="460"/>
      <c r="K448" s="460"/>
      <c r="L448" s="460"/>
      <c r="M448" s="460"/>
      <c r="N448" s="460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 ht="15.75" customHeight="1">
      <c r="A449" s="179"/>
      <c r="B449" s="179"/>
      <c r="C449" s="460"/>
      <c r="D449" s="460"/>
      <c r="E449" s="460"/>
      <c r="F449" s="460"/>
      <c r="G449" s="460"/>
      <c r="H449" s="460"/>
      <c r="I449" s="460"/>
      <c r="J449" s="460"/>
      <c r="K449" s="460"/>
      <c r="L449" s="460"/>
      <c r="M449" s="460"/>
      <c r="N449" s="460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 ht="15.75" customHeight="1">
      <c r="A450" s="179"/>
      <c r="B450" s="179"/>
      <c r="C450" s="460"/>
      <c r="D450" s="460"/>
      <c r="E450" s="460"/>
      <c r="F450" s="460"/>
      <c r="G450" s="460"/>
      <c r="H450" s="460"/>
      <c r="I450" s="460"/>
      <c r="J450" s="460"/>
      <c r="K450" s="460"/>
      <c r="L450" s="460"/>
      <c r="M450" s="460"/>
      <c r="N450" s="460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 ht="15.75" customHeight="1">
      <c r="A451" s="179"/>
      <c r="B451" s="179"/>
      <c r="C451" s="460"/>
      <c r="D451" s="460"/>
      <c r="E451" s="460"/>
      <c r="F451" s="460"/>
      <c r="G451" s="460"/>
      <c r="H451" s="460"/>
      <c r="I451" s="460"/>
      <c r="J451" s="460"/>
      <c r="K451" s="460"/>
      <c r="L451" s="460"/>
      <c r="M451" s="460"/>
      <c r="N451" s="460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 ht="15.75" customHeight="1">
      <c r="A452" s="179"/>
      <c r="B452" s="179"/>
      <c r="C452" s="460"/>
      <c r="D452" s="460"/>
      <c r="E452" s="460"/>
      <c r="F452" s="460"/>
      <c r="G452" s="460"/>
      <c r="H452" s="460"/>
      <c r="I452" s="460"/>
      <c r="J452" s="460"/>
      <c r="K452" s="460"/>
      <c r="L452" s="460"/>
      <c r="M452" s="460"/>
      <c r="N452" s="460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 ht="15.75" customHeight="1">
      <c r="A453" s="179"/>
      <c r="B453" s="179"/>
      <c r="C453" s="460"/>
      <c r="D453" s="460"/>
      <c r="E453" s="460"/>
      <c r="F453" s="460"/>
      <c r="G453" s="460"/>
      <c r="H453" s="460"/>
      <c r="I453" s="460"/>
      <c r="J453" s="460"/>
      <c r="K453" s="460"/>
      <c r="L453" s="460"/>
      <c r="M453" s="460"/>
      <c r="N453" s="460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 ht="15.75" customHeight="1">
      <c r="A454" s="179"/>
      <c r="B454" s="179"/>
      <c r="C454" s="460"/>
      <c r="D454" s="460"/>
      <c r="E454" s="460"/>
      <c r="F454" s="460"/>
      <c r="G454" s="460"/>
      <c r="H454" s="460"/>
      <c r="I454" s="460"/>
      <c r="J454" s="460"/>
      <c r="K454" s="460"/>
      <c r="L454" s="460"/>
      <c r="M454" s="460"/>
      <c r="N454" s="460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 ht="15.75" customHeight="1">
      <c r="A455" s="179"/>
      <c r="B455" s="179"/>
      <c r="C455" s="460"/>
      <c r="D455" s="460"/>
      <c r="E455" s="460"/>
      <c r="F455" s="460"/>
      <c r="G455" s="460"/>
      <c r="H455" s="460"/>
      <c r="I455" s="460"/>
      <c r="J455" s="460"/>
      <c r="K455" s="460"/>
      <c r="L455" s="460"/>
      <c r="M455" s="460"/>
      <c r="N455" s="460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 ht="15.75" customHeight="1">
      <c r="A456" s="179"/>
      <c r="B456" s="179"/>
      <c r="C456" s="460"/>
      <c r="D456" s="460"/>
      <c r="E456" s="460"/>
      <c r="F456" s="460"/>
      <c r="G456" s="460"/>
      <c r="H456" s="460"/>
      <c r="I456" s="460"/>
      <c r="J456" s="460"/>
      <c r="K456" s="460"/>
      <c r="L456" s="460"/>
      <c r="M456" s="460"/>
      <c r="N456" s="460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 ht="15.75" customHeight="1">
      <c r="A457" s="179"/>
      <c r="B457" s="179"/>
      <c r="C457" s="460"/>
      <c r="D457" s="460"/>
      <c r="E457" s="460"/>
      <c r="F457" s="460"/>
      <c r="G457" s="460"/>
      <c r="H457" s="460"/>
      <c r="I457" s="460"/>
      <c r="J457" s="460"/>
      <c r="K457" s="460"/>
      <c r="L457" s="460"/>
      <c r="M457" s="460"/>
      <c r="N457" s="460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 ht="15.75" customHeight="1">
      <c r="A458" s="179"/>
      <c r="B458" s="179"/>
      <c r="C458" s="460"/>
      <c r="D458" s="460"/>
      <c r="E458" s="460"/>
      <c r="F458" s="460"/>
      <c r="G458" s="460"/>
      <c r="H458" s="460"/>
      <c r="I458" s="460"/>
      <c r="J458" s="460"/>
      <c r="K458" s="460"/>
      <c r="L458" s="460"/>
      <c r="M458" s="460"/>
      <c r="N458" s="460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 ht="15.75" customHeight="1">
      <c r="A459" s="179"/>
      <c r="B459" s="179"/>
      <c r="C459" s="460"/>
      <c r="D459" s="460"/>
      <c r="E459" s="460"/>
      <c r="F459" s="460"/>
      <c r="G459" s="460"/>
      <c r="H459" s="460"/>
      <c r="I459" s="460"/>
      <c r="J459" s="460"/>
      <c r="K459" s="460"/>
      <c r="L459" s="460"/>
      <c r="M459" s="460"/>
      <c r="N459" s="460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 ht="15.75" customHeight="1">
      <c r="A460" s="179"/>
      <c r="B460" s="179"/>
      <c r="C460" s="460"/>
      <c r="D460" s="460"/>
      <c r="E460" s="460"/>
      <c r="F460" s="460"/>
      <c r="G460" s="460"/>
      <c r="H460" s="460"/>
      <c r="I460" s="460"/>
      <c r="J460" s="460"/>
      <c r="K460" s="460"/>
      <c r="L460" s="460"/>
      <c r="M460" s="460"/>
      <c r="N460" s="460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 ht="15.75" customHeight="1">
      <c r="A461" s="179"/>
      <c r="B461" s="179"/>
      <c r="C461" s="460"/>
      <c r="D461" s="460"/>
      <c r="E461" s="460"/>
      <c r="F461" s="460"/>
      <c r="G461" s="460"/>
      <c r="H461" s="460"/>
      <c r="I461" s="460"/>
      <c r="J461" s="460"/>
      <c r="K461" s="460"/>
      <c r="L461" s="460"/>
      <c r="M461" s="460"/>
      <c r="N461" s="460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 ht="15.75" customHeight="1">
      <c r="A462" s="179"/>
      <c r="B462" s="179"/>
      <c r="C462" s="460"/>
      <c r="D462" s="460"/>
      <c r="E462" s="460"/>
      <c r="F462" s="460"/>
      <c r="G462" s="460"/>
      <c r="H462" s="460"/>
      <c r="I462" s="460"/>
      <c r="J462" s="460"/>
      <c r="K462" s="460"/>
      <c r="L462" s="460"/>
      <c r="M462" s="460"/>
      <c r="N462" s="460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 ht="15.75" customHeight="1">
      <c r="A463" s="179"/>
      <c r="B463" s="179"/>
      <c r="C463" s="460"/>
      <c r="D463" s="460"/>
      <c r="E463" s="460"/>
      <c r="F463" s="460"/>
      <c r="G463" s="460"/>
      <c r="H463" s="460"/>
      <c r="I463" s="460"/>
      <c r="J463" s="460"/>
      <c r="K463" s="460"/>
      <c r="L463" s="460"/>
      <c r="M463" s="460"/>
      <c r="N463" s="460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 ht="15.75" customHeight="1">
      <c r="A464" s="179"/>
      <c r="B464" s="179"/>
      <c r="C464" s="460"/>
      <c r="D464" s="460"/>
      <c r="E464" s="460"/>
      <c r="F464" s="460"/>
      <c r="G464" s="460"/>
      <c r="H464" s="460"/>
      <c r="I464" s="460"/>
      <c r="J464" s="460"/>
      <c r="K464" s="460"/>
      <c r="L464" s="460"/>
      <c r="M464" s="460"/>
      <c r="N464" s="460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 ht="15.75" customHeight="1">
      <c r="A465" s="179"/>
      <c r="B465" s="179"/>
      <c r="C465" s="460"/>
      <c r="D465" s="460"/>
      <c r="E465" s="460"/>
      <c r="F465" s="460"/>
      <c r="G465" s="460"/>
      <c r="H465" s="460"/>
      <c r="I465" s="460"/>
      <c r="J465" s="460"/>
      <c r="K465" s="460"/>
      <c r="L465" s="460"/>
      <c r="M465" s="460"/>
      <c r="N465" s="460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 ht="15.75" customHeight="1">
      <c r="A466" s="179"/>
      <c r="B466" s="179"/>
      <c r="C466" s="460"/>
      <c r="D466" s="460"/>
      <c r="E466" s="460"/>
      <c r="F466" s="460"/>
      <c r="G466" s="460"/>
      <c r="H466" s="460"/>
      <c r="I466" s="460"/>
      <c r="J466" s="460"/>
      <c r="K466" s="460"/>
      <c r="L466" s="460"/>
      <c r="M466" s="460"/>
      <c r="N466" s="460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 ht="15.75" customHeight="1">
      <c r="A467" s="179"/>
      <c r="B467" s="179"/>
      <c r="C467" s="460"/>
      <c r="D467" s="460"/>
      <c r="E467" s="460"/>
      <c r="F467" s="460"/>
      <c r="G467" s="460"/>
      <c r="H467" s="460"/>
      <c r="I467" s="460"/>
      <c r="J467" s="460"/>
      <c r="K467" s="460"/>
      <c r="L467" s="460"/>
      <c r="M467" s="460"/>
      <c r="N467" s="460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 ht="15.75" customHeight="1">
      <c r="A468" s="179"/>
      <c r="B468" s="179"/>
      <c r="C468" s="460"/>
      <c r="D468" s="460"/>
      <c r="E468" s="460"/>
      <c r="F468" s="460"/>
      <c r="G468" s="460"/>
      <c r="H468" s="460"/>
      <c r="I468" s="460"/>
      <c r="J468" s="460"/>
      <c r="K468" s="460"/>
      <c r="L468" s="460"/>
      <c r="M468" s="460"/>
      <c r="N468" s="460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 ht="15.75" customHeight="1">
      <c r="A469" s="179"/>
      <c r="B469" s="179"/>
      <c r="C469" s="460"/>
      <c r="D469" s="460"/>
      <c r="E469" s="460"/>
      <c r="F469" s="460"/>
      <c r="G469" s="460"/>
      <c r="H469" s="460"/>
      <c r="I469" s="460"/>
      <c r="J469" s="460"/>
      <c r="K469" s="460"/>
      <c r="L469" s="460"/>
      <c r="M469" s="460"/>
      <c r="N469" s="460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 ht="15.75" customHeight="1">
      <c r="A470" s="179"/>
      <c r="B470" s="179"/>
      <c r="C470" s="460"/>
      <c r="D470" s="460"/>
      <c r="E470" s="460"/>
      <c r="F470" s="460"/>
      <c r="G470" s="460"/>
      <c r="H470" s="460"/>
      <c r="I470" s="460"/>
      <c r="J470" s="460"/>
      <c r="K470" s="460"/>
      <c r="L470" s="460"/>
      <c r="M470" s="460"/>
      <c r="N470" s="460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 ht="15.75" customHeight="1">
      <c r="A471" s="179"/>
      <c r="B471" s="179"/>
      <c r="C471" s="460"/>
      <c r="D471" s="460"/>
      <c r="E471" s="460"/>
      <c r="F471" s="460"/>
      <c r="G471" s="460"/>
      <c r="H471" s="460"/>
      <c r="I471" s="460"/>
      <c r="J471" s="460"/>
      <c r="K471" s="460"/>
      <c r="L471" s="460"/>
      <c r="M471" s="460"/>
      <c r="N471" s="460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 ht="15.75" customHeight="1">
      <c r="A472" s="179"/>
      <c r="B472" s="179"/>
      <c r="C472" s="460"/>
      <c r="D472" s="460"/>
      <c r="E472" s="460"/>
      <c r="F472" s="460"/>
      <c r="G472" s="460"/>
      <c r="H472" s="460"/>
      <c r="I472" s="460"/>
      <c r="J472" s="460"/>
      <c r="K472" s="460"/>
      <c r="L472" s="460"/>
      <c r="M472" s="460"/>
      <c r="N472" s="460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 ht="15.75" customHeight="1">
      <c r="A473" s="179"/>
      <c r="B473" s="179"/>
      <c r="C473" s="460"/>
      <c r="D473" s="460"/>
      <c r="E473" s="460"/>
      <c r="F473" s="460"/>
      <c r="G473" s="460"/>
      <c r="H473" s="460"/>
      <c r="I473" s="460"/>
      <c r="J473" s="460"/>
      <c r="K473" s="460"/>
      <c r="L473" s="460"/>
      <c r="M473" s="460"/>
      <c r="N473" s="460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 ht="15.75" customHeight="1">
      <c r="A474" s="179"/>
      <c r="B474" s="179"/>
      <c r="C474" s="460"/>
      <c r="D474" s="460"/>
      <c r="E474" s="460"/>
      <c r="F474" s="460"/>
      <c r="G474" s="460"/>
      <c r="H474" s="460"/>
      <c r="I474" s="460"/>
      <c r="J474" s="460"/>
      <c r="K474" s="460"/>
      <c r="L474" s="460"/>
      <c r="M474" s="460"/>
      <c r="N474" s="460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 ht="15.75" customHeight="1">
      <c r="A475" s="179"/>
      <c r="B475" s="179"/>
      <c r="C475" s="460"/>
      <c r="D475" s="460"/>
      <c r="E475" s="460"/>
      <c r="F475" s="460"/>
      <c r="G475" s="460"/>
      <c r="H475" s="460"/>
      <c r="I475" s="460"/>
      <c r="J475" s="460"/>
      <c r="K475" s="460"/>
      <c r="L475" s="460"/>
      <c r="M475" s="460"/>
      <c r="N475" s="460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 ht="15.75" customHeight="1">
      <c r="A476" s="179"/>
      <c r="B476" s="179"/>
      <c r="C476" s="460"/>
      <c r="D476" s="460"/>
      <c r="E476" s="460"/>
      <c r="F476" s="460"/>
      <c r="G476" s="460"/>
      <c r="H476" s="460"/>
      <c r="I476" s="460"/>
      <c r="J476" s="460"/>
      <c r="K476" s="460"/>
      <c r="L476" s="460"/>
      <c r="M476" s="460"/>
      <c r="N476" s="460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 ht="15.75" customHeight="1">
      <c r="A477" s="179"/>
      <c r="B477" s="179"/>
      <c r="C477" s="460"/>
      <c r="D477" s="460"/>
      <c r="E477" s="460"/>
      <c r="F477" s="460"/>
      <c r="G477" s="460"/>
      <c r="H477" s="460"/>
      <c r="I477" s="460"/>
      <c r="J477" s="460"/>
      <c r="K477" s="460"/>
      <c r="L477" s="460"/>
      <c r="M477" s="460"/>
      <c r="N477" s="460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 ht="15.75" customHeight="1">
      <c r="A478" s="179"/>
      <c r="B478" s="179"/>
      <c r="C478" s="460"/>
      <c r="D478" s="460"/>
      <c r="E478" s="460"/>
      <c r="F478" s="460"/>
      <c r="G478" s="460"/>
      <c r="H478" s="460"/>
      <c r="I478" s="460"/>
      <c r="J478" s="460"/>
      <c r="K478" s="460"/>
      <c r="L478" s="460"/>
      <c r="M478" s="460"/>
      <c r="N478" s="460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 ht="15.75" customHeight="1">
      <c r="A479" s="179"/>
      <c r="B479" s="179"/>
      <c r="C479" s="460"/>
      <c r="D479" s="460"/>
      <c r="E479" s="460"/>
      <c r="F479" s="460"/>
      <c r="G479" s="460"/>
      <c r="H479" s="460"/>
      <c r="I479" s="460"/>
      <c r="J479" s="460"/>
      <c r="K479" s="460"/>
      <c r="L479" s="460"/>
      <c r="M479" s="460"/>
      <c r="N479" s="460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 ht="15.75" customHeight="1">
      <c r="A480" s="179"/>
      <c r="B480" s="179"/>
      <c r="C480" s="460"/>
      <c r="D480" s="460"/>
      <c r="E480" s="460"/>
      <c r="F480" s="460"/>
      <c r="G480" s="460"/>
      <c r="H480" s="460"/>
      <c r="I480" s="460"/>
      <c r="J480" s="460"/>
      <c r="K480" s="460"/>
      <c r="L480" s="460"/>
      <c r="M480" s="460"/>
      <c r="N480" s="460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 ht="15.75" customHeight="1">
      <c r="A481" s="179"/>
      <c r="B481" s="179"/>
      <c r="C481" s="460"/>
      <c r="D481" s="460"/>
      <c r="E481" s="460"/>
      <c r="F481" s="460"/>
      <c r="G481" s="460"/>
      <c r="H481" s="460"/>
      <c r="I481" s="460"/>
      <c r="J481" s="460"/>
      <c r="K481" s="460"/>
      <c r="L481" s="460"/>
      <c r="M481" s="460"/>
      <c r="N481" s="460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 ht="15.75" customHeight="1">
      <c r="A482" s="179"/>
      <c r="B482" s="179"/>
      <c r="C482" s="460"/>
      <c r="D482" s="460"/>
      <c r="E482" s="460"/>
      <c r="F482" s="460"/>
      <c r="G482" s="460"/>
      <c r="H482" s="460"/>
      <c r="I482" s="460"/>
      <c r="J482" s="460"/>
      <c r="K482" s="460"/>
      <c r="L482" s="460"/>
      <c r="M482" s="460"/>
      <c r="N482" s="460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 ht="15.75" customHeight="1">
      <c r="A483" s="179"/>
      <c r="B483" s="179"/>
      <c r="C483" s="460"/>
      <c r="D483" s="460"/>
      <c r="E483" s="460"/>
      <c r="F483" s="460"/>
      <c r="G483" s="460"/>
      <c r="H483" s="460"/>
      <c r="I483" s="460"/>
      <c r="J483" s="460"/>
      <c r="K483" s="460"/>
      <c r="L483" s="460"/>
      <c r="M483" s="460"/>
      <c r="N483" s="460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 ht="15.75" customHeight="1">
      <c r="A484" s="179"/>
      <c r="B484" s="179"/>
      <c r="C484" s="460"/>
      <c r="D484" s="460"/>
      <c r="E484" s="460"/>
      <c r="F484" s="460"/>
      <c r="G484" s="460"/>
      <c r="H484" s="460"/>
      <c r="I484" s="460"/>
      <c r="J484" s="460"/>
      <c r="K484" s="460"/>
      <c r="L484" s="460"/>
      <c r="M484" s="460"/>
      <c r="N484" s="460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 ht="15.75" customHeight="1">
      <c r="A485" s="179"/>
      <c r="B485" s="179"/>
      <c r="C485" s="460"/>
      <c r="D485" s="460"/>
      <c r="E485" s="460"/>
      <c r="F485" s="460"/>
      <c r="G485" s="460"/>
      <c r="H485" s="460"/>
      <c r="I485" s="460"/>
      <c r="J485" s="460"/>
      <c r="K485" s="460"/>
      <c r="L485" s="460"/>
      <c r="M485" s="460"/>
      <c r="N485" s="460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 ht="15.75" customHeight="1">
      <c r="A486" s="179"/>
      <c r="B486" s="179"/>
      <c r="C486" s="460"/>
      <c r="D486" s="460"/>
      <c r="E486" s="460"/>
      <c r="F486" s="460"/>
      <c r="G486" s="460"/>
      <c r="H486" s="460"/>
      <c r="I486" s="460"/>
      <c r="J486" s="460"/>
      <c r="K486" s="460"/>
      <c r="L486" s="460"/>
      <c r="M486" s="460"/>
      <c r="N486" s="460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 ht="15.75" customHeight="1">
      <c r="A487" s="179"/>
      <c r="B487" s="179"/>
      <c r="C487" s="460"/>
      <c r="D487" s="460"/>
      <c r="E487" s="460"/>
      <c r="F487" s="460"/>
      <c r="G487" s="460"/>
      <c r="H487" s="460"/>
      <c r="I487" s="460"/>
      <c r="J487" s="460"/>
      <c r="K487" s="460"/>
      <c r="L487" s="460"/>
      <c r="M487" s="460"/>
      <c r="N487" s="460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 ht="15.75" customHeight="1">
      <c r="A488" s="179"/>
      <c r="B488" s="179"/>
      <c r="C488" s="460"/>
      <c r="D488" s="460"/>
      <c r="E488" s="460"/>
      <c r="F488" s="460"/>
      <c r="G488" s="460"/>
      <c r="H488" s="460"/>
      <c r="I488" s="460"/>
      <c r="J488" s="460"/>
      <c r="K488" s="460"/>
      <c r="L488" s="460"/>
      <c r="M488" s="460"/>
      <c r="N488" s="460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 ht="15.75" customHeight="1">
      <c r="A489" s="179"/>
      <c r="B489" s="179"/>
      <c r="C489" s="460"/>
      <c r="D489" s="460"/>
      <c r="E489" s="460"/>
      <c r="F489" s="460"/>
      <c r="G489" s="460"/>
      <c r="H489" s="460"/>
      <c r="I489" s="460"/>
      <c r="J489" s="460"/>
      <c r="K489" s="460"/>
      <c r="L489" s="460"/>
      <c r="M489" s="460"/>
      <c r="N489" s="460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 ht="15.75" customHeight="1">
      <c r="A490" s="179"/>
      <c r="B490" s="179"/>
      <c r="C490" s="460"/>
      <c r="D490" s="460"/>
      <c r="E490" s="460"/>
      <c r="F490" s="460"/>
      <c r="G490" s="460"/>
      <c r="H490" s="460"/>
      <c r="I490" s="460"/>
      <c r="J490" s="460"/>
      <c r="K490" s="460"/>
      <c r="L490" s="460"/>
      <c r="M490" s="460"/>
      <c r="N490" s="460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 ht="15.75" customHeight="1">
      <c r="A491" s="179"/>
      <c r="B491" s="179"/>
      <c r="C491" s="460"/>
      <c r="D491" s="460"/>
      <c r="E491" s="460"/>
      <c r="F491" s="460"/>
      <c r="G491" s="460"/>
      <c r="H491" s="460"/>
      <c r="I491" s="460"/>
      <c r="J491" s="460"/>
      <c r="K491" s="460"/>
      <c r="L491" s="460"/>
      <c r="M491" s="460"/>
      <c r="N491" s="460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 ht="15.75" customHeight="1">
      <c r="A492" s="179"/>
      <c r="B492" s="179"/>
      <c r="C492" s="460"/>
      <c r="D492" s="460"/>
      <c r="E492" s="460"/>
      <c r="F492" s="460"/>
      <c r="G492" s="460"/>
      <c r="H492" s="460"/>
      <c r="I492" s="460"/>
      <c r="J492" s="460"/>
      <c r="K492" s="460"/>
      <c r="L492" s="460"/>
      <c r="M492" s="460"/>
      <c r="N492" s="460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 ht="15.75" customHeight="1">
      <c r="A493" s="179"/>
      <c r="B493" s="179"/>
      <c r="C493" s="460"/>
      <c r="D493" s="460"/>
      <c r="E493" s="460"/>
      <c r="F493" s="460"/>
      <c r="G493" s="460"/>
      <c r="H493" s="460"/>
      <c r="I493" s="460"/>
      <c r="J493" s="460"/>
      <c r="K493" s="460"/>
      <c r="L493" s="460"/>
      <c r="M493" s="460"/>
      <c r="N493" s="460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 ht="15.75" customHeight="1">
      <c r="A494" s="179"/>
      <c r="B494" s="179"/>
      <c r="C494" s="460"/>
      <c r="D494" s="460"/>
      <c r="E494" s="460"/>
      <c r="F494" s="460"/>
      <c r="G494" s="460"/>
      <c r="H494" s="460"/>
      <c r="I494" s="460"/>
      <c r="J494" s="460"/>
      <c r="K494" s="460"/>
      <c r="L494" s="460"/>
      <c r="M494" s="460"/>
      <c r="N494" s="460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 ht="15.75" customHeight="1">
      <c r="A495" s="179"/>
      <c r="B495" s="179"/>
      <c r="C495" s="460"/>
      <c r="D495" s="460"/>
      <c r="E495" s="460"/>
      <c r="F495" s="460"/>
      <c r="G495" s="460"/>
      <c r="H495" s="460"/>
      <c r="I495" s="460"/>
      <c r="J495" s="460"/>
      <c r="K495" s="460"/>
      <c r="L495" s="460"/>
      <c r="M495" s="460"/>
      <c r="N495" s="460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 ht="15.75" customHeight="1">
      <c r="A496" s="179"/>
      <c r="B496" s="179"/>
      <c r="C496" s="460"/>
      <c r="D496" s="460"/>
      <c r="E496" s="460"/>
      <c r="F496" s="460"/>
      <c r="G496" s="460"/>
      <c r="H496" s="460"/>
      <c r="I496" s="460"/>
      <c r="J496" s="460"/>
      <c r="K496" s="460"/>
      <c r="L496" s="460"/>
      <c r="M496" s="460"/>
      <c r="N496" s="460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 ht="15.75" customHeight="1">
      <c r="A497" s="179"/>
      <c r="B497" s="179"/>
      <c r="C497" s="460"/>
      <c r="D497" s="460"/>
      <c r="E497" s="460"/>
      <c r="F497" s="460"/>
      <c r="G497" s="460"/>
      <c r="H497" s="460"/>
      <c r="I497" s="460"/>
      <c r="J497" s="460"/>
      <c r="K497" s="460"/>
      <c r="L497" s="460"/>
      <c r="M497" s="460"/>
      <c r="N497" s="460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 ht="15.75" customHeight="1">
      <c r="A498" s="179"/>
      <c r="B498" s="179"/>
      <c r="C498" s="460"/>
      <c r="D498" s="460"/>
      <c r="E498" s="460"/>
      <c r="F498" s="460"/>
      <c r="G498" s="460"/>
      <c r="H498" s="460"/>
      <c r="I498" s="460"/>
      <c r="J498" s="460"/>
      <c r="K498" s="460"/>
      <c r="L498" s="460"/>
      <c r="M498" s="460"/>
      <c r="N498" s="460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 ht="15.75" customHeight="1">
      <c r="A499" s="179"/>
      <c r="B499" s="179"/>
      <c r="C499" s="460"/>
      <c r="D499" s="460"/>
      <c r="E499" s="460"/>
      <c r="F499" s="460"/>
      <c r="G499" s="460"/>
      <c r="H499" s="460"/>
      <c r="I499" s="460"/>
      <c r="J499" s="460"/>
      <c r="K499" s="460"/>
      <c r="L499" s="460"/>
      <c r="M499" s="460"/>
      <c r="N499" s="460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 ht="15.75" customHeight="1">
      <c r="A500" s="179"/>
      <c r="B500" s="179"/>
      <c r="C500" s="460"/>
      <c r="D500" s="460"/>
      <c r="E500" s="460"/>
      <c r="F500" s="460"/>
      <c r="G500" s="460"/>
      <c r="H500" s="460"/>
      <c r="I500" s="460"/>
      <c r="J500" s="460"/>
      <c r="K500" s="460"/>
      <c r="L500" s="460"/>
      <c r="M500" s="460"/>
      <c r="N500" s="460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 ht="15.75" customHeight="1">
      <c r="A501" s="179"/>
      <c r="B501" s="179"/>
      <c r="C501" s="460"/>
      <c r="D501" s="460"/>
      <c r="E501" s="460"/>
      <c r="F501" s="460"/>
      <c r="G501" s="460"/>
      <c r="H501" s="460"/>
      <c r="I501" s="460"/>
      <c r="J501" s="460"/>
      <c r="K501" s="460"/>
      <c r="L501" s="460"/>
      <c r="M501" s="460"/>
      <c r="N501" s="460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 ht="15.75" customHeight="1">
      <c r="A502" s="179"/>
      <c r="B502" s="179"/>
      <c r="C502" s="460"/>
      <c r="D502" s="460"/>
      <c r="E502" s="460"/>
      <c r="F502" s="460"/>
      <c r="G502" s="460"/>
      <c r="H502" s="460"/>
      <c r="I502" s="460"/>
      <c r="J502" s="460"/>
      <c r="K502" s="460"/>
      <c r="L502" s="460"/>
      <c r="M502" s="460"/>
      <c r="N502" s="460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 ht="15.75" customHeight="1">
      <c r="A503" s="179"/>
      <c r="B503" s="179"/>
      <c r="C503" s="460"/>
      <c r="D503" s="460"/>
      <c r="E503" s="460"/>
      <c r="F503" s="460"/>
      <c r="G503" s="460"/>
      <c r="H503" s="460"/>
      <c r="I503" s="460"/>
      <c r="J503" s="460"/>
      <c r="K503" s="460"/>
      <c r="L503" s="460"/>
      <c r="M503" s="460"/>
      <c r="N503" s="460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 ht="15.75" customHeight="1">
      <c r="A504" s="179"/>
      <c r="B504" s="179"/>
      <c r="C504" s="460"/>
      <c r="D504" s="460"/>
      <c r="E504" s="460"/>
      <c r="F504" s="460"/>
      <c r="G504" s="460"/>
      <c r="H504" s="460"/>
      <c r="I504" s="460"/>
      <c r="J504" s="460"/>
      <c r="K504" s="460"/>
      <c r="L504" s="460"/>
      <c r="M504" s="460"/>
      <c r="N504" s="460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 ht="15.75" customHeight="1">
      <c r="A505" s="179"/>
      <c r="B505" s="179"/>
      <c r="C505" s="460"/>
      <c r="D505" s="460"/>
      <c r="E505" s="460"/>
      <c r="F505" s="460"/>
      <c r="G505" s="460"/>
      <c r="H505" s="460"/>
      <c r="I505" s="460"/>
      <c r="J505" s="460"/>
      <c r="K505" s="460"/>
      <c r="L505" s="460"/>
      <c r="M505" s="460"/>
      <c r="N505" s="460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 ht="15.75" customHeight="1">
      <c r="A506" s="179"/>
      <c r="B506" s="179"/>
      <c r="C506" s="460"/>
      <c r="D506" s="460"/>
      <c r="E506" s="460"/>
      <c r="F506" s="460"/>
      <c r="G506" s="460"/>
      <c r="H506" s="460"/>
      <c r="I506" s="460"/>
      <c r="J506" s="460"/>
      <c r="K506" s="460"/>
      <c r="L506" s="460"/>
      <c r="M506" s="460"/>
      <c r="N506" s="460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 ht="15.75" customHeight="1">
      <c r="A507" s="179"/>
      <c r="B507" s="179"/>
      <c r="C507" s="460"/>
      <c r="D507" s="460"/>
      <c r="E507" s="460"/>
      <c r="F507" s="460"/>
      <c r="G507" s="460"/>
      <c r="H507" s="460"/>
      <c r="I507" s="460"/>
      <c r="J507" s="460"/>
      <c r="K507" s="460"/>
      <c r="L507" s="460"/>
      <c r="M507" s="460"/>
      <c r="N507" s="460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 ht="15.75" customHeight="1">
      <c r="A508" s="179"/>
      <c r="B508" s="179"/>
      <c r="C508" s="460"/>
      <c r="D508" s="460"/>
      <c r="E508" s="460"/>
      <c r="F508" s="460"/>
      <c r="G508" s="460"/>
      <c r="H508" s="460"/>
      <c r="I508" s="460"/>
      <c r="J508" s="460"/>
      <c r="K508" s="460"/>
      <c r="L508" s="460"/>
      <c r="M508" s="460"/>
      <c r="N508" s="460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 ht="15.75" customHeight="1">
      <c r="A509" s="179"/>
      <c r="B509" s="179"/>
      <c r="C509" s="460"/>
      <c r="D509" s="460"/>
      <c r="E509" s="460"/>
      <c r="F509" s="460"/>
      <c r="G509" s="460"/>
      <c r="H509" s="460"/>
      <c r="I509" s="460"/>
      <c r="J509" s="460"/>
      <c r="K509" s="460"/>
      <c r="L509" s="460"/>
      <c r="M509" s="460"/>
      <c r="N509" s="460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 ht="15.75" customHeight="1">
      <c r="A510" s="179"/>
      <c r="B510" s="179"/>
      <c r="C510" s="460"/>
      <c r="D510" s="460"/>
      <c r="E510" s="460"/>
      <c r="F510" s="460"/>
      <c r="G510" s="460"/>
      <c r="H510" s="460"/>
      <c r="I510" s="460"/>
      <c r="J510" s="460"/>
      <c r="K510" s="460"/>
      <c r="L510" s="460"/>
      <c r="M510" s="460"/>
      <c r="N510" s="460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 ht="15.75" customHeight="1">
      <c r="A511" s="179"/>
      <c r="B511" s="179"/>
      <c r="C511" s="460"/>
      <c r="D511" s="460"/>
      <c r="E511" s="460"/>
      <c r="F511" s="460"/>
      <c r="G511" s="460"/>
      <c r="H511" s="460"/>
      <c r="I511" s="460"/>
      <c r="J511" s="460"/>
      <c r="K511" s="460"/>
      <c r="L511" s="460"/>
      <c r="M511" s="460"/>
      <c r="N511" s="460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 ht="15.75" customHeight="1">
      <c r="A512" s="179"/>
      <c r="B512" s="179"/>
      <c r="C512" s="460"/>
      <c r="D512" s="460"/>
      <c r="E512" s="460"/>
      <c r="F512" s="460"/>
      <c r="G512" s="460"/>
      <c r="H512" s="460"/>
      <c r="I512" s="460"/>
      <c r="J512" s="460"/>
      <c r="K512" s="460"/>
      <c r="L512" s="460"/>
      <c r="M512" s="460"/>
      <c r="N512" s="460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 ht="15.75" customHeight="1">
      <c r="A513" s="179"/>
      <c r="B513" s="179"/>
      <c r="C513" s="460"/>
      <c r="D513" s="460"/>
      <c r="E513" s="460"/>
      <c r="F513" s="460"/>
      <c r="G513" s="460"/>
      <c r="H513" s="460"/>
      <c r="I513" s="460"/>
      <c r="J513" s="460"/>
      <c r="K513" s="460"/>
      <c r="L513" s="460"/>
      <c r="M513" s="460"/>
      <c r="N513" s="460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 ht="15.75" customHeight="1">
      <c r="A514" s="179"/>
      <c r="B514" s="179"/>
      <c r="C514" s="460"/>
      <c r="D514" s="460"/>
      <c r="E514" s="460"/>
      <c r="F514" s="460"/>
      <c r="G514" s="460"/>
      <c r="H514" s="460"/>
      <c r="I514" s="460"/>
      <c r="J514" s="460"/>
      <c r="K514" s="460"/>
      <c r="L514" s="460"/>
      <c r="M514" s="460"/>
      <c r="N514" s="460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 ht="15.75" customHeight="1">
      <c r="A515" s="179"/>
      <c r="B515" s="179"/>
      <c r="C515" s="460"/>
      <c r="D515" s="460"/>
      <c r="E515" s="460"/>
      <c r="F515" s="460"/>
      <c r="G515" s="460"/>
      <c r="H515" s="460"/>
      <c r="I515" s="460"/>
      <c r="J515" s="460"/>
      <c r="K515" s="460"/>
      <c r="L515" s="460"/>
      <c r="M515" s="460"/>
      <c r="N515" s="460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 ht="15.75" customHeight="1">
      <c r="A516" s="179"/>
      <c r="B516" s="179"/>
      <c r="C516" s="460"/>
      <c r="D516" s="460"/>
      <c r="E516" s="460"/>
      <c r="F516" s="460"/>
      <c r="G516" s="460"/>
      <c r="H516" s="460"/>
      <c r="I516" s="460"/>
      <c r="J516" s="460"/>
      <c r="K516" s="460"/>
      <c r="L516" s="460"/>
      <c r="M516" s="460"/>
      <c r="N516" s="460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 ht="15.75" customHeight="1">
      <c r="A517" s="179"/>
      <c r="B517" s="179"/>
      <c r="C517" s="460"/>
      <c r="D517" s="460"/>
      <c r="E517" s="460"/>
      <c r="F517" s="460"/>
      <c r="G517" s="460"/>
      <c r="H517" s="460"/>
      <c r="I517" s="460"/>
      <c r="J517" s="460"/>
      <c r="K517" s="460"/>
      <c r="L517" s="460"/>
      <c r="M517" s="460"/>
      <c r="N517" s="460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 ht="15.75" customHeight="1">
      <c r="A518" s="179"/>
      <c r="B518" s="179"/>
      <c r="C518" s="460"/>
      <c r="D518" s="460"/>
      <c r="E518" s="460"/>
      <c r="F518" s="460"/>
      <c r="G518" s="460"/>
      <c r="H518" s="460"/>
      <c r="I518" s="460"/>
      <c r="J518" s="460"/>
      <c r="K518" s="460"/>
      <c r="L518" s="460"/>
      <c r="M518" s="460"/>
      <c r="N518" s="460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 ht="15.75" customHeight="1">
      <c r="A519" s="179"/>
      <c r="B519" s="179"/>
      <c r="C519" s="460"/>
      <c r="D519" s="460"/>
      <c r="E519" s="460"/>
      <c r="F519" s="460"/>
      <c r="G519" s="460"/>
      <c r="H519" s="460"/>
      <c r="I519" s="460"/>
      <c r="J519" s="460"/>
      <c r="K519" s="460"/>
      <c r="L519" s="460"/>
      <c r="M519" s="460"/>
      <c r="N519" s="460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 ht="15.75" customHeight="1">
      <c r="A520" s="179"/>
      <c r="B520" s="179"/>
      <c r="C520" s="460"/>
      <c r="D520" s="460"/>
      <c r="E520" s="460"/>
      <c r="F520" s="460"/>
      <c r="G520" s="460"/>
      <c r="H520" s="460"/>
      <c r="I520" s="460"/>
      <c r="J520" s="460"/>
      <c r="K520" s="460"/>
      <c r="L520" s="460"/>
      <c r="M520" s="460"/>
      <c r="N520" s="460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 ht="15.75" customHeight="1">
      <c r="A521" s="179"/>
      <c r="B521" s="179"/>
      <c r="C521" s="460"/>
      <c r="D521" s="460"/>
      <c r="E521" s="460"/>
      <c r="F521" s="460"/>
      <c r="G521" s="460"/>
      <c r="H521" s="460"/>
      <c r="I521" s="460"/>
      <c r="J521" s="460"/>
      <c r="K521" s="460"/>
      <c r="L521" s="460"/>
      <c r="M521" s="460"/>
      <c r="N521" s="460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 ht="15.75" customHeight="1">
      <c r="A522" s="179"/>
      <c r="B522" s="179"/>
      <c r="C522" s="460"/>
      <c r="D522" s="460"/>
      <c r="E522" s="460"/>
      <c r="F522" s="460"/>
      <c r="G522" s="460"/>
      <c r="H522" s="460"/>
      <c r="I522" s="460"/>
      <c r="J522" s="460"/>
      <c r="K522" s="460"/>
      <c r="L522" s="460"/>
      <c r="M522" s="460"/>
      <c r="N522" s="460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 ht="15.75" customHeight="1">
      <c r="A523" s="179"/>
      <c r="B523" s="179"/>
      <c r="C523" s="460"/>
      <c r="D523" s="460"/>
      <c r="E523" s="460"/>
      <c r="F523" s="460"/>
      <c r="G523" s="460"/>
      <c r="H523" s="460"/>
      <c r="I523" s="460"/>
      <c r="J523" s="460"/>
      <c r="K523" s="460"/>
      <c r="L523" s="460"/>
      <c r="M523" s="460"/>
      <c r="N523" s="460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 ht="15.75" customHeight="1">
      <c r="A524" s="179"/>
      <c r="B524" s="179"/>
      <c r="C524" s="460"/>
      <c r="D524" s="460"/>
      <c r="E524" s="460"/>
      <c r="F524" s="460"/>
      <c r="G524" s="460"/>
      <c r="H524" s="460"/>
      <c r="I524" s="460"/>
      <c r="J524" s="460"/>
      <c r="K524" s="460"/>
      <c r="L524" s="460"/>
      <c r="M524" s="460"/>
      <c r="N524" s="460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 ht="15.75" customHeight="1">
      <c r="A525" s="179"/>
      <c r="B525" s="179"/>
      <c r="C525" s="460"/>
      <c r="D525" s="460"/>
      <c r="E525" s="460"/>
      <c r="F525" s="460"/>
      <c r="G525" s="460"/>
      <c r="H525" s="460"/>
      <c r="I525" s="460"/>
      <c r="J525" s="460"/>
      <c r="K525" s="460"/>
      <c r="L525" s="460"/>
      <c r="M525" s="460"/>
      <c r="N525" s="460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 ht="15.75" customHeight="1">
      <c r="A526" s="179"/>
      <c r="B526" s="179"/>
      <c r="C526" s="460"/>
      <c r="D526" s="460"/>
      <c r="E526" s="460"/>
      <c r="F526" s="460"/>
      <c r="G526" s="460"/>
      <c r="H526" s="460"/>
      <c r="I526" s="460"/>
      <c r="J526" s="460"/>
      <c r="K526" s="460"/>
      <c r="L526" s="460"/>
      <c r="M526" s="460"/>
      <c r="N526" s="460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 ht="15.75" customHeight="1">
      <c r="A527" s="179"/>
      <c r="B527" s="179"/>
      <c r="C527" s="460"/>
      <c r="D527" s="460"/>
      <c r="E527" s="460"/>
      <c r="F527" s="460"/>
      <c r="G527" s="460"/>
      <c r="H527" s="460"/>
      <c r="I527" s="460"/>
      <c r="J527" s="460"/>
      <c r="K527" s="460"/>
      <c r="L527" s="460"/>
      <c r="M527" s="460"/>
      <c r="N527" s="460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 ht="15.75" customHeight="1">
      <c r="A528" s="179"/>
      <c r="B528" s="179"/>
      <c r="C528" s="460"/>
      <c r="D528" s="460"/>
      <c r="E528" s="460"/>
      <c r="F528" s="460"/>
      <c r="G528" s="460"/>
      <c r="H528" s="460"/>
      <c r="I528" s="460"/>
      <c r="J528" s="460"/>
      <c r="K528" s="460"/>
      <c r="L528" s="460"/>
      <c r="M528" s="460"/>
      <c r="N528" s="460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 ht="15.75" customHeight="1">
      <c r="A529" s="179"/>
      <c r="B529" s="179"/>
      <c r="C529" s="460"/>
      <c r="D529" s="460"/>
      <c r="E529" s="460"/>
      <c r="F529" s="460"/>
      <c r="G529" s="460"/>
      <c r="H529" s="460"/>
      <c r="I529" s="460"/>
      <c r="J529" s="460"/>
      <c r="K529" s="460"/>
      <c r="L529" s="460"/>
      <c r="M529" s="460"/>
      <c r="N529" s="460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 ht="15.75" customHeight="1">
      <c r="A530" s="179"/>
      <c r="B530" s="179"/>
      <c r="C530" s="460"/>
      <c r="D530" s="460"/>
      <c r="E530" s="460"/>
      <c r="F530" s="460"/>
      <c r="G530" s="460"/>
      <c r="H530" s="460"/>
      <c r="I530" s="460"/>
      <c r="J530" s="460"/>
      <c r="K530" s="460"/>
      <c r="L530" s="460"/>
      <c r="M530" s="460"/>
      <c r="N530" s="460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 ht="15.75" customHeight="1">
      <c r="A531" s="179"/>
      <c r="B531" s="179"/>
      <c r="C531" s="460"/>
      <c r="D531" s="460"/>
      <c r="E531" s="460"/>
      <c r="F531" s="460"/>
      <c r="G531" s="460"/>
      <c r="H531" s="460"/>
      <c r="I531" s="460"/>
      <c r="J531" s="460"/>
      <c r="K531" s="460"/>
      <c r="L531" s="460"/>
      <c r="M531" s="460"/>
      <c r="N531" s="460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 ht="15.75" customHeight="1">
      <c r="A532" s="179"/>
      <c r="B532" s="179"/>
      <c r="C532" s="460"/>
      <c r="D532" s="460"/>
      <c r="E532" s="460"/>
      <c r="F532" s="460"/>
      <c r="G532" s="460"/>
      <c r="H532" s="460"/>
      <c r="I532" s="460"/>
      <c r="J532" s="460"/>
      <c r="K532" s="460"/>
      <c r="L532" s="460"/>
      <c r="M532" s="460"/>
      <c r="N532" s="460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 ht="15.75" customHeight="1">
      <c r="A533" s="179"/>
      <c r="B533" s="179"/>
      <c r="C533" s="460"/>
      <c r="D533" s="460"/>
      <c r="E533" s="460"/>
      <c r="F533" s="460"/>
      <c r="G533" s="460"/>
      <c r="H533" s="460"/>
      <c r="I533" s="460"/>
      <c r="J533" s="460"/>
      <c r="K533" s="460"/>
      <c r="L533" s="460"/>
      <c r="M533" s="460"/>
      <c r="N533" s="460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 ht="15.75" customHeight="1">
      <c r="A534" s="179"/>
      <c r="B534" s="179"/>
      <c r="C534" s="460"/>
      <c r="D534" s="460"/>
      <c r="E534" s="460"/>
      <c r="F534" s="460"/>
      <c r="G534" s="460"/>
      <c r="H534" s="460"/>
      <c r="I534" s="460"/>
      <c r="J534" s="460"/>
      <c r="K534" s="460"/>
      <c r="L534" s="460"/>
      <c r="M534" s="460"/>
      <c r="N534" s="460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 ht="15.75" customHeight="1">
      <c r="A535" s="179"/>
      <c r="B535" s="179"/>
      <c r="C535" s="460"/>
      <c r="D535" s="460"/>
      <c r="E535" s="460"/>
      <c r="F535" s="460"/>
      <c r="G535" s="460"/>
      <c r="H535" s="460"/>
      <c r="I535" s="460"/>
      <c r="J535" s="460"/>
      <c r="K535" s="460"/>
      <c r="L535" s="460"/>
      <c r="M535" s="460"/>
      <c r="N535" s="460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 ht="15.75" customHeight="1">
      <c r="A536" s="179"/>
      <c r="B536" s="179"/>
      <c r="C536" s="460"/>
      <c r="D536" s="460"/>
      <c r="E536" s="460"/>
      <c r="F536" s="460"/>
      <c r="G536" s="460"/>
      <c r="H536" s="460"/>
      <c r="I536" s="460"/>
      <c r="J536" s="460"/>
      <c r="K536" s="460"/>
      <c r="L536" s="460"/>
      <c r="M536" s="460"/>
      <c r="N536" s="460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 ht="15.75" customHeight="1">
      <c r="A537" s="179"/>
      <c r="B537" s="179"/>
      <c r="C537" s="460"/>
      <c r="D537" s="460"/>
      <c r="E537" s="460"/>
      <c r="F537" s="460"/>
      <c r="G537" s="460"/>
      <c r="H537" s="460"/>
      <c r="I537" s="460"/>
      <c r="J537" s="460"/>
      <c r="K537" s="460"/>
      <c r="L537" s="460"/>
      <c r="M537" s="460"/>
      <c r="N537" s="460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 ht="15.75" customHeight="1">
      <c r="A538" s="179"/>
      <c r="B538" s="179"/>
      <c r="C538" s="460"/>
      <c r="D538" s="460"/>
      <c r="E538" s="460"/>
      <c r="F538" s="460"/>
      <c r="G538" s="460"/>
      <c r="H538" s="460"/>
      <c r="I538" s="460"/>
      <c r="J538" s="460"/>
      <c r="K538" s="460"/>
      <c r="L538" s="460"/>
      <c r="M538" s="460"/>
      <c r="N538" s="460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 ht="15.75" customHeight="1">
      <c r="A539" s="179"/>
      <c r="B539" s="179"/>
      <c r="C539" s="460"/>
      <c r="D539" s="460"/>
      <c r="E539" s="460"/>
      <c r="F539" s="460"/>
      <c r="G539" s="460"/>
      <c r="H539" s="460"/>
      <c r="I539" s="460"/>
      <c r="J539" s="460"/>
      <c r="K539" s="460"/>
      <c r="L539" s="460"/>
      <c r="M539" s="460"/>
      <c r="N539" s="460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 ht="15.75" customHeight="1">
      <c r="A540" s="179"/>
      <c r="B540" s="179"/>
      <c r="C540" s="460"/>
      <c r="D540" s="460"/>
      <c r="E540" s="460"/>
      <c r="F540" s="460"/>
      <c r="G540" s="460"/>
      <c r="H540" s="460"/>
      <c r="I540" s="460"/>
      <c r="J540" s="460"/>
      <c r="K540" s="460"/>
      <c r="L540" s="460"/>
      <c r="M540" s="460"/>
      <c r="N540" s="460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 ht="15.75" customHeight="1">
      <c r="A541" s="179"/>
      <c r="B541" s="179"/>
      <c r="C541" s="460"/>
      <c r="D541" s="460"/>
      <c r="E541" s="460"/>
      <c r="F541" s="460"/>
      <c r="G541" s="460"/>
      <c r="H541" s="460"/>
      <c r="I541" s="460"/>
      <c r="J541" s="460"/>
      <c r="K541" s="460"/>
      <c r="L541" s="460"/>
      <c r="M541" s="460"/>
      <c r="N541" s="460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 ht="15.75" customHeight="1">
      <c r="A542" s="179"/>
      <c r="B542" s="179"/>
      <c r="C542" s="460"/>
      <c r="D542" s="460"/>
      <c r="E542" s="460"/>
      <c r="F542" s="460"/>
      <c r="G542" s="460"/>
      <c r="H542" s="460"/>
      <c r="I542" s="460"/>
      <c r="J542" s="460"/>
      <c r="K542" s="460"/>
      <c r="L542" s="460"/>
      <c r="M542" s="460"/>
      <c r="N542" s="460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 ht="15.75" customHeight="1">
      <c r="A543" s="179"/>
      <c r="B543" s="179"/>
      <c r="C543" s="460"/>
      <c r="D543" s="460"/>
      <c r="E543" s="460"/>
      <c r="F543" s="460"/>
      <c r="G543" s="460"/>
      <c r="H543" s="460"/>
      <c r="I543" s="460"/>
      <c r="J543" s="460"/>
      <c r="K543" s="460"/>
      <c r="L543" s="460"/>
      <c r="M543" s="460"/>
      <c r="N543" s="460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 ht="15.75" customHeight="1">
      <c r="A544" s="179"/>
      <c r="B544" s="179"/>
      <c r="C544" s="460"/>
      <c r="D544" s="460"/>
      <c r="E544" s="460"/>
      <c r="F544" s="460"/>
      <c r="G544" s="460"/>
      <c r="H544" s="460"/>
      <c r="I544" s="460"/>
      <c r="J544" s="460"/>
      <c r="K544" s="460"/>
      <c r="L544" s="460"/>
      <c r="M544" s="460"/>
      <c r="N544" s="460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 ht="15.75" customHeight="1">
      <c r="A545" s="179"/>
      <c r="B545" s="179"/>
      <c r="C545" s="460"/>
      <c r="D545" s="460"/>
      <c r="E545" s="460"/>
      <c r="F545" s="460"/>
      <c r="G545" s="460"/>
      <c r="H545" s="460"/>
      <c r="I545" s="460"/>
      <c r="J545" s="460"/>
      <c r="K545" s="460"/>
      <c r="L545" s="460"/>
      <c r="M545" s="460"/>
      <c r="N545" s="460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 ht="15.75" customHeight="1">
      <c r="A546" s="179"/>
      <c r="B546" s="179"/>
      <c r="C546" s="460"/>
      <c r="D546" s="460"/>
      <c r="E546" s="460"/>
      <c r="F546" s="460"/>
      <c r="G546" s="460"/>
      <c r="H546" s="460"/>
      <c r="I546" s="460"/>
      <c r="J546" s="460"/>
      <c r="K546" s="460"/>
      <c r="L546" s="460"/>
      <c r="M546" s="460"/>
      <c r="N546" s="460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 ht="15.75" customHeight="1">
      <c r="A547" s="179"/>
      <c r="B547" s="179"/>
      <c r="C547" s="460"/>
      <c r="D547" s="460"/>
      <c r="E547" s="460"/>
      <c r="F547" s="460"/>
      <c r="G547" s="460"/>
      <c r="H547" s="460"/>
      <c r="I547" s="460"/>
      <c r="J547" s="460"/>
      <c r="K547" s="460"/>
      <c r="L547" s="460"/>
      <c r="M547" s="460"/>
      <c r="N547" s="460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 ht="15.75" customHeight="1">
      <c r="A548" s="179"/>
      <c r="B548" s="179"/>
      <c r="C548" s="460"/>
      <c r="D548" s="460"/>
      <c r="E548" s="460"/>
      <c r="F548" s="460"/>
      <c r="G548" s="460"/>
      <c r="H548" s="460"/>
      <c r="I548" s="460"/>
      <c r="J548" s="460"/>
      <c r="K548" s="460"/>
      <c r="L548" s="460"/>
      <c r="M548" s="460"/>
      <c r="N548" s="460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 ht="15.75" customHeight="1">
      <c r="A549" s="179"/>
      <c r="B549" s="179"/>
      <c r="C549" s="460"/>
      <c r="D549" s="460"/>
      <c r="E549" s="460"/>
      <c r="F549" s="460"/>
      <c r="G549" s="460"/>
      <c r="H549" s="460"/>
      <c r="I549" s="460"/>
      <c r="J549" s="460"/>
      <c r="K549" s="460"/>
      <c r="L549" s="460"/>
      <c r="M549" s="460"/>
      <c r="N549" s="460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 ht="15.75" customHeight="1">
      <c r="A550" s="179"/>
      <c r="B550" s="179"/>
      <c r="C550" s="460"/>
      <c r="D550" s="460"/>
      <c r="E550" s="460"/>
      <c r="F550" s="460"/>
      <c r="G550" s="460"/>
      <c r="H550" s="460"/>
      <c r="I550" s="460"/>
      <c r="J550" s="460"/>
      <c r="K550" s="460"/>
      <c r="L550" s="460"/>
      <c r="M550" s="460"/>
      <c r="N550" s="460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 ht="15.75" customHeight="1">
      <c r="A551" s="179"/>
      <c r="B551" s="179"/>
      <c r="C551" s="460"/>
      <c r="D551" s="460"/>
      <c r="E551" s="460"/>
      <c r="F551" s="460"/>
      <c r="G551" s="460"/>
      <c r="H551" s="460"/>
      <c r="I551" s="460"/>
      <c r="J551" s="460"/>
      <c r="K551" s="460"/>
      <c r="L551" s="460"/>
      <c r="M551" s="460"/>
      <c r="N551" s="460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 ht="15.75" customHeight="1">
      <c r="A552" s="179"/>
      <c r="B552" s="179"/>
      <c r="C552" s="460"/>
      <c r="D552" s="460"/>
      <c r="E552" s="460"/>
      <c r="F552" s="460"/>
      <c r="G552" s="460"/>
      <c r="H552" s="460"/>
      <c r="I552" s="460"/>
      <c r="J552" s="460"/>
      <c r="K552" s="460"/>
      <c r="L552" s="460"/>
      <c r="M552" s="460"/>
      <c r="N552" s="460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 ht="15.75" customHeight="1">
      <c r="A553" s="179"/>
      <c r="B553" s="179"/>
      <c r="C553" s="460"/>
      <c r="D553" s="460"/>
      <c r="E553" s="460"/>
      <c r="F553" s="460"/>
      <c r="G553" s="460"/>
      <c r="H553" s="460"/>
      <c r="I553" s="460"/>
      <c r="J553" s="460"/>
      <c r="K553" s="460"/>
      <c r="L553" s="460"/>
      <c r="M553" s="460"/>
      <c r="N553" s="460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 ht="15.75" customHeight="1">
      <c r="A554" s="179"/>
      <c r="B554" s="179"/>
      <c r="C554" s="460"/>
      <c r="D554" s="460"/>
      <c r="E554" s="460"/>
      <c r="F554" s="460"/>
      <c r="G554" s="460"/>
      <c r="H554" s="460"/>
      <c r="I554" s="460"/>
      <c r="J554" s="460"/>
      <c r="K554" s="460"/>
      <c r="L554" s="460"/>
      <c r="M554" s="460"/>
      <c r="N554" s="460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 ht="15.75" customHeight="1">
      <c r="A555" s="179"/>
      <c r="B555" s="179"/>
      <c r="C555" s="460"/>
      <c r="D555" s="460"/>
      <c r="E555" s="460"/>
      <c r="F555" s="460"/>
      <c r="G555" s="460"/>
      <c r="H555" s="460"/>
      <c r="I555" s="460"/>
      <c r="J555" s="460"/>
      <c r="K555" s="460"/>
      <c r="L555" s="460"/>
      <c r="M555" s="460"/>
      <c r="N555" s="460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 ht="15.75" customHeight="1">
      <c r="A556" s="179"/>
      <c r="B556" s="179"/>
      <c r="C556" s="460"/>
      <c r="D556" s="460"/>
      <c r="E556" s="460"/>
      <c r="F556" s="460"/>
      <c r="G556" s="460"/>
      <c r="H556" s="460"/>
      <c r="I556" s="460"/>
      <c r="J556" s="460"/>
      <c r="K556" s="460"/>
      <c r="L556" s="460"/>
      <c r="M556" s="460"/>
      <c r="N556" s="460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 ht="15.75" customHeight="1">
      <c r="A557" s="179"/>
      <c r="B557" s="179"/>
      <c r="C557" s="460"/>
      <c r="D557" s="460"/>
      <c r="E557" s="460"/>
      <c r="F557" s="460"/>
      <c r="G557" s="460"/>
      <c r="H557" s="460"/>
      <c r="I557" s="460"/>
      <c r="J557" s="460"/>
      <c r="K557" s="460"/>
      <c r="L557" s="460"/>
      <c r="M557" s="460"/>
      <c r="N557" s="460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 ht="15.75" customHeight="1">
      <c r="A558" s="179"/>
      <c r="B558" s="179"/>
      <c r="C558" s="460"/>
      <c r="D558" s="460"/>
      <c r="E558" s="460"/>
      <c r="F558" s="460"/>
      <c r="G558" s="460"/>
      <c r="H558" s="460"/>
      <c r="I558" s="460"/>
      <c r="J558" s="460"/>
      <c r="K558" s="460"/>
      <c r="L558" s="460"/>
      <c r="M558" s="460"/>
      <c r="N558" s="460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 ht="15.75" customHeight="1">
      <c r="A559" s="179"/>
      <c r="B559" s="179"/>
      <c r="C559" s="460"/>
      <c r="D559" s="460"/>
      <c r="E559" s="460"/>
      <c r="F559" s="460"/>
      <c r="G559" s="460"/>
      <c r="H559" s="460"/>
      <c r="I559" s="460"/>
      <c r="J559" s="460"/>
      <c r="K559" s="460"/>
      <c r="L559" s="460"/>
      <c r="M559" s="460"/>
      <c r="N559" s="460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 ht="15.75" customHeight="1">
      <c r="A560" s="179"/>
      <c r="B560" s="179"/>
      <c r="C560" s="460"/>
      <c r="D560" s="460"/>
      <c r="E560" s="460"/>
      <c r="F560" s="460"/>
      <c r="G560" s="460"/>
      <c r="H560" s="460"/>
      <c r="I560" s="460"/>
      <c r="J560" s="460"/>
      <c r="K560" s="460"/>
      <c r="L560" s="460"/>
      <c r="M560" s="460"/>
      <c r="N560" s="460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 ht="15.75" customHeight="1">
      <c r="A561" s="179"/>
      <c r="B561" s="179"/>
      <c r="C561" s="460"/>
      <c r="D561" s="460"/>
      <c r="E561" s="460"/>
      <c r="F561" s="460"/>
      <c r="G561" s="460"/>
      <c r="H561" s="460"/>
      <c r="I561" s="460"/>
      <c r="J561" s="460"/>
      <c r="K561" s="460"/>
      <c r="L561" s="460"/>
      <c r="M561" s="460"/>
      <c r="N561" s="460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 ht="15.75" customHeight="1">
      <c r="A562" s="179"/>
      <c r="B562" s="179"/>
      <c r="C562" s="460"/>
      <c r="D562" s="460"/>
      <c r="E562" s="460"/>
      <c r="F562" s="460"/>
      <c r="G562" s="460"/>
      <c r="H562" s="460"/>
      <c r="I562" s="460"/>
      <c r="J562" s="460"/>
      <c r="K562" s="460"/>
      <c r="L562" s="460"/>
      <c r="M562" s="460"/>
      <c r="N562" s="460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 ht="15.75" customHeight="1">
      <c r="A563" s="179"/>
      <c r="B563" s="179"/>
      <c r="C563" s="460"/>
      <c r="D563" s="460"/>
      <c r="E563" s="460"/>
      <c r="F563" s="460"/>
      <c r="G563" s="460"/>
      <c r="H563" s="460"/>
      <c r="I563" s="460"/>
      <c r="J563" s="460"/>
      <c r="K563" s="460"/>
      <c r="L563" s="460"/>
      <c r="M563" s="460"/>
      <c r="N563" s="460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 ht="15.75" customHeight="1">
      <c r="A564" s="179"/>
      <c r="B564" s="179"/>
      <c r="C564" s="460"/>
      <c r="D564" s="460"/>
      <c r="E564" s="460"/>
      <c r="F564" s="460"/>
      <c r="G564" s="460"/>
      <c r="H564" s="460"/>
      <c r="I564" s="460"/>
      <c r="J564" s="460"/>
      <c r="K564" s="460"/>
      <c r="L564" s="460"/>
      <c r="M564" s="460"/>
      <c r="N564" s="460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 ht="15.75" customHeight="1">
      <c r="A565" s="179"/>
      <c r="B565" s="179"/>
      <c r="C565" s="460"/>
      <c r="D565" s="460"/>
      <c r="E565" s="460"/>
      <c r="F565" s="460"/>
      <c r="G565" s="460"/>
      <c r="H565" s="460"/>
      <c r="I565" s="460"/>
      <c r="J565" s="460"/>
      <c r="K565" s="460"/>
      <c r="L565" s="460"/>
      <c r="M565" s="460"/>
      <c r="N565" s="460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 ht="15.75" customHeight="1">
      <c r="A566" s="179"/>
      <c r="B566" s="179"/>
      <c r="C566" s="460"/>
      <c r="D566" s="460"/>
      <c r="E566" s="460"/>
      <c r="F566" s="460"/>
      <c r="G566" s="460"/>
      <c r="H566" s="460"/>
      <c r="I566" s="460"/>
      <c r="J566" s="460"/>
      <c r="K566" s="460"/>
      <c r="L566" s="460"/>
      <c r="M566" s="460"/>
      <c r="N566" s="460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 ht="15.75" customHeight="1">
      <c r="A567" s="179"/>
      <c r="B567" s="179"/>
      <c r="C567" s="460"/>
      <c r="D567" s="460"/>
      <c r="E567" s="460"/>
      <c r="F567" s="460"/>
      <c r="G567" s="460"/>
      <c r="H567" s="460"/>
      <c r="I567" s="460"/>
      <c r="J567" s="460"/>
      <c r="K567" s="460"/>
      <c r="L567" s="460"/>
      <c r="M567" s="460"/>
      <c r="N567" s="460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 ht="15.75" customHeight="1">
      <c r="A568" s="179"/>
      <c r="B568" s="179"/>
      <c r="C568" s="460"/>
      <c r="D568" s="460"/>
      <c r="E568" s="460"/>
      <c r="F568" s="460"/>
      <c r="G568" s="460"/>
      <c r="H568" s="460"/>
      <c r="I568" s="460"/>
      <c r="J568" s="460"/>
      <c r="K568" s="460"/>
      <c r="L568" s="460"/>
      <c r="M568" s="460"/>
      <c r="N568" s="460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 ht="15.75" customHeight="1">
      <c r="A569" s="179"/>
      <c r="B569" s="179"/>
      <c r="C569" s="460"/>
      <c r="D569" s="460"/>
      <c r="E569" s="460"/>
      <c r="F569" s="460"/>
      <c r="G569" s="460"/>
      <c r="H569" s="460"/>
      <c r="I569" s="460"/>
      <c r="J569" s="460"/>
      <c r="K569" s="460"/>
      <c r="L569" s="460"/>
      <c r="M569" s="460"/>
      <c r="N569" s="460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 ht="15.75" customHeight="1">
      <c r="A570" s="179"/>
      <c r="B570" s="179"/>
      <c r="C570" s="460"/>
      <c r="D570" s="460"/>
      <c r="E570" s="460"/>
      <c r="F570" s="460"/>
      <c r="G570" s="460"/>
      <c r="H570" s="460"/>
      <c r="I570" s="460"/>
      <c r="J570" s="460"/>
      <c r="K570" s="460"/>
      <c r="L570" s="460"/>
      <c r="M570" s="460"/>
      <c r="N570" s="460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 ht="15.75" customHeight="1">
      <c r="A571" s="179"/>
      <c r="B571" s="179"/>
      <c r="C571" s="460"/>
      <c r="D571" s="460"/>
      <c r="E571" s="460"/>
      <c r="F571" s="460"/>
      <c r="G571" s="460"/>
      <c r="H571" s="460"/>
      <c r="I571" s="460"/>
      <c r="J571" s="460"/>
      <c r="K571" s="460"/>
      <c r="L571" s="460"/>
      <c r="M571" s="460"/>
      <c r="N571" s="460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 ht="15.75" customHeight="1">
      <c r="A572" s="179"/>
      <c r="B572" s="179"/>
      <c r="C572" s="460"/>
      <c r="D572" s="460"/>
      <c r="E572" s="460"/>
      <c r="F572" s="460"/>
      <c r="G572" s="460"/>
      <c r="H572" s="460"/>
      <c r="I572" s="460"/>
      <c r="J572" s="460"/>
      <c r="K572" s="460"/>
      <c r="L572" s="460"/>
      <c r="M572" s="460"/>
      <c r="N572" s="460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 ht="15.75" customHeight="1">
      <c r="A573" s="179"/>
      <c r="B573" s="179"/>
      <c r="C573" s="460"/>
      <c r="D573" s="460"/>
      <c r="E573" s="460"/>
      <c r="F573" s="460"/>
      <c r="G573" s="460"/>
      <c r="H573" s="460"/>
      <c r="I573" s="460"/>
      <c r="J573" s="460"/>
      <c r="K573" s="460"/>
      <c r="L573" s="460"/>
      <c r="M573" s="460"/>
      <c r="N573" s="460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 ht="15.75" customHeight="1">
      <c r="A574" s="179"/>
      <c r="B574" s="179"/>
      <c r="C574" s="460"/>
      <c r="D574" s="460"/>
      <c r="E574" s="460"/>
      <c r="F574" s="460"/>
      <c r="G574" s="460"/>
      <c r="H574" s="460"/>
      <c r="I574" s="460"/>
      <c r="J574" s="460"/>
      <c r="K574" s="460"/>
      <c r="L574" s="460"/>
      <c r="M574" s="460"/>
      <c r="N574" s="460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 ht="15.75" customHeight="1">
      <c r="A575" s="179"/>
      <c r="B575" s="179"/>
      <c r="C575" s="460"/>
      <c r="D575" s="460"/>
      <c r="E575" s="460"/>
      <c r="F575" s="460"/>
      <c r="G575" s="460"/>
      <c r="H575" s="460"/>
      <c r="I575" s="460"/>
      <c r="J575" s="460"/>
      <c r="K575" s="460"/>
      <c r="L575" s="460"/>
      <c r="M575" s="460"/>
      <c r="N575" s="460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 ht="15.75" customHeight="1">
      <c r="A576" s="179"/>
      <c r="B576" s="179"/>
      <c r="C576" s="460"/>
      <c r="D576" s="460"/>
      <c r="E576" s="460"/>
      <c r="F576" s="460"/>
      <c r="G576" s="460"/>
      <c r="H576" s="460"/>
      <c r="I576" s="460"/>
      <c r="J576" s="460"/>
      <c r="K576" s="460"/>
      <c r="L576" s="460"/>
      <c r="M576" s="460"/>
      <c r="N576" s="460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 ht="15.75" customHeight="1">
      <c r="A577" s="179"/>
      <c r="B577" s="179"/>
      <c r="C577" s="460"/>
      <c r="D577" s="460"/>
      <c r="E577" s="460"/>
      <c r="F577" s="460"/>
      <c r="G577" s="460"/>
      <c r="H577" s="460"/>
      <c r="I577" s="460"/>
      <c r="J577" s="460"/>
      <c r="K577" s="460"/>
      <c r="L577" s="460"/>
      <c r="M577" s="460"/>
      <c r="N577" s="460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 ht="15.75" customHeight="1">
      <c r="A578" s="179"/>
      <c r="B578" s="179"/>
      <c r="C578" s="460"/>
      <c r="D578" s="460"/>
      <c r="E578" s="460"/>
      <c r="F578" s="460"/>
      <c r="G578" s="460"/>
      <c r="H578" s="460"/>
      <c r="I578" s="460"/>
      <c r="J578" s="460"/>
      <c r="K578" s="460"/>
      <c r="L578" s="460"/>
      <c r="M578" s="460"/>
      <c r="N578" s="460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 ht="15.75" customHeight="1">
      <c r="A579" s="179"/>
      <c r="B579" s="179"/>
      <c r="C579" s="460"/>
      <c r="D579" s="460"/>
      <c r="E579" s="460"/>
      <c r="F579" s="460"/>
      <c r="G579" s="460"/>
      <c r="H579" s="460"/>
      <c r="I579" s="460"/>
      <c r="J579" s="460"/>
      <c r="K579" s="460"/>
      <c r="L579" s="460"/>
      <c r="M579" s="460"/>
      <c r="N579" s="460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 ht="15.75" customHeight="1">
      <c r="A580" s="179"/>
      <c r="B580" s="179"/>
      <c r="C580" s="460"/>
      <c r="D580" s="460"/>
      <c r="E580" s="460"/>
      <c r="F580" s="460"/>
      <c r="G580" s="460"/>
      <c r="H580" s="460"/>
      <c r="I580" s="460"/>
      <c r="J580" s="460"/>
      <c r="K580" s="460"/>
      <c r="L580" s="460"/>
      <c r="M580" s="460"/>
      <c r="N580" s="460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 ht="15.75" customHeight="1">
      <c r="A581" s="179"/>
      <c r="B581" s="179"/>
      <c r="C581" s="460"/>
      <c r="D581" s="460"/>
      <c r="E581" s="460"/>
      <c r="F581" s="460"/>
      <c r="G581" s="460"/>
      <c r="H581" s="460"/>
      <c r="I581" s="460"/>
      <c r="J581" s="460"/>
      <c r="K581" s="460"/>
      <c r="L581" s="460"/>
      <c r="M581" s="460"/>
      <c r="N581" s="460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 ht="15.75" customHeight="1">
      <c r="A582" s="179"/>
      <c r="B582" s="179"/>
      <c r="C582" s="460"/>
      <c r="D582" s="460"/>
      <c r="E582" s="460"/>
      <c r="F582" s="460"/>
      <c r="G582" s="460"/>
      <c r="H582" s="460"/>
      <c r="I582" s="460"/>
      <c r="J582" s="460"/>
      <c r="K582" s="460"/>
      <c r="L582" s="460"/>
      <c r="M582" s="460"/>
      <c r="N582" s="460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 ht="15.75" customHeight="1">
      <c r="A583" s="179"/>
      <c r="B583" s="179"/>
      <c r="C583" s="460"/>
      <c r="D583" s="460"/>
      <c r="E583" s="460"/>
      <c r="F583" s="460"/>
      <c r="G583" s="460"/>
      <c r="H583" s="460"/>
      <c r="I583" s="460"/>
      <c r="J583" s="460"/>
      <c r="K583" s="460"/>
      <c r="L583" s="460"/>
      <c r="M583" s="460"/>
      <c r="N583" s="460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 ht="15.75" customHeight="1">
      <c r="A584" s="179"/>
      <c r="B584" s="179"/>
      <c r="C584" s="460"/>
      <c r="D584" s="460"/>
      <c r="E584" s="460"/>
      <c r="F584" s="460"/>
      <c r="G584" s="460"/>
      <c r="H584" s="460"/>
      <c r="I584" s="460"/>
      <c r="J584" s="460"/>
      <c r="K584" s="460"/>
      <c r="L584" s="460"/>
      <c r="M584" s="460"/>
      <c r="N584" s="460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 ht="15.75" customHeight="1">
      <c r="A585" s="179"/>
      <c r="B585" s="179"/>
      <c r="C585" s="460"/>
      <c r="D585" s="460"/>
      <c r="E585" s="460"/>
      <c r="F585" s="460"/>
      <c r="G585" s="460"/>
      <c r="H585" s="460"/>
      <c r="I585" s="460"/>
      <c r="J585" s="460"/>
      <c r="K585" s="460"/>
      <c r="L585" s="460"/>
      <c r="M585" s="460"/>
      <c r="N585" s="460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 ht="15.75" customHeight="1">
      <c r="A586" s="179"/>
      <c r="B586" s="179"/>
      <c r="C586" s="460"/>
      <c r="D586" s="460"/>
      <c r="E586" s="460"/>
      <c r="F586" s="460"/>
      <c r="G586" s="460"/>
      <c r="H586" s="460"/>
      <c r="I586" s="460"/>
      <c r="J586" s="460"/>
      <c r="K586" s="460"/>
      <c r="L586" s="460"/>
      <c r="M586" s="460"/>
      <c r="N586" s="460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 ht="15.75" customHeight="1">
      <c r="A587" s="179"/>
      <c r="B587" s="179"/>
      <c r="C587" s="460"/>
      <c r="D587" s="460"/>
      <c r="E587" s="460"/>
      <c r="F587" s="460"/>
      <c r="G587" s="460"/>
      <c r="H587" s="460"/>
      <c r="I587" s="460"/>
      <c r="J587" s="460"/>
      <c r="K587" s="460"/>
      <c r="L587" s="460"/>
      <c r="M587" s="460"/>
      <c r="N587" s="460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 ht="15.75" customHeight="1">
      <c r="A588" s="179"/>
      <c r="B588" s="179"/>
      <c r="C588" s="460"/>
      <c r="D588" s="460"/>
      <c r="E588" s="460"/>
      <c r="F588" s="460"/>
      <c r="G588" s="460"/>
      <c r="H588" s="460"/>
      <c r="I588" s="460"/>
      <c r="J588" s="460"/>
      <c r="K588" s="460"/>
      <c r="L588" s="460"/>
      <c r="M588" s="460"/>
      <c r="N588" s="460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 ht="15.75" customHeight="1">
      <c r="A589" s="179"/>
      <c r="B589" s="179"/>
      <c r="C589" s="460"/>
      <c r="D589" s="460"/>
      <c r="E589" s="460"/>
      <c r="F589" s="460"/>
      <c r="G589" s="460"/>
      <c r="H589" s="460"/>
      <c r="I589" s="460"/>
      <c r="J589" s="460"/>
      <c r="K589" s="460"/>
      <c r="L589" s="460"/>
      <c r="M589" s="460"/>
      <c r="N589" s="460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 ht="15.75" customHeight="1">
      <c r="A590" s="179"/>
      <c r="B590" s="179"/>
      <c r="C590" s="460"/>
      <c r="D590" s="460"/>
      <c r="E590" s="460"/>
      <c r="F590" s="460"/>
      <c r="G590" s="460"/>
      <c r="H590" s="460"/>
      <c r="I590" s="460"/>
      <c r="J590" s="460"/>
      <c r="K590" s="460"/>
      <c r="L590" s="460"/>
      <c r="M590" s="460"/>
      <c r="N590" s="460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 ht="15.75" customHeight="1">
      <c r="A591" s="179"/>
      <c r="B591" s="179"/>
      <c r="C591" s="460"/>
      <c r="D591" s="460"/>
      <c r="E591" s="460"/>
      <c r="F591" s="460"/>
      <c r="G591" s="460"/>
      <c r="H591" s="460"/>
      <c r="I591" s="460"/>
      <c r="J591" s="460"/>
      <c r="K591" s="460"/>
      <c r="L591" s="460"/>
      <c r="M591" s="460"/>
      <c r="N591" s="460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 ht="15.75" customHeight="1">
      <c r="A592" s="179"/>
      <c r="B592" s="179"/>
      <c r="C592" s="460"/>
      <c r="D592" s="460"/>
      <c r="E592" s="460"/>
      <c r="F592" s="460"/>
      <c r="G592" s="460"/>
      <c r="H592" s="460"/>
      <c r="I592" s="460"/>
      <c r="J592" s="460"/>
      <c r="K592" s="460"/>
      <c r="L592" s="460"/>
      <c r="M592" s="460"/>
      <c r="N592" s="460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 ht="15.75" customHeight="1">
      <c r="A593" s="179"/>
      <c r="B593" s="179"/>
      <c r="C593" s="460"/>
      <c r="D593" s="460"/>
      <c r="E593" s="460"/>
      <c r="F593" s="460"/>
      <c r="G593" s="460"/>
      <c r="H593" s="460"/>
      <c r="I593" s="460"/>
      <c r="J593" s="460"/>
      <c r="K593" s="460"/>
      <c r="L593" s="460"/>
      <c r="M593" s="460"/>
      <c r="N593" s="460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 ht="15.75" customHeight="1">
      <c r="A594" s="179"/>
      <c r="B594" s="179"/>
      <c r="C594" s="460"/>
      <c r="D594" s="460"/>
      <c r="E594" s="460"/>
      <c r="F594" s="460"/>
      <c r="G594" s="460"/>
      <c r="H594" s="460"/>
      <c r="I594" s="460"/>
      <c r="J594" s="460"/>
      <c r="K594" s="460"/>
      <c r="L594" s="460"/>
      <c r="M594" s="460"/>
      <c r="N594" s="460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 ht="15.75" customHeight="1">
      <c r="A595" s="179"/>
      <c r="B595" s="179"/>
      <c r="C595" s="460"/>
      <c r="D595" s="460"/>
      <c r="E595" s="460"/>
      <c r="F595" s="460"/>
      <c r="G595" s="460"/>
      <c r="H595" s="460"/>
      <c r="I595" s="460"/>
      <c r="J595" s="460"/>
      <c r="K595" s="460"/>
      <c r="L595" s="460"/>
      <c r="M595" s="460"/>
      <c r="N595" s="460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 ht="15.75" customHeight="1">
      <c r="A596" s="179"/>
      <c r="B596" s="179"/>
      <c r="C596" s="460"/>
      <c r="D596" s="460"/>
      <c r="E596" s="460"/>
      <c r="F596" s="460"/>
      <c r="G596" s="460"/>
      <c r="H596" s="460"/>
      <c r="I596" s="460"/>
      <c r="J596" s="460"/>
      <c r="K596" s="460"/>
      <c r="L596" s="460"/>
      <c r="M596" s="460"/>
      <c r="N596" s="460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 ht="15.75" customHeight="1">
      <c r="A597" s="179"/>
      <c r="B597" s="179"/>
      <c r="C597" s="460"/>
      <c r="D597" s="460"/>
      <c r="E597" s="460"/>
      <c r="F597" s="460"/>
      <c r="G597" s="460"/>
      <c r="H597" s="460"/>
      <c r="I597" s="460"/>
      <c r="J597" s="460"/>
      <c r="K597" s="460"/>
      <c r="L597" s="460"/>
      <c r="M597" s="460"/>
      <c r="N597" s="460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 ht="15.75" customHeight="1">
      <c r="A598" s="179"/>
      <c r="B598" s="179"/>
      <c r="C598" s="460"/>
      <c r="D598" s="460"/>
      <c r="E598" s="460"/>
      <c r="F598" s="460"/>
      <c r="G598" s="460"/>
      <c r="H598" s="460"/>
      <c r="I598" s="460"/>
      <c r="J598" s="460"/>
      <c r="K598" s="460"/>
      <c r="L598" s="460"/>
      <c r="M598" s="460"/>
      <c r="N598" s="460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 ht="15.75" customHeight="1">
      <c r="A599" s="179"/>
      <c r="B599" s="179"/>
      <c r="C599" s="460"/>
      <c r="D599" s="460"/>
      <c r="E599" s="460"/>
      <c r="F599" s="460"/>
      <c r="G599" s="460"/>
      <c r="H599" s="460"/>
      <c r="I599" s="460"/>
      <c r="J599" s="460"/>
      <c r="K599" s="460"/>
      <c r="L599" s="460"/>
      <c r="M599" s="460"/>
      <c r="N599" s="460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 ht="15.75" customHeight="1">
      <c r="A600" s="179"/>
      <c r="B600" s="179"/>
      <c r="C600" s="460"/>
      <c r="D600" s="460"/>
      <c r="E600" s="460"/>
      <c r="F600" s="460"/>
      <c r="G600" s="460"/>
      <c r="H600" s="460"/>
      <c r="I600" s="460"/>
      <c r="J600" s="460"/>
      <c r="K600" s="460"/>
      <c r="L600" s="460"/>
      <c r="M600" s="460"/>
      <c r="N600" s="460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 ht="15.75" customHeight="1">
      <c r="A601" s="179"/>
      <c r="B601" s="179"/>
      <c r="C601" s="460"/>
      <c r="D601" s="460"/>
      <c r="E601" s="460"/>
      <c r="F601" s="460"/>
      <c r="G601" s="460"/>
      <c r="H601" s="460"/>
      <c r="I601" s="460"/>
      <c r="J601" s="460"/>
      <c r="K601" s="460"/>
      <c r="L601" s="460"/>
      <c r="M601" s="460"/>
      <c r="N601" s="460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 ht="15.75" customHeight="1">
      <c r="A602" s="179"/>
      <c r="B602" s="179"/>
      <c r="C602" s="460"/>
      <c r="D602" s="460"/>
      <c r="E602" s="460"/>
      <c r="F602" s="460"/>
      <c r="G602" s="460"/>
      <c r="H602" s="460"/>
      <c r="I602" s="460"/>
      <c r="J602" s="460"/>
      <c r="K602" s="460"/>
      <c r="L602" s="460"/>
      <c r="M602" s="460"/>
      <c r="N602" s="460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 ht="15.75" customHeight="1">
      <c r="A603" s="179"/>
      <c r="B603" s="179"/>
      <c r="C603" s="460"/>
      <c r="D603" s="460"/>
      <c r="E603" s="460"/>
      <c r="F603" s="460"/>
      <c r="G603" s="460"/>
      <c r="H603" s="460"/>
      <c r="I603" s="460"/>
      <c r="J603" s="460"/>
      <c r="K603" s="460"/>
      <c r="L603" s="460"/>
      <c r="M603" s="460"/>
      <c r="N603" s="460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 ht="15.75" customHeight="1">
      <c r="A604" s="179"/>
      <c r="B604" s="179"/>
      <c r="C604" s="460"/>
      <c r="D604" s="460"/>
      <c r="E604" s="460"/>
      <c r="F604" s="460"/>
      <c r="G604" s="460"/>
      <c r="H604" s="460"/>
      <c r="I604" s="460"/>
      <c r="J604" s="460"/>
      <c r="K604" s="460"/>
      <c r="L604" s="460"/>
      <c r="M604" s="460"/>
      <c r="N604" s="460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 ht="15.75" customHeight="1">
      <c r="A605" s="179"/>
      <c r="B605" s="179"/>
      <c r="C605" s="460"/>
      <c r="D605" s="460"/>
      <c r="E605" s="460"/>
      <c r="F605" s="460"/>
      <c r="G605" s="460"/>
      <c r="H605" s="460"/>
      <c r="I605" s="460"/>
      <c r="J605" s="460"/>
      <c r="K605" s="460"/>
      <c r="L605" s="460"/>
      <c r="M605" s="460"/>
      <c r="N605" s="460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 ht="15.75" customHeight="1">
      <c r="A606" s="179"/>
      <c r="B606" s="179"/>
      <c r="C606" s="460"/>
      <c r="D606" s="460"/>
      <c r="E606" s="460"/>
      <c r="F606" s="460"/>
      <c r="G606" s="460"/>
      <c r="H606" s="460"/>
      <c r="I606" s="460"/>
      <c r="J606" s="460"/>
      <c r="K606" s="460"/>
      <c r="L606" s="460"/>
      <c r="M606" s="460"/>
      <c r="N606" s="460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 ht="15.75" customHeight="1">
      <c r="A607" s="179"/>
      <c r="B607" s="179"/>
      <c r="C607" s="460"/>
      <c r="D607" s="460"/>
      <c r="E607" s="460"/>
      <c r="F607" s="460"/>
      <c r="G607" s="460"/>
      <c r="H607" s="460"/>
      <c r="I607" s="460"/>
      <c r="J607" s="460"/>
      <c r="K607" s="460"/>
      <c r="L607" s="460"/>
      <c r="M607" s="460"/>
      <c r="N607" s="460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 ht="15.75" customHeight="1">
      <c r="A608" s="179"/>
      <c r="B608" s="179"/>
      <c r="C608" s="460"/>
      <c r="D608" s="460"/>
      <c r="E608" s="460"/>
      <c r="F608" s="460"/>
      <c r="G608" s="460"/>
      <c r="H608" s="460"/>
      <c r="I608" s="460"/>
      <c r="J608" s="460"/>
      <c r="K608" s="460"/>
      <c r="L608" s="460"/>
      <c r="M608" s="460"/>
      <c r="N608" s="460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 ht="15.75" customHeight="1">
      <c r="A609" s="179"/>
      <c r="B609" s="179"/>
      <c r="C609" s="460"/>
      <c r="D609" s="460"/>
      <c r="E609" s="460"/>
      <c r="F609" s="460"/>
      <c r="G609" s="460"/>
      <c r="H609" s="460"/>
      <c r="I609" s="460"/>
      <c r="J609" s="460"/>
      <c r="K609" s="460"/>
      <c r="L609" s="460"/>
      <c r="M609" s="460"/>
      <c r="N609" s="460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 ht="15.75" customHeight="1">
      <c r="A610" s="179"/>
      <c r="B610" s="179"/>
      <c r="C610" s="460"/>
      <c r="D610" s="460"/>
      <c r="E610" s="460"/>
      <c r="F610" s="460"/>
      <c r="G610" s="460"/>
      <c r="H610" s="460"/>
      <c r="I610" s="460"/>
      <c r="J610" s="460"/>
      <c r="K610" s="460"/>
      <c r="L610" s="460"/>
      <c r="M610" s="460"/>
      <c r="N610" s="460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 ht="15.75" customHeight="1">
      <c r="A611" s="179"/>
      <c r="B611" s="179"/>
      <c r="C611" s="460"/>
      <c r="D611" s="460"/>
      <c r="E611" s="460"/>
      <c r="F611" s="460"/>
      <c r="G611" s="460"/>
      <c r="H611" s="460"/>
      <c r="I611" s="460"/>
      <c r="J611" s="460"/>
      <c r="K611" s="460"/>
      <c r="L611" s="460"/>
      <c r="M611" s="460"/>
      <c r="N611" s="460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 ht="15.75" customHeight="1">
      <c r="A612" s="179"/>
      <c r="B612" s="179"/>
      <c r="C612" s="460"/>
      <c r="D612" s="460"/>
      <c r="E612" s="460"/>
      <c r="F612" s="460"/>
      <c r="G612" s="460"/>
      <c r="H612" s="460"/>
      <c r="I612" s="460"/>
      <c r="J612" s="460"/>
      <c r="K612" s="460"/>
      <c r="L612" s="460"/>
      <c r="M612" s="460"/>
      <c r="N612" s="460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 ht="15.75" customHeight="1">
      <c r="A613" s="179"/>
      <c r="B613" s="179"/>
      <c r="C613" s="460"/>
      <c r="D613" s="460"/>
      <c r="E613" s="460"/>
      <c r="F613" s="460"/>
      <c r="G613" s="460"/>
      <c r="H613" s="460"/>
      <c r="I613" s="460"/>
      <c r="J613" s="460"/>
      <c r="K613" s="460"/>
      <c r="L613" s="460"/>
      <c r="M613" s="460"/>
      <c r="N613" s="460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 ht="15.75" customHeight="1">
      <c r="A614" s="179"/>
      <c r="B614" s="179"/>
      <c r="C614" s="460"/>
      <c r="D614" s="460"/>
      <c r="E614" s="460"/>
      <c r="F614" s="460"/>
      <c r="G614" s="460"/>
      <c r="H614" s="460"/>
      <c r="I614" s="460"/>
      <c r="J614" s="460"/>
      <c r="K614" s="460"/>
      <c r="L614" s="460"/>
      <c r="M614" s="460"/>
      <c r="N614" s="460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 ht="15.75" customHeight="1">
      <c r="A615" s="179"/>
      <c r="B615" s="179"/>
      <c r="C615" s="460"/>
      <c r="D615" s="460"/>
      <c r="E615" s="460"/>
      <c r="F615" s="460"/>
      <c r="G615" s="460"/>
      <c r="H615" s="460"/>
      <c r="I615" s="460"/>
      <c r="J615" s="460"/>
      <c r="K615" s="460"/>
      <c r="L615" s="460"/>
      <c r="M615" s="460"/>
      <c r="N615" s="460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 ht="15.75" customHeight="1">
      <c r="A616" s="179"/>
      <c r="B616" s="179"/>
      <c r="C616" s="460"/>
      <c r="D616" s="460"/>
      <c r="E616" s="460"/>
      <c r="F616" s="460"/>
      <c r="G616" s="460"/>
      <c r="H616" s="460"/>
      <c r="I616" s="460"/>
      <c r="J616" s="460"/>
      <c r="K616" s="460"/>
      <c r="L616" s="460"/>
      <c r="M616" s="460"/>
      <c r="N616" s="460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 ht="15.75" customHeight="1">
      <c r="A617" s="179"/>
      <c r="B617" s="179"/>
      <c r="C617" s="460"/>
      <c r="D617" s="460"/>
      <c r="E617" s="460"/>
      <c r="F617" s="460"/>
      <c r="G617" s="460"/>
      <c r="H617" s="460"/>
      <c r="I617" s="460"/>
      <c r="J617" s="460"/>
      <c r="K617" s="460"/>
      <c r="L617" s="460"/>
      <c r="M617" s="460"/>
      <c r="N617" s="460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 ht="15.75" customHeight="1">
      <c r="A618" s="179"/>
      <c r="B618" s="179"/>
      <c r="C618" s="460"/>
      <c r="D618" s="460"/>
      <c r="E618" s="460"/>
      <c r="F618" s="460"/>
      <c r="G618" s="460"/>
      <c r="H618" s="460"/>
      <c r="I618" s="460"/>
      <c r="J618" s="460"/>
      <c r="K618" s="460"/>
      <c r="L618" s="460"/>
      <c r="M618" s="460"/>
      <c r="N618" s="460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 ht="15.75" customHeight="1">
      <c r="A619" s="179"/>
      <c r="B619" s="179"/>
      <c r="C619" s="460"/>
      <c r="D619" s="460"/>
      <c r="E619" s="460"/>
      <c r="F619" s="460"/>
      <c r="G619" s="460"/>
      <c r="H619" s="460"/>
      <c r="I619" s="460"/>
      <c r="J619" s="460"/>
      <c r="K619" s="460"/>
      <c r="L619" s="460"/>
      <c r="M619" s="460"/>
      <c r="N619" s="460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 ht="15.75" customHeight="1">
      <c r="A620" s="179"/>
      <c r="B620" s="179"/>
      <c r="C620" s="460"/>
      <c r="D620" s="460"/>
      <c r="E620" s="460"/>
      <c r="F620" s="460"/>
      <c r="G620" s="460"/>
      <c r="H620" s="460"/>
      <c r="I620" s="460"/>
      <c r="J620" s="460"/>
      <c r="K620" s="460"/>
      <c r="L620" s="460"/>
      <c r="M620" s="460"/>
      <c r="N620" s="460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 ht="15.75" customHeight="1">
      <c r="A621" s="179"/>
      <c r="B621" s="179"/>
      <c r="C621" s="460"/>
      <c r="D621" s="460"/>
      <c r="E621" s="460"/>
      <c r="F621" s="460"/>
      <c r="G621" s="460"/>
      <c r="H621" s="460"/>
      <c r="I621" s="460"/>
      <c r="J621" s="460"/>
      <c r="K621" s="460"/>
      <c r="L621" s="460"/>
      <c r="M621" s="460"/>
      <c r="N621" s="460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 ht="15.75" customHeight="1">
      <c r="A622" s="179"/>
      <c r="B622" s="179"/>
      <c r="C622" s="460"/>
      <c r="D622" s="460"/>
      <c r="E622" s="460"/>
      <c r="F622" s="460"/>
      <c r="G622" s="460"/>
      <c r="H622" s="460"/>
      <c r="I622" s="460"/>
      <c r="J622" s="460"/>
      <c r="K622" s="460"/>
      <c r="L622" s="460"/>
      <c r="M622" s="460"/>
      <c r="N622" s="460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 ht="15.75" customHeight="1">
      <c r="A623" s="179"/>
      <c r="B623" s="179"/>
      <c r="C623" s="460"/>
      <c r="D623" s="460"/>
      <c r="E623" s="460"/>
      <c r="F623" s="460"/>
      <c r="G623" s="460"/>
      <c r="H623" s="460"/>
      <c r="I623" s="460"/>
      <c r="J623" s="460"/>
      <c r="K623" s="460"/>
      <c r="L623" s="460"/>
      <c r="M623" s="460"/>
      <c r="N623" s="460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 ht="15.75" customHeight="1">
      <c r="A624" s="179"/>
      <c r="B624" s="179"/>
      <c r="C624" s="460"/>
      <c r="D624" s="460"/>
      <c r="E624" s="460"/>
      <c r="F624" s="460"/>
      <c r="G624" s="460"/>
      <c r="H624" s="460"/>
      <c r="I624" s="460"/>
      <c r="J624" s="460"/>
      <c r="K624" s="460"/>
      <c r="L624" s="460"/>
      <c r="M624" s="460"/>
      <c r="N624" s="460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 ht="15.75" customHeight="1">
      <c r="A625" s="179"/>
      <c r="B625" s="179"/>
      <c r="C625" s="460"/>
      <c r="D625" s="460"/>
      <c r="E625" s="460"/>
      <c r="F625" s="460"/>
      <c r="G625" s="460"/>
      <c r="H625" s="460"/>
      <c r="I625" s="460"/>
      <c r="J625" s="460"/>
      <c r="K625" s="460"/>
      <c r="L625" s="460"/>
      <c r="M625" s="460"/>
      <c r="N625" s="460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 ht="15.75" customHeight="1">
      <c r="A626" s="179"/>
      <c r="B626" s="179"/>
      <c r="C626" s="460"/>
      <c r="D626" s="460"/>
      <c r="E626" s="460"/>
      <c r="F626" s="460"/>
      <c r="G626" s="460"/>
      <c r="H626" s="460"/>
      <c r="I626" s="460"/>
      <c r="J626" s="460"/>
      <c r="K626" s="460"/>
      <c r="L626" s="460"/>
      <c r="M626" s="460"/>
      <c r="N626" s="460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 ht="15.75" customHeight="1">
      <c r="A627" s="179"/>
      <c r="B627" s="179"/>
      <c r="C627" s="460"/>
      <c r="D627" s="460"/>
      <c r="E627" s="460"/>
      <c r="F627" s="460"/>
      <c r="G627" s="460"/>
      <c r="H627" s="460"/>
      <c r="I627" s="460"/>
      <c r="J627" s="460"/>
      <c r="K627" s="460"/>
      <c r="L627" s="460"/>
      <c r="M627" s="460"/>
      <c r="N627" s="460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 ht="15.75" customHeight="1">
      <c r="A628" s="179"/>
      <c r="B628" s="179"/>
      <c r="C628" s="460"/>
      <c r="D628" s="460"/>
      <c r="E628" s="460"/>
      <c r="F628" s="460"/>
      <c r="G628" s="460"/>
      <c r="H628" s="460"/>
      <c r="I628" s="460"/>
      <c r="J628" s="460"/>
      <c r="K628" s="460"/>
      <c r="L628" s="460"/>
      <c r="M628" s="460"/>
      <c r="N628" s="460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 ht="15.75" customHeight="1">
      <c r="A629" s="179"/>
      <c r="B629" s="179"/>
      <c r="C629" s="460"/>
      <c r="D629" s="460"/>
      <c r="E629" s="460"/>
      <c r="F629" s="460"/>
      <c r="G629" s="460"/>
      <c r="H629" s="460"/>
      <c r="I629" s="460"/>
      <c r="J629" s="460"/>
      <c r="K629" s="460"/>
      <c r="L629" s="460"/>
      <c r="M629" s="460"/>
      <c r="N629" s="460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 ht="15.75" customHeight="1">
      <c r="A630" s="179"/>
      <c r="B630" s="179"/>
      <c r="C630" s="460"/>
      <c r="D630" s="460"/>
      <c r="E630" s="460"/>
      <c r="F630" s="460"/>
      <c r="G630" s="460"/>
      <c r="H630" s="460"/>
      <c r="I630" s="460"/>
      <c r="J630" s="460"/>
      <c r="K630" s="460"/>
      <c r="L630" s="460"/>
      <c r="M630" s="460"/>
      <c r="N630" s="460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 ht="15.75" customHeight="1">
      <c r="A631" s="179"/>
      <c r="B631" s="179"/>
      <c r="C631" s="460"/>
      <c r="D631" s="460"/>
      <c r="E631" s="460"/>
      <c r="F631" s="460"/>
      <c r="G631" s="460"/>
      <c r="H631" s="460"/>
      <c r="I631" s="460"/>
      <c r="J631" s="460"/>
      <c r="K631" s="460"/>
      <c r="L631" s="460"/>
      <c r="M631" s="460"/>
      <c r="N631" s="460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 ht="15.75" customHeight="1">
      <c r="A632" s="179"/>
      <c r="B632" s="179"/>
      <c r="C632" s="460"/>
      <c r="D632" s="460"/>
      <c r="E632" s="460"/>
      <c r="F632" s="460"/>
      <c r="G632" s="460"/>
      <c r="H632" s="460"/>
      <c r="I632" s="460"/>
      <c r="J632" s="460"/>
      <c r="K632" s="460"/>
      <c r="L632" s="460"/>
      <c r="M632" s="460"/>
      <c r="N632" s="460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 ht="15.75" customHeight="1">
      <c r="A633" s="179"/>
      <c r="B633" s="179"/>
      <c r="C633" s="460"/>
      <c r="D633" s="460"/>
      <c r="E633" s="460"/>
      <c r="F633" s="460"/>
      <c r="G633" s="460"/>
      <c r="H633" s="460"/>
      <c r="I633" s="460"/>
      <c r="J633" s="460"/>
      <c r="K633" s="460"/>
      <c r="L633" s="460"/>
      <c r="M633" s="460"/>
      <c r="N633" s="460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 ht="15.75" customHeight="1">
      <c r="A634" s="179"/>
      <c r="B634" s="179"/>
      <c r="C634" s="460"/>
      <c r="D634" s="460"/>
      <c r="E634" s="460"/>
      <c r="F634" s="460"/>
      <c r="G634" s="460"/>
      <c r="H634" s="460"/>
      <c r="I634" s="460"/>
      <c r="J634" s="460"/>
      <c r="K634" s="460"/>
      <c r="L634" s="460"/>
      <c r="M634" s="460"/>
      <c r="N634" s="460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 ht="15.75" customHeight="1">
      <c r="A635" s="179"/>
      <c r="B635" s="179"/>
      <c r="C635" s="460"/>
      <c r="D635" s="460"/>
      <c r="E635" s="460"/>
      <c r="F635" s="460"/>
      <c r="G635" s="460"/>
      <c r="H635" s="460"/>
      <c r="I635" s="460"/>
      <c r="J635" s="460"/>
      <c r="K635" s="460"/>
      <c r="L635" s="460"/>
      <c r="M635" s="460"/>
      <c r="N635" s="460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 ht="15.75" customHeight="1">
      <c r="A636" s="179"/>
      <c r="B636" s="179"/>
      <c r="C636" s="460"/>
      <c r="D636" s="460"/>
      <c r="E636" s="460"/>
      <c r="F636" s="460"/>
      <c r="G636" s="460"/>
      <c r="H636" s="460"/>
      <c r="I636" s="460"/>
      <c r="J636" s="460"/>
      <c r="K636" s="460"/>
      <c r="L636" s="460"/>
      <c r="M636" s="460"/>
      <c r="N636" s="460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 ht="15.75" customHeight="1">
      <c r="A637" s="179"/>
      <c r="B637" s="179"/>
      <c r="C637" s="460"/>
      <c r="D637" s="460"/>
      <c r="E637" s="460"/>
      <c r="F637" s="460"/>
      <c r="G637" s="460"/>
      <c r="H637" s="460"/>
      <c r="I637" s="460"/>
      <c r="J637" s="460"/>
      <c r="K637" s="460"/>
      <c r="L637" s="460"/>
      <c r="M637" s="460"/>
      <c r="N637" s="460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 ht="15.75" customHeight="1">
      <c r="A638" s="179"/>
      <c r="B638" s="179"/>
      <c r="C638" s="460"/>
      <c r="D638" s="460"/>
      <c r="E638" s="460"/>
      <c r="F638" s="460"/>
      <c r="G638" s="460"/>
      <c r="H638" s="460"/>
      <c r="I638" s="460"/>
      <c r="J638" s="460"/>
      <c r="K638" s="460"/>
      <c r="L638" s="460"/>
      <c r="M638" s="460"/>
      <c r="N638" s="460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 ht="15.75" customHeight="1">
      <c r="A639" s="179"/>
      <c r="B639" s="179"/>
      <c r="C639" s="460"/>
      <c r="D639" s="460"/>
      <c r="E639" s="460"/>
      <c r="F639" s="460"/>
      <c r="G639" s="460"/>
      <c r="H639" s="460"/>
      <c r="I639" s="460"/>
      <c r="J639" s="460"/>
      <c r="K639" s="460"/>
      <c r="L639" s="460"/>
      <c r="M639" s="460"/>
      <c r="N639" s="460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 ht="15.75" customHeight="1">
      <c r="A640" s="179"/>
      <c r="B640" s="179"/>
      <c r="C640" s="460"/>
      <c r="D640" s="460"/>
      <c r="E640" s="460"/>
      <c r="F640" s="460"/>
      <c r="G640" s="460"/>
      <c r="H640" s="460"/>
      <c r="I640" s="460"/>
      <c r="J640" s="460"/>
      <c r="K640" s="460"/>
      <c r="L640" s="460"/>
      <c r="M640" s="460"/>
      <c r="N640" s="460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 ht="15.75" customHeight="1">
      <c r="A641" s="179"/>
      <c r="B641" s="179"/>
      <c r="C641" s="460"/>
      <c r="D641" s="460"/>
      <c r="E641" s="460"/>
      <c r="F641" s="460"/>
      <c r="G641" s="460"/>
      <c r="H641" s="460"/>
      <c r="I641" s="460"/>
      <c r="J641" s="460"/>
      <c r="K641" s="460"/>
      <c r="L641" s="460"/>
      <c r="M641" s="460"/>
      <c r="N641" s="460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 ht="15.75" customHeight="1">
      <c r="A642" s="179"/>
      <c r="B642" s="179"/>
      <c r="C642" s="460"/>
      <c r="D642" s="460"/>
      <c r="E642" s="460"/>
      <c r="F642" s="460"/>
      <c r="G642" s="460"/>
      <c r="H642" s="460"/>
      <c r="I642" s="460"/>
      <c r="J642" s="460"/>
      <c r="K642" s="460"/>
      <c r="L642" s="460"/>
      <c r="M642" s="460"/>
      <c r="N642" s="460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 ht="15.75" customHeight="1">
      <c r="A643" s="179"/>
      <c r="B643" s="179"/>
      <c r="C643" s="460"/>
      <c r="D643" s="460"/>
      <c r="E643" s="460"/>
      <c r="F643" s="460"/>
      <c r="G643" s="460"/>
      <c r="H643" s="460"/>
      <c r="I643" s="460"/>
      <c r="J643" s="460"/>
      <c r="K643" s="460"/>
      <c r="L643" s="460"/>
      <c r="M643" s="460"/>
      <c r="N643" s="460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 ht="15.75" customHeight="1">
      <c r="A644" s="179"/>
      <c r="B644" s="179"/>
      <c r="C644" s="460"/>
      <c r="D644" s="460"/>
      <c r="E644" s="460"/>
      <c r="F644" s="460"/>
      <c r="G644" s="460"/>
      <c r="H644" s="460"/>
      <c r="I644" s="460"/>
      <c r="J644" s="460"/>
      <c r="K644" s="460"/>
      <c r="L644" s="460"/>
      <c r="M644" s="460"/>
      <c r="N644" s="460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 ht="15.75" customHeight="1">
      <c r="A645" s="179"/>
      <c r="B645" s="179"/>
      <c r="C645" s="460"/>
      <c r="D645" s="460"/>
      <c r="E645" s="460"/>
      <c r="F645" s="460"/>
      <c r="G645" s="460"/>
      <c r="H645" s="460"/>
      <c r="I645" s="460"/>
      <c r="J645" s="460"/>
      <c r="K645" s="460"/>
      <c r="L645" s="460"/>
      <c r="M645" s="460"/>
      <c r="N645" s="460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 ht="15.75" customHeight="1">
      <c r="A646" s="179"/>
      <c r="B646" s="179"/>
      <c r="C646" s="460"/>
      <c r="D646" s="460"/>
      <c r="E646" s="460"/>
      <c r="F646" s="460"/>
      <c r="G646" s="460"/>
      <c r="H646" s="460"/>
      <c r="I646" s="460"/>
      <c r="J646" s="460"/>
      <c r="K646" s="460"/>
      <c r="L646" s="460"/>
      <c r="M646" s="460"/>
      <c r="N646" s="460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 ht="15.75" customHeight="1">
      <c r="A647" s="179"/>
      <c r="B647" s="179"/>
      <c r="C647" s="460"/>
      <c r="D647" s="460"/>
      <c r="E647" s="460"/>
      <c r="F647" s="460"/>
      <c r="G647" s="460"/>
      <c r="H647" s="460"/>
      <c r="I647" s="460"/>
      <c r="J647" s="460"/>
      <c r="K647" s="460"/>
      <c r="L647" s="460"/>
      <c r="M647" s="460"/>
      <c r="N647" s="460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 ht="15.75" customHeight="1">
      <c r="A648" s="179"/>
      <c r="B648" s="179"/>
      <c r="C648" s="460"/>
      <c r="D648" s="460"/>
      <c r="E648" s="460"/>
      <c r="F648" s="460"/>
      <c r="G648" s="460"/>
      <c r="H648" s="460"/>
      <c r="I648" s="460"/>
      <c r="J648" s="460"/>
      <c r="K648" s="460"/>
      <c r="L648" s="460"/>
      <c r="M648" s="460"/>
      <c r="N648" s="460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 ht="15.75" customHeight="1">
      <c r="A649" s="179"/>
      <c r="B649" s="179"/>
      <c r="C649" s="460"/>
      <c r="D649" s="460"/>
      <c r="E649" s="460"/>
      <c r="F649" s="460"/>
      <c r="G649" s="460"/>
      <c r="H649" s="460"/>
      <c r="I649" s="460"/>
      <c r="J649" s="460"/>
      <c r="K649" s="460"/>
      <c r="L649" s="460"/>
      <c r="M649" s="460"/>
      <c r="N649" s="460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 ht="15.75" customHeight="1">
      <c r="A650" s="179"/>
      <c r="B650" s="179"/>
      <c r="C650" s="460"/>
      <c r="D650" s="460"/>
      <c r="E650" s="460"/>
      <c r="F650" s="460"/>
      <c r="G650" s="460"/>
      <c r="H650" s="460"/>
      <c r="I650" s="460"/>
      <c r="J650" s="460"/>
      <c r="K650" s="460"/>
      <c r="L650" s="460"/>
      <c r="M650" s="460"/>
      <c r="N650" s="460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 ht="15.75" customHeight="1">
      <c r="A651" s="179"/>
      <c r="B651" s="179"/>
      <c r="C651" s="460"/>
      <c r="D651" s="460"/>
      <c r="E651" s="460"/>
      <c r="F651" s="460"/>
      <c r="G651" s="460"/>
      <c r="H651" s="460"/>
      <c r="I651" s="460"/>
      <c r="J651" s="460"/>
      <c r="K651" s="460"/>
      <c r="L651" s="460"/>
      <c r="M651" s="460"/>
      <c r="N651" s="460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 ht="15.75" customHeight="1">
      <c r="A652" s="179"/>
      <c r="B652" s="179"/>
      <c r="C652" s="460"/>
      <c r="D652" s="460"/>
      <c r="E652" s="460"/>
      <c r="F652" s="460"/>
      <c r="G652" s="460"/>
      <c r="H652" s="460"/>
      <c r="I652" s="460"/>
      <c r="J652" s="460"/>
      <c r="K652" s="460"/>
      <c r="L652" s="460"/>
      <c r="M652" s="460"/>
      <c r="N652" s="460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 ht="15.75" customHeight="1">
      <c r="A653" s="179"/>
      <c r="B653" s="179"/>
      <c r="C653" s="460"/>
      <c r="D653" s="460"/>
      <c r="E653" s="460"/>
      <c r="F653" s="460"/>
      <c r="G653" s="460"/>
      <c r="H653" s="460"/>
      <c r="I653" s="460"/>
      <c r="J653" s="460"/>
      <c r="K653" s="460"/>
      <c r="L653" s="460"/>
      <c r="M653" s="460"/>
      <c r="N653" s="460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 ht="15.75" customHeight="1">
      <c r="A654" s="179"/>
      <c r="B654" s="179"/>
      <c r="C654" s="460"/>
      <c r="D654" s="460"/>
      <c r="E654" s="460"/>
      <c r="F654" s="460"/>
      <c r="G654" s="460"/>
      <c r="H654" s="460"/>
      <c r="I654" s="460"/>
      <c r="J654" s="460"/>
      <c r="K654" s="460"/>
      <c r="L654" s="460"/>
      <c r="M654" s="460"/>
      <c r="N654" s="460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 ht="15.75" customHeight="1">
      <c r="A655" s="179"/>
      <c r="B655" s="179"/>
      <c r="C655" s="460"/>
      <c r="D655" s="460"/>
      <c r="E655" s="460"/>
      <c r="F655" s="460"/>
      <c r="G655" s="460"/>
      <c r="H655" s="460"/>
      <c r="I655" s="460"/>
      <c r="J655" s="460"/>
      <c r="K655" s="460"/>
      <c r="L655" s="460"/>
      <c r="M655" s="460"/>
      <c r="N655" s="460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 ht="15.75" customHeight="1">
      <c r="A656" s="179"/>
      <c r="B656" s="179"/>
      <c r="C656" s="460"/>
      <c r="D656" s="460"/>
      <c r="E656" s="460"/>
      <c r="F656" s="460"/>
      <c r="G656" s="460"/>
      <c r="H656" s="460"/>
      <c r="I656" s="460"/>
      <c r="J656" s="460"/>
      <c r="K656" s="460"/>
      <c r="L656" s="460"/>
      <c r="M656" s="460"/>
      <c r="N656" s="460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 ht="15.75" customHeight="1">
      <c r="A657" s="179"/>
      <c r="B657" s="179"/>
      <c r="C657" s="460"/>
      <c r="D657" s="460"/>
      <c r="E657" s="460"/>
      <c r="F657" s="460"/>
      <c r="G657" s="460"/>
      <c r="H657" s="460"/>
      <c r="I657" s="460"/>
      <c r="J657" s="460"/>
      <c r="K657" s="460"/>
      <c r="L657" s="460"/>
      <c r="M657" s="460"/>
      <c r="N657" s="460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 ht="15.75" customHeight="1">
      <c r="A658" s="179"/>
      <c r="B658" s="179"/>
      <c r="C658" s="460"/>
      <c r="D658" s="460"/>
      <c r="E658" s="460"/>
      <c r="F658" s="460"/>
      <c r="G658" s="460"/>
      <c r="H658" s="460"/>
      <c r="I658" s="460"/>
      <c r="J658" s="460"/>
      <c r="K658" s="460"/>
      <c r="L658" s="460"/>
      <c r="M658" s="460"/>
      <c r="N658" s="460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 ht="15.75" customHeight="1">
      <c r="A659" s="179"/>
      <c r="B659" s="179"/>
      <c r="C659" s="460"/>
      <c r="D659" s="460"/>
      <c r="E659" s="460"/>
      <c r="F659" s="460"/>
      <c r="G659" s="460"/>
      <c r="H659" s="460"/>
      <c r="I659" s="460"/>
      <c r="J659" s="460"/>
      <c r="K659" s="460"/>
      <c r="L659" s="460"/>
      <c r="M659" s="460"/>
      <c r="N659" s="460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 ht="15.75" customHeight="1">
      <c r="A660" s="179"/>
      <c r="B660" s="179"/>
      <c r="C660" s="460"/>
      <c r="D660" s="460"/>
      <c r="E660" s="460"/>
      <c r="F660" s="460"/>
      <c r="G660" s="460"/>
      <c r="H660" s="460"/>
      <c r="I660" s="460"/>
      <c r="J660" s="460"/>
      <c r="K660" s="460"/>
      <c r="L660" s="460"/>
      <c r="M660" s="460"/>
      <c r="N660" s="460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 ht="15.75" customHeight="1">
      <c r="A661" s="179"/>
      <c r="B661" s="179"/>
      <c r="C661" s="460"/>
      <c r="D661" s="460"/>
      <c r="E661" s="460"/>
      <c r="F661" s="460"/>
      <c r="G661" s="460"/>
      <c r="H661" s="460"/>
      <c r="I661" s="460"/>
      <c r="J661" s="460"/>
      <c r="K661" s="460"/>
      <c r="L661" s="460"/>
      <c r="M661" s="460"/>
      <c r="N661" s="460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 ht="15.75" customHeight="1">
      <c r="A662" s="179"/>
      <c r="B662" s="179"/>
      <c r="C662" s="460"/>
      <c r="D662" s="460"/>
      <c r="E662" s="460"/>
      <c r="F662" s="460"/>
      <c r="G662" s="460"/>
      <c r="H662" s="460"/>
      <c r="I662" s="460"/>
      <c r="J662" s="460"/>
      <c r="K662" s="460"/>
      <c r="L662" s="460"/>
      <c r="M662" s="460"/>
      <c r="N662" s="460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 ht="15.75" customHeight="1">
      <c r="A663" s="179"/>
      <c r="B663" s="179"/>
      <c r="C663" s="460"/>
      <c r="D663" s="460"/>
      <c r="E663" s="460"/>
      <c r="F663" s="460"/>
      <c r="G663" s="460"/>
      <c r="H663" s="460"/>
      <c r="I663" s="460"/>
      <c r="J663" s="460"/>
      <c r="K663" s="460"/>
      <c r="L663" s="460"/>
      <c r="M663" s="460"/>
      <c r="N663" s="460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 ht="15.75" customHeight="1">
      <c r="A664" s="179"/>
      <c r="B664" s="179"/>
      <c r="C664" s="460"/>
      <c r="D664" s="460"/>
      <c r="E664" s="460"/>
      <c r="F664" s="460"/>
      <c r="G664" s="460"/>
      <c r="H664" s="460"/>
      <c r="I664" s="460"/>
      <c r="J664" s="460"/>
      <c r="K664" s="460"/>
      <c r="L664" s="460"/>
      <c r="M664" s="460"/>
      <c r="N664" s="460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 ht="15.75" customHeight="1">
      <c r="A665" s="179"/>
      <c r="B665" s="179"/>
      <c r="C665" s="460"/>
      <c r="D665" s="460"/>
      <c r="E665" s="460"/>
      <c r="F665" s="460"/>
      <c r="G665" s="460"/>
      <c r="H665" s="460"/>
      <c r="I665" s="460"/>
      <c r="J665" s="460"/>
      <c r="K665" s="460"/>
      <c r="L665" s="460"/>
      <c r="M665" s="460"/>
      <c r="N665" s="460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 ht="15.75" customHeight="1">
      <c r="A666" s="179"/>
      <c r="B666" s="179"/>
      <c r="C666" s="460"/>
      <c r="D666" s="460"/>
      <c r="E666" s="460"/>
      <c r="F666" s="460"/>
      <c r="G666" s="460"/>
      <c r="H666" s="460"/>
      <c r="I666" s="460"/>
      <c r="J666" s="460"/>
      <c r="K666" s="460"/>
      <c r="L666" s="460"/>
      <c r="M666" s="460"/>
      <c r="N666" s="460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 ht="15.75" customHeight="1">
      <c r="A667" s="179"/>
      <c r="B667" s="179"/>
      <c r="C667" s="460"/>
      <c r="D667" s="460"/>
      <c r="E667" s="460"/>
      <c r="F667" s="460"/>
      <c r="G667" s="460"/>
      <c r="H667" s="460"/>
      <c r="I667" s="460"/>
      <c r="J667" s="460"/>
      <c r="K667" s="460"/>
      <c r="L667" s="460"/>
      <c r="M667" s="460"/>
      <c r="N667" s="460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 ht="15.75" customHeight="1">
      <c r="A668" s="179"/>
      <c r="B668" s="179"/>
      <c r="C668" s="460"/>
      <c r="D668" s="460"/>
      <c r="E668" s="460"/>
      <c r="F668" s="460"/>
      <c r="G668" s="460"/>
      <c r="H668" s="460"/>
      <c r="I668" s="460"/>
      <c r="J668" s="460"/>
      <c r="K668" s="460"/>
      <c r="L668" s="460"/>
      <c r="M668" s="460"/>
      <c r="N668" s="460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 ht="15.75" customHeight="1">
      <c r="A669" s="179"/>
      <c r="B669" s="179"/>
      <c r="C669" s="460"/>
      <c r="D669" s="460"/>
      <c r="E669" s="460"/>
      <c r="F669" s="460"/>
      <c r="G669" s="460"/>
      <c r="H669" s="460"/>
      <c r="I669" s="460"/>
      <c r="J669" s="460"/>
      <c r="K669" s="460"/>
      <c r="L669" s="460"/>
      <c r="M669" s="460"/>
      <c r="N669" s="460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 ht="15.75" customHeight="1">
      <c r="A670" s="179"/>
      <c r="B670" s="179"/>
      <c r="C670" s="460"/>
      <c r="D670" s="460"/>
      <c r="E670" s="460"/>
      <c r="F670" s="460"/>
      <c r="G670" s="460"/>
      <c r="H670" s="460"/>
      <c r="I670" s="460"/>
      <c r="J670" s="460"/>
      <c r="K670" s="460"/>
      <c r="L670" s="460"/>
      <c r="M670" s="460"/>
      <c r="N670" s="460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 ht="15.75" customHeight="1">
      <c r="A671" s="179"/>
      <c r="B671" s="179"/>
      <c r="C671" s="460"/>
      <c r="D671" s="460"/>
      <c r="E671" s="460"/>
      <c r="F671" s="460"/>
      <c r="G671" s="460"/>
      <c r="H671" s="460"/>
      <c r="I671" s="460"/>
      <c r="J671" s="460"/>
      <c r="K671" s="460"/>
      <c r="L671" s="460"/>
      <c r="M671" s="460"/>
      <c r="N671" s="460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 ht="15.75" customHeight="1">
      <c r="A672" s="179"/>
      <c r="B672" s="179"/>
      <c r="C672" s="460"/>
      <c r="D672" s="460"/>
      <c r="E672" s="460"/>
      <c r="F672" s="460"/>
      <c r="G672" s="460"/>
      <c r="H672" s="460"/>
      <c r="I672" s="460"/>
      <c r="J672" s="460"/>
      <c r="K672" s="460"/>
      <c r="L672" s="460"/>
      <c r="M672" s="460"/>
      <c r="N672" s="460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 ht="15.75" customHeight="1">
      <c r="A673" s="179"/>
      <c r="B673" s="179"/>
      <c r="C673" s="460"/>
      <c r="D673" s="460"/>
      <c r="E673" s="460"/>
      <c r="F673" s="460"/>
      <c r="G673" s="460"/>
      <c r="H673" s="460"/>
      <c r="I673" s="460"/>
      <c r="J673" s="460"/>
      <c r="K673" s="460"/>
      <c r="L673" s="460"/>
      <c r="M673" s="460"/>
      <c r="N673" s="460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 ht="15.75" customHeight="1">
      <c r="A674" s="179"/>
      <c r="B674" s="179"/>
      <c r="C674" s="460"/>
      <c r="D674" s="460"/>
      <c r="E674" s="460"/>
      <c r="F674" s="460"/>
      <c r="G674" s="460"/>
      <c r="H674" s="460"/>
      <c r="I674" s="460"/>
      <c r="J674" s="460"/>
      <c r="K674" s="460"/>
      <c r="L674" s="460"/>
      <c r="M674" s="460"/>
      <c r="N674" s="460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 ht="15.75" customHeight="1">
      <c r="A675" s="179"/>
      <c r="B675" s="179"/>
      <c r="C675" s="460"/>
      <c r="D675" s="460"/>
      <c r="E675" s="460"/>
      <c r="F675" s="460"/>
      <c r="G675" s="460"/>
      <c r="H675" s="460"/>
      <c r="I675" s="460"/>
      <c r="J675" s="460"/>
      <c r="K675" s="460"/>
      <c r="L675" s="460"/>
      <c r="M675" s="460"/>
      <c r="N675" s="460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 ht="15.75" customHeight="1">
      <c r="A676" s="179"/>
      <c r="B676" s="179"/>
      <c r="C676" s="460"/>
      <c r="D676" s="460"/>
      <c r="E676" s="460"/>
      <c r="F676" s="460"/>
      <c r="G676" s="460"/>
      <c r="H676" s="460"/>
      <c r="I676" s="460"/>
      <c r="J676" s="460"/>
      <c r="K676" s="460"/>
      <c r="L676" s="460"/>
      <c r="M676" s="460"/>
      <c r="N676" s="460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 ht="15.75" customHeight="1">
      <c r="A677" s="179"/>
      <c r="B677" s="179"/>
      <c r="C677" s="460"/>
      <c r="D677" s="460"/>
      <c r="E677" s="460"/>
      <c r="F677" s="460"/>
      <c r="G677" s="460"/>
      <c r="H677" s="460"/>
      <c r="I677" s="460"/>
      <c r="J677" s="460"/>
      <c r="K677" s="460"/>
      <c r="L677" s="460"/>
      <c r="M677" s="460"/>
      <c r="N677" s="460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 ht="15.75" customHeight="1">
      <c r="A678" s="179"/>
      <c r="B678" s="179"/>
      <c r="C678" s="460"/>
      <c r="D678" s="460"/>
      <c r="E678" s="460"/>
      <c r="F678" s="460"/>
      <c r="G678" s="460"/>
      <c r="H678" s="460"/>
      <c r="I678" s="460"/>
      <c r="J678" s="460"/>
      <c r="K678" s="460"/>
      <c r="L678" s="460"/>
      <c r="M678" s="460"/>
      <c r="N678" s="460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 ht="15.75" customHeight="1">
      <c r="A679" s="179"/>
      <c r="B679" s="179"/>
      <c r="C679" s="460"/>
      <c r="D679" s="460"/>
      <c r="E679" s="460"/>
      <c r="F679" s="460"/>
      <c r="G679" s="460"/>
      <c r="H679" s="460"/>
      <c r="I679" s="460"/>
      <c r="J679" s="460"/>
      <c r="K679" s="460"/>
      <c r="L679" s="460"/>
      <c r="M679" s="460"/>
      <c r="N679" s="460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 ht="15.75" customHeight="1">
      <c r="A680" s="179"/>
      <c r="B680" s="179"/>
      <c r="C680" s="460"/>
      <c r="D680" s="460"/>
      <c r="E680" s="460"/>
      <c r="F680" s="460"/>
      <c r="G680" s="460"/>
      <c r="H680" s="460"/>
      <c r="I680" s="460"/>
      <c r="J680" s="460"/>
      <c r="K680" s="460"/>
      <c r="L680" s="460"/>
      <c r="M680" s="460"/>
      <c r="N680" s="460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 ht="15.75" customHeight="1">
      <c r="A681" s="179"/>
      <c r="B681" s="179"/>
      <c r="C681" s="460"/>
      <c r="D681" s="460"/>
      <c r="E681" s="460"/>
      <c r="F681" s="460"/>
      <c r="G681" s="460"/>
      <c r="H681" s="460"/>
      <c r="I681" s="460"/>
      <c r="J681" s="460"/>
      <c r="K681" s="460"/>
      <c r="L681" s="460"/>
      <c r="M681" s="460"/>
      <c r="N681" s="460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 ht="15.75" customHeight="1">
      <c r="A682" s="179"/>
      <c r="B682" s="179"/>
      <c r="C682" s="460"/>
      <c r="D682" s="460"/>
      <c r="E682" s="460"/>
      <c r="F682" s="460"/>
      <c r="G682" s="460"/>
      <c r="H682" s="460"/>
      <c r="I682" s="460"/>
      <c r="J682" s="460"/>
      <c r="K682" s="460"/>
      <c r="L682" s="460"/>
      <c r="M682" s="460"/>
      <c r="N682" s="460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 ht="15.75" customHeight="1">
      <c r="A683" s="179"/>
      <c r="B683" s="179"/>
      <c r="C683" s="460"/>
      <c r="D683" s="460"/>
      <c r="E683" s="460"/>
      <c r="F683" s="460"/>
      <c r="G683" s="460"/>
      <c r="H683" s="460"/>
      <c r="I683" s="460"/>
      <c r="J683" s="460"/>
      <c r="K683" s="460"/>
      <c r="L683" s="460"/>
      <c r="M683" s="460"/>
      <c r="N683" s="460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 ht="15.75" customHeight="1">
      <c r="A684" s="179"/>
      <c r="B684" s="179"/>
      <c r="C684" s="460"/>
      <c r="D684" s="460"/>
      <c r="E684" s="460"/>
      <c r="F684" s="460"/>
      <c r="G684" s="460"/>
      <c r="H684" s="460"/>
      <c r="I684" s="460"/>
      <c r="J684" s="460"/>
      <c r="K684" s="460"/>
      <c r="L684" s="460"/>
      <c r="M684" s="460"/>
      <c r="N684" s="460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 ht="15.75" customHeight="1">
      <c r="A685" s="179"/>
      <c r="B685" s="179"/>
      <c r="C685" s="460"/>
      <c r="D685" s="460"/>
      <c r="E685" s="460"/>
      <c r="F685" s="460"/>
      <c r="G685" s="460"/>
      <c r="H685" s="460"/>
      <c r="I685" s="460"/>
      <c r="J685" s="460"/>
      <c r="K685" s="460"/>
      <c r="L685" s="460"/>
      <c r="M685" s="460"/>
      <c r="N685" s="460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 ht="15.75" customHeight="1">
      <c r="A686" s="179"/>
      <c r="B686" s="179"/>
      <c r="C686" s="460"/>
      <c r="D686" s="460"/>
      <c r="E686" s="460"/>
      <c r="F686" s="460"/>
      <c r="G686" s="460"/>
      <c r="H686" s="460"/>
      <c r="I686" s="460"/>
      <c r="J686" s="460"/>
      <c r="K686" s="460"/>
      <c r="L686" s="460"/>
      <c r="M686" s="460"/>
      <c r="N686" s="460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 ht="15.75" customHeight="1">
      <c r="A687" s="179"/>
      <c r="B687" s="179"/>
      <c r="C687" s="460"/>
      <c r="D687" s="460"/>
      <c r="E687" s="460"/>
      <c r="F687" s="460"/>
      <c r="G687" s="460"/>
      <c r="H687" s="460"/>
      <c r="I687" s="460"/>
      <c r="J687" s="460"/>
      <c r="K687" s="460"/>
      <c r="L687" s="460"/>
      <c r="M687" s="460"/>
      <c r="N687" s="460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 ht="15.75" customHeight="1">
      <c r="A688" s="179"/>
      <c r="B688" s="179"/>
      <c r="C688" s="460"/>
      <c r="D688" s="460"/>
      <c r="E688" s="460"/>
      <c r="F688" s="460"/>
      <c r="G688" s="460"/>
      <c r="H688" s="460"/>
      <c r="I688" s="460"/>
      <c r="J688" s="460"/>
      <c r="K688" s="460"/>
      <c r="L688" s="460"/>
      <c r="M688" s="460"/>
      <c r="N688" s="460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 ht="15.75" customHeight="1">
      <c r="A689" s="179"/>
      <c r="B689" s="179"/>
      <c r="C689" s="460"/>
      <c r="D689" s="460"/>
      <c r="E689" s="460"/>
      <c r="F689" s="460"/>
      <c r="G689" s="460"/>
      <c r="H689" s="460"/>
      <c r="I689" s="460"/>
      <c r="J689" s="460"/>
      <c r="K689" s="460"/>
      <c r="L689" s="460"/>
      <c r="M689" s="460"/>
      <c r="N689" s="460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 ht="15.75" customHeight="1">
      <c r="A690" s="179"/>
      <c r="B690" s="179"/>
      <c r="C690" s="460"/>
      <c r="D690" s="460"/>
      <c r="E690" s="460"/>
      <c r="F690" s="460"/>
      <c r="G690" s="460"/>
      <c r="H690" s="460"/>
      <c r="I690" s="460"/>
      <c r="J690" s="460"/>
      <c r="K690" s="460"/>
      <c r="L690" s="460"/>
      <c r="M690" s="460"/>
      <c r="N690" s="460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 ht="15.75" customHeight="1">
      <c r="A691" s="179"/>
      <c r="B691" s="179"/>
      <c r="C691" s="460"/>
      <c r="D691" s="460"/>
      <c r="E691" s="460"/>
      <c r="F691" s="460"/>
      <c r="G691" s="460"/>
      <c r="H691" s="460"/>
      <c r="I691" s="460"/>
      <c r="J691" s="460"/>
      <c r="K691" s="460"/>
      <c r="L691" s="460"/>
      <c r="M691" s="460"/>
      <c r="N691" s="460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 ht="15.75" customHeight="1">
      <c r="A692" s="179"/>
      <c r="B692" s="179"/>
      <c r="C692" s="460"/>
      <c r="D692" s="460"/>
      <c r="E692" s="460"/>
      <c r="F692" s="460"/>
      <c r="G692" s="460"/>
      <c r="H692" s="460"/>
      <c r="I692" s="460"/>
      <c r="J692" s="460"/>
      <c r="K692" s="460"/>
      <c r="L692" s="460"/>
      <c r="M692" s="460"/>
      <c r="N692" s="460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 ht="15.75" customHeight="1">
      <c r="A693" s="179"/>
      <c r="B693" s="179"/>
      <c r="C693" s="460"/>
      <c r="D693" s="460"/>
      <c r="E693" s="460"/>
      <c r="F693" s="460"/>
      <c r="G693" s="460"/>
      <c r="H693" s="460"/>
      <c r="I693" s="460"/>
      <c r="J693" s="460"/>
      <c r="K693" s="460"/>
      <c r="L693" s="460"/>
      <c r="M693" s="460"/>
      <c r="N693" s="460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 ht="15.75" customHeight="1">
      <c r="A694" s="179"/>
      <c r="B694" s="179"/>
      <c r="C694" s="460"/>
      <c r="D694" s="460"/>
      <c r="E694" s="460"/>
      <c r="F694" s="460"/>
      <c r="G694" s="460"/>
      <c r="H694" s="460"/>
      <c r="I694" s="460"/>
      <c r="J694" s="460"/>
      <c r="K694" s="460"/>
      <c r="L694" s="460"/>
      <c r="M694" s="460"/>
      <c r="N694" s="460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 ht="15.75" customHeight="1">
      <c r="A695" s="179"/>
      <c r="B695" s="179"/>
      <c r="C695" s="460"/>
      <c r="D695" s="460"/>
      <c r="E695" s="460"/>
      <c r="F695" s="460"/>
      <c r="G695" s="460"/>
      <c r="H695" s="460"/>
      <c r="I695" s="460"/>
      <c r="J695" s="460"/>
      <c r="K695" s="460"/>
      <c r="L695" s="460"/>
      <c r="M695" s="460"/>
      <c r="N695" s="460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 ht="15.75" customHeight="1">
      <c r="A696" s="179"/>
      <c r="B696" s="179"/>
      <c r="C696" s="460"/>
      <c r="D696" s="460"/>
      <c r="E696" s="460"/>
      <c r="F696" s="460"/>
      <c r="G696" s="460"/>
      <c r="H696" s="460"/>
      <c r="I696" s="460"/>
      <c r="J696" s="460"/>
      <c r="K696" s="460"/>
      <c r="L696" s="460"/>
      <c r="M696" s="460"/>
      <c r="N696" s="460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 ht="15.75" customHeight="1">
      <c r="A697" s="179"/>
      <c r="B697" s="179"/>
      <c r="C697" s="460"/>
      <c r="D697" s="460"/>
      <c r="E697" s="460"/>
      <c r="F697" s="460"/>
      <c r="G697" s="460"/>
      <c r="H697" s="460"/>
      <c r="I697" s="460"/>
      <c r="J697" s="460"/>
      <c r="K697" s="460"/>
      <c r="L697" s="460"/>
      <c r="M697" s="460"/>
      <c r="N697" s="460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 ht="15.75" customHeight="1">
      <c r="A698" s="179"/>
      <c r="B698" s="179"/>
      <c r="C698" s="460"/>
      <c r="D698" s="460"/>
      <c r="E698" s="460"/>
      <c r="F698" s="460"/>
      <c r="G698" s="460"/>
      <c r="H698" s="460"/>
      <c r="I698" s="460"/>
      <c r="J698" s="460"/>
      <c r="K698" s="460"/>
      <c r="L698" s="460"/>
      <c r="M698" s="460"/>
      <c r="N698" s="460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 ht="15.75" customHeight="1">
      <c r="A699" s="179"/>
      <c r="B699" s="179"/>
      <c r="C699" s="460"/>
      <c r="D699" s="460"/>
      <c r="E699" s="460"/>
      <c r="F699" s="460"/>
      <c r="G699" s="460"/>
      <c r="H699" s="460"/>
      <c r="I699" s="460"/>
      <c r="J699" s="460"/>
      <c r="K699" s="460"/>
      <c r="L699" s="460"/>
      <c r="M699" s="460"/>
      <c r="N699" s="460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 ht="15.75" customHeight="1">
      <c r="A700" s="179"/>
      <c r="B700" s="179"/>
      <c r="C700" s="460"/>
      <c r="D700" s="460"/>
      <c r="E700" s="460"/>
      <c r="F700" s="460"/>
      <c r="G700" s="460"/>
      <c r="H700" s="460"/>
      <c r="I700" s="460"/>
      <c r="J700" s="460"/>
      <c r="K700" s="460"/>
      <c r="L700" s="460"/>
      <c r="M700" s="460"/>
      <c r="N700" s="460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 ht="15.75" customHeight="1">
      <c r="A701" s="179"/>
      <c r="B701" s="179"/>
      <c r="C701" s="460"/>
      <c r="D701" s="460"/>
      <c r="E701" s="460"/>
      <c r="F701" s="460"/>
      <c r="G701" s="460"/>
      <c r="H701" s="460"/>
      <c r="I701" s="460"/>
      <c r="J701" s="460"/>
      <c r="K701" s="460"/>
      <c r="L701" s="460"/>
      <c r="M701" s="460"/>
      <c r="N701" s="460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 ht="15.75" customHeight="1">
      <c r="A702" s="179"/>
      <c r="B702" s="179"/>
      <c r="C702" s="460"/>
      <c r="D702" s="460"/>
      <c r="E702" s="460"/>
      <c r="F702" s="460"/>
      <c r="G702" s="460"/>
      <c r="H702" s="460"/>
      <c r="I702" s="460"/>
      <c r="J702" s="460"/>
      <c r="K702" s="460"/>
      <c r="L702" s="460"/>
      <c r="M702" s="460"/>
      <c r="N702" s="460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 ht="15.75" customHeight="1">
      <c r="A703" s="179"/>
      <c r="B703" s="179"/>
      <c r="C703" s="460"/>
      <c r="D703" s="460"/>
      <c r="E703" s="460"/>
      <c r="F703" s="460"/>
      <c r="G703" s="460"/>
      <c r="H703" s="460"/>
      <c r="I703" s="460"/>
      <c r="J703" s="460"/>
      <c r="K703" s="460"/>
      <c r="L703" s="460"/>
      <c r="M703" s="460"/>
      <c r="N703" s="460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 ht="15.75" customHeight="1">
      <c r="A704" s="179"/>
      <c r="B704" s="179"/>
      <c r="C704" s="460"/>
      <c r="D704" s="460"/>
      <c r="E704" s="460"/>
      <c r="F704" s="460"/>
      <c r="G704" s="460"/>
      <c r="H704" s="460"/>
      <c r="I704" s="460"/>
      <c r="J704" s="460"/>
      <c r="K704" s="460"/>
      <c r="L704" s="460"/>
      <c r="M704" s="460"/>
      <c r="N704" s="460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 ht="15.75" customHeight="1">
      <c r="A705" s="179"/>
      <c r="B705" s="179"/>
      <c r="C705" s="460"/>
      <c r="D705" s="460"/>
      <c r="E705" s="460"/>
      <c r="F705" s="460"/>
      <c r="G705" s="460"/>
      <c r="H705" s="460"/>
      <c r="I705" s="460"/>
      <c r="J705" s="460"/>
      <c r="K705" s="460"/>
      <c r="L705" s="460"/>
      <c r="M705" s="460"/>
      <c r="N705" s="460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 ht="15.75" customHeight="1">
      <c r="A706" s="179"/>
      <c r="B706" s="179"/>
      <c r="C706" s="460"/>
      <c r="D706" s="460"/>
      <c r="E706" s="460"/>
      <c r="F706" s="460"/>
      <c r="G706" s="460"/>
      <c r="H706" s="460"/>
      <c r="I706" s="460"/>
      <c r="J706" s="460"/>
      <c r="K706" s="460"/>
      <c r="L706" s="460"/>
      <c r="M706" s="460"/>
      <c r="N706" s="460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 ht="15.75" customHeight="1">
      <c r="A707" s="179"/>
      <c r="B707" s="179"/>
      <c r="C707" s="460"/>
      <c r="D707" s="460"/>
      <c r="E707" s="460"/>
      <c r="F707" s="460"/>
      <c r="G707" s="460"/>
      <c r="H707" s="460"/>
      <c r="I707" s="460"/>
      <c r="J707" s="460"/>
      <c r="K707" s="460"/>
      <c r="L707" s="460"/>
      <c r="M707" s="460"/>
      <c r="N707" s="460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 ht="15.75" customHeight="1">
      <c r="A708" s="179"/>
      <c r="B708" s="179"/>
      <c r="C708" s="460"/>
      <c r="D708" s="460"/>
      <c r="E708" s="460"/>
      <c r="F708" s="460"/>
      <c r="G708" s="460"/>
      <c r="H708" s="460"/>
      <c r="I708" s="460"/>
      <c r="J708" s="460"/>
      <c r="K708" s="460"/>
      <c r="L708" s="460"/>
      <c r="M708" s="460"/>
      <c r="N708" s="460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 ht="15.75" customHeight="1">
      <c r="A709" s="179"/>
      <c r="B709" s="179"/>
      <c r="C709" s="460"/>
      <c r="D709" s="460"/>
      <c r="E709" s="460"/>
      <c r="F709" s="460"/>
      <c r="G709" s="460"/>
      <c r="H709" s="460"/>
      <c r="I709" s="460"/>
      <c r="J709" s="460"/>
      <c r="K709" s="460"/>
      <c r="L709" s="460"/>
      <c r="M709" s="460"/>
      <c r="N709" s="460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 ht="15.75" customHeight="1">
      <c r="A710" s="179"/>
      <c r="B710" s="179"/>
      <c r="C710" s="460"/>
      <c r="D710" s="460"/>
      <c r="E710" s="460"/>
      <c r="F710" s="460"/>
      <c r="G710" s="460"/>
      <c r="H710" s="460"/>
      <c r="I710" s="460"/>
      <c r="J710" s="460"/>
      <c r="K710" s="460"/>
      <c r="L710" s="460"/>
      <c r="M710" s="460"/>
      <c r="N710" s="460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 ht="15.75" customHeight="1">
      <c r="A711" s="179"/>
      <c r="B711" s="179"/>
      <c r="C711" s="460"/>
      <c r="D711" s="460"/>
      <c r="E711" s="460"/>
      <c r="F711" s="460"/>
      <c r="G711" s="460"/>
      <c r="H711" s="460"/>
      <c r="I711" s="460"/>
      <c r="J711" s="460"/>
      <c r="K711" s="460"/>
      <c r="L711" s="460"/>
      <c r="M711" s="460"/>
      <c r="N711" s="460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 ht="15.75" customHeight="1">
      <c r="A712" s="179"/>
      <c r="B712" s="179"/>
      <c r="C712" s="460"/>
      <c r="D712" s="460"/>
      <c r="E712" s="460"/>
      <c r="F712" s="460"/>
      <c r="G712" s="460"/>
      <c r="H712" s="460"/>
      <c r="I712" s="460"/>
      <c r="J712" s="460"/>
      <c r="K712" s="460"/>
      <c r="L712" s="460"/>
      <c r="M712" s="460"/>
      <c r="N712" s="460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 ht="15.75" customHeight="1">
      <c r="A713" s="179"/>
      <c r="B713" s="179"/>
      <c r="C713" s="460"/>
      <c r="D713" s="460"/>
      <c r="E713" s="460"/>
      <c r="F713" s="460"/>
      <c r="G713" s="460"/>
      <c r="H713" s="460"/>
      <c r="I713" s="460"/>
      <c r="J713" s="460"/>
      <c r="K713" s="460"/>
      <c r="L713" s="460"/>
      <c r="M713" s="460"/>
      <c r="N713" s="460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 ht="15.75" customHeight="1">
      <c r="A714" s="179"/>
      <c r="B714" s="179"/>
      <c r="C714" s="460"/>
      <c r="D714" s="460"/>
      <c r="E714" s="460"/>
      <c r="F714" s="460"/>
      <c r="G714" s="460"/>
      <c r="H714" s="460"/>
      <c r="I714" s="460"/>
      <c r="J714" s="460"/>
      <c r="K714" s="460"/>
      <c r="L714" s="460"/>
      <c r="M714" s="460"/>
      <c r="N714" s="460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 ht="15.75" customHeight="1">
      <c r="A715" s="179"/>
      <c r="B715" s="179"/>
      <c r="C715" s="460"/>
      <c r="D715" s="460"/>
      <c r="E715" s="460"/>
      <c r="F715" s="460"/>
      <c r="G715" s="460"/>
      <c r="H715" s="460"/>
      <c r="I715" s="460"/>
      <c r="J715" s="460"/>
      <c r="K715" s="460"/>
      <c r="L715" s="460"/>
      <c r="M715" s="460"/>
      <c r="N715" s="460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 ht="15.75" customHeight="1">
      <c r="A716" s="179"/>
      <c r="B716" s="179"/>
      <c r="C716" s="460"/>
      <c r="D716" s="460"/>
      <c r="E716" s="460"/>
      <c r="F716" s="460"/>
      <c r="G716" s="460"/>
      <c r="H716" s="460"/>
      <c r="I716" s="460"/>
      <c r="J716" s="460"/>
      <c r="K716" s="460"/>
      <c r="L716" s="460"/>
      <c r="M716" s="460"/>
      <c r="N716" s="460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 ht="15.75" customHeight="1">
      <c r="A717" s="179"/>
      <c r="B717" s="179"/>
      <c r="C717" s="460"/>
      <c r="D717" s="460"/>
      <c r="E717" s="460"/>
      <c r="F717" s="460"/>
      <c r="G717" s="460"/>
      <c r="H717" s="460"/>
      <c r="I717" s="460"/>
      <c r="J717" s="460"/>
      <c r="K717" s="460"/>
      <c r="L717" s="460"/>
      <c r="M717" s="460"/>
      <c r="N717" s="460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 ht="15.75" customHeight="1">
      <c r="A718" s="179"/>
      <c r="B718" s="179"/>
      <c r="C718" s="460"/>
      <c r="D718" s="460"/>
      <c r="E718" s="460"/>
      <c r="F718" s="460"/>
      <c r="G718" s="460"/>
      <c r="H718" s="460"/>
      <c r="I718" s="460"/>
      <c r="J718" s="460"/>
      <c r="K718" s="460"/>
      <c r="L718" s="460"/>
      <c r="M718" s="460"/>
      <c r="N718" s="460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 ht="15.75" customHeight="1">
      <c r="A719" s="179"/>
      <c r="B719" s="179"/>
      <c r="C719" s="460"/>
      <c r="D719" s="460"/>
      <c r="E719" s="460"/>
      <c r="F719" s="460"/>
      <c r="G719" s="460"/>
      <c r="H719" s="460"/>
      <c r="I719" s="460"/>
      <c r="J719" s="460"/>
      <c r="K719" s="460"/>
      <c r="L719" s="460"/>
      <c r="M719" s="460"/>
      <c r="N719" s="460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 ht="15.75" customHeight="1">
      <c r="A720" s="179"/>
      <c r="B720" s="179"/>
      <c r="C720" s="460"/>
      <c r="D720" s="460"/>
      <c r="E720" s="460"/>
      <c r="F720" s="460"/>
      <c r="G720" s="460"/>
      <c r="H720" s="460"/>
      <c r="I720" s="460"/>
      <c r="J720" s="460"/>
      <c r="K720" s="460"/>
      <c r="L720" s="460"/>
      <c r="M720" s="460"/>
      <c r="N720" s="460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 ht="15.75" customHeight="1">
      <c r="A721" s="179"/>
      <c r="B721" s="179"/>
      <c r="C721" s="460"/>
      <c r="D721" s="460"/>
      <c r="E721" s="460"/>
      <c r="F721" s="460"/>
      <c r="G721" s="460"/>
      <c r="H721" s="460"/>
      <c r="I721" s="460"/>
      <c r="J721" s="460"/>
      <c r="K721" s="460"/>
      <c r="L721" s="460"/>
      <c r="M721" s="460"/>
      <c r="N721" s="460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 ht="15.75" customHeight="1">
      <c r="A722" s="179"/>
      <c r="B722" s="179"/>
      <c r="C722" s="460"/>
      <c r="D722" s="460"/>
      <c r="E722" s="460"/>
      <c r="F722" s="460"/>
      <c r="G722" s="460"/>
      <c r="H722" s="460"/>
      <c r="I722" s="460"/>
      <c r="J722" s="460"/>
      <c r="K722" s="460"/>
      <c r="L722" s="460"/>
      <c r="M722" s="460"/>
      <c r="N722" s="460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 ht="15.75" customHeight="1">
      <c r="A723" s="179"/>
      <c r="B723" s="179"/>
      <c r="C723" s="460"/>
      <c r="D723" s="460"/>
      <c r="E723" s="460"/>
      <c r="F723" s="460"/>
      <c r="G723" s="460"/>
      <c r="H723" s="460"/>
      <c r="I723" s="460"/>
      <c r="J723" s="460"/>
      <c r="K723" s="460"/>
      <c r="L723" s="460"/>
      <c r="M723" s="460"/>
      <c r="N723" s="460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 ht="15.75" customHeight="1">
      <c r="A724" s="179"/>
      <c r="B724" s="179"/>
      <c r="C724" s="460"/>
      <c r="D724" s="460"/>
      <c r="E724" s="460"/>
      <c r="F724" s="460"/>
      <c r="G724" s="460"/>
      <c r="H724" s="460"/>
      <c r="I724" s="460"/>
      <c r="J724" s="460"/>
      <c r="K724" s="460"/>
      <c r="L724" s="460"/>
      <c r="M724" s="460"/>
      <c r="N724" s="460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 ht="15.75" customHeight="1">
      <c r="A725" s="179"/>
      <c r="B725" s="179"/>
      <c r="C725" s="460"/>
      <c r="D725" s="460"/>
      <c r="E725" s="460"/>
      <c r="F725" s="460"/>
      <c r="G725" s="460"/>
      <c r="H725" s="460"/>
      <c r="I725" s="460"/>
      <c r="J725" s="460"/>
      <c r="K725" s="460"/>
      <c r="L725" s="460"/>
      <c r="M725" s="460"/>
      <c r="N725" s="460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 ht="15.75" customHeight="1">
      <c r="A726" s="179"/>
      <c r="B726" s="179"/>
      <c r="C726" s="460"/>
      <c r="D726" s="460"/>
      <c r="E726" s="460"/>
      <c r="F726" s="460"/>
      <c r="G726" s="460"/>
      <c r="H726" s="460"/>
      <c r="I726" s="460"/>
      <c r="J726" s="460"/>
      <c r="K726" s="460"/>
      <c r="L726" s="460"/>
      <c r="M726" s="460"/>
      <c r="N726" s="460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 ht="15.75" customHeight="1">
      <c r="A727" s="179"/>
      <c r="B727" s="179"/>
      <c r="C727" s="460"/>
      <c r="D727" s="460"/>
      <c r="E727" s="460"/>
      <c r="F727" s="460"/>
      <c r="G727" s="460"/>
      <c r="H727" s="460"/>
      <c r="I727" s="460"/>
      <c r="J727" s="460"/>
      <c r="K727" s="460"/>
      <c r="L727" s="460"/>
      <c r="M727" s="460"/>
      <c r="N727" s="460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 ht="15.75" customHeight="1">
      <c r="A728" s="179"/>
      <c r="B728" s="179"/>
      <c r="C728" s="460"/>
      <c r="D728" s="460"/>
      <c r="E728" s="460"/>
      <c r="F728" s="460"/>
      <c r="G728" s="460"/>
      <c r="H728" s="460"/>
      <c r="I728" s="460"/>
      <c r="J728" s="460"/>
      <c r="K728" s="460"/>
      <c r="L728" s="460"/>
      <c r="M728" s="460"/>
      <c r="N728" s="460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 ht="15.75" customHeight="1">
      <c r="A729" s="179"/>
      <c r="B729" s="179"/>
      <c r="C729" s="460"/>
      <c r="D729" s="460"/>
      <c r="E729" s="460"/>
      <c r="F729" s="460"/>
      <c r="G729" s="460"/>
      <c r="H729" s="460"/>
      <c r="I729" s="460"/>
      <c r="J729" s="460"/>
      <c r="K729" s="460"/>
      <c r="L729" s="460"/>
      <c r="M729" s="460"/>
      <c r="N729" s="460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 ht="15.75" customHeight="1">
      <c r="A730" s="179"/>
      <c r="B730" s="179"/>
      <c r="C730" s="460"/>
      <c r="D730" s="460"/>
      <c r="E730" s="460"/>
      <c r="F730" s="460"/>
      <c r="G730" s="460"/>
      <c r="H730" s="460"/>
      <c r="I730" s="460"/>
      <c r="J730" s="460"/>
      <c r="K730" s="460"/>
      <c r="L730" s="460"/>
      <c r="M730" s="460"/>
      <c r="N730" s="460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 ht="15.75" customHeight="1">
      <c r="A731" s="179"/>
      <c r="B731" s="179"/>
      <c r="C731" s="460"/>
      <c r="D731" s="460"/>
      <c r="E731" s="460"/>
      <c r="F731" s="460"/>
      <c r="G731" s="460"/>
      <c r="H731" s="460"/>
      <c r="I731" s="460"/>
      <c r="J731" s="460"/>
      <c r="K731" s="460"/>
      <c r="L731" s="460"/>
      <c r="M731" s="460"/>
      <c r="N731" s="460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 ht="15.75" customHeight="1">
      <c r="A732" s="179"/>
      <c r="B732" s="179"/>
      <c r="C732" s="460"/>
      <c r="D732" s="460"/>
      <c r="E732" s="460"/>
      <c r="F732" s="460"/>
      <c r="G732" s="460"/>
      <c r="H732" s="460"/>
      <c r="I732" s="460"/>
      <c r="J732" s="460"/>
      <c r="K732" s="460"/>
      <c r="L732" s="460"/>
      <c r="M732" s="460"/>
      <c r="N732" s="460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 ht="15.75" customHeight="1">
      <c r="A733" s="179"/>
      <c r="B733" s="179"/>
      <c r="C733" s="460"/>
      <c r="D733" s="460"/>
      <c r="E733" s="460"/>
      <c r="F733" s="460"/>
      <c r="G733" s="460"/>
      <c r="H733" s="460"/>
      <c r="I733" s="460"/>
      <c r="J733" s="460"/>
      <c r="K733" s="460"/>
      <c r="L733" s="460"/>
      <c r="M733" s="460"/>
      <c r="N733" s="460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 ht="15.75" customHeight="1">
      <c r="A734" s="179"/>
      <c r="B734" s="179"/>
      <c r="C734" s="460"/>
      <c r="D734" s="460"/>
      <c r="E734" s="460"/>
      <c r="F734" s="460"/>
      <c r="G734" s="460"/>
      <c r="H734" s="460"/>
      <c r="I734" s="460"/>
      <c r="J734" s="460"/>
      <c r="K734" s="460"/>
      <c r="L734" s="460"/>
      <c r="M734" s="460"/>
      <c r="N734" s="460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 ht="15.75" customHeight="1">
      <c r="A735" s="179"/>
      <c r="B735" s="179"/>
      <c r="C735" s="460"/>
      <c r="D735" s="460"/>
      <c r="E735" s="460"/>
      <c r="F735" s="460"/>
      <c r="G735" s="460"/>
      <c r="H735" s="460"/>
      <c r="I735" s="460"/>
      <c r="J735" s="460"/>
      <c r="K735" s="460"/>
      <c r="L735" s="460"/>
      <c r="M735" s="460"/>
      <c r="N735" s="460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 ht="15.75" customHeight="1">
      <c r="A736" s="179"/>
      <c r="B736" s="179"/>
      <c r="C736" s="460"/>
      <c r="D736" s="460"/>
      <c r="E736" s="460"/>
      <c r="F736" s="460"/>
      <c r="G736" s="460"/>
      <c r="H736" s="460"/>
      <c r="I736" s="460"/>
      <c r="J736" s="460"/>
      <c r="K736" s="460"/>
      <c r="L736" s="460"/>
      <c r="M736" s="460"/>
      <c r="N736" s="460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 ht="15.75" customHeight="1">
      <c r="A737" s="179"/>
      <c r="B737" s="179"/>
      <c r="C737" s="460"/>
      <c r="D737" s="460"/>
      <c r="E737" s="460"/>
      <c r="F737" s="460"/>
      <c r="G737" s="460"/>
      <c r="H737" s="460"/>
      <c r="I737" s="460"/>
      <c r="J737" s="460"/>
      <c r="K737" s="460"/>
      <c r="L737" s="460"/>
      <c r="M737" s="460"/>
      <c r="N737" s="460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 ht="15.75" customHeight="1">
      <c r="A738" s="179"/>
      <c r="B738" s="179"/>
      <c r="C738" s="460"/>
      <c r="D738" s="460"/>
      <c r="E738" s="460"/>
      <c r="F738" s="460"/>
      <c r="G738" s="460"/>
      <c r="H738" s="460"/>
      <c r="I738" s="460"/>
      <c r="J738" s="460"/>
      <c r="K738" s="460"/>
      <c r="L738" s="460"/>
      <c r="M738" s="460"/>
      <c r="N738" s="460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 ht="15.75" customHeight="1">
      <c r="A739" s="179"/>
      <c r="B739" s="179"/>
      <c r="C739" s="460"/>
      <c r="D739" s="460"/>
      <c r="E739" s="460"/>
      <c r="F739" s="460"/>
      <c r="G739" s="460"/>
      <c r="H739" s="460"/>
      <c r="I739" s="460"/>
      <c r="J739" s="460"/>
      <c r="K739" s="460"/>
      <c r="L739" s="460"/>
      <c r="M739" s="460"/>
      <c r="N739" s="460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 ht="15.75" customHeight="1">
      <c r="A740" s="179"/>
      <c r="B740" s="179"/>
      <c r="C740" s="460"/>
      <c r="D740" s="460"/>
      <c r="E740" s="460"/>
      <c r="F740" s="460"/>
      <c r="G740" s="460"/>
      <c r="H740" s="460"/>
      <c r="I740" s="460"/>
      <c r="J740" s="460"/>
      <c r="K740" s="460"/>
      <c r="L740" s="460"/>
      <c r="M740" s="460"/>
      <c r="N740" s="460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 ht="15.75" customHeight="1">
      <c r="A741" s="179"/>
      <c r="B741" s="179"/>
      <c r="C741" s="460"/>
      <c r="D741" s="460"/>
      <c r="E741" s="460"/>
      <c r="F741" s="460"/>
      <c r="G741" s="460"/>
      <c r="H741" s="460"/>
      <c r="I741" s="460"/>
      <c r="J741" s="460"/>
      <c r="K741" s="460"/>
      <c r="L741" s="460"/>
      <c r="M741" s="460"/>
      <c r="N741" s="460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 ht="15.75" customHeight="1">
      <c r="A742" s="179"/>
      <c r="B742" s="179"/>
      <c r="C742" s="460"/>
      <c r="D742" s="460"/>
      <c r="E742" s="460"/>
      <c r="F742" s="460"/>
      <c r="G742" s="460"/>
      <c r="H742" s="460"/>
      <c r="I742" s="460"/>
      <c r="J742" s="460"/>
      <c r="K742" s="460"/>
      <c r="L742" s="460"/>
      <c r="M742" s="460"/>
      <c r="N742" s="460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 ht="15.75" customHeight="1">
      <c r="A743" s="179"/>
      <c r="B743" s="179"/>
      <c r="C743" s="460"/>
      <c r="D743" s="460"/>
      <c r="E743" s="460"/>
      <c r="F743" s="460"/>
      <c r="G743" s="460"/>
      <c r="H743" s="460"/>
      <c r="I743" s="460"/>
      <c r="J743" s="460"/>
      <c r="K743" s="460"/>
      <c r="L743" s="460"/>
      <c r="M743" s="460"/>
      <c r="N743" s="460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 ht="15.75" customHeight="1">
      <c r="A744" s="179"/>
      <c r="B744" s="179"/>
      <c r="C744" s="460"/>
      <c r="D744" s="460"/>
      <c r="E744" s="460"/>
      <c r="F744" s="460"/>
      <c r="G744" s="460"/>
      <c r="H744" s="460"/>
      <c r="I744" s="460"/>
      <c r="J744" s="460"/>
      <c r="K744" s="460"/>
      <c r="L744" s="460"/>
      <c r="M744" s="460"/>
      <c r="N744" s="460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 ht="15.75" customHeight="1">
      <c r="A745" s="179"/>
      <c r="B745" s="179"/>
      <c r="C745" s="460"/>
      <c r="D745" s="460"/>
      <c r="E745" s="460"/>
      <c r="F745" s="460"/>
      <c r="G745" s="460"/>
      <c r="H745" s="460"/>
      <c r="I745" s="460"/>
      <c r="J745" s="460"/>
      <c r="K745" s="460"/>
      <c r="L745" s="460"/>
      <c r="M745" s="460"/>
      <c r="N745" s="460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 ht="15.75" customHeight="1">
      <c r="A746" s="179"/>
      <c r="B746" s="179"/>
      <c r="C746" s="460"/>
      <c r="D746" s="460"/>
      <c r="E746" s="460"/>
      <c r="F746" s="460"/>
      <c r="G746" s="460"/>
      <c r="H746" s="460"/>
      <c r="I746" s="460"/>
      <c r="J746" s="460"/>
      <c r="K746" s="460"/>
      <c r="L746" s="460"/>
      <c r="M746" s="460"/>
      <c r="N746" s="460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 ht="15.75" customHeight="1">
      <c r="A747" s="179"/>
      <c r="B747" s="179"/>
      <c r="C747" s="460"/>
      <c r="D747" s="460"/>
      <c r="E747" s="460"/>
      <c r="F747" s="460"/>
      <c r="G747" s="460"/>
      <c r="H747" s="460"/>
      <c r="I747" s="460"/>
      <c r="J747" s="460"/>
      <c r="K747" s="460"/>
      <c r="L747" s="460"/>
      <c r="M747" s="460"/>
      <c r="N747" s="460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 ht="15.75" customHeight="1">
      <c r="A748" s="179"/>
      <c r="B748" s="179"/>
      <c r="C748" s="460"/>
      <c r="D748" s="460"/>
      <c r="E748" s="460"/>
      <c r="F748" s="460"/>
      <c r="G748" s="460"/>
      <c r="H748" s="460"/>
      <c r="I748" s="460"/>
      <c r="J748" s="460"/>
      <c r="K748" s="460"/>
      <c r="L748" s="460"/>
      <c r="M748" s="460"/>
      <c r="N748" s="460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 ht="15.75" customHeight="1">
      <c r="A749" s="179"/>
      <c r="B749" s="179"/>
      <c r="C749" s="460"/>
      <c r="D749" s="460"/>
      <c r="E749" s="460"/>
      <c r="F749" s="460"/>
      <c r="G749" s="460"/>
      <c r="H749" s="460"/>
      <c r="I749" s="460"/>
      <c r="J749" s="460"/>
      <c r="K749" s="460"/>
      <c r="L749" s="460"/>
      <c r="M749" s="460"/>
      <c r="N749" s="460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 ht="15.75" customHeight="1">
      <c r="A750" s="179"/>
      <c r="B750" s="179"/>
      <c r="C750" s="460"/>
      <c r="D750" s="460"/>
      <c r="E750" s="460"/>
      <c r="F750" s="460"/>
      <c r="G750" s="460"/>
      <c r="H750" s="460"/>
      <c r="I750" s="460"/>
      <c r="J750" s="460"/>
      <c r="K750" s="460"/>
      <c r="L750" s="460"/>
      <c r="M750" s="460"/>
      <c r="N750" s="460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 ht="15.75" customHeight="1">
      <c r="A751" s="179"/>
      <c r="B751" s="179"/>
      <c r="C751" s="460"/>
      <c r="D751" s="460"/>
      <c r="E751" s="460"/>
      <c r="F751" s="460"/>
      <c r="G751" s="460"/>
      <c r="H751" s="460"/>
      <c r="I751" s="460"/>
      <c r="J751" s="460"/>
      <c r="K751" s="460"/>
      <c r="L751" s="460"/>
      <c r="M751" s="460"/>
      <c r="N751" s="460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 ht="15.75" customHeight="1">
      <c r="A752" s="179"/>
      <c r="B752" s="179"/>
      <c r="C752" s="460"/>
      <c r="D752" s="460"/>
      <c r="E752" s="460"/>
      <c r="F752" s="460"/>
      <c r="G752" s="460"/>
      <c r="H752" s="460"/>
      <c r="I752" s="460"/>
      <c r="J752" s="460"/>
      <c r="K752" s="460"/>
      <c r="L752" s="460"/>
      <c r="M752" s="460"/>
      <c r="N752" s="460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 ht="15.75" customHeight="1">
      <c r="A753" s="179"/>
      <c r="B753" s="179"/>
      <c r="C753" s="460"/>
      <c r="D753" s="460"/>
      <c r="E753" s="460"/>
      <c r="F753" s="460"/>
      <c r="G753" s="460"/>
      <c r="H753" s="460"/>
      <c r="I753" s="460"/>
      <c r="J753" s="460"/>
      <c r="K753" s="460"/>
      <c r="L753" s="460"/>
      <c r="M753" s="460"/>
      <c r="N753" s="460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 ht="15.75" customHeight="1">
      <c r="A754" s="179"/>
      <c r="B754" s="179"/>
      <c r="C754" s="460"/>
      <c r="D754" s="460"/>
      <c r="E754" s="460"/>
      <c r="F754" s="460"/>
      <c r="G754" s="460"/>
      <c r="H754" s="460"/>
      <c r="I754" s="460"/>
      <c r="J754" s="460"/>
      <c r="K754" s="460"/>
      <c r="L754" s="460"/>
      <c r="M754" s="460"/>
      <c r="N754" s="460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 ht="15.75" customHeight="1">
      <c r="A755" s="179"/>
      <c r="B755" s="179"/>
      <c r="C755" s="460"/>
      <c r="D755" s="460"/>
      <c r="E755" s="460"/>
      <c r="F755" s="460"/>
      <c r="G755" s="460"/>
      <c r="H755" s="460"/>
      <c r="I755" s="460"/>
      <c r="J755" s="460"/>
      <c r="K755" s="460"/>
      <c r="L755" s="460"/>
      <c r="M755" s="460"/>
      <c r="N755" s="460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 ht="15.75" customHeight="1">
      <c r="A756" s="179"/>
      <c r="B756" s="179"/>
      <c r="C756" s="460"/>
      <c r="D756" s="460"/>
      <c r="E756" s="460"/>
      <c r="F756" s="460"/>
      <c r="G756" s="460"/>
      <c r="H756" s="460"/>
      <c r="I756" s="460"/>
      <c r="J756" s="460"/>
      <c r="K756" s="460"/>
      <c r="L756" s="460"/>
      <c r="M756" s="460"/>
      <c r="N756" s="460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 ht="15.75" customHeight="1">
      <c r="A757" s="179"/>
      <c r="B757" s="179"/>
      <c r="C757" s="460"/>
      <c r="D757" s="460"/>
      <c r="E757" s="460"/>
      <c r="F757" s="460"/>
      <c r="G757" s="460"/>
      <c r="H757" s="460"/>
      <c r="I757" s="460"/>
      <c r="J757" s="460"/>
      <c r="K757" s="460"/>
      <c r="L757" s="460"/>
      <c r="M757" s="460"/>
      <c r="N757" s="460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 ht="15.75" customHeight="1">
      <c r="A758" s="179"/>
      <c r="B758" s="179"/>
      <c r="C758" s="460"/>
      <c r="D758" s="460"/>
      <c r="E758" s="460"/>
      <c r="F758" s="460"/>
      <c r="G758" s="460"/>
      <c r="H758" s="460"/>
      <c r="I758" s="460"/>
      <c r="J758" s="460"/>
      <c r="K758" s="460"/>
      <c r="L758" s="460"/>
      <c r="M758" s="460"/>
      <c r="N758" s="460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 ht="15.75" customHeight="1">
      <c r="A759" s="179"/>
      <c r="B759" s="179"/>
      <c r="C759" s="460"/>
      <c r="D759" s="460"/>
      <c r="E759" s="460"/>
      <c r="F759" s="460"/>
      <c r="G759" s="460"/>
      <c r="H759" s="460"/>
      <c r="I759" s="460"/>
      <c r="J759" s="460"/>
      <c r="K759" s="460"/>
      <c r="L759" s="460"/>
      <c r="M759" s="460"/>
      <c r="N759" s="460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 ht="15.75" customHeight="1">
      <c r="A760" s="179"/>
      <c r="B760" s="179"/>
      <c r="C760" s="460"/>
      <c r="D760" s="460"/>
      <c r="E760" s="460"/>
      <c r="F760" s="460"/>
      <c r="G760" s="460"/>
      <c r="H760" s="460"/>
      <c r="I760" s="460"/>
      <c r="J760" s="460"/>
      <c r="K760" s="460"/>
      <c r="L760" s="460"/>
      <c r="M760" s="460"/>
      <c r="N760" s="460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 ht="15.75" customHeight="1">
      <c r="A761" s="179"/>
      <c r="B761" s="179"/>
      <c r="C761" s="460"/>
      <c r="D761" s="460"/>
      <c r="E761" s="460"/>
      <c r="F761" s="460"/>
      <c r="G761" s="460"/>
      <c r="H761" s="460"/>
      <c r="I761" s="460"/>
      <c r="J761" s="460"/>
      <c r="K761" s="460"/>
      <c r="L761" s="460"/>
      <c r="M761" s="460"/>
      <c r="N761" s="460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 ht="15.75" customHeight="1">
      <c r="A762" s="179"/>
      <c r="B762" s="179"/>
      <c r="C762" s="460"/>
      <c r="D762" s="460"/>
      <c r="E762" s="460"/>
      <c r="F762" s="460"/>
      <c r="G762" s="460"/>
      <c r="H762" s="460"/>
      <c r="I762" s="460"/>
      <c r="J762" s="460"/>
      <c r="K762" s="460"/>
      <c r="L762" s="460"/>
      <c r="M762" s="460"/>
      <c r="N762" s="460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 ht="15.75" customHeight="1">
      <c r="A763" s="179"/>
      <c r="B763" s="179"/>
      <c r="C763" s="460"/>
      <c r="D763" s="460"/>
      <c r="E763" s="460"/>
      <c r="F763" s="460"/>
      <c r="G763" s="460"/>
      <c r="H763" s="460"/>
      <c r="I763" s="460"/>
      <c r="J763" s="460"/>
      <c r="K763" s="460"/>
      <c r="L763" s="460"/>
      <c r="M763" s="460"/>
      <c r="N763" s="460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 ht="15.75" customHeight="1">
      <c r="A764" s="179"/>
      <c r="B764" s="179"/>
      <c r="C764" s="460"/>
      <c r="D764" s="460"/>
      <c r="E764" s="460"/>
      <c r="F764" s="460"/>
      <c r="G764" s="460"/>
      <c r="H764" s="460"/>
      <c r="I764" s="460"/>
      <c r="J764" s="460"/>
      <c r="K764" s="460"/>
      <c r="L764" s="460"/>
      <c r="M764" s="460"/>
      <c r="N764" s="460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 ht="15.75" customHeight="1">
      <c r="A765" s="179"/>
      <c r="B765" s="179"/>
      <c r="C765" s="460"/>
      <c r="D765" s="460"/>
      <c r="E765" s="460"/>
      <c r="F765" s="460"/>
      <c r="G765" s="460"/>
      <c r="H765" s="460"/>
      <c r="I765" s="460"/>
      <c r="J765" s="460"/>
      <c r="K765" s="460"/>
      <c r="L765" s="460"/>
      <c r="M765" s="460"/>
      <c r="N765" s="460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 ht="15.75" customHeight="1">
      <c r="A766" s="179"/>
      <c r="B766" s="179"/>
      <c r="C766" s="460"/>
      <c r="D766" s="460"/>
      <c r="E766" s="460"/>
      <c r="F766" s="460"/>
      <c r="G766" s="460"/>
      <c r="H766" s="460"/>
      <c r="I766" s="460"/>
      <c r="J766" s="460"/>
      <c r="K766" s="460"/>
      <c r="L766" s="460"/>
      <c r="M766" s="460"/>
      <c r="N766" s="460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 ht="15.75" customHeight="1">
      <c r="A767" s="179"/>
      <c r="B767" s="179"/>
      <c r="C767" s="460"/>
      <c r="D767" s="460"/>
      <c r="E767" s="460"/>
      <c r="F767" s="460"/>
      <c r="G767" s="460"/>
      <c r="H767" s="460"/>
      <c r="I767" s="460"/>
      <c r="J767" s="460"/>
      <c r="K767" s="460"/>
      <c r="L767" s="460"/>
      <c r="M767" s="460"/>
      <c r="N767" s="460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 ht="15.75" customHeight="1">
      <c r="A768" s="179"/>
      <c r="B768" s="179"/>
      <c r="C768" s="460"/>
      <c r="D768" s="460"/>
      <c r="E768" s="460"/>
      <c r="F768" s="460"/>
      <c r="G768" s="460"/>
      <c r="H768" s="460"/>
      <c r="I768" s="460"/>
      <c r="J768" s="460"/>
      <c r="K768" s="460"/>
      <c r="L768" s="460"/>
      <c r="M768" s="460"/>
      <c r="N768" s="460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 ht="15.75" customHeight="1">
      <c r="A769" s="179"/>
      <c r="B769" s="179"/>
      <c r="C769" s="460"/>
      <c r="D769" s="460"/>
      <c r="E769" s="460"/>
      <c r="F769" s="460"/>
      <c r="G769" s="460"/>
      <c r="H769" s="460"/>
      <c r="I769" s="460"/>
      <c r="J769" s="460"/>
      <c r="K769" s="460"/>
      <c r="L769" s="460"/>
      <c r="M769" s="460"/>
      <c r="N769" s="460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 ht="15.75" customHeight="1">
      <c r="A770" s="179"/>
      <c r="B770" s="179"/>
      <c r="C770" s="460"/>
      <c r="D770" s="460"/>
      <c r="E770" s="460"/>
      <c r="F770" s="460"/>
      <c r="G770" s="460"/>
      <c r="H770" s="460"/>
      <c r="I770" s="460"/>
      <c r="J770" s="460"/>
      <c r="K770" s="460"/>
      <c r="L770" s="460"/>
      <c r="M770" s="460"/>
      <c r="N770" s="460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 ht="15.75" customHeight="1">
      <c r="A771" s="179"/>
      <c r="B771" s="179"/>
      <c r="C771" s="460"/>
      <c r="D771" s="460"/>
      <c r="E771" s="460"/>
      <c r="F771" s="460"/>
      <c r="G771" s="460"/>
      <c r="H771" s="460"/>
      <c r="I771" s="460"/>
      <c r="J771" s="460"/>
      <c r="K771" s="460"/>
      <c r="L771" s="460"/>
      <c r="M771" s="460"/>
      <c r="N771" s="460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 ht="15.75" customHeight="1">
      <c r="A772" s="179"/>
      <c r="B772" s="179"/>
      <c r="C772" s="460"/>
      <c r="D772" s="460"/>
      <c r="E772" s="460"/>
      <c r="F772" s="460"/>
      <c r="G772" s="460"/>
      <c r="H772" s="460"/>
      <c r="I772" s="460"/>
      <c r="J772" s="460"/>
      <c r="K772" s="460"/>
      <c r="L772" s="460"/>
      <c r="M772" s="460"/>
      <c r="N772" s="460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 ht="15.75" customHeight="1">
      <c r="A773" s="179"/>
      <c r="B773" s="179"/>
      <c r="C773" s="460"/>
      <c r="D773" s="460"/>
      <c r="E773" s="460"/>
      <c r="F773" s="460"/>
      <c r="G773" s="460"/>
      <c r="H773" s="460"/>
      <c r="I773" s="460"/>
      <c r="J773" s="460"/>
      <c r="K773" s="460"/>
      <c r="L773" s="460"/>
      <c r="M773" s="460"/>
      <c r="N773" s="460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 ht="15.75" customHeight="1">
      <c r="A774" s="179"/>
      <c r="B774" s="179"/>
      <c r="C774" s="460"/>
      <c r="D774" s="460"/>
      <c r="E774" s="460"/>
      <c r="F774" s="460"/>
      <c r="G774" s="460"/>
      <c r="H774" s="460"/>
      <c r="I774" s="460"/>
      <c r="J774" s="460"/>
      <c r="K774" s="460"/>
      <c r="L774" s="460"/>
      <c r="M774" s="460"/>
      <c r="N774" s="460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 ht="15.75" customHeight="1">
      <c r="A775" s="179"/>
      <c r="B775" s="179"/>
      <c r="C775" s="460"/>
      <c r="D775" s="460"/>
      <c r="E775" s="460"/>
      <c r="F775" s="460"/>
      <c r="G775" s="460"/>
      <c r="H775" s="460"/>
      <c r="I775" s="460"/>
      <c r="J775" s="460"/>
      <c r="K775" s="460"/>
      <c r="L775" s="460"/>
      <c r="M775" s="460"/>
      <c r="N775" s="460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 ht="15.75" customHeight="1">
      <c r="A776" s="179"/>
      <c r="B776" s="179"/>
      <c r="C776" s="460"/>
      <c r="D776" s="460"/>
      <c r="E776" s="460"/>
      <c r="F776" s="460"/>
      <c r="G776" s="460"/>
      <c r="H776" s="460"/>
      <c r="I776" s="460"/>
      <c r="J776" s="460"/>
      <c r="K776" s="460"/>
      <c r="L776" s="460"/>
      <c r="M776" s="460"/>
      <c r="N776" s="460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 ht="15.75" customHeight="1">
      <c r="A777" s="179"/>
      <c r="B777" s="179"/>
      <c r="C777" s="460"/>
      <c r="D777" s="460"/>
      <c r="E777" s="460"/>
      <c r="F777" s="460"/>
      <c r="G777" s="460"/>
      <c r="H777" s="460"/>
      <c r="I777" s="460"/>
      <c r="J777" s="460"/>
      <c r="K777" s="460"/>
      <c r="L777" s="460"/>
      <c r="M777" s="460"/>
      <c r="N777" s="460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 ht="15.75" customHeight="1">
      <c r="A778" s="179"/>
      <c r="B778" s="179"/>
      <c r="C778" s="460"/>
      <c r="D778" s="460"/>
      <c r="E778" s="460"/>
      <c r="F778" s="460"/>
      <c r="G778" s="460"/>
      <c r="H778" s="460"/>
      <c r="I778" s="460"/>
      <c r="J778" s="460"/>
      <c r="K778" s="460"/>
      <c r="L778" s="460"/>
      <c r="M778" s="460"/>
      <c r="N778" s="460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 ht="15.75" customHeight="1">
      <c r="A779" s="179"/>
      <c r="B779" s="179"/>
      <c r="C779" s="460"/>
      <c r="D779" s="460"/>
      <c r="E779" s="460"/>
      <c r="F779" s="460"/>
      <c r="G779" s="460"/>
      <c r="H779" s="460"/>
      <c r="I779" s="460"/>
      <c r="J779" s="460"/>
      <c r="K779" s="460"/>
      <c r="L779" s="460"/>
      <c r="M779" s="460"/>
      <c r="N779" s="460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 ht="15.75" customHeight="1">
      <c r="A780" s="179"/>
      <c r="B780" s="179"/>
      <c r="C780" s="460"/>
      <c r="D780" s="460"/>
      <c r="E780" s="460"/>
      <c r="F780" s="460"/>
      <c r="G780" s="460"/>
      <c r="H780" s="460"/>
      <c r="I780" s="460"/>
      <c r="J780" s="460"/>
      <c r="K780" s="460"/>
      <c r="L780" s="460"/>
      <c r="M780" s="460"/>
      <c r="N780" s="460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 ht="15.75" customHeight="1">
      <c r="A781" s="179"/>
      <c r="B781" s="179"/>
      <c r="C781" s="460"/>
      <c r="D781" s="460"/>
      <c r="E781" s="460"/>
      <c r="F781" s="460"/>
      <c r="G781" s="460"/>
      <c r="H781" s="460"/>
      <c r="I781" s="460"/>
      <c r="J781" s="460"/>
      <c r="K781" s="460"/>
      <c r="L781" s="460"/>
      <c r="M781" s="460"/>
      <c r="N781" s="460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 ht="15.75" customHeight="1">
      <c r="A782" s="179"/>
      <c r="B782" s="179"/>
      <c r="C782" s="460"/>
      <c r="D782" s="460"/>
      <c r="E782" s="460"/>
      <c r="F782" s="460"/>
      <c r="G782" s="460"/>
      <c r="H782" s="460"/>
      <c r="I782" s="460"/>
      <c r="J782" s="460"/>
      <c r="K782" s="460"/>
      <c r="L782" s="460"/>
      <c r="M782" s="460"/>
      <c r="N782" s="460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 ht="15.75" customHeight="1">
      <c r="A783" s="179"/>
      <c r="B783" s="179"/>
      <c r="C783" s="460"/>
      <c r="D783" s="460"/>
      <c r="E783" s="460"/>
      <c r="F783" s="460"/>
      <c r="G783" s="460"/>
      <c r="H783" s="460"/>
      <c r="I783" s="460"/>
      <c r="J783" s="460"/>
      <c r="K783" s="460"/>
      <c r="L783" s="460"/>
      <c r="M783" s="460"/>
      <c r="N783" s="460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 ht="15.75" customHeight="1">
      <c r="A784" s="179"/>
      <c r="B784" s="179"/>
      <c r="C784" s="460"/>
      <c r="D784" s="460"/>
      <c r="E784" s="460"/>
      <c r="F784" s="460"/>
      <c r="G784" s="460"/>
      <c r="H784" s="460"/>
      <c r="I784" s="460"/>
      <c r="J784" s="460"/>
      <c r="K784" s="460"/>
      <c r="L784" s="460"/>
      <c r="M784" s="460"/>
      <c r="N784" s="460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 ht="15.75" customHeight="1">
      <c r="A785" s="179"/>
      <c r="B785" s="179"/>
      <c r="C785" s="460"/>
      <c r="D785" s="460"/>
      <c r="E785" s="460"/>
      <c r="F785" s="460"/>
      <c r="G785" s="460"/>
      <c r="H785" s="460"/>
      <c r="I785" s="460"/>
      <c r="J785" s="460"/>
      <c r="K785" s="460"/>
      <c r="L785" s="460"/>
      <c r="M785" s="460"/>
      <c r="N785" s="460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 ht="15.75" customHeight="1">
      <c r="A786" s="179"/>
      <c r="B786" s="179"/>
      <c r="C786" s="460"/>
      <c r="D786" s="460"/>
      <c r="E786" s="460"/>
      <c r="F786" s="460"/>
      <c r="G786" s="460"/>
      <c r="H786" s="460"/>
      <c r="I786" s="460"/>
      <c r="J786" s="460"/>
      <c r="K786" s="460"/>
      <c r="L786" s="460"/>
      <c r="M786" s="460"/>
      <c r="N786" s="460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 ht="15.75" customHeight="1">
      <c r="A787" s="179"/>
      <c r="B787" s="179"/>
      <c r="C787" s="460"/>
      <c r="D787" s="460"/>
      <c r="E787" s="460"/>
      <c r="F787" s="460"/>
      <c r="G787" s="460"/>
      <c r="H787" s="460"/>
      <c r="I787" s="460"/>
      <c r="J787" s="460"/>
      <c r="K787" s="460"/>
      <c r="L787" s="460"/>
      <c r="M787" s="460"/>
      <c r="N787" s="460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 ht="15.75" customHeight="1">
      <c r="A788" s="179"/>
      <c r="B788" s="179"/>
      <c r="C788" s="460"/>
      <c r="D788" s="460"/>
      <c r="E788" s="460"/>
      <c r="F788" s="460"/>
      <c r="G788" s="460"/>
      <c r="H788" s="460"/>
      <c r="I788" s="460"/>
      <c r="J788" s="460"/>
      <c r="K788" s="460"/>
      <c r="L788" s="460"/>
      <c r="M788" s="460"/>
      <c r="N788" s="460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 ht="15.75" customHeight="1">
      <c r="A789" s="179"/>
      <c r="B789" s="179"/>
      <c r="C789" s="460"/>
      <c r="D789" s="460"/>
      <c r="E789" s="460"/>
      <c r="F789" s="460"/>
      <c r="G789" s="460"/>
      <c r="H789" s="460"/>
      <c r="I789" s="460"/>
      <c r="J789" s="460"/>
      <c r="K789" s="460"/>
      <c r="L789" s="460"/>
      <c r="M789" s="460"/>
      <c r="N789" s="460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 ht="15.75" customHeight="1">
      <c r="A790" s="179"/>
      <c r="B790" s="179"/>
      <c r="C790" s="460"/>
      <c r="D790" s="460"/>
      <c r="E790" s="460"/>
      <c r="F790" s="460"/>
      <c r="G790" s="460"/>
      <c r="H790" s="460"/>
      <c r="I790" s="460"/>
      <c r="J790" s="460"/>
      <c r="K790" s="460"/>
      <c r="L790" s="460"/>
      <c r="M790" s="460"/>
      <c r="N790" s="460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 ht="15.75" customHeight="1">
      <c r="A791" s="179"/>
      <c r="B791" s="179"/>
      <c r="C791" s="460"/>
      <c r="D791" s="460"/>
      <c r="E791" s="460"/>
      <c r="F791" s="460"/>
      <c r="G791" s="460"/>
      <c r="H791" s="460"/>
      <c r="I791" s="460"/>
      <c r="J791" s="460"/>
      <c r="K791" s="460"/>
      <c r="L791" s="460"/>
      <c r="M791" s="460"/>
      <c r="N791" s="460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 ht="15.75" customHeight="1">
      <c r="A792" s="179"/>
      <c r="B792" s="179"/>
      <c r="C792" s="460"/>
      <c r="D792" s="460"/>
      <c r="E792" s="460"/>
      <c r="F792" s="460"/>
      <c r="G792" s="460"/>
      <c r="H792" s="460"/>
      <c r="I792" s="460"/>
      <c r="J792" s="460"/>
      <c r="K792" s="460"/>
      <c r="L792" s="460"/>
      <c r="M792" s="460"/>
      <c r="N792" s="460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 ht="15.75" customHeight="1">
      <c r="A793" s="179"/>
      <c r="B793" s="179"/>
      <c r="C793" s="460"/>
      <c r="D793" s="460"/>
      <c r="E793" s="460"/>
      <c r="F793" s="460"/>
      <c r="G793" s="460"/>
      <c r="H793" s="460"/>
      <c r="I793" s="460"/>
      <c r="J793" s="460"/>
      <c r="K793" s="460"/>
      <c r="L793" s="460"/>
      <c r="M793" s="460"/>
      <c r="N793" s="460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 ht="15.75" customHeight="1">
      <c r="A794" s="179"/>
      <c r="B794" s="179"/>
      <c r="C794" s="460"/>
      <c r="D794" s="460"/>
      <c r="E794" s="460"/>
      <c r="F794" s="460"/>
      <c r="G794" s="460"/>
      <c r="H794" s="460"/>
      <c r="I794" s="460"/>
      <c r="J794" s="460"/>
      <c r="K794" s="460"/>
      <c r="L794" s="460"/>
      <c r="M794" s="460"/>
      <c r="N794" s="460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 ht="15.75" customHeight="1">
      <c r="A795" s="179"/>
      <c r="B795" s="179"/>
      <c r="C795" s="460"/>
      <c r="D795" s="460"/>
      <c r="E795" s="460"/>
      <c r="F795" s="460"/>
      <c r="G795" s="460"/>
      <c r="H795" s="460"/>
      <c r="I795" s="460"/>
      <c r="J795" s="460"/>
      <c r="K795" s="460"/>
      <c r="L795" s="460"/>
      <c r="M795" s="460"/>
      <c r="N795" s="460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 ht="15.75" customHeight="1">
      <c r="A796" s="179"/>
      <c r="B796" s="179"/>
      <c r="C796" s="460"/>
      <c r="D796" s="460"/>
      <c r="E796" s="460"/>
      <c r="F796" s="460"/>
      <c r="G796" s="460"/>
      <c r="H796" s="460"/>
      <c r="I796" s="460"/>
      <c r="J796" s="460"/>
      <c r="K796" s="460"/>
      <c r="L796" s="460"/>
      <c r="M796" s="460"/>
      <c r="N796" s="460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 ht="15.75" customHeight="1">
      <c r="A797" s="179"/>
      <c r="B797" s="179"/>
      <c r="C797" s="460"/>
      <c r="D797" s="460"/>
      <c r="E797" s="460"/>
      <c r="F797" s="460"/>
      <c r="G797" s="460"/>
      <c r="H797" s="460"/>
      <c r="I797" s="460"/>
      <c r="J797" s="460"/>
      <c r="K797" s="460"/>
      <c r="L797" s="460"/>
      <c r="M797" s="460"/>
      <c r="N797" s="460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 ht="15.75" customHeight="1">
      <c r="A798" s="179"/>
      <c r="B798" s="179"/>
      <c r="C798" s="460"/>
      <c r="D798" s="460"/>
      <c r="E798" s="460"/>
      <c r="F798" s="460"/>
      <c r="G798" s="460"/>
      <c r="H798" s="460"/>
      <c r="I798" s="460"/>
      <c r="J798" s="460"/>
      <c r="K798" s="460"/>
      <c r="L798" s="460"/>
      <c r="M798" s="460"/>
      <c r="N798" s="460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 ht="15.75" customHeight="1">
      <c r="A799" s="179"/>
      <c r="B799" s="179"/>
      <c r="C799" s="460"/>
      <c r="D799" s="460"/>
      <c r="E799" s="460"/>
      <c r="F799" s="460"/>
      <c r="G799" s="460"/>
      <c r="H799" s="460"/>
      <c r="I799" s="460"/>
      <c r="J799" s="460"/>
      <c r="K799" s="460"/>
      <c r="L799" s="460"/>
      <c r="M799" s="460"/>
      <c r="N799" s="460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 ht="15.75" customHeight="1">
      <c r="A800" s="179"/>
      <c r="B800" s="179"/>
      <c r="C800" s="460"/>
      <c r="D800" s="460"/>
      <c r="E800" s="460"/>
      <c r="F800" s="460"/>
      <c r="G800" s="460"/>
      <c r="H800" s="460"/>
      <c r="I800" s="460"/>
      <c r="J800" s="460"/>
      <c r="K800" s="460"/>
      <c r="L800" s="460"/>
      <c r="M800" s="460"/>
      <c r="N800" s="460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 ht="15.75" customHeight="1">
      <c r="A801" s="179"/>
      <c r="B801" s="179"/>
      <c r="C801" s="460"/>
      <c r="D801" s="460"/>
      <c r="E801" s="460"/>
      <c r="F801" s="460"/>
      <c r="G801" s="460"/>
      <c r="H801" s="460"/>
      <c r="I801" s="460"/>
      <c r="J801" s="460"/>
      <c r="K801" s="460"/>
      <c r="L801" s="460"/>
      <c r="M801" s="460"/>
      <c r="N801" s="460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 ht="15.75" customHeight="1">
      <c r="A802" s="179"/>
      <c r="B802" s="179"/>
      <c r="C802" s="460"/>
      <c r="D802" s="460"/>
      <c r="E802" s="460"/>
      <c r="F802" s="460"/>
      <c r="G802" s="460"/>
      <c r="H802" s="460"/>
      <c r="I802" s="460"/>
      <c r="J802" s="460"/>
      <c r="K802" s="460"/>
      <c r="L802" s="460"/>
      <c r="M802" s="460"/>
      <c r="N802" s="460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 ht="15.75" customHeight="1">
      <c r="A803" s="179"/>
      <c r="B803" s="179"/>
      <c r="C803" s="460"/>
      <c r="D803" s="460"/>
      <c r="E803" s="460"/>
      <c r="F803" s="460"/>
      <c r="G803" s="460"/>
      <c r="H803" s="460"/>
      <c r="I803" s="460"/>
      <c r="J803" s="460"/>
      <c r="K803" s="460"/>
      <c r="L803" s="460"/>
      <c r="M803" s="460"/>
      <c r="N803" s="460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 ht="15.75" customHeight="1">
      <c r="A804" s="179"/>
      <c r="B804" s="179"/>
      <c r="C804" s="460"/>
      <c r="D804" s="460"/>
      <c r="E804" s="460"/>
      <c r="F804" s="460"/>
      <c r="G804" s="460"/>
      <c r="H804" s="460"/>
      <c r="I804" s="460"/>
      <c r="J804" s="460"/>
      <c r="K804" s="460"/>
      <c r="L804" s="460"/>
      <c r="M804" s="460"/>
      <c r="N804" s="460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 ht="15.75" customHeight="1">
      <c r="A805" s="179"/>
      <c r="B805" s="179"/>
      <c r="C805" s="460"/>
      <c r="D805" s="460"/>
      <c r="E805" s="460"/>
      <c r="F805" s="460"/>
      <c r="G805" s="460"/>
      <c r="H805" s="460"/>
      <c r="I805" s="460"/>
      <c r="J805" s="460"/>
      <c r="K805" s="460"/>
      <c r="L805" s="460"/>
      <c r="M805" s="460"/>
      <c r="N805" s="460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 ht="15.75" customHeight="1">
      <c r="A806" s="179"/>
      <c r="B806" s="179"/>
      <c r="C806" s="460"/>
      <c r="D806" s="460"/>
      <c r="E806" s="460"/>
      <c r="F806" s="460"/>
      <c r="G806" s="460"/>
      <c r="H806" s="460"/>
      <c r="I806" s="460"/>
      <c r="J806" s="460"/>
      <c r="K806" s="460"/>
      <c r="L806" s="460"/>
      <c r="M806" s="460"/>
      <c r="N806" s="460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 ht="15.75" customHeight="1">
      <c r="A807" s="179"/>
      <c r="B807" s="179"/>
      <c r="C807" s="460"/>
      <c r="D807" s="460"/>
      <c r="E807" s="460"/>
      <c r="F807" s="460"/>
      <c r="G807" s="460"/>
      <c r="H807" s="460"/>
      <c r="I807" s="460"/>
      <c r="J807" s="460"/>
      <c r="K807" s="460"/>
      <c r="L807" s="460"/>
      <c r="M807" s="460"/>
      <c r="N807" s="460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 ht="15.75" customHeight="1">
      <c r="A808" s="179"/>
      <c r="B808" s="179"/>
      <c r="C808" s="460"/>
      <c r="D808" s="460"/>
      <c r="E808" s="460"/>
      <c r="F808" s="460"/>
      <c r="G808" s="460"/>
      <c r="H808" s="460"/>
      <c r="I808" s="460"/>
      <c r="J808" s="460"/>
      <c r="K808" s="460"/>
      <c r="L808" s="460"/>
      <c r="M808" s="460"/>
      <c r="N808" s="460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 ht="15.75" customHeight="1">
      <c r="A809" s="179"/>
      <c r="B809" s="179"/>
      <c r="C809" s="460"/>
      <c r="D809" s="460"/>
      <c r="E809" s="460"/>
      <c r="F809" s="460"/>
      <c r="G809" s="460"/>
      <c r="H809" s="460"/>
      <c r="I809" s="460"/>
      <c r="J809" s="460"/>
      <c r="K809" s="460"/>
      <c r="L809" s="460"/>
      <c r="M809" s="460"/>
      <c r="N809" s="460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 ht="15.75" customHeight="1">
      <c r="A810" s="179"/>
      <c r="B810" s="179"/>
      <c r="C810" s="460"/>
      <c r="D810" s="460"/>
      <c r="E810" s="460"/>
      <c r="F810" s="460"/>
      <c r="G810" s="460"/>
      <c r="H810" s="460"/>
      <c r="I810" s="460"/>
      <c r="J810" s="460"/>
      <c r="K810" s="460"/>
      <c r="L810" s="460"/>
      <c r="M810" s="460"/>
      <c r="N810" s="460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 ht="15.75" customHeight="1">
      <c r="A811" s="179"/>
      <c r="B811" s="179"/>
      <c r="C811" s="460"/>
      <c r="D811" s="460"/>
      <c r="E811" s="460"/>
      <c r="F811" s="460"/>
      <c r="G811" s="460"/>
      <c r="H811" s="460"/>
      <c r="I811" s="460"/>
      <c r="J811" s="460"/>
      <c r="K811" s="460"/>
      <c r="L811" s="460"/>
      <c r="M811" s="460"/>
      <c r="N811" s="460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 ht="15.75" customHeight="1">
      <c r="A812" s="179"/>
      <c r="B812" s="179"/>
      <c r="C812" s="460"/>
      <c r="D812" s="460"/>
      <c r="E812" s="460"/>
      <c r="F812" s="460"/>
      <c r="G812" s="460"/>
      <c r="H812" s="460"/>
      <c r="I812" s="460"/>
      <c r="J812" s="460"/>
      <c r="K812" s="460"/>
      <c r="L812" s="460"/>
      <c r="M812" s="460"/>
      <c r="N812" s="460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 ht="15.75" customHeight="1">
      <c r="A813" s="179"/>
      <c r="B813" s="179"/>
      <c r="C813" s="460"/>
      <c r="D813" s="460"/>
      <c r="E813" s="460"/>
      <c r="F813" s="460"/>
      <c r="G813" s="460"/>
      <c r="H813" s="460"/>
      <c r="I813" s="460"/>
      <c r="J813" s="460"/>
      <c r="K813" s="460"/>
      <c r="L813" s="460"/>
      <c r="M813" s="460"/>
      <c r="N813" s="460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 ht="15.75" customHeight="1">
      <c r="A814" s="179"/>
      <c r="B814" s="179"/>
      <c r="C814" s="460"/>
      <c r="D814" s="460"/>
      <c r="E814" s="460"/>
      <c r="F814" s="460"/>
      <c r="G814" s="460"/>
      <c r="H814" s="460"/>
      <c r="I814" s="460"/>
      <c r="J814" s="460"/>
      <c r="K814" s="460"/>
      <c r="L814" s="460"/>
      <c r="M814" s="460"/>
      <c r="N814" s="460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 ht="15.75" customHeight="1">
      <c r="A815" s="179"/>
      <c r="B815" s="179"/>
      <c r="C815" s="460"/>
      <c r="D815" s="460"/>
      <c r="E815" s="460"/>
      <c r="F815" s="460"/>
      <c r="G815" s="460"/>
      <c r="H815" s="460"/>
      <c r="I815" s="460"/>
      <c r="J815" s="460"/>
      <c r="K815" s="460"/>
      <c r="L815" s="460"/>
      <c r="M815" s="460"/>
      <c r="N815" s="460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 ht="15.75" customHeight="1">
      <c r="A816" s="179"/>
      <c r="B816" s="179"/>
      <c r="C816" s="460"/>
      <c r="D816" s="460"/>
      <c r="E816" s="460"/>
      <c r="F816" s="460"/>
      <c r="G816" s="460"/>
      <c r="H816" s="460"/>
      <c r="I816" s="460"/>
      <c r="J816" s="460"/>
      <c r="K816" s="460"/>
      <c r="L816" s="460"/>
      <c r="M816" s="460"/>
      <c r="N816" s="460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 ht="15.75" customHeight="1">
      <c r="A817" s="179"/>
      <c r="B817" s="179"/>
      <c r="C817" s="460"/>
      <c r="D817" s="460"/>
      <c r="E817" s="460"/>
      <c r="F817" s="460"/>
      <c r="G817" s="460"/>
      <c r="H817" s="460"/>
      <c r="I817" s="460"/>
      <c r="J817" s="460"/>
      <c r="K817" s="460"/>
      <c r="L817" s="460"/>
      <c r="M817" s="460"/>
      <c r="N817" s="460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 ht="15.75" customHeight="1">
      <c r="A818" s="179"/>
      <c r="B818" s="179"/>
      <c r="C818" s="460"/>
      <c r="D818" s="460"/>
      <c r="E818" s="460"/>
      <c r="F818" s="460"/>
      <c r="G818" s="460"/>
      <c r="H818" s="460"/>
      <c r="I818" s="460"/>
      <c r="J818" s="460"/>
      <c r="K818" s="460"/>
      <c r="L818" s="460"/>
      <c r="M818" s="460"/>
      <c r="N818" s="460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 ht="15.75" customHeight="1">
      <c r="A819" s="179"/>
      <c r="B819" s="179"/>
      <c r="C819" s="460"/>
      <c r="D819" s="460"/>
      <c r="E819" s="460"/>
      <c r="F819" s="460"/>
      <c r="G819" s="460"/>
      <c r="H819" s="460"/>
      <c r="I819" s="460"/>
      <c r="J819" s="460"/>
      <c r="K819" s="460"/>
      <c r="L819" s="460"/>
      <c r="M819" s="460"/>
      <c r="N819" s="460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 ht="15.75" customHeight="1">
      <c r="A820" s="179"/>
      <c r="B820" s="179"/>
      <c r="C820" s="460"/>
      <c r="D820" s="460"/>
      <c r="E820" s="460"/>
      <c r="F820" s="460"/>
      <c r="G820" s="460"/>
      <c r="H820" s="460"/>
      <c r="I820" s="460"/>
      <c r="J820" s="460"/>
      <c r="K820" s="460"/>
      <c r="L820" s="460"/>
      <c r="M820" s="460"/>
      <c r="N820" s="460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 ht="15.75" customHeight="1">
      <c r="A821" s="179"/>
      <c r="B821" s="179"/>
      <c r="C821" s="460"/>
      <c r="D821" s="460"/>
      <c r="E821" s="460"/>
      <c r="F821" s="460"/>
      <c r="G821" s="460"/>
      <c r="H821" s="460"/>
      <c r="I821" s="460"/>
      <c r="J821" s="460"/>
      <c r="K821" s="460"/>
      <c r="L821" s="460"/>
      <c r="M821" s="460"/>
      <c r="N821" s="460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 ht="15.75" customHeight="1">
      <c r="A822" s="179"/>
      <c r="B822" s="179"/>
      <c r="C822" s="460"/>
      <c r="D822" s="460"/>
      <c r="E822" s="460"/>
      <c r="F822" s="460"/>
      <c r="G822" s="460"/>
      <c r="H822" s="460"/>
      <c r="I822" s="460"/>
      <c r="J822" s="460"/>
      <c r="K822" s="460"/>
      <c r="L822" s="460"/>
      <c r="M822" s="460"/>
      <c r="N822" s="460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 ht="15.75" customHeight="1">
      <c r="A823" s="179"/>
      <c r="B823" s="179"/>
      <c r="C823" s="460"/>
      <c r="D823" s="460"/>
      <c r="E823" s="460"/>
      <c r="F823" s="460"/>
      <c r="G823" s="460"/>
      <c r="H823" s="460"/>
      <c r="I823" s="460"/>
      <c r="J823" s="460"/>
      <c r="K823" s="460"/>
      <c r="L823" s="460"/>
      <c r="M823" s="460"/>
      <c r="N823" s="460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 ht="15.75" customHeight="1">
      <c r="A824" s="179"/>
      <c r="B824" s="179"/>
      <c r="C824" s="460"/>
      <c r="D824" s="460"/>
      <c r="E824" s="460"/>
      <c r="F824" s="460"/>
      <c r="G824" s="460"/>
      <c r="H824" s="460"/>
      <c r="I824" s="460"/>
      <c r="J824" s="460"/>
      <c r="K824" s="460"/>
      <c r="L824" s="460"/>
      <c r="M824" s="460"/>
      <c r="N824" s="460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 ht="15.75" customHeight="1">
      <c r="A825" s="179"/>
      <c r="B825" s="179"/>
      <c r="C825" s="460"/>
      <c r="D825" s="460"/>
      <c r="E825" s="460"/>
      <c r="F825" s="460"/>
      <c r="G825" s="460"/>
      <c r="H825" s="460"/>
      <c r="I825" s="460"/>
      <c r="J825" s="460"/>
      <c r="K825" s="460"/>
      <c r="L825" s="460"/>
      <c r="M825" s="460"/>
      <c r="N825" s="460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 ht="15.75" customHeight="1">
      <c r="A826" s="179"/>
      <c r="B826" s="179"/>
      <c r="C826" s="460"/>
      <c r="D826" s="460"/>
      <c r="E826" s="460"/>
      <c r="F826" s="460"/>
      <c r="G826" s="460"/>
      <c r="H826" s="460"/>
      <c r="I826" s="460"/>
      <c r="J826" s="460"/>
      <c r="K826" s="460"/>
      <c r="L826" s="460"/>
      <c r="M826" s="460"/>
      <c r="N826" s="460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 ht="15.75" customHeight="1">
      <c r="A827" s="179"/>
      <c r="B827" s="179"/>
      <c r="C827" s="460"/>
      <c r="D827" s="460"/>
      <c r="E827" s="460"/>
      <c r="F827" s="460"/>
      <c r="G827" s="460"/>
      <c r="H827" s="460"/>
      <c r="I827" s="460"/>
      <c r="J827" s="460"/>
      <c r="K827" s="460"/>
      <c r="L827" s="460"/>
      <c r="M827" s="460"/>
      <c r="N827" s="460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 ht="15.75" customHeight="1">
      <c r="A828" s="179"/>
      <c r="B828" s="179"/>
      <c r="C828" s="460"/>
      <c r="D828" s="460"/>
      <c r="E828" s="460"/>
      <c r="F828" s="460"/>
      <c r="G828" s="460"/>
      <c r="H828" s="460"/>
      <c r="I828" s="460"/>
      <c r="J828" s="460"/>
      <c r="K828" s="460"/>
      <c r="L828" s="460"/>
      <c r="M828" s="460"/>
      <c r="N828" s="460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 ht="15.75" customHeight="1">
      <c r="A829" s="179"/>
      <c r="B829" s="179"/>
      <c r="C829" s="460"/>
      <c r="D829" s="460"/>
      <c r="E829" s="460"/>
      <c r="F829" s="460"/>
      <c r="G829" s="460"/>
      <c r="H829" s="460"/>
      <c r="I829" s="460"/>
      <c r="J829" s="460"/>
      <c r="K829" s="460"/>
      <c r="L829" s="460"/>
      <c r="M829" s="460"/>
      <c r="N829" s="460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 ht="15.75" customHeight="1">
      <c r="A830" s="179"/>
      <c r="B830" s="179"/>
      <c r="C830" s="460"/>
      <c r="D830" s="460"/>
      <c r="E830" s="460"/>
      <c r="F830" s="460"/>
      <c r="G830" s="460"/>
      <c r="H830" s="460"/>
      <c r="I830" s="460"/>
      <c r="J830" s="460"/>
      <c r="K830" s="460"/>
      <c r="L830" s="460"/>
      <c r="M830" s="460"/>
      <c r="N830" s="460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 ht="15.75" customHeight="1">
      <c r="A831" s="179"/>
      <c r="B831" s="179"/>
      <c r="C831" s="460"/>
      <c r="D831" s="460"/>
      <c r="E831" s="460"/>
      <c r="F831" s="460"/>
      <c r="G831" s="460"/>
      <c r="H831" s="460"/>
      <c r="I831" s="460"/>
      <c r="J831" s="460"/>
      <c r="K831" s="460"/>
      <c r="L831" s="460"/>
      <c r="M831" s="460"/>
      <c r="N831" s="460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 ht="15.75" customHeight="1">
      <c r="A832" s="179"/>
      <c r="B832" s="179"/>
      <c r="C832" s="460"/>
      <c r="D832" s="460"/>
      <c r="E832" s="460"/>
      <c r="F832" s="460"/>
      <c r="G832" s="460"/>
      <c r="H832" s="460"/>
      <c r="I832" s="460"/>
      <c r="J832" s="460"/>
      <c r="K832" s="460"/>
      <c r="L832" s="460"/>
      <c r="M832" s="460"/>
      <c r="N832" s="460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 ht="15.75" customHeight="1">
      <c r="A833" s="179"/>
      <c r="B833" s="179"/>
      <c r="C833" s="460"/>
      <c r="D833" s="460"/>
      <c r="E833" s="460"/>
      <c r="F833" s="460"/>
      <c r="G833" s="460"/>
      <c r="H833" s="460"/>
      <c r="I833" s="460"/>
      <c r="J833" s="460"/>
      <c r="K833" s="460"/>
      <c r="L833" s="460"/>
      <c r="M833" s="460"/>
      <c r="N833" s="460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 ht="15.75" customHeight="1">
      <c r="A834" s="179"/>
      <c r="B834" s="179"/>
      <c r="C834" s="460"/>
      <c r="D834" s="460"/>
      <c r="E834" s="460"/>
      <c r="F834" s="460"/>
      <c r="G834" s="460"/>
      <c r="H834" s="460"/>
      <c r="I834" s="460"/>
      <c r="J834" s="460"/>
      <c r="K834" s="460"/>
      <c r="L834" s="460"/>
      <c r="M834" s="460"/>
      <c r="N834" s="460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 ht="15.75" customHeight="1">
      <c r="A835" s="179"/>
      <c r="B835" s="179"/>
      <c r="C835" s="460"/>
      <c r="D835" s="460"/>
      <c r="E835" s="460"/>
      <c r="F835" s="460"/>
      <c r="G835" s="460"/>
      <c r="H835" s="460"/>
      <c r="I835" s="460"/>
      <c r="J835" s="460"/>
      <c r="K835" s="460"/>
      <c r="L835" s="460"/>
      <c r="M835" s="460"/>
      <c r="N835" s="460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 ht="15.75" customHeight="1">
      <c r="A836" s="179"/>
      <c r="B836" s="179"/>
      <c r="C836" s="460"/>
      <c r="D836" s="460"/>
      <c r="E836" s="460"/>
      <c r="F836" s="460"/>
      <c r="G836" s="460"/>
      <c r="H836" s="460"/>
      <c r="I836" s="460"/>
      <c r="J836" s="460"/>
      <c r="K836" s="460"/>
      <c r="L836" s="460"/>
      <c r="M836" s="460"/>
      <c r="N836" s="460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 ht="15.75" customHeight="1">
      <c r="A837" s="179"/>
      <c r="B837" s="179"/>
      <c r="C837" s="460"/>
      <c r="D837" s="460"/>
      <c r="E837" s="460"/>
      <c r="F837" s="460"/>
      <c r="G837" s="460"/>
      <c r="H837" s="460"/>
      <c r="I837" s="460"/>
      <c r="J837" s="460"/>
      <c r="K837" s="460"/>
      <c r="L837" s="460"/>
      <c r="M837" s="460"/>
      <c r="N837" s="460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 ht="15.75" customHeight="1">
      <c r="A838" s="179"/>
      <c r="B838" s="179"/>
      <c r="C838" s="460"/>
      <c r="D838" s="460"/>
      <c r="E838" s="460"/>
      <c r="F838" s="460"/>
      <c r="G838" s="460"/>
      <c r="H838" s="460"/>
      <c r="I838" s="460"/>
      <c r="J838" s="460"/>
      <c r="K838" s="460"/>
      <c r="L838" s="460"/>
      <c r="M838" s="460"/>
      <c r="N838" s="460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 ht="15.75" customHeight="1">
      <c r="A839" s="179"/>
      <c r="B839" s="179"/>
      <c r="C839" s="460"/>
      <c r="D839" s="460"/>
      <c r="E839" s="460"/>
      <c r="F839" s="460"/>
      <c r="G839" s="460"/>
      <c r="H839" s="460"/>
      <c r="I839" s="460"/>
      <c r="J839" s="460"/>
      <c r="K839" s="460"/>
      <c r="L839" s="460"/>
      <c r="M839" s="460"/>
      <c r="N839" s="460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 ht="15.75" customHeight="1">
      <c r="A840" s="179"/>
      <c r="B840" s="179"/>
      <c r="C840" s="460"/>
      <c r="D840" s="460"/>
      <c r="E840" s="460"/>
      <c r="F840" s="460"/>
      <c r="G840" s="460"/>
      <c r="H840" s="460"/>
      <c r="I840" s="460"/>
      <c r="J840" s="460"/>
      <c r="K840" s="460"/>
      <c r="L840" s="460"/>
      <c r="M840" s="460"/>
      <c r="N840" s="460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 ht="15.75" customHeight="1">
      <c r="A841" s="179"/>
      <c r="B841" s="179"/>
      <c r="C841" s="460"/>
      <c r="D841" s="460"/>
      <c r="E841" s="460"/>
      <c r="F841" s="460"/>
      <c r="G841" s="460"/>
      <c r="H841" s="460"/>
      <c r="I841" s="460"/>
      <c r="J841" s="460"/>
      <c r="K841" s="460"/>
      <c r="L841" s="460"/>
      <c r="M841" s="460"/>
      <c r="N841" s="460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 ht="15.75" customHeight="1">
      <c r="A842" s="179"/>
      <c r="B842" s="179"/>
      <c r="C842" s="460"/>
      <c r="D842" s="460"/>
      <c r="E842" s="460"/>
      <c r="F842" s="460"/>
      <c r="G842" s="460"/>
      <c r="H842" s="460"/>
      <c r="I842" s="460"/>
      <c r="J842" s="460"/>
      <c r="K842" s="460"/>
      <c r="L842" s="460"/>
      <c r="M842" s="460"/>
      <c r="N842" s="460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 ht="15.75" customHeight="1">
      <c r="A843" s="179"/>
      <c r="B843" s="179"/>
      <c r="C843" s="460"/>
      <c r="D843" s="460"/>
      <c r="E843" s="460"/>
      <c r="F843" s="460"/>
      <c r="G843" s="460"/>
      <c r="H843" s="460"/>
      <c r="I843" s="460"/>
      <c r="J843" s="460"/>
      <c r="K843" s="460"/>
      <c r="L843" s="460"/>
      <c r="M843" s="460"/>
      <c r="N843" s="460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 ht="15.75" customHeight="1">
      <c r="A844" s="179"/>
      <c r="B844" s="179"/>
      <c r="C844" s="460"/>
      <c r="D844" s="460"/>
      <c r="E844" s="460"/>
      <c r="F844" s="460"/>
      <c r="G844" s="460"/>
      <c r="H844" s="460"/>
      <c r="I844" s="460"/>
      <c r="J844" s="460"/>
      <c r="K844" s="460"/>
      <c r="L844" s="460"/>
      <c r="M844" s="460"/>
      <c r="N844" s="460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 ht="15.75" customHeight="1">
      <c r="A845" s="179"/>
      <c r="B845" s="179"/>
      <c r="C845" s="460"/>
      <c r="D845" s="460"/>
      <c r="E845" s="460"/>
      <c r="F845" s="460"/>
      <c r="G845" s="460"/>
      <c r="H845" s="460"/>
      <c r="I845" s="460"/>
      <c r="J845" s="460"/>
      <c r="K845" s="460"/>
      <c r="L845" s="460"/>
      <c r="M845" s="460"/>
      <c r="N845" s="460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 ht="15.75" customHeight="1">
      <c r="A846" s="179"/>
      <c r="B846" s="179"/>
      <c r="C846" s="460"/>
      <c r="D846" s="460"/>
      <c r="E846" s="460"/>
      <c r="F846" s="460"/>
      <c r="G846" s="460"/>
      <c r="H846" s="460"/>
      <c r="I846" s="460"/>
      <c r="J846" s="460"/>
      <c r="K846" s="460"/>
      <c r="L846" s="460"/>
      <c r="M846" s="460"/>
      <c r="N846" s="460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 ht="15.75" customHeight="1">
      <c r="A847" s="179"/>
      <c r="B847" s="179"/>
      <c r="C847" s="460"/>
      <c r="D847" s="460"/>
      <c r="E847" s="460"/>
      <c r="F847" s="460"/>
      <c r="G847" s="460"/>
      <c r="H847" s="460"/>
      <c r="I847" s="460"/>
      <c r="J847" s="460"/>
      <c r="K847" s="460"/>
      <c r="L847" s="460"/>
      <c r="M847" s="460"/>
      <c r="N847" s="460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 ht="15.75" customHeight="1">
      <c r="A848" s="179"/>
      <c r="B848" s="179"/>
      <c r="C848" s="460"/>
      <c r="D848" s="460"/>
      <c r="E848" s="460"/>
      <c r="F848" s="460"/>
      <c r="G848" s="460"/>
      <c r="H848" s="460"/>
      <c r="I848" s="460"/>
      <c r="J848" s="460"/>
      <c r="K848" s="460"/>
      <c r="L848" s="460"/>
      <c r="M848" s="460"/>
      <c r="N848" s="460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 ht="15.75" customHeight="1">
      <c r="A849" s="179"/>
      <c r="B849" s="179"/>
      <c r="C849" s="460"/>
      <c r="D849" s="460"/>
      <c r="E849" s="460"/>
      <c r="F849" s="460"/>
      <c r="G849" s="460"/>
      <c r="H849" s="460"/>
      <c r="I849" s="460"/>
      <c r="J849" s="460"/>
      <c r="K849" s="460"/>
      <c r="L849" s="460"/>
      <c r="M849" s="460"/>
      <c r="N849" s="460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 ht="15.75" customHeight="1">
      <c r="A850" s="179"/>
      <c r="B850" s="179"/>
      <c r="C850" s="460"/>
      <c r="D850" s="460"/>
      <c r="E850" s="460"/>
      <c r="F850" s="460"/>
      <c r="G850" s="460"/>
      <c r="H850" s="460"/>
      <c r="I850" s="460"/>
      <c r="J850" s="460"/>
      <c r="K850" s="460"/>
      <c r="L850" s="460"/>
      <c r="M850" s="460"/>
      <c r="N850" s="460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 ht="15.75" customHeight="1">
      <c r="A851" s="179"/>
      <c r="B851" s="179"/>
      <c r="C851" s="460"/>
      <c r="D851" s="460"/>
      <c r="E851" s="460"/>
      <c r="F851" s="460"/>
      <c r="G851" s="460"/>
      <c r="H851" s="460"/>
      <c r="I851" s="460"/>
      <c r="J851" s="460"/>
      <c r="K851" s="460"/>
      <c r="L851" s="460"/>
      <c r="M851" s="460"/>
      <c r="N851" s="460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 ht="15.75" customHeight="1">
      <c r="A852" s="179"/>
      <c r="B852" s="179"/>
      <c r="C852" s="460"/>
      <c r="D852" s="460"/>
      <c r="E852" s="460"/>
      <c r="F852" s="460"/>
      <c r="G852" s="460"/>
      <c r="H852" s="460"/>
      <c r="I852" s="460"/>
      <c r="J852" s="460"/>
      <c r="K852" s="460"/>
      <c r="L852" s="460"/>
      <c r="M852" s="460"/>
      <c r="N852" s="460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 ht="15.75" customHeight="1">
      <c r="A853" s="179"/>
      <c r="B853" s="179"/>
      <c r="C853" s="460"/>
      <c r="D853" s="460"/>
      <c r="E853" s="460"/>
      <c r="F853" s="460"/>
      <c r="G853" s="460"/>
      <c r="H853" s="460"/>
      <c r="I853" s="460"/>
      <c r="J853" s="460"/>
      <c r="K853" s="460"/>
      <c r="L853" s="460"/>
      <c r="M853" s="460"/>
      <c r="N853" s="460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 ht="15.75" customHeight="1">
      <c r="A854" s="179"/>
      <c r="B854" s="179"/>
      <c r="C854" s="460"/>
      <c r="D854" s="460"/>
      <c r="E854" s="460"/>
      <c r="F854" s="460"/>
      <c r="G854" s="460"/>
      <c r="H854" s="460"/>
      <c r="I854" s="460"/>
      <c r="J854" s="460"/>
      <c r="K854" s="460"/>
      <c r="L854" s="460"/>
      <c r="M854" s="460"/>
      <c r="N854" s="460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 ht="15.75" customHeight="1">
      <c r="A855" s="179"/>
      <c r="B855" s="179"/>
      <c r="C855" s="460"/>
      <c r="D855" s="460"/>
      <c r="E855" s="460"/>
      <c r="F855" s="460"/>
      <c r="G855" s="460"/>
      <c r="H855" s="460"/>
      <c r="I855" s="460"/>
      <c r="J855" s="460"/>
      <c r="K855" s="460"/>
      <c r="L855" s="460"/>
      <c r="M855" s="460"/>
      <c r="N855" s="460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 ht="15.75" customHeight="1">
      <c r="A856" s="179"/>
      <c r="B856" s="179"/>
      <c r="C856" s="460"/>
      <c r="D856" s="460"/>
      <c r="E856" s="460"/>
      <c r="F856" s="460"/>
      <c r="G856" s="460"/>
      <c r="H856" s="460"/>
      <c r="I856" s="460"/>
      <c r="J856" s="460"/>
      <c r="K856" s="460"/>
      <c r="L856" s="460"/>
      <c r="M856" s="460"/>
      <c r="N856" s="460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 ht="15.75" customHeight="1">
      <c r="A857" s="179"/>
      <c r="B857" s="179"/>
      <c r="C857" s="460"/>
      <c r="D857" s="460"/>
      <c r="E857" s="460"/>
      <c r="F857" s="460"/>
      <c r="G857" s="460"/>
      <c r="H857" s="460"/>
      <c r="I857" s="460"/>
      <c r="J857" s="460"/>
      <c r="K857" s="460"/>
      <c r="L857" s="460"/>
      <c r="M857" s="460"/>
      <c r="N857" s="460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 ht="15.75" customHeight="1">
      <c r="A858" s="179"/>
      <c r="B858" s="179"/>
      <c r="C858" s="460"/>
      <c r="D858" s="460"/>
      <c r="E858" s="460"/>
      <c r="F858" s="460"/>
      <c r="G858" s="460"/>
      <c r="H858" s="460"/>
      <c r="I858" s="460"/>
      <c r="J858" s="460"/>
      <c r="K858" s="460"/>
      <c r="L858" s="460"/>
      <c r="M858" s="460"/>
      <c r="N858" s="460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 ht="15.75" customHeight="1">
      <c r="A859" s="179"/>
      <c r="B859" s="179"/>
      <c r="C859" s="460"/>
      <c r="D859" s="460"/>
      <c r="E859" s="460"/>
      <c r="F859" s="460"/>
      <c r="G859" s="460"/>
      <c r="H859" s="460"/>
      <c r="I859" s="460"/>
      <c r="J859" s="460"/>
      <c r="K859" s="460"/>
      <c r="L859" s="460"/>
      <c r="M859" s="460"/>
      <c r="N859" s="460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 ht="15.75" customHeight="1">
      <c r="A860" s="179"/>
      <c r="B860" s="179"/>
      <c r="C860" s="460"/>
      <c r="D860" s="460"/>
      <c r="E860" s="460"/>
      <c r="F860" s="460"/>
      <c r="G860" s="460"/>
      <c r="H860" s="460"/>
      <c r="I860" s="460"/>
      <c r="J860" s="460"/>
      <c r="K860" s="460"/>
      <c r="L860" s="460"/>
      <c r="M860" s="460"/>
      <c r="N860" s="460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 ht="15.75" customHeight="1">
      <c r="A861" s="179"/>
      <c r="B861" s="179"/>
      <c r="C861" s="460"/>
      <c r="D861" s="460"/>
      <c r="E861" s="460"/>
      <c r="F861" s="460"/>
      <c r="G861" s="460"/>
      <c r="H861" s="460"/>
      <c r="I861" s="460"/>
      <c r="J861" s="460"/>
      <c r="K861" s="460"/>
      <c r="L861" s="460"/>
      <c r="M861" s="460"/>
      <c r="N861" s="460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 ht="15.75" customHeight="1">
      <c r="A862" s="179"/>
      <c r="B862" s="179"/>
      <c r="C862" s="460"/>
      <c r="D862" s="460"/>
      <c r="E862" s="460"/>
      <c r="F862" s="460"/>
      <c r="G862" s="460"/>
      <c r="H862" s="460"/>
      <c r="I862" s="460"/>
      <c r="J862" s="460"/>
      <c r="K862" s="460"/>
      <c r="L862" s="460"/>
      <c r="M862" s="460"/>
      <c r="N862" s="460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 ht="15.75" customHeight="1">
      <c r="A863" s="179"/>
      <c r="B863" s="179"/>
      <c r="C863" s="460"/>
      <c r="D863" s="460"/>
      <c r="E863" s="460"/>
      <c r="F863" s="460"/>
      <c r="G863" s="460"/>
      <c r="H863" s="460"/>
      <c r="I863" s="460"/>
      <c r="J863" s="460"/>
      <c r="K863" s="460"/>
      <c r="L863" s="460"/>
      <c r="M863" s="460"/>
      <c r="N863" s="460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 ht="15.75" customHeight="1">
      <c r="A864" s="179"/>
      <c r="B864" s="179"/>
      <c r="C864" s="460"/>
      <c r="D864" s="460"/>
      <c r="E864" s="460"/>
      <c r="F864" s="460"/>
      <c r="G864" s="460"/>
      <c r="H864" s="460"/>
      <c r="I864" s="460"/>
      <c r="J864" s="460"/>
      <c r="K864" s="460"/>
      <c r="L864" s="460"/>
      <c r="M864" s="460"/>
      <c r="N864" s="460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 ht="15.75" customHeight="1">
      <c r="A865" s="179"/>
      <c r="B865" s="179"/>
      <c r="C865" s="460"/>
      <c r="D865" s="460"/>
      <c r="E865" s="460"/>
      <c r="F865" s="460"/>
      <c r="G865" s="460"/>
      <c r="H865" s="460"/>
      <c r="I865" s="460"/>
      <c r="J865" s="460"/>
      <c r="K865" s="460"/>
      <c r="L865" s="460"/>
      <c r="M865" s="460"/>
      <c r="N865" s="460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 ht="15.75" customHeight="1">
      <c r="A866" s="179"/>
      <c r="B866" s="179"/>
      <c r="C866" s="460"/>
      <c r="D866" s="460"/>
      <c r="E866" s="460"/>
      <c r="F866" s="460"/>
      <c r="G866" s="460"/>
      <c r="H866" s="460"/>
      <c r="I866" s="460"/>
      <c r="J866" s="460"/>
      <c r="K866" s="460"/>
      <c r="L866" s="460"/>
      <c r="M866" s="460"/>
      <c r="N866" s="460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 ht="15.75" customHeight="1">
      <c r="A867" s="179"/>
      <c r="B867" s="179"/>
      <c r="C867" s="460"/>
      <c r="D867" s="460"/>
      <c r="E867" s="460"/>
      <c r="F867" s="460"/>
      <c r="G867" s="460"/>
      <c r="H867" s="460"/>
      <c r="I867" s="460"/>
      <c r="J867" s="460"/>
      <c r="K867" s="460"/>
      <c r="L867" s="460"/>
      <c r="M867" s="460"/>
      <c r="N867" s="460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 ht="15.75" customHeight="1">
      <c r="A868" s="179"/>
      <c r="B868" s="179"/>
      <c r="C868" s="460"/>
      <c r="D868" s="460"/>
      <c r="E868" s="460"/>
      <c r="F868" s="460"/>
      <c r="G868" s="460"/>
      <c r="H868" s="460"/>
      <c r="I868" s="460"/>
      <c r="J868" s="460"/>
      <c r="K868" s="460"/>
      <c r="L868" s="460"/>
      <c r="M868" s="460"/>
      <c r="N868" s="460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 ht="15.75" customHeight="1">
      <c r="A869" s="179"/>
      <c r="B869" s="179"/>
      <c r="C869" s="460"/>
      <c r="D869" s="460"/>
      <c r="E869" s="460"/>
      <c r="F869" s="460"/>
      <c r="G869" s="460"/>
      <c r="H869" s="460"/>
      <c r="I869" s="460"/>
      <c r="J869" s="460"/>
      <c r="K869" s="460"/>
      <c r="L869" s="460"/>
      <c r="M869" s="460"/>
      <c r="N869" s="460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 ht="15.75" customHeight="1">
      <c r="A870" s="179"/>
      <c r="B870" s="179"/>
      <c r="C870" s="460"/>
      <c r="D870" s="460"/>
      <c r="E870" s="460"/>
      <c r="F870" s="460"/>
      <c r="G870" s="460"/>
      <c r="H870" s="460"/>
      <c r="I870" s="460"/>
      <c r="J870" s="460"/>
      <c r="K870" s="460"/>
      <c r="L870" s="460"/>
      <c r="M870" s="460"/>
      <c r="N870" s="460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 ht="15.75" customHeight="1">
      <c r="A871" s="179"/>
      <c r="B871" s="179"/>
      <c r="C871" s="460"/>
      <c r="D871" s="460"/>
      <c r="E871" s="460"/>
      <c r="F871" s="460"/>
      <c r="G871" s="460"/>
      <c r="H871" s="460"/>
      <c r="I871" s="460"/>
      <c r="J871" s="460"/>
      <c r="K871" s="460"/>
      <c r="L871" s="460"/>
      <c r="M871" s="460"/>
      <c r="N871" s="460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 ht="15.75" customHeight="1">
      <c r="A872" s="179"/>
      <c r="B872" s="179"/>
      <c r="C872" s="460"/>
      <c r="D872" s="460"/>
      <c r="E872" s="460"/>
      <c r="F872" s="460"/>
      <c r="G872" s="460"/>
      <c r="H872" s="460"/>
      <c r="I872" s="460"/>
      <c r="J872" s="460"/>
      <c r="K872" s="460"/>
      <c r="L872" s="460"/>
      <c r="M872" s="460"/>
      <c r="N872" s="460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 ht="15.75" customHeight="1">
      <c r="A873" s="179"/>
      <c r="B873" s="179"/>
      <c r="C873" s="460"/>
      <c r="D873" s="460"/>
      <c r="E873" s="460"/>
      <c r="F873" s="460"/>
      <c r="G873" s="460"/>
      <c r="H873" s="460"/>
      <c r="I873" s="460"/>
      <c r="J873" s="460"/>
      <c r="K873" s="460"/>
      <c r="L873" s="460"/>
      <c r="M873" s="460"/>
      <c r="N873" s="460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 ht="15.75" customHeight="1">
      <c r="A874" s="179"/>
      <c r="B874" s="179"/>
      <c r="C874" s="460"/>
      <c r="D874" s="460"/>
      <c r="E874" s="460"/>
      <c r="F874" s="460"/>
      <c r="G874" s="460"/>
      <c r="H874" s="460"/>
      <c r="I874" s="460"/>
      <c r="J874" s="460"/>
      <c r="K874" s="460"/>
      <c r="L874" s="460"/>
      <c r="M874" s="460"/>
      <c r="N874" s="460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 ht="15.75" customHeight="1">
      <c r="A875" s="179"/>
      <c r="B875" s="179"/>
      <c r="C875" s="460"/>
      <c r="D875" s="460"/>
      <c r="E875" s="460"/>
      <c r="F875" s="460"/>
      <c r="G875" s="460"/>
      <c r="H875" s="460"/>
      <c r="I875" s="460"/>
      <c r="J875" s="460"/>
      <c r="K875" s="460"/>
      <c r="L875" s="460"/>
      <c r="M875" s="460"/>
      <c r="N875" s="460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 ht="15.75" customHeight="1">
      <c r="A876" s="179"/>
      <c r="B876" s="179"/>
      <c r="C876" s="460"/>
      <c r="D876" s="460"/>
      <c r="E876" s="460"/>
      <c r="F876" s="460"/>
      <c r="G876" s="460"/>
      <c r="H876" s="460"/>
      <c r="I876" s="460"/>
      <c r="J876" s="460"/>
      <c r="K876" s="460"/>
      <c r="L876" s="460"/>
      <c r="M876" s="460"/>
      <c r="N876" s="460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 ht="15.75" customHeight="1">
      <c r="A877" s="179"/>
      <c r="B877" s="179"/>
      <c r="C877" s="460"/>
      <c r="D877" s="460"/>
      <c r="E877" s="460"/>
      <c r="F877" s="460"/>
      <c r="G877" s="460"/>
      <c r="H877" s="460"/>
      <c r="I877" s="460"/>
      <c r="J877" s="460"/>
      <c r="K877" s="460"/>
      <c r="L877" s="460"/>
      <c r="M877" s="460"/>
      <c r="N877" s="460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 ht="15.75" customHeight="1">
      <c r="A878" s="179"/>
      <c r="B878" s="179"/>
      <c r="C878" s="460"/>
      <c r="D878" s="460"/>
      <c r="E878" s="460"/>
      <c r="F878" s="460"/>
      <c r="G878" s="460"/>
      <c r="H878" s="460"/>
      <c r="I878" s="460"/>
      <c r="J878" s="460"/>
      <c r="K878" s="460"/>
      <c r="L878" s="460"/>
      <c r="M878" s="460"/>
      <c r="N878" s="460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 ht="15.75" customHeight="1">
      <c r="A879" s="179"/>
      <c r="B879" s="179"/>
      <c r="C879" s="460"/>
      <c r="D879" s="460"/>
      <c r="E879" s="460"/>
      <c r="F879" s="460"/>
      <c r="G879" s="460"/>
      <c r="H879" s="460"/>
      <c r="I879" s="460"/>
      <c r="J879" s="460"/>
      <c r="K879" s="460"/>
      <c r="L879" s="460"/>
      <c r="M879" s="460"/>
      <c r="N879" s="460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 ht="15.75" customHeight="1">
      <c r="A880" s="179"/>
      <c r="B880" s="179"/>
      <c r="C880" s="460"/>
      <c r="D880" s="460"/>
      <c r="E880" s="460"/>
      <c r="F880" s="460"/>
      <c r="G880" s="460"/>
      <c r="H880" s="460"/>
      <c r="I880" s="460"/>
      <c r="J880" s="460"/>
      <c r="K880" s="460"/>
      <c r="L880" s="460"/>
      <c r="M880" s="460"/>
      <c r="N880" s="460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 ht="15.75" customHeight="1">
      <c r="A881" s="179"/>
      <c r="B881" s="179"/>
      <c r="C881" s="460"/>
      <c r="D881" s="460"/>
      <c r="E881" s="460"/>
      <c r="F881" s="460"/>
      <c r="G881" s="460"/>
      <c r="H881" s="460"/>
      <c r="I881" s="460"/>
      <c r="J881" s="460"/>
      <c r="K881" s="460"/>
      <c r="L881" s="460"/>
      <c r="M881" s="460"/>
      <c r="N881" s="460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 ht="15.75" customHeight="1">
      <c r="A882" s="179"/>
      <c r="B882" s="179"/>
      <c r="C882" s="460"/>
      <c r="D882" s="460"/>
      <c r="E882" s="460"/>
      <c r="F882" s="460"/>
      <c r="G882" s="460"/>
      <c r="H882" s="460"/>
      <c r="I882" s="460"/>
      <c r="J882" s="460"/>
      <c r="K882" s="460"/>
      <c r="L882" s="460"/>
      <c r="M882" s="460"/>
      <c r="N882" s="460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 ht="15.75" customHeight="1">
      <c r="A883" s="179"/>
      <c r="B883" s="179"/>
      <c r="C883" s="460"/>
      <c r="D883" s="460"/>
      <c r="E883" s="460"/>
      <c r="F883" s="460"/>
      <c r="G883" s="460"/>
      <c r="H883" s="460"/>
      <c r="I883" s="460"/>
      <c r="J883" s="460"/>
      <c r="K883" s="460"/>
      <c r="L883" s="460"/>
      <c r="M883" s="460"/>
      <c r="N883" s="460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 ht="15.75" customHeight="1">
      <c r="A884" s="179"/>
      <c r="B884" s="179"/>
      <c r="C884" s="460"/>
      <c r="D884" s="460"/>
      <c r="E884" s="460"/>
      <c r="F884" s="460"/>
      <c r="G884" s="460"/>
      <c r="H884" s="460"/>
      <c r="I884" s="460"/>
      <c r="J884" s="460"/>
      <c r="K884" s="460"/>
      <c r="L884" s="460"/>
      <c r="M884" s="460"/>
      <c r="N884" s="460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 ht="15.75" customHeight="1">
      <c r="A885" s="179"/>
      <c r="B885" s="179"/>
      <c r="C885" s="460"/>
      <c r="D885" s="460"/>
      <c r="E885" s="460"/>
      <c r="F885" s="460"/>
      <c r="G885" s="460"/>
      <c r="H885" s="460"/>
      <c r="I885" s="460"/>
      <c r="J885" s="460"/>
      <c r="K885" s="460"/>
      <c r="L885" s="460"/>
      <c r="M885" s="460"/>
      <c r="N885" s="460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 ht="15.75" customHeight="1">
      <c r="A886" s="179"/>
      <c r="B886" s="179"/>
      <c r="C886" s="460"/>
      <c r="D886" s="460"/>
      <c r="E886" s="460"/>
      <c r="F886" s="460"/>
      <c r="G886" s="460"/>
      <c r="H886" s="460"/>
      <c r="I886" s="460"/>
      <c r="J886" s="460"/>
      <c r="K886" s="460"/>
      <c r="L886" s="460"/>
      <c r="M886" s="460"/>
      <c r="N886" s="460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 ht="15.75" customHeight="1">
      <c r="A887" s="179"/>
      <c r="B887" s="179"/>
      <c r="C887" s="460"/>
      <c r="D887" s="460"/>
      <c r="E887" s="460"/>
      <c r="F887" s="460"/>
      <c r="G887" s="460"/>
      <c r="H887" s="460"/>
      <c r="I887" s="460"/>
      <c r="J887" s="460"/>
      <c r="K887" s="460"/>
      <c r="L887" s="460"/>
      <c r="M887" s="460"/>
      <c r="N887" s="460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 ht="15.75" customHeight="1">
      <c r="A888" s="179"/>
      <c r="B888" s="179"/>
      <c r="C888" s="460"/>
      <c r="D888" s="460"/>
      <c r="E888" s="460"/>
      <c r="F888" s="460"/>
      <c r="G888" s="460"/>
      <c r="H888" s="460"/>
      <c r="I888" s="460"/>
      <c r="J888" s="460"/>
      <c r="K888" s="460"/>
      <c r="L888" s="460"/>
      <c r="M888" s="460"/>
      <c r="N888" s="460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 ht="15.75" customHeight="1">
      <c r="A889" s="179"/>
      <c r="B889" s="179"/>
      <c r="C889" s="460"/>
      <c r="D889" s="460"/>
      <c r="E889" s="460"/>
      <c r="F889" s="460"/>
      <c r="G889" s="460"/>
      <c r="H889" s="460"/>
      <c r="I889" s="460"/>
      <c r="J889" s="460"/>
      <c r="K889" s="460"/>
      <c r="L889" s="460"/>
      <c r="M889" s="460"/>
      <c r="N889" s="460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 ht="15.75" customHeight="1">
      <c r="A890" s="179"/>
      <c r="B890" s="179"/>
      <c r="C890" s="460"/>
      <c r="D890" s="460"/>
      <c r="E890" s="460"/>
      <c r="F890" s="460"/>
      <c r="G890" s="460"/>
      <c r="H890" s="460"/>
      <c r="I890" s="460"/>
      <c r="J890" s="460"/>
      <c r="K890" s="460"/>
      <c r="L890" s="460"/>
      <c r="M890" s="460"/>
      <c r="N890" s="460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 ht="15.75" customHeight="1">
      <c r="A891" s="179"/>
      <c r="B891" s="179"/>
      <c r="C891" s="460"/>
      <c r="D891" s="460"/>
      <c r="E891" s="460"/>
      <c r="F891" s="460"/>
      <c r="G891" s="460"/>
      <c r="H891" s="460"/>
      <c r="I891" s="460"/>
      <c r="J891" s="460"/>
      <c r="K891" s="460"/>
      <c r="L891" s="460"/>
      <c r="M891" s="460"/>
      <c r="N891" s="460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 ht="15.75" customHeight="1">
      <c r="A892" s="179"/>
      <c r="B892" s="179"/>
      <c r="C892" s="460"/>
      <c r="D892" s="460"/>
      <c r="E892" s="460"/>
      <c r="F892" s="460"/>
      <c r="G892" s="460"/>
      <c r="H892" s="460"/>
      <c r="I892" s="460"/>
      <c r="J892" s="460"/>
      <c r="K892" s="460"/>
      <c r="L892" s="460"/>
      <c r="M892" s="460"/>
      <c r="N892" s="460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 ht="15.75" customHeight="1">
      <c r="A893" s="179"/>
      <c r="B893" s="179"/>
      <c r="C893" s="460"/>
      <c r="D893" s="460"/>
      <c r="E893" s="460"/>
      <c r="F893" s="460"/>
      <c r="G893" s="460"/>
      <c r="H893" s="460"/>
      <c r="I893" s="460"/>
      <c r="J893" s="460"/>
      <c r="K893" s="460"/>
      <c r="L893" s="460"/>
      <c r="M893" s="460"/>
      <c r="N893" s="460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 ht="15.75" customHeight="1">
      <c r="A894" s="179"/>
      <c r="B894" s="179"/>
      <c r="C894" s="460"/>
      <c r="D894" s="460"/>
      <c r="E894" s="460"/>
      <c r="F894" s="460"/>
      <c r="G894" s="460"/>
      <c r="H894" s="460"/>
      <c r="I894" s="460"/>
      <c r="J894" s="460"/>
      <c r="K894" s="460"/>
      <c r="L894" s="460"/>
      <c r="M894" s="460"/>
      <c r="N894" s="460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 ht="15.75" customHeight="1">
      <c r="A895" s="179"/>
      <c r="B895" s="179"/>
      <c r="C895" s="460"/>
      <c r="D895" s="460"/>
      <c r="E895" s="460"/>
      <c r="F895" s="460"/>
      <c r="G895" s="460"/>
      <c r="H895" s="460"/>
      <c r="I895" s="460"/>
      <c r="J895" s="460"/>
      <c r="K895" s="460"/>
      <c r="L895" s="460"/>
      <c r="M895" s="460"/>
      <c r="N895" s="460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 ht="15.75" customHeight="1">
      <c r="A896" s="179"/>
      <c r="B896" s="179"/>
      <c r="C896" s="460"/>
      <c r="D896" s="460"/>
      <c r="E896" s="460"/>
      <c r="F896" s="460"/>
      <c r="G896" s="460"/>
      <c r="H896" s="460"/>
      <c r="I896" s="460"/>
      <c r="J896" s="460"/>
      <c r="K896" s="460"/>
      <c r="L896" s="460"/>
      <c r="M896" s="460"/>
      <c r="N896" s="460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 ht="15.75" customHeight="1">
      <c r="A897" s="179"/>
      <c r="B897" s="179"/>
      <c r="C897" s="460"/>
      <c r="D897" s="460"/>
      <c r="E897" s="460"/>
      <c r="F897" s="460"/>
      <c r="G897" s="460"/>
      <c r="H897" s="460"/>
      <c r="I897" s="460"/>
      <c r="J897" s="460"/>
      <c r="K897" s="460"/>
      <c r="L897" s="460"/>
      <c r="M897" s="460"/>
      <c r="N897" s="460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 ht="15.75" customHeight="1">
      <c r="A898" s="179"/>
      <c r="B898" s="179"/>
      <c r="C898" s="460"/>
      <c r="D898" s="460"/>
      <c r="E898" s="460"/>
      <c r="F898" s="460"/>
      <c r="G898" s="460"/>
      <c r="H898" s="460"/>
      <c r="I898" s="460"/>
      <c r="J898" s="460"/>
      <c r="K898" s="460"/>
      <c r="L898" s="460"/>
      <c r="M898" s="460"/>
      <c r="N898" s="460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 ht="15.75" customHeight="1">
      <c r="A899" s="179"/>
      <c r="B899" s="179"/>
      <c r="C899" s="460"/>
      <c r="D899" s="460"/>
      <c r="E899" s="460"/>
      <c r="F899" s="460"/>
      <c r="G899" s="460"/>
      <c r="H899" s="460"/>
      <c r="I899" s="460"/>
      <c r="J899" s="460"/>
      <c r="K899" s="460"/>
      <c r="L899" s="460"/>
      <c r="M899" s="460"/>
      <c r="N899" s="460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 ht="15.75" customHeight="1">
      <c r="A900" s="179"/>
      <c r="B900" s="179"/>
      <c r="C900" s="460"/>
      <c r="D900" s="460"/>
      <c r="E900" s="460"/>
      <c r="F900" s="460"/>
      <c r="G900" s="460"/>
      <c r="H900" s="460"/>
      <c r="I900" s="460"/>
      <c r="J900" s="460"/>
      <c r="K900" s="460"/>
      <c r="L900" s="460"/>
      <c r="M900" s="460"/>
      <c r="N900" s="460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 ht="15.75" customHeight="1">
      <c r="A901" s="179"/>
      <c r="B901" s="179"/>
      <c r="C901" s="460"/>
      <c r="D901" s="460"/>
      <c r="E901" s="460"/>
      <c r="F901" s="460"/>
      <c r="G901" s="460"/>
      <c r="H901" s="460"/>
      <c r="I901" s="460"/>
      <c r="J901" s="460"/>
      <c r="K901" s="460"/>
      <c r="L901" s="460"/>
      <c r="M901" s="460"/>
      <c r="N901" s="460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 ht="15.75" customHeight="1">
      <c r="A902" s="179"/>
      <c r="B902" s="179"/>
      <c r="C902" s="460"/>
      <c r="D902" s="460"/>
      <c r="E902" s="460"/>
      <c r="F902" s="460"/>
      <c r="G902" s="460"/>
      <c r="H902" s="460"/>
      <c r="I902" s="460"/>
      <c r="J902" s="460"/>
      <c r="K902" s="460"/>
      <c r="L902" s="460"/>
      <c r="M902" s="460"/>
      <c r="N902" s="460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 ht="15.75" customHeight="1">
      <c r="A903" s="179"/>
      <c r="B903" s="179"/>
      <c r="C903" s="460"/>
      <c r="D903" s="460"/>
      <c r="E903" s="460"/>
      <c r="F903" s="460"/>
      <c r="G903" s="460"/>
      <c r="H903" s="460"/>
      <c r="I903" s="460"/>
      <c r="J903" s="460"/>
      <c r="K903" s="460"/>
      <c r="L903" s="460"/>
      <c r="M903" s="460"/>
      <c r="N903" s="460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 ht="15.75" customHeight="1">
      <c r="A904" s="179"/>
      <c r="B904" s="179"/>
      <c r="C904" s="460"/>
      <c r="D904" s="460"/>
      <c r="E904" s="460"/>
      <c r="F904" s="460"/>
      <c r="G904" s="460"/>
      <c r="H904" s="460"/>
      <c r="I904" s="460"/>
      <c r="J904" s="460"/>
      <c r="K904" s="460"/>
      <c r="L904" s="460"/>
      <c r="M904" s="460"/>
      <c r="N904" s="460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 ht="15.75" customHeight="1">
      <c r="A905" s="179"/>
      <c r="B905" s="179"/>
      <c r="C905" s="460"/>
      <c r="D905" s="460"/>
      <c r="E905" s="460"/>
      <c r="F905" s="460"/>
      <c r="G905" s="460"/>
      <c r="H905" s="460"/>
      <c r="I905" s="460"/>
      <c r="J905" s="460"/>
      <c r="K905" s="460"/>
      <c r="L905" s="460"/>
      <c r="M905" s="460"/>
      <c r="N905" s="460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 ht="15.75" customHeight="1">
      <c r="A906" s="179"/>
      <c r="B906" s="179"/>
      <c r="C906" s="460"/>
      <c r="D906" s="460"/>
      <c r="E906" s="460"/>
      <c r="F906" s="460"/>
      <c r="G906" s="460"/>
      <c r="H906" s="460"/>
      <c r="I906" s="460"/>
      <c r="J906" s="460"/>
      <c r="K906" s="460"/>
      <c r="L906" s="460"/>
      <c r="M906" s="460"/>
      <c r="N906" s="460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 ht="15.75" customHeight="1">
      <c r="A907" s="179"/>
      <c r="B907" s="179"/>
      <c r="C907" s="460"/>
      <c r="D907" s="460"/>
      <c r="E907" s="460"/>
      <c r="F907" s="460"/>
      <c r="G907" s="460"/>
      <c r="H907" s="460"/>
      <c r="I907" s="460"/>
      <c r="J907" s="460"/>
      <c r="K907" s="460"/>
      <c r="L907" s="460"/>
      <c r="M907" s="460"/>
      <c r="N907" s="460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 ht="15.75" customHeight="1">
      <c r="A908" s="179"/>
      <c r="B908" s="179"/>
      <c r="C908" s="460"/>
      <c r="D908" s="460"/>
      <c r="E908" s="460"/>
      <c r="F908" s="460"/>
      <c r="G908" s="460"/>
      <c r="H908" s="460"/>
      <c r="I908" s="460"/>
      <c r="J908" s="460"/>
      <c r="K908" s="460"/>
      <c r="L908" s="460"/>
      <c r="M908" s="460"/>
      <c r="N908" s="460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 ht="15.75" customHeight="1">
      <c r="A909" s="179"/>
      <c r="B909" s="179"/>
      <c r="C909" s="460"/>
      <c r="D909" s="460"/>
      <c r="E909" s="460"/>
      <c r="F909" s="460"/>
      <c r="G909" s="460"/>
      <c r="H909" s="460"/>
      <c r="I909" s="460"/>
      <c r="J909" s="460"/>
      <c r="K909" s="460"/>
      <c r="L909" s="460"/>
      <c r="M909" s="460"/>
      <c r="N909" s="460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 ht="15.75" customHeight="1">
      <c r="A910" s="179"/>
      <c r="B910" s="179"/>
      <c r="C910" s="460"/>
      <c r="D910" s="460"/>
      <c r="E910" s="460"/>
      <c r="F910" s="460"/>
      <c r="G910" s="460"/>
      <c r="H910" s="460"/>
      <c r="I910" s="460"/>
      <c r="J910" s="460"/>
      <c r="K910" s="460"/>
      <c r="L910" s="460"/>
      <c r="M910" s="460"/>
      <c r="N910" s="460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 ht="15.75" customHeight="1">
      <c r="A911" s="179"/>
      <c r="B911" s="179"/>
      <c r="C911" s="460"/>
      <c r="D911" s="460"/>
      <c r="E911" s="460"/>
      <c r="F911" s="460"/>
      <c r="G911" s="460"/>
      <c r="H911" s="460"/>
      <c r="I911" s="460"/>
      <c r="J911" s="460"/>
      <c r="K911" s="460"/>
      <c r="L911" s="460"/>
      <c r="M911" s="460"/>
      <c r="N911" s="460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 ht="15.75" customHeight="1">
      <c r="A912" s="179"/>
      <c r="B912" s="179"/>
      <c r="C912" s="460"/>
      <c r="D912" s="460"/>
      <c r="E912" s="460"/>
      <c r="F912" s="460"/>
      <c r="G912" s="460"/>
      <c r="H912" s="460"/>
      <c r="I912" s="460"/>
      <c r="J912" s="460"/>
      <c r="K912" s="460"/>
      <c r="L912" s="460"/>
      <c r="M912" s="460"/>
      <c r="N912" s="460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 ht="15.75" customHeight="1">
      <c r="A913" s="179"/>
      <c r="B913" s="179"/>
      <c r="C913" s="460"/>
      <c r="D913" s="460"/>
      <c r="E913" s="460"/>
      <c r="F913" s="460"/>
      <c r="G913" s="460"/>
      <c r="H913" s="460"/>
      <c r="I913" s="460"/>
      <c r="J913" s="460"/>
      <c r="K913" s="460"/>
      <c r="L913" s="460"/>
      <c r="M913" s="460"/>
      <c r="N913" s="460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 ht="15.75" customHeight="1">
      <c r="A914" s="179"/>
      <c r="B914" s="179"/>
      <c r="C914" s="460"/>
      <c r="D914" s="460"/>
      <c r="E914" s="460"/>
      <c r="F914" s="460"/>
      <c r="G914" s="460"/>
      <c r="H914" s="460"/>
      <c r="I914" s="460"/>
      <c r="J914" s="460"/>
      <c r="K914" s="460"/>
      <c r="L914" s="460"/>
      <c r="M914" s="460"/>
      <c r="N914" s="460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 ht="15.75" customHeight="1">
      <c r="A915" s="179"/>
      <c r="B915" s="179"/>
      <c r="C915" s="460"/>
      <c r="D915" s="460"/>
      <c r="E915" s="460"/>
      <c r="F915" s="460"/>
      <c r="G915" s="460"/>
      <c r="H915" s="460"/>
      <c r="I915" s="460"/>
      <c r="J915" s="460"/>
      <c r="K915" s="460"/>
      <c r="L915" s="460"/>
      <c r="M915" s="460"/>
      <c r="N915" s="460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 ht="15.75" customHeight="1">
      <c r="A916" s="179"/>
      <c r="B916" s="179"/>
      <c r="C916" s="460"/>
      <c r="D916" s="460"/>
      <c r="E916" s="460"/>
      <c r="F916" s="460"/>
      <c r="G916" s="460"/>
      <c r="H916" s="460"/>
      <c r="I916" s="460"/>
      <c r="J916" s="460"/>
      <c r="K916" s="460"/>
      <c r="L916" s="460"/>
      <c r="M916" s="460"/>
      <c r="N916" s="460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 ht="15.75" customHeight="1">
      <c r="A917" s="179"/>
      <c r="B917" s="179"/>
      <c r="C917" s="460"/>
      <c r="D917" s="460"/>
      <c r="E917" s="460"/>
      <c r="F917" s="460"/>
      <c r="G917" s="460"/>
      <c r="H917" s="460"/>
      <c r="I917" s="460"/>
      <c r="J917" s="460"/>
      <c r="K917" s="460"/>
      <c r="L917" s="460"/>
      <c r="M917" s="460"/>
      <c r="N917" s="460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 ht="15.75" customHeight="1">
      <c r="A918" s="179"/>
      <c r="B918" s="179"/>
      <c r="C918" s="460"/>
      <c r="D918" s="460"/>
      <c r="E918" s="460"/>
      <c r="F918" s="460"/>
      <c r="G918" s="460"/>
      <c r="H918" s="460"/>
      <c r="I918" s="460"/>
      <c r="J918" s="460"/>
      <c r="K918" s="460"/>
      <c r="L918" s="460"/>
      <c r="M918" s="460"/>
      <c r="N918" s="460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 ht="15.75" customHeight="1">
      <c r="A919" s="179"/>
      <c r="B919" s="179"/>
      <c r="C919" s="460"/>
      <c r="D919" s="460"/>
      <c r="E919" s="460"/>
      <c r="F919" s="460"/>
      <c r="G919" s="460"/>
      <c r="H919" s="460"/>
      <c r="I919" s="460"/>
      <c r="J919" s="460"/>
      <c r="K919" s="460"/>
      <c r="L919" s="460"/>
      <c r="M919" s="460"/>
      <c r="N919" s="460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 ht="15.75" customHeight="1">
      <c r="A920" s="179"/>
      <c r="B920" s="179"/>
      <c r="C920" s="460"/>
      <c r="D920" s="460"/>
      <c r="E920" s="460"/>
      <c r="F920" s="460"/>
      <c r="G920" s="460"/>
      <c r="H920" s="460"/>
      <c r="I920" s="460"/>
      <c r="J920" s="460"/>
      <c r="K920" s="460"/>
      <c r="L920" s="460"/>
      <c r="M920" s="460"/>
      <c r="N920" s="460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 ht="15.75" customHeight="1">
      <c r="A921" s="179"/>
      <c r="B921" s="179"/>
      <c r="C921" s="460"/>
      <c r="D921" s="460"/>
      <c r="E921" s="460"/>
      <c r="F921" s="460"/>
      <c r="G921" s="460"/>
      <c r="H921" s="460"/>
      <c r="I921" s="460"/>
      <c r="J921" s="460"/>
      <c r="K921" s="460"/>
      <c r="L921" s="460"/>
      <c r="M921" s="460"/>
      <c r="N921" s="460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 ht="15.75" customHeight="1">
      <c r="A922" s="179"/>
      <c r="B922" s="179"/>
      <c r="C922" s="460"/>
      <c r="D922" s="460"/>
      <c r="E922" s="460"/>
      <c r="F922" s="460"/>
      <c r="G922" s="460"/>
      <c r="H922" s="460"/>
      <c r="I922" s="460"/>
      <c r="J922" s="460"/>
      <c r="K922" s="460"/>
      <c r="L922" s="460"/>
      <c r="M922" s="460"/>
      <c r="N922" s="460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 ht="15.75" customHeight="1">
      <c r="A923" s="179"/>
      <c r="B923" s="179"/>
      <c r="C923" s="460"/>
      <c r="D923" s="460"/>
      <c r="E923" s="460"/>
      <c r="F923" s="460"/>
      <c r="G923" s="460"/>
      <c r="H923" s="460"/>
      <c r="I923" s="460"/>
      <c r="J923" s="460"/>
      <c r="K923" s="460"/>
      <c r="L923" s="460"/>
      <c r="M923" s="460"/>
      <c r="N923" s="460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 ht="15.75" customHeight="1">
      <c r="A924" s="179"/>
      <c r="B924" s="179"/>
      <c r="C924" s="460"/>
      <c r="D924" s="460"/>
      <c r="E924" s="460"/>
      <c r="F924" s="460"/>
      <c r="G924" s="460"/>
      <c r="H924" s="460"/>
      <c r="I924" s="460"/>
      <c r="J924" s="460"/>
      <c r="K924" s="460"/>
      <c r="L924" s="460"/>
      <c r="M924" s="460"/>
      <c r="N924" s="460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 ht="15.75" customHeight="1">
      <c r="A925" s="179"/>
      <c r="B925" s="179"/>
      <c r="C925" s="460"/>
      <c r="D925" s="460"/>
      <c r="E925" s="460"/>
      <c r="F925" s="460"/>
      <c r="G925" s="460"/>
      <c r="H925" s="460"/>
      <c r="I925" s="460"/>
      <c r="J925" s="460"/>
      <c r="K925" s="460"/>
      <c r="L925" s="460"/>
      <c r="M925" s="460"/>
      <c r="N925" s="460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 ht="15.75" customHeight="1">
      <c r="A926" s="179"/>
      <c r="B926" s="179"/>
      <c r="C926" s="460"/>
      <c r="D926" s="460"/>
      <c r="E926" s="460"/>
      <c r="F926" s="460"/>
      <c r="G926" s="460"/>
      <c r="H926" s="460"/>
      <c r="I926" s="460"/>
      <c r="J926" s="460"/>
      <c r="K926" s="460"/>
      <c r="L926" s="460"/>
      <c r="M926" s="460"/>
      <c r="N926" s="460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 ht="15.75" customHeight="1">
      <c r="A927" s="179"/>
      <c r="B927" s="179"/>
      <c r="C927" s="460"/>
      <c r="D927" s="460"/>
      <c r="E927" s="460"/>
      <c r="F927" s="460"/>
      <c r="G927" s="460"/>
      <c r="H927" s="460"/>
      <c r="I927" s="460"/>
      <c r="J927" s="460"/>
      <c r="K927" s="460"/>
      <c r="L927" s="460"/>
      <c r="M927" s="460"/>
      <c r="N927" s="460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 ht="15.75" customHeight="1">
      <c r="A928" s="179"/>
      <c r="B928" s="179"/>
      <c r="C928" s="460"/>
      <c r="D928" s="460"/>
      <c r="E928" s="460"/>
      <c r="F928" s="460"/>
      <c r="G928" s="460"/>
      <c r="H928" s="460"/>
      <c r="I928" s="460"/>
      <c r="J928" s="460"/>
      <c r="K928" s="460"/>
      <c r="L928" s="460"/>
      <c r="M928" s="460"/>
      <c r="N928" s="460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 ht="15.75" customHeight="1">
      <c r="A929" s="179"/>
      <c r="B929" s="179"/>
      <c r="C929" s="460"/>
      <c r="D929" s="460"/>
      <c r="E929" s="460"/>
      <c r="F929" s="460"/>
      <c r="G929" s="460"/>
      <c r="H929" s="460"/>
      <c r="I929" s="460"/>
      <c r="J929" s="460"/>
      <c r="K929" s="460"/>
      <c r="L929" s="460"/>
      <c r="M929" s="460"/>
      <c r="N929" s="460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 ht="15.75" customHeight="1">
      <c r="A930" s="179"/>
      <c r="B930" s="179"/>
      <c r="C930" s="460"/>
      <c r="D930" s="460"/>
      <c r="E930" s="460"/>
      <c r="F930" s="460"/>
      <c r="G930" s="460"/>
      <c r="H930" s="460"/>
      <c r="I930" s="460"/>
      <c r="J930" s="460"/>
      <c r="K930" s="460"/>
      <c r="L930" s="460"/>
      <c r="M930" s="460"/>
      <c r="N930" s="460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 ht="15.75" customHeight="1">
      <c r="A931" s="179"/>
      <c r="B931" s="179"/>
      <c r="C931" s="460"/>
      <c r="D931" s="460"/>
      <c r="E931" s="460"/>
      <c r="F931" s="460"/>
      <c r="G931" s="460"/>
      <c r="H931" s="460"/>
      <c r="I931" s="460"/>
      <c r="J931" s="460"/>
      <c r="K931" s="460"/>
      <c r="L931" s="460"/>
      <c r="M931" s="460"/>
      <c r="N931" s="460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 ht="15.75" customHeight="1">
      <c r="A932" s="179"/>
      <c r="B932" s="179"/>
      <c r="C932" s="460"/>
      <c r="D932" s="460"/>
      <c r="E932" s="460"/>
      <c r="F932" s="460"/>
      <c r="G932" s="460"/>
      <c r="H932" s="460"/>
      <c r="I932" s="460"/>
      <c r="J932" s="460"/>
      <c r="K932" s="460"/>
      <c r="L932" s="460"/>
      <c r="M932" s="460"/>
      <c r="N932" s="460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 ht="15.75" customHeight="1">
      <c r="A933" s="179"/>
      <c r="B933" s="179"/>
      <c r="C933" s="460"/>
      <c r="D933" s="460"/>
      <c r="E933" s="460"/>
      <c r="F933" s="460"/>
      <c r="G933" s="460"/>
      <c r="H933" s="460"/>
      <c r="I933" s="460"/>
      <c r="J933" s="460"/>
      <c r="K933" s="460"/>
      <c r="L933" s="460"/>
      <c r="M933" s="460"/>
      <c r="N933" s="460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 ht="15.75" customHeight="1">
      <c r="A934" s="179"/>
      <c r="B934" s="179"/>
      <c r="C934" s="460"/>
      <c r="D934" s="460"/>
      <c r="E934" s="460"/>
      <c r="F934" s="460"/>
      <c r="G934" s="460"/>
      <c r="H934" s="460"/>
      <c r="I934" s="460"/>
      <c r="J934" s="460"/>
      <c r="K934" s="460"/>
      <c r="L934" s="460"/>
      <c r="M934" s="460"/>
      <c r="N934" s="460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 ht="15.75" customHeight="1">
      <c r="A935" s="179"/>
      <c r="B935" s="179"/>
      <c r="C935" s="460"/>
      <c r="D935" s="460"/>
      <c r="E935" s="460"/>
      <c r="F935" s="460"/>
      <c r="G935" s="460"/>
      <c r="H935" s="460"/>
      <c r="I935" s="460"/>
      <c r="J935" s="460"/>
      <c r="K935" s="460"/>
      <c r="L935" s="460"/>
      <c r="M935" s="460"/>
      <c r="N935" s="460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 ht="15.75" customHeight="1">
      <c r="A936" s="179"/>
      <c r="B936" s="179"/>
      <c r="C936" s="460"/>
      <c r="D936" s="460"/>
      <c r="E936" s="460"/>
      <c r="F936" s="460"/>
      <c r="G936" s="460"/>
      <c r="H936" s="460"/>
      <c r="I936" s="460"/>
      <c r="J936" s="460"/>
      <c r="K936" s="460"/>
      <c r="L936" s="460"/>
      <c r="M936" s="460"/>
      <c r="N936" s="460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 ht="15.75" customHeight="1">
      <c r="A937" s="179"/>
      <c r="B937" s="179"/>
      <c r="C937" s="460"/>
      <c r="D937" s="460"/>
      <c r="E937" s="460"/>
      <c r="F937" s="460"/>
      <c r="G937" s="460"/>
      <c r="H937" s="460"/>
      <c r="I937" s="460"/>
      <c r="J937" s="460"/>
      <c r="K937" s="460"/>
      <c r="L937" s="460"/>
      <c r="M937" s="460"/>
      <c r="N937" s="460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 ht="15.75" customHeight="1">
      <c r="A938" s="179"/>
      <c r="B938" s="179"/>
      <c r="C938" s="460"/>
      <c r="D938" s="460"/>
      <c r="E938" s="460"/>
      <c r="F938" s="460"/>
      <c r="G938" s="460"/>
      <c r="H938" s="460"/>
      <c r="I938" s="460"/>
      <c r="J938" s="460"/>
      <c r="K938" s="460"/>
      <c r="L938" s="460"/>
      <c r="M938" s="460"/>
      <c r="N938" s="460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 ht="15.75" customHeight="1">
      <c r="A939" s="179"/>
      <c r="B939" s="179"/>
      <c r="C939" s="460"/>
      <c r="D939" s="460"/>
      <c r="E939" s="460"/>
      <c r="F939" s="460"/>
      <c r="G939" s="460"/>
      <c r="H939" s="460"/>
      <c r="I939" s="460"/>
      <c r="J939" s="460"/>
      <c r="K939" s="460"/>
      <c r="L939" s="460"/>
      <c r="M939" s="460"/>
      <c r="N939" s="460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 ht="15.75" customHeight="1">
      <c r="A940" s="179"/>
      <c r="B940" s="179"/>
      <c r="C940" s="460"/>
      <c r="D940" s="460"/>
      <c r="E940" s="460"/>
      <c r="F940" s="460"/>
      <c r="G940" s="460"/>
      <c r="H940" s="460"/>
      <c r="I940" s="460"/>
      <c r="J940" s="460"/>
      <c r="K940" s="460"/>
      <c r="L940" s="460"/>
      <c r="M940" s="460"/>
      <c r="N940" s="460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 ht="15.75" customHeight="1">
      <c r="A941" s="179"/>
      <c r="B941" s="179"/>
      <c r="C941" s="460"/>
      <c r="D941" s="460"/>
      <c r="E941" s="460"/>
      <c r="F941" s="460"/>
      <c r="G941" s="460"/>
      <c r="H941" s="460"/>
      <c r="I941" s="460"/>
      <c r="J941" s="460"/>
      <c r="K941" s="460"/>
      <c r="L941" s="460"/>
      <c r="M941" s="460"/>
      <c r="N941" s="460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 ht="15.75" customHeight="1">
      <c r="A942" s="179"/>
      <c r="B942" s="179"/>
      <c r="C942" s="460"/>
      <c r="D942" s="460"/>
      <c r="E942" s="460"/>
      <c r="F942" s="460"/>
      <c r="G942" s="460"/>
      <c r="H942" s="460"/>
      <c r="I942" s="460"/>
      <c r="J942" s="460"/>
      <c r="K942" s="460"/>
      <c r="L942" s="460"/>
      <c r="M942" s="460"/>
      <c r="N942" s="460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 ht="15.75" customHeight="1">
      <c r="A943" s="179"/>
      <c r="B943" s="179"/>
      <c r="C943" s="460"/>
      <c r="D943" s="460"/>
      <c r="E943" s="460"/>
      <c r="F943" s="460"/>
      <c r="G943" s="460"/>
      <c r="H943" s="460"/>
      <c r="I943" s="460"/>
      <c r="J943" s="460"/>
      <c r="K943" s="460"/>
      <c r="L943" s="460"/>
      <c r="M943" s="460"/>
      <c r="N943" s="460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 ht="15.75" customHeight="1">
      <c r="A944" s="179"/>
      <c r="B944" s="179"/>
      <c r="C944" s="460"/>
      <c r="D944" s="460"/>
      <c r="E944" s="460"/>
      <c r="F944" s="460"/>
      <c r="G944" s="460"/>
      <c r="H944" s="460"/>
      <c r="I944" s="460"/>
      <c r="J944" s="460"/>
      <c r="K944" s="460"/>
      <c r="L944" s="460"/>
      <c r="M944" s="460"/>
      <c r="N944" s="460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 ht="15.75" customHeight="1">
      <c r="A945" s="179"/>
      <c r="B945" s="179"/>
      <c r="C945" s="460"/>
      <c r="D945" s="460"/>
      <c r="E945" s="460"/>
      <c r="F945" s="460"/>
      <c r="G945" s="460"/>
      <c r="H945" s="460"/>
      <c r="I945" s="460"/>
      <c r="J945" s="460"/>
      <c r="K945" s="460"/>
      <c r="L945" s="460"/>
      <c r="M945" s="460"/>
      <c r="N945" s="460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 ht="15.75" customHeight="1">
      <c r="A946" s="179"/>
      <c r="B946" s="179"/>
      <c r="C946" s="460"/>
      <c r="D946" s="460"/>
      <c r="E946" s="460"/>
      <c r="F946" s="460"/>
      <c r="G946" s="460"/>
      <c r="H946" s="460"/>
      <c r="I946" s="460"/>
      <c r="J946" s="460"/>
      <c r="K946" s="460"/>
      <c r="L946" s="460"/>
      <c r="M946" s="460"/>
      <c r="N946" s="460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 ht="15.75" customHeight="1">
      <c r="A947" s="179"/>
      <c r="B947" s="179"/>
      <c r="C947" s="460"/>
      <c r="D947" s="460"/>
      <c r="E947" s="460"/>
      <c r="F947" s="460"/>
      <c r="G947" s="460"/>
      <c r="H947" s="460"/>
      <c r="I947" s="460"/>
      <c r="J947" s="460"/>
      <c r="K947" s="460"/>
      <c r="L947" s="460"/>
      <c r="M947" s="460"/>
      <c r="N947" s="460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 ht="15.75" customHeight="1">
      <c r="A948" s="179"/>
      <c r="B948" s="179"/>
      <c r="C948" s="460"/>
      <c r="D948" s="460"/>
      <c r="E948" s="460"/>
      <c r="F948" s="460"/>
      <c r="G948" s="460"/>
      <c r="H948" s="460"/>
      <c r="I948" s="460"/>
      <c r="J948" s="460"/>
      <c r="K948" s="460"/>
      <c r="L948" s="460"/>
      <c r="M948" s="460"/>
      <c r="N948" s="460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 ht="15.75" customHeight="1">
      <c r="A949" s="179"/>
      <c r="B949" s="179"/>
      <c r="C949" s="460"/>
      <c r="D949" s="460"/>
      <c r="E949" s="460"/>
      <c r="F949" s="460"/>
      <c r="G949" s="460"/>
      <c r="H949" s="460"/>
      <c r="I949" s="460"/>
      <c r="J949" s="460"/>
      <c r="K949" s="460"/>
      <c r="L949" s="460"/>
      <c r="M949" s="460"/>
      <c r="N949" s="460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 ht="15.75" customHeight="1">
      <c r="A950" s="179"/>
      <c r="B950" s="179"/>
      <c r="C950" s="460"/>
      <c r="D950" s="460"/>
      <c r="E950" s="460"/>
      <c r="F950" s="460"/>
      <c r="G950" s="460"/>
      <c r="H950" s="460"/>
      <c r="I950" s="460"/>
      <c r="J950" s="460"/>
      <c r="K950" s="460"/>
      <c r="L950" s="460"/>
      <c r="M950" s="460"/>
      <c r="N950" s="460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 ht="15.75" customHeight="1">
      <c r="A951" s="179"/>
      <c r="B951" s="179"/>
      <c r="C951" s="460"/>
      <c r="D951" s="460"/>
      <c r="E951" s="460"/>
      <c r="F951" s="460"/>
      <c r="G951" s="460"/>
      <c r="H951" s="460"/>
      <c r="I951" s="460"/>
      <c r="J951" s="460"/>
      <c r="K951" s="460"/>
      <c r="L951" s="460"/>
      <c r="M951" s="460"/>
      <c r="N951" s="460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 ht="15.75" customHeight="1">
      <c r="A952" s="179"/>
      <c r="B952" s="179"/>
      <c r="C952" s="460"/>
      <c r="D952" s="460"/>
      <c r="E952" s="460"/>
      <c r="F952" s="460"/>
      <c r="G952" s="460"/>
      <c r="H952" s="460"/>
      <c r="I952" s="460"/>
      <c r="J952" s="460"/>
      <c r="K952" s="460"/>
      <c r="L952" s="460"/>
      <c r="M952" s="460"/>
      <c r="N952" s="460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 ht="15.75" customHeight="1">
      <c r="A953" s="179"/>
      <c r="B953" s="179"/>
      <c r="C953" s="460"/>
      <c r="D953" s="460"/>
      <c r="E953" s="460"/>
      <c r="F953" s="460"/>
      <c r="G953" s="460"/>
      <c r="H953" s="460"/>
      <c r="I953" s="460"/>
      <c r="J953" s="460"/>
      <c r="K953" s="460"/>
      <c r="L953" s="460"/>
      <c r="M953" s="460"/>
      <c r="N953" s="460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 ht="15.75" customHeight="1">
      <c r="A954" s="179"/>
      <c r="B954" s="179"/>
      <c r="C954" s="460"/>
      <c r="D954" s="460"/>
      <c r="E954" s="460"/>
      <c r="F954" s="460"/>
      <c r="G954" s="460"/>
      <c r="H954" s="460"/>
      <c r="I954" s="460"/>
      <c r="J954" s="460"/>
      <c r="K954" s="460"/>
      <c r="L954" s="460"/>
      <c r="M954" s="460"/>
      <c r="N954" s="460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 ht="15.75" customHeight="1">
      <c r="A955" s="179"/>
      <c r="B955" s="179"/>
      <c r="C955" s="460"/>
      <c r="D955" s="460"/>
      <c r="E955" s="460"/>
      <c r="F955" s="460"/>
      <c r="G955" s="460"/>
      <c r="H955" s="460"/>
      <c r="I955" s="460"/>
      <c r="J955" s="460"/>
      <c r="K955" s="460"/>
      <c r="L955" s="460"/>
      <c r="M955" s="460"/>
      <c r="N955" s="460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 ht="15.75" customHeight="1">
      <c r="A956" s="179"/>
      <c r="B956" s="179"/>
      <c r="C956" s="460"/>
      <c r="D956" s="460"/>
      <c r="E956" s="460"/>
      <c r="F956" s="460"/>
      <c r="G956" s="460"/>
      <c r="H956" s="460"/>
      <c r="I956" s="460"/>
      <c r="J956" s="460"/>
      <c r="K956" s="460"/>
      <c r="L956" s="460"/>
      <c r="M956" s="460"/>
      <c r="N956" s="460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 ht="15.75" customHeight="1">
      <c r="A957" s="179"/>
      <c r="B957" s="179"/>
      <c r="C957" s="460"/>
      <c r="D957" s="460"/>
      <c r="E957" s="460"/>
      <c r="F957" s="460"/>
      <c r="G957" s="460"/>
      <c r="H957" s="460"/>
      <c r="I957" s="460"/>
      <c r="J957" s="460"/>
      <c r="K957" s="460"/>
      <c r="L957" s="460"/>
      <c r="M957" s="460"/>
      <c r="N957" s="460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 ht="15.75" customHeight="1">
      <c r="A958" s="179"/>
      <c r="B958" s="179"/>
      <c r="C958" s="460"/>
      <c r="D958" s="460"/>
      <c r="E958" s="460"/>
      <c r="F958" s="460"/>
      <c r="G958" s="460"/>
      <c r="H958" s="460"/>
      <c r="I958" s="460"/>
      <c r="J958" s="460"/>
      <c r="K958" s="460"/>
      <c r="L958" s="460"/>
      <c r="M958" s="460"/>
      <c r="N958" s="460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 ht="15.75" customHeight="1">
      <c r="A959" s="179"/>
      <c r="B959" s="179"/>
      <c r="C959" s="460"/>
      <c r="D959" s="460"/>
      <c r="E959" s="460"/>
      <c r="F959" s="460"/>
      <c r="G959" s="460"/>
      <c r="H959" s="460"/>
      <c r="I959" s="460"/>
      <c r="J959" s="460"/>
      <c r="K959" s="460"/>
      <c r="L959" s="460"/>
      <c r="M959" s="460"/>
      <c r="N959" s="460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 ht="15.75" customHeight="1">
      <c r="A960" s="179"/>
      <c r="B960" s="179"/>
      <c r="C960" s="460"/>
      <c r="D960" s="460"/>
      <c r="E960" s="460"/>
      <c r="F960" s="460"/>
      <c r="G960" s="460"/>
      <c r="H960" s="460"/>
      <c r="I960" s="460"/>
      <c r="J960" s="460"/>
      <c r="K960" s="460"/>
      <c r="L960" s="460"/>
      <c r="M960" s="460"/>
      <c r="N960" s="460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 ht="15.75" customHeight="1">
      <c r="A961" s="179"/>
      <c r="B961" s="179"/>
      <c r="C961" s="460"/>
      <c r="D961" s="460"/>
      <c r="E961" s="460"/>
      <c r="F961" s="460"/>
      <c r="G961" s="460"/>
      <c r="H961" s="460"/>
      <c r="I961" s="460"/>
      <c r="J961" s="460"/>
      <c r="K961" s="460"/>
      <c r="L961" s="460"/>
      <c r="M961" s="460"/>
      <c r="N961" s="460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 ht="15.75" customHeight="1">
      <c r="A962" s="179"/>
      <c r="B962" s="179"/>
      <c r="C962" s="460"/>
      <c r="D962" s="460"/>
      <c r="E962" s="460"/>
      <c r="F962" s="460"/>
      <c r="G962" s="460"/>
      <c r="H962" s="460"/>
      <c r="I962" s="460"/>
      <c r="J962" s="460"/>
      <c r="K962" s="460"/>
      <c r="L962" s="460"/>
      <c r="M962" s="460"/>
      <c r="N962" s="460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 ht="15.75" customHeight="1">
      <c r="A963" s="179"/>
      <c r="B963" s="179"/>
      <c r="C963" s="460"/>
      <c r="D963" s="460"/>
      <c r="E963" s="460"/>
      <c r="F963" s="460"/>
      <c r="G963" s="460"/>
      <c r="H963" s="460"/>
      <c r="I963" s="460"/>
      <c r="J963" s="460"/>
      <c r="K963" s="460"/>
      <c r="L963" s="460"/>
      <c r="M963" s="460"/>
      <c r="N963" s="460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 ht="15.75" customHeight="1">
      <c r="A964" s="179"/>
      <c r="B964" s="179"/>
      <c r="C964" s="460"/>
      <c r="D964" s="460"/>
      <c r="E964" s="460"/>
      <c r="F964" s="460"/>
      <c r="G964" s="460"/>
      <c r="H964" s="460"/>
      <c r="I964" s="460"/>
      <c r="J964" s="460"/>
      <c r="K964" s="460"/>
      <c r="L964" s="460"/>
      <c r="M964" s="460"/>
      <c r="N964" s="460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 ht="15.75" customHeight="1">
      <c r="A965" s="179"/>
      <c r="B965" s="179"/>
      <c r="C965" s="460"/>
      <c r="D965" s="460"/>
      <c r="E965" s="460"/>
      <c r="F965" s="460"/>
      <c r="G965" s="460"/>
      <c r="H965" s="460"/>
      <c r="I965" s="460"/>
      <c r="J965" s="460"/>
      <c r="K965" s="460"/>
      <c r="L965" s="460"/>
      <c r="M965" s="460"/>
      <c r="N965" s="460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 ht="15.75" customHeight="1">
      <c r="A966" s="179"/>
      <c r="B966" s="179"/>
      <c r="C966" s="460"/>
      <c r="D966" s="460"/>
      <c r="E966" s="460"/>
      <c r="F966" s="460"/>
      <c r="G966" s="460"/>
      <c r="H966" s="460"/>
      <c r="I966" s="460"/>
      <c r="J966" s="460"/>
      <c r="K966" s="460"/>
      <c r="L966" s="460"/>
      <c r="M966" s="460"/>
      <c r="N966" s="460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 ht="15.75" customHeight="1">
      <c r="A967" s="179"/>
      <c r="B967" s="179"/>
      <c r="C967" s="460"/>
      <c r="D967" s="460"/>
      <c r="E967" s="460"/>
      <c r="F967" s="460"/>
      <c r="G967" s="460"/>
      <c r="H967" s="460"/>
      <c r="I967" s="460"/>
      <c r="J967" s="460"/>
      <c r="K967" s="460"/>
      <c r="L967" s="460"/>
      <c r="M967" s="460"/>
      <c r="N967" s="460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 ht="15.75" customHeight="1">
      <c r="A968" s="179"/>
      <c r="B968" s="179"/>
      <c r="C968" s="460"/>
      <c r="D968" s="460"/>
      <c r="E968" s="460"/>
      <c r="F968" s="460"/>
      <c r="G968" s="460"/>
      <c r="H968" s="460"/>
      <c r="I968" s="460"/>
      <c r="J968" s="460"/>
      <c r="K968" s="460"/>
      <c r="L968" s="460"/>
      <c r="M968" s="460"/>
      <c r="N968" s="460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 ht="15.75" customHeight="1">
      <c r="A969" s="179"/>
      <c r="B969" s="179"/>
      <c r="C969" s="460"/>
      <c r="D969" s="460"/>
      <c r="E969" s="460"/>
      <c r="F969" s="460"/>
      <c r="G969" s="460"/>
      <c r="H969" s="460"/>
      <c r="I969" s="460"/>
      <c r="J969" s="460"/>
      <c r="K969" s="460"/>
      <c r="L969" s="460"/>
      <c r="M969" s="460"/>
      <c r="N969" s="460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 ht="15.75" customHeight="1">
      <c r="A970" s="179"/>
      <c r="B970" s="179"/>
      <c r="C970" s="460"/>
      <c r="D970" s="460"/>
      <c r="E970" s="460"/>
      <c r="F970" s="460"/>
      <c r="G970" s="460"/>
      <c r="H970" s="460"/>
      <c r="I970" s="460"/>
      <c r="J970" s="460"/>
      <c r="K970" s="460"/>
      <c r="L970" s="460"/>
      <c r="M970" s="460"/>
      <c r="N970" s="460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 ht="15.75" customHeight="1">
      <c r="A971" s="179"/>
      <c r="B971" s="179"/>
      <c r="C971" s="460"/>
      <c r="D971" s="460"/>
      <c r="E971" s="460"/>
      <c r="F971" s="460"/>
      <c r="G971" s="460"/>
      <c r="H971" s="460"/>
      <c r="I971" s="460"/>
      <c r="J971" s="460"/>
      <c r="K971" s="460"/>
      <c r="L971" s="460"/>
      <c r="M971" s="460"/>
      <c r="N971" s="460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 ht="15.75" customHeight="1">
      <c r="A972" s="179"/>
      <c r="B972" s="179"/>
      <c r="C972" s="460"/>
      <c r="D972" s="460"/>
      <c r="E972" s="460"/>
      <c r="F972" s="460"/>
      <c r="G972" s="460"/>
      <c r="H972" s="460"/>
      <c r="I972" s="460"/>
      <c r="J972" s="460"/>
      <c r="K972" s="460"/>
      <c r="L972" s="460"/>
      <c r="M972" s="460"/>
      <c r="N972" s="460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 ht="15.75" customHeight="1">
      <c r="A973" s="179"/>
      <c r="B973" s="179"/>
      <c r="C973" s="460"/>
      <c r="D973" s="460"/>
      <c r="E973" s="460"/>
      <c r="F973" s="460"/>
      <c r="G973" s="460"/>
      <c r="H973" s="460"/>
      <c r="I973" s="460"/>
      <c r="J973" s="460"/>
      <c r="K973" s="460"/>
      <c r="L973" s="460"/>
      <c r="M973" s="460"/>
      <c r="N973" s="460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 ht="15.75" customHeight="1">
      <c r="A974" s="179"/>
      <c r="B974" s="179"/>
      <c r="C974" s="460"/>
      <c r="D974" s="460"/>
      <c r="E974" s="460"/>
      <c r="F974" s="460"/>
      <c r="G974" s="460"/>
      <c r="H974" s="460"/>
      <c r="I974" s="460"/>
      <c r="J974" s="460"/>
      <c r="K974" s="460"/>
      <c r="L974" s="460"/>
      <c r="M974" s="460"/>
      <c r="N974" s="460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 ht="15.75" customHeight="1">
      <c r="A975" s="179"/>
      <c r="B975" s="179"/>
      <c r="C975" s="460"/>
      <c r="D975" s="460"/>
      <c r="E975" s="460"/>
      <c r="F975" s="460"/>
      <c r="G975" s="460"/>
      <c r="H975" s="460"/>
      <c r="I975" s="460"/>
      <c r="J975" s="460"/>
      <c r="K975" s="460"/>
      <c r="L975" s="460"/>
      <c r="M975" s="460"/>
      <c r="N975" s="460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 ht="15.75" customHeight="1">
      <c r="A976" s="179"/>
      <c r="B976" s="179"/>
      <c r="C976" s="460"/>
      <c r="D976" s="460"/>
      <c r="E976" s="460"/>
      <c r="F976" s="460"/>
      <c r="G976" s="460"/>
      <c r="H976" s="460"/>
      <c r="I976" s="460"/>
      <c r="J976" s="460"/>
      <c r="K976" s="460"/>
      <c r="L976" s="460"/>
      <c r="M976" s="460"/>
      <c r="N976" s="460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 ht="15.75" customHeight="1">
      <c r="A977" s="179"/>
      <c r="B977" s="179"/>
      <c r="C977" s="460"/>
      <c r="D977" s="460"/>
      <c r="E977" s="460"/>
      <c r="F977" s="460"/>
      <c r="G977" s="460"/>
      <c r="H977" s="460"/>
      <c r="I977" s="460"/>
      <c r="J977" s="460"/>
      <c r="K977" s="460"/>
      <c r="L977" s="460"/>
      <c r="M977" s="460"/>
      <c r="N977" s="460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 ht="15.75" customHeight="1">
      <c r="A978" s="179"/>
      <c r="B978" s="179"/>
      <c r="C978" s="460"/>
      <c r="D978" s="460"/>
      <c r="E978" s="460"/>
      <c r="F978" s="460"/>
      <c r="G978" s="460"/>
      <c r="H978" s="460"/>
      <c r="I978" s="460"/>
      <c r="J978" s="460"/>
      <c r="K978" s="460"/>
      <c r="L978" s="460"/>
      <c r="M978" s="460"/>
      <c r="N978" s="460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 ht="15.75" customHeight="1">
      <c r="A979" s="179"/>
      <c r="B979" s="179"/>
      <c r="C979" s="460"/>
      <c r="D979" s="460"/>
      <c r="E979" s="460"/>
      <c r="F979" s="460"/>
      <c r="G979" s="460"/>
      <c r="H979" s="460"/>
      <c r="I979" s="460"/>
      <c r="J979" s="460"/>
      <c r="K979" s="460"/>
      <c r="L979" s="460"/>
      <c r="M979" s="460"/>
      <c r="N979" s="460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 ht="15.75" customHeight="1">
      <c r="A980" s="179"/>
      <c r="B980" s="179"/>
      <c r="C980" s="460"/>
      <c r="D980" s="460"/>
      <c r="E980" s="460"/>
      <c r="F980" s="460"/>
      <c r="G980" s="460"/>
      <c r="H980" s="460"/>
      <c r="I980" s="460"/>
      <c r="J980" s="460"/>
      <c r="K980" s="460"/>
      <c r="L980" s="460"/>
      <c r="M980" s="460"/>
      <c r="N980" s="460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 ht="15.75" customHeight="1">
      <c r="A981" s="179"/>
      <c r="B981" s="179"/>
      <c r="C981" s="460"/>
      <c r="D981" s="460"/>
      <c r="E981" s="460"/>
      <c r="F981" s="460"/>
      <c r="G981" s="460"/>
      <c r="H981" s="460"/>
      <c r="I981" s="460"/>
      <c r="J981" s="460"/>
      <c r="K981" s="460"/>
      <c r="L981" s="460"/>
      <c r="M981" s="460"/>
      <c r="N981" s="460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 ht="15.75" customHeight="1">
      <c r="A982" s="179"/>
      <c r="B982" s="179"/>
      <c r="C982" s="460"/>
      <c r="D982" s="460"/>
      <c r="E982" s="460"/>
      <c r="F982" s="460"/>
      <c r="G982" s="460"/>
      <c r="H982" s="460"/>
      <c r="I982" s="460"/>
      <c r="J982" s="460"/>
      <c r="K982" s="460"/>
      <c r="L982" s="460"/>
      <c r="M982" s="460"/>
      <c r="N982" s="460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 ht="15.75" customHeight="1">
      <c r="A983" s="179"/>
      <c r="B983" s="179"/>
      <c r="C983" s="460"/>
      <c r="D983" s="460"/>
      <c r="E983" s="460"/>
      <c r="F983" s="460"/>
      <c r="G983" s="460"/>
      <c r="H983" s="460"/>
      <c r="I983" s="460"/>
      <c r="J983" s="460"/>
      <c r="K983" s="460"/>
      <c r="L983" s="460"/>
      <c r="M983" s="460"/>
      <c r="N983" s="460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 ht="15.75" customHeight="1">
      <c r="A984" s="179"/>
      <c r="B984" s="179"/>
      <c r="C984" s="460"/>
      <c r="D984" s="460"/>
      <c r="E984" s="460"/>
      <c r="F984" s="460"/>
      <c r="G984" s="460"/>
      <c r="H984" s="460"/>
      <c r="I984" s="460"/>
      <c r="J984" s="460"/>
      <c r="K984" s="460"/>
      <c r="L984" s="460"/>
      <c r="M984" s="460"/>
      <c r="N984" s="460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 ht="15.75" customHeight="1">
      <c r="A985" s="179"/>
      <c r="B985" s="179"/>
      <c r="C985" s="460"/>
      <c r="D985" s="460"/>
      <c r="E985" s="460"/>
      <c r="F985" s="460"/>
      <c r="G985" s="460"/>
      <c r="H985" s="460"/>
      <c r="I985" s="460"/>
      <c r="J985" s="460"/>
      <c r="K985" s="460"/>
      <c r="L985" s="460"/>
      <c r="M985" s="460"/>
      <c r="N985" s="460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 ht="15.75" customHeight="1">
      <c r="A986" s="179"/>
      <c r="B986" s="179"/>
      <c r="C986" s="460"/>
      <c r="D986" s="460"/>
      <c r="E986" s="460"/>
      <c r="F986" s="460"/>
      <c r="G986" s="460"/>
      <c r="H986" s="460"/>
      <c r="I986" s="460"/>
      <c r="J986" s="460"/>
      <c r="K986" s="460"/>
      <c r="L986" s="460"/>
      <c r="M986" s="460"/>
      <c r="N986" s="460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 ht="15.75" customHeight="1">
      <c r="A987" s="179"/>
      <c r="B987" s="179"/>
      <c r="C987" s="460"/>
      <c r="D987" s="460"/>
      <c r="E987" s="460"/>
      <c r="F987" s="460"/>
      <c r="G987" s="460"/>
      <c r="H987" s="460"/>
      <c r="I987" s="460"/>
      <c r="J987" s="460"/>
      <c r="K987" s="460"/>
      <c r="L987" s="460"/>
      <c r="M987" s="460"/>
      <c r="N987" s="460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 ht="15.75" customHeight="1">
      <c r="A988" s="179"/>
      <c r="B988" s="179"/>
      <c r="C988" s="460"/>
      <c r="D988" s="460"/>
      <c r="E988" s="460"/>
      <c r="F988" s="460"/>
      <c r="G988" s="460"/>
      <c r="H988" s="460"/>
      <c r="I988" s="460"/>
      <c r="J988" s="460"/>
      <c r="K988" s="460"/>
      <c r="L988" s="460"/>
      <c r="M988" s="460"/>
      <c r="N988" s="460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 ht="15.75" customHeight="1">
      <c r="A989" s="179"/>
      <c r="B989" s="179"/>
      <c r="C989" s="460"/>
      <c r="D989" s="460"/>
      <c r="E989" s="460"/>
      <c r="F989" s="460"/>
      <c r="G989" s="460"/>
      <c r="H989" s="460"/>
      <c r="I989" s="460"/>
      <c r="J989" s="460"/>
      <c r="K989" s="460"/>
      <c r="L989" s="460"/>
      <c r="M989" s="460"/>
      <c r="N989" s="460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 ht="15.75" customHeight="1">
      <c r="A990" s="179"/>
      <c r="B990" s="179"/>
      <c r="C990" s="460"/>
      <c r="D990" s="460"/>
      <c r="E990" s="460"/>
      <c r="F990" s="460"/>
      <c r="G990" s="460"/>
      <c r="H990" s="460"/>
      <c r="I990" s="460"/>
      <c r="J990" s="460"/>
      <c r="K990" s="460"/>
      <c r="L990" s="460"/>
      <c r="M990" s="460"/>
      <c r="N990" s="460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 ht="15.75" customHeight="1">
      <c r="A991" s="179"/>
      <c r="B991" s="179"/>
      <c r="C991" s="460"/>
      <c r="D991" s="460"/>
      <c r="E991" s="460"/>
      <c r="F991" s="460"/>
      <c r="G991" s="460"/>
      <c r="H991" s="460"/>
      <c r="I991" s="460"/>
      <c r="J991" s="460"/>
      <c r="K991" s="460"/>
      <c r="L991" s="460"/>
      <c r="M991" s="460"/>
      <c r="N991" s="460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 ht="15.75" customHeight="1">
      <c r="A992" s="179"/>
      <c r="B992" s="179"/>
      <c r="C992" s="460"/>
      <c r="D992" s="460"/>
      <c r="E992" s="460"/>
      <c r="F992" s="460"/>
      <c r="G992" s="460"/>
      <c r="H992" s="460"/>
      <c r="I992" s="460"/>
      <c r="J992" s="460"/>
      <c r="K992" s="460"/>
      <c r="L992" s="460"/>
      <c r="M992" s="460"/>
      <c r="N992" s="460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 ht="15.75" customHeight="1">
      <c r="A993" s="179"/>
      <c r="B993" s="179"/>
      <c r="C993" s="460"/>
      <c r="D993" s="460"/>
      <c r="E993" s="460"/>
      <c r="F993" s="460"/>
      <c r="G993" s="460"/>
      <c r="H993" s="460"/>
      <c r="I993" s="460"/>
      <c r="J993" s="460"/>
      <c r="K993" s="460"/>
      <c r="L993" s="460"/>
      <c r="M993" s="460"/>
      <c r="N993" s="460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 ht="15.75" customHeight="1">
      <c r="A994" s="179"/>
      <c r="B994" s="179"/>
      <c r="C994" s="460"/>
      <c r="D994" s="460"/>
      <c r="E994" s="460"/>
      <c r="F994" s="460"/>
      <c r="G994" s="460"/>
      <c r="H994" s="460"/>
      <c r="I994" s="460"/>
      <c r="J994" s="460"/>
      <c r="K994" s="460"/>
      <c r="L994" s="460"/>
      <c r="M994" s="460"/>
      <c r="N994" s="460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 ht="15.75" customHeight="1">
      <c r="A995" s="179"/>
      <c r="B995" s="179"/>
      <c r="C995" s="460"/>
      <c r="D995" s="460"/>
      <c r="E995" s="460"/>
      <c r="F995" s="460"/>
      <c r="G995" s="460"/>
      <c r="H995" s="460"/>
      <c r="I995" s="460"/>
      <c r="J995" s="460"/>
      <c r="K995" s="460"/>
      <c r="L995" s="460"/>
      <c r="M995" s="460"/>
      <c r="N995" s="460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 ht="15.75" customHeight="1">
      <c r="A996" s="179"/>
      <c r="B996" s="179"/>
      <c r="C996" s="460"/>
      <c r="D996" s="460"/>
      <c r="E996" s="460"/>
      <c r="F996" s="460"/>
      <c r="G996" s="460"/>
      <c r="H996" s="460"/>
      <c r="I996" s="460"/>
      <c r="J996" s="460"/>
      <c r="K996" s="460"/>
      <c r="L996" s="460"/>
      <c r="M996" s="460"/>
      <c r="N996" s="460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 ht="15.75" customHeight="1">
      <c r="A997" s="179"/>
      <c r="B997" s="179"/>
      <c r="C997" s="460"/>
      <c r="D997" s="460"/>
      <c r="E997" s="460"/>
      <c r="F997" s="460"/>
      <c r="G997" s="460"/>
      <c r="H997" s="460"/>
      <c r="I997" s="460"/>
      <c r="J997" s="460"/>
      <c r="K997" s="460"/>
      <c r="L997" s="460"/>
      <c r="M997" s="460"/>
      <c r="N997" s="460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 ht="15.75" customHeight="1">
      <c r="A998" s="179"/>
      <c r="B998" s="179"/>
      <c r="C998" s="460"/>
      <c r="D998" s="460"/>
      <c r="E998" s="460"/>
      <c r="F998" s="460"/>
      <c r="G998" s="460"/>
      <c r="H998" s="460"/>
      <c r="I998" s="460"/>
      <c r="J998" s="460"/>
      <c r="K998" s="460"/>
      <c r="L998" s="460"/>
      <c r="M998" s="460"/>
      <c r="N998" s="460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 ht="15.75" customHeight="1">
      <c r="A999" s="179"/>
      <c r="B999" s="179"/>
      <c r="C999" s="460"/>
      <c r="D999" s="460"/>
      <c r="E999" s="460"/>
      <c r="F999" s="460"/>
      <c r="G999" s="460"/>
      <c r="H999" s="460"/>
      <c r="I999" s="460"/>
      <c r="J999" s="460"/>
      <c r="K999" s="460"/>
      <c r="L999" s="460"/>
      <c r="M999" s="460"/>
      <c r="N999" s="460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 ht="15.75" customHeight="1">
      <c r="A1000" s="179"/>
      <c r="B1000" s="179"/>
      <c r="C1000" s="460"/>
      <c r="D1000" s="460"/>
      <c r="E1000" s="460"/>
      <c r="F1000" s="460"/>
      <c r="G1000" s="460"/>
      <c r="H1000" s="460"/>
      <c r="I1000" s="460"/>
      <c r="J1000" s="460"/>
      <c r="K1000" s="460"/>
      <c r="L1000" s="460"/>
      <c r="M1000" s="460"/>
      <c r="N1000" s="460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5.86"/>
    <col customWidth="1" hidden="1" min="4" max="4" width="8.43"/>
    <col customWidth="1" min="6" max="6" width="15.14"/>
  </cols>
  <sheetData>
    <row r="1">
      <c r="A1" s="626"/>
      <c r="B1" s="626"/>
      <c r="C1" s="626"/>
      <c r="D1" s="626"/>
      <c r="E1" s="627"/>
      <c r="F1" s="628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</row>
    <row r="2">
      <c r="A2" s="626"/>
      <c r="B2" s="629" t="s">
        <v>505</v>
      </c>
      <c r="C2" s="626"/>
      <c r="D2" s="626"/>
      <c r="E2" s="630" t="s">
        <v>264</v>
      </c>
      <c r="F2" s="631" t="s">
        <v>338</v>
      </c>
      <c r="G2" s="629" t="s">
        <v>499</v>
      </c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</row>
    <row r="3">
      <c r="A3" s="632">
        <v>46198.0</v>
      </c>
      <c r="B3" s="633" t="s">
        <v>495</v>
      </c>
      <c r="C3" s="633" t="s">
        <v>496</v>
      </c>
      <c r="D3" s="634"/>
      <c r="E3" s="635">
        <v>1500.0</v>
      </c>
      <c r="F3" s="631">
        <v>956505.0</v>
      </c>
      <c r="G3" s="636">
        <v>46251.0</v>
      </c>
      <c r="H3" s="626"/>
      <c r="I3" s="626"/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</row>
    <row r="4" ht="14.25" customHeight="1">
      <c r="A4" s="632">
        <v>46224.0</v>
      </c>
      <c r="B4" s="633" t="s">
        <v>536</v>
      </c>
      <c r="C4" s="633" t="s">
        <v>97</v>
      </c>
      <c r="D4" s="634">
        <v>52.0</v>
      </c>
      <c r="E4" s="635">
        <v>18500.0</v>
      </c>
      <c r="F4" s="631">
        <v>956506.0</v>
      </c>
      <c r="G4" s="637">
        <v>46276.0</v>
      </c>
      <c r="H4" s="638"/>
      <c r="I4" s="626"/>
      <c r="J4" s="634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</row>
    <row r="5">
      <c r="A5" s="632">
        <v>46225.0</v>
      </c>
      <c r="B5" s="633" t="s">
        <v>539</v>
      </c>
      <c r="C5" s="633" t="s">
        <v>97</v>
      </c>
      <c r="D5" s="634">
        <v>58.0</v>
      </c>
      <c r="E5" s="635">
        <v>16625.0</v>
      </c>
      <c r="F5" s="631">
        <v>956507.0</v>
      </c>
      <c r="G5" s="637">
        <v>46283.0</v>
      </c>
      <c r="H5" s="638"/>
      <c r="I5" s="626"/>
      <c r="J5" s="639"/>
      <c r="K5" s="626"/>
      <c r="L5" s="626"/>
      <c r="M5" s="626"/>
      <c r="N5" s="626"/>
      <c r="O5" s="626"/>
      <c r="P5" s="626"/>
      <c r="Q5" s="626"/>
      <c r="R5" s="626"/>
      <c r="S5" s="626"/>
      <c r="T5" s="626"/>
      <c r="U5" s="626"/>
      <c r="V5" s="626"/>
      <c r="W5" s="626"/>
      <c r="X5" s="626"/>
      <c r="Y5" s="626"/>
    </row>
    <row r="6">
      <c r="A6" s="632">
        <v>46225.0</v>
      </c>
      <c r="B6" s="633" t="s">
        <v>493</v>
      </c>
      <c r="C6" s="633" t="s">
        <v>341</v>
      </c>
      <c r="D6" s="634">
        <v>90.0</v>
      </c>
      <c r="E6" s="635">
        <v>25150.0</v>
      </c>
      <c r="F6" s="631">
        <v>956508.0</v>
      </c>
      <c r="G6" s="637">
        <v>46315.0</v>
      </c>
      <c r="H6" s="638"/>
      <c r="I6" s="626"/>
      <c r="J6" s="640"/>
      <c r="K6" s="626"/>
      <c r="L6" s="641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</row>
    <row r="7">
      <c r="A7" s="632">
        <v>46230.0</v>
      </c>
      <c r="B7" s="633" t="s">
        <v>546</v>
      </c>
      <c r="C7" s="633" t="s">
        <v>405</v>
      </c>
      <c r="D7" s="634">
        <v>90.0</v>
      </c>
      <c r="E7" s="635">
        <v>23000.0</v>
      </c>
      <c r="F7" s="631">
        <v>956509.0</v>
      </c>
      <c r="G7" s="642">
        <v>46311.0</v>
      </c>
      <c r="H7" s="638"/>
      <c r="I7" s="626"/>
      <c r="J7" s="640"/>
      <c r="K7" s="626"/>
      <c r="L7" s="626"/>
      <c r="M7" s="626"/>
      <c r="N7" s="626"/>
      <c r="O7" s="626"/>
      <c r="P7" s="626"/>
      <c r="Q7" s="626"/>
      <c r="R7" s="626"/>
      <c r="S7" s="626"/>
      <c r="T7" s="626"/>
      <c r="U7" s="626"/>
      <c r="V7" s="626"/>
      <c r="W7" s="626"/>
      <c r="X7" s="626"/>
      <c r="Y7" s="626"/>
    </row>
    <row r="8">
      <c r="A8" s="632">
        <v>46230.0</v>
      </c>
      <c r="B8" s="633" t="s">
        <v>546</v>
      </c>
      <c r="C8" s="633" t="s">
        <v>405</v>
      </c>
      <c r="D8" s="634">
        <v>90.0</v>
      </c>
      <c r="E8" s="635">
        <v>23000.0</v>
      </c>
      <c r="F8" s="631">
        <v>956510.0</v>
      </c>
      <c r="G8" s="643">
        <v>46318.0</v>
      </c>
      <c r="H8" s="638"/>
      <c r="I8" s="626"/>
      <c r="J8" s="640"/>
      <c r="K8" s="626"/>
      <c r="L8" s="626"/>
      <c r="M8" s="626"/>
      <c r="N8" s="626"/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6"/>
    </row>
    <row r="9">
      <c r="A9" s="632">
        <v>46230.0</v>
      </c>
      <c r="B9" s="633" t="s">
        <v>546</v>
      </c>
      <c r="C9" s="633" t="s">
        <v>405</v>
      </c>
      <c r="D9" s="634">
        <v>90.0</v>
      </c>
      <c r="E9" s="635">
        <v>22976.0</v>
      </c>
      <c r="F9" s="631">
        <v>956511.0</v>
      </c>
      <c r="G9" s="643">
        <v>46332.0</v>
      </c>
      <c r="H9" s="644"/>
      <c r="I9" s="626"/>
      <c r="J9" s="640"/>
      <c r="K9" s="626"/>
      <c r="L9" s="626"/>
      <c r="M9" s="626"/>
      <c r="N9" s="626"/>
      <c r="O9" s="626"/>
      <c r="P9" s="626"/>
      <c r="Q9" s="626"/>
      <c r="R9" s="626"/>
      <c r="S9" s="626"/>
      <c r="T9" s="626"/>
      <c r="U9" s="626"/>
      <c r="V9" s="626"/>
      <c r="W9" s="626"/>
      <c r="X9" s="626"/>
      <c r="Y9" s="626"/>
    </row>
    <row r="10">
      <c r="A10" s="645">
        <v>46232.0</v>
      </c>
      <c r="B10" s="633" t="s">
        <v>549</v>
      </c>
      <c r="C10" s="633" t="s">
        <v>97</v>
      </c>
      <c r="D10" s="634">
        <v>30.0</v>
      </c>
      <c r="E10" s="635">
        <v>700.0</v>
      </c>
      <c r="F10" s="631">
        <v>956513.0</v>
      </c>
      <c r="G10" s="646">
        <v>46283.0</v>
      </c>
      <c r="H10" s="647" t="s">
        <v>781</v>
      </c>
      <c r="I10" s="626"/>
      <c r="J10" s="640"/>
      <c r="K10" s="626"/>
      <c r="L10" s="626"/>
      <c r="M10" s="626"/>
      <c r="N10" s="626"/>
      <c r="O10" s="626"/>
      <c r="P10" s="626"/>
      <c r="Q10" s="626"/>
      <c r="R10" s="626"/>
      <c r="S10" s="626"/>
      <c r="T10" s="626"/>
      <c r="U10" s="626"/>
      <c r="V10" s="626"/>
      <c r="W10" s="626"/>
      <c r="X10" s="626"/>
      <c r="Y10" s="626"/>
    </row>
    <row r="11">
      <c r="A11" s="648">
        <v>46232.0</v>
      </c>
      <c r="B11" s="629" t="s">
        <v>558</v>
      </c>
      <c r="C11" s="629" t="s">
        <v>97</v>
      </c>
      <c r="D11" s="649">
        <v>51.0</v>
      </c>
      <c r="E11" s="630">
        <v>16000.0</v>
      </c>
      <c r="H11" s="647" t="s">
        <v>782</v>
      </c>
      <c r="I11" s="629" t="s">
        <v>783</v>
      </c>
      <c r="J11" s="634"/>
      <c r="K11" s="626"/>
      <c r="L11" s="626"/>
      <c r="M11" s="626"/>
      <c r="N11" s="626"/>
      <c r="O11" s="626"/>
      <c r="P11" s="626"/>
      <c r="Q11" s="626"/>
      <c r="R11" s="626"/>
      <c r="S11" s="626"/>
      <c r="T11" s="626"/>
      <c r="U11" s="626"/>
      <c r="V11" s="626"/>
      <c r="W11" s="626"/>
      <c r="X11" s="626"/>
      <c r="Y11" s="626"/>
    </row>
    <row r="12">
      <c r="A12" s="648">
        <v>46232.0</v>
      </c>
      <c r="B12" s="629" t="s">
        <v>558</v>
      </c>
      <c r="C12" s="629" t="s">
        <v>97</v>
      </c>
      <c r="D12" s="649">
        <v>51.0</v>
      </c>
      <c r="E12" s="630">
        <v>16400.0</v>
      </c>
      <c r="F12" s="631">
        <v>956514.0</v>
      </c>
      <c r="G12" s="646">
        <v>46290.0</v>
      </c>
      <c r="H12" s="647" t="s">
        <v>782</v>
      </c>
      <c r="I12" s="626"/>
      <c r="J12" s="634"/>
      <c r="K12" s="626"/>
      <c r="L12" s="626"/>
      <c r="M12" s="626"/>
      <c r="N12" s="626"/>
      <c r="O12" s="626"/>
      <c r="P12" s="626"/>
      <c r="Q12" s="626"/>
      <c r="R12" s="626"/>
      <c r="S12" s="626"/>
      <c r="T12" s="626"/>
      <c r="U12" s="626"/>
      <c r="V12" s="626"/>
      <c r="W12" s="626"/>
      <c r="X12" s="626"/>
      <c r="Y12" s="626"/>
    </row>
    <row r="13">
      <c r="A13" s="632">
        <v>46232.0</v>
      </c>
      <c r="B13" s="633" t="s">
        <v>493</v>
      </c>
      <c r="C13" s="633" t="s">
        <v>341</v>
      </c>
      <c r="D13" s="634">
        <v>90.0</v>
      </c>
      <c r="E13" s="635">
        <v>23100.0</v>
      </c>
      <c r="F13" s="631">
        <v>956515.0</v>
      </c>
      <c r="G13" s="637">
        <v>46322.0</v>
      </c>
      <c r="H13" s="638"/>
      <c r="I13" s="626"/>
      <c r="J13" s="634"/>
      <c r="K13" s="626"/>
      <c r="L13" s="626"/>
      <c r="M13" s="626"/>
      <c r="N13" s="626"/>
      <c r="O13" s="626"/>
      <c r="P13" s="626"/>
      <c r="Q13" s="626"/>
      <c r="R13" s="626"/>
      <c r="S13" s="626"/>
      <c r="T13" s="626"/>
      <c r="U13" s="626"/>
      <c r="V13" s="626"/>
      <c r="W13" s="626"/>
      <c r="X13" s="626"/>
      <c r="Y13" s="626"/>
    </row>
    <row r="14" ht="15.75" customHeight="1">
      <c r="A14" s="632">
        <v>46238.0</v>
      </c>
      <c r="B14" s="633" t="s">
        <v>569</v>
      </c>
      <c r="C14" s="633" t="s">
        <v>341</v>
      </c>
      <c r="D14" s="634">
        <v>90.0</v>
      </c>
      <c r="E14" s="635">
        <v>14250.0</v>
      </c>
      <c r="F14" s="631">
        <v>956516.0</v>
      </c>
      <c r="G14" s="637">
        <v>46328.0</v>
      </c>
      <c r="H14" s="638"/>
      <c r="I14" s="626"/>
      <c r="J14" s="634"/>
      <c r="K14" s="626"/>
      <c r="L14" s="626"/>
      <c r="M14" s="626"/>
      <c r="N14" s="626"/>
      <c r="O14" s="626"/>
      <c r="P14" s="626"/>
      <c r="Q14" s="626"/>
      <c r="R14" s="626"/>
      <c r="S14" s="626"/>
      <c r="T14" s="626"/>
      <c r="U14" s="626"/>
      <c r="V14" s="626"/>
      <c r="W14" s="626"/>
      <c r="X14" s="626"/>
      <c r="Y14" s="626"/>
    </row>
    <row r="15">
      <c r="A15" s="632">
        <v>46239.0</v>
      </c>
      <c r="B15" s="633" t="s">
        <v>573</v>
      </c>
      <c r="C15" s="633" t="s">
        <v>97</v>
      </c>
      <c r="D15" s="634">
        <v>45.0</v>
      </c>
      <c r="E15" s="635">
        <v>2600.0</v>
      </c>
      <c r="F15" s="631">
        <v>956517.0</v>
      </c>
      <c r="G15" s="637">
        <v>46284.0</v>
      </c>
      <c r="H15" s="638"/>
      <c r="I15" s="626"/>
      <c r="J15" s="634"/>
      <c r="K15" s="626"/>
      <c r="L15" s="626"/>
      <c r="M15" s="626"/>
      <c r="N15" s="626"/>
      <c r="O15" s="626"/>
      <c r="P15" s="626"/>
      <c r="Q15" s="626"/>
      <c r="R15" s="626"/>
      <c r="S15" s="626"/>
      <c r="T15" s="626"/>
      <c r="U15" s="626"/>
      <c r="V15" s="626"/>
      <c r="W15" s="626"/>
      <c r="X15" s="626"/>
      <c r="Y15" s="626"/>
    </row>
    <row r="16">
      <c r="A16" s="632">
        <v>46239.0</v>
      </c>
      <c r="B16" s="633" t="s">
        <v>574</v>
      </c>
      <c r="C16" s="633" t="s">
        <v>97</v>
      </c>
      <c r="D16" s="634">
        <v>45.0</v>
      </c>
      <c r="E16" s="635">
        <v>20800.0</v>
      </c>
      <c r="F16" s="631">
        <v>956518.0</v>
      </c>
      <c r="G16" s="643">
        <v>46293.0</v>
      </c>
      <c r="H16" s="638"/>
      <c r="I16" s="626"/>
      <c r="J16" s="639"/>
      <c r="K16" s="626"/>
      <c r="L16" s="626"/>
      <c r="M16" s="626"/>
      <c r="N16" s="626"/>
      <c r="O16" s="626"/>
      <c r="P16" s="626"/>
      <c r="Q16" s="626"/>
      <c r="R16" s="626"/>
      <c r="S16" s="626"/>
      <c r="T16" s="626"/>
      <c r="U16" s="626"/>
      <c r="V16" s="626"/>
      <c r="W16" s="626"/>
      <c r="X16" s="626"/>
      <c r="Y16" s="626"/>
    </row>
    <row r="17">
      <c r="A17" s="632">
        <v>46239.0</v>
      </c>
      <c r="B17" s="633" t="s">
        <v>574</v>
      </c>
      <c r="C17" s="633" t="s">
        <v>97</v>
      </c>
      <c r="D17" s="634">
        <v>45.0</v>
      </c>
      <c r="E17" s="635">
        <v>25000.0</v>
      </c>
      <c r="F17" s="631">
        <v>956519.0</v>
      </c>
      <c r="G17" s="636">
        <v>46297.0</v>
      </c>
      <c r="H17" s="638"/>
      <c r="I17" s="626"/>
      <c r="J17" s="640"/>
      <c r="K17" s="626"/>
      <c r="L17" s="626"/>
      <c r="M17" s="626"/>
      <c r="N17" s="626"/>
      <c r="O17" s="626"/>
      <c r="P17" s="626"/>
      <c r="Q17" s="626"/>
      <c r="R17" s="626"/>
      <c r="S17" s="626"/>
      <c r="T17" s="626"/>
      <c r="U17" s="626"/>
      <c r="V17" s="626"/>
      <c r="W17" s="626"/>
      <c r="X17" s="626"/>
      <c r="Y17" s="626"/>
    </row>
    <row r="18">
      <c r="A18" s="632">
        <v>46247.0</v>
      </c>
      <c r="B18" s="633" t="s">
        <v>585</v>
      </c>
      <c r="C18" s="633" t="s">
        <v>97</v>
      </c>
      <c r="D18" s="634">
        <v>57.0</v>
      </c>
      <c r="E18" s="635">
        <v>17980.0</v>
      </c>
      <c r="F18" s="631">
        <v>956520.0</v>
      </c>
      <c r="G18" s="637">
        <v>46304.0</v>
      </c>
      <c r="H18" s="638"/>
      <c r="I18" s="626"/>
      <c r="J18" s="640"/>
      <c r="K18" s="626"/>
      <c r="L18" s="626"/>
      <c r="M18" s="626"/>
      <c r="N18" s="626"/>
      <c r="O18" s="626"/>
      <c r="P18" s="626"/>
      <c r="Q18" s="626"/>
      <c r="R18" s="626"/>
      <c r="S18" s="626"/>
      <c r="T18" s="626"/>
      <c r="U18" s="626"/>
      <c r="V18" s="626"/>
      <c r="W18" s="626"/>
      <c r="X18" s="626"/>
      <c r="Y18" s="626"/>
    </row>
    <row r="19">
      <c r="A19" s="632"/>
      <c r="B19" s="633"/>
      <c r="C19" s="633"/>
      <c r="D19" s="634"/>
      <c r="E19" s="635"/>
      <c r="F19" s="631"/>
      <c r="G19" s="637"/>
      <c r="H19" s="638"/>
      <c r="I19" s="626"/>
      <c r="J19" s="640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</row>
    <row r="20">
      <c r="A20" s="648">
        <v>46232.0</v>
      </c>
      <c r="B20" s="629" t="s">
        <v>558</v>
      </c>
      <c r="C20" s="629" t="s">
        <v>97</v>
      </c>
      <c r="D20" s="649">
        <v>51.0</v>
      </c>
      <c r="E20" s="630">
        <v>16400.0</v>
      </c>
      <c r="F20" s="631">
        <v>956514.0</v>
      </c>
      <c r="G20" s="636">
        <v>46290.0</v>
      </c>
      <c r="H20" s="629" t="s">
        <v>745</v>
      </c>
      <c r="I20" s="629" t="s">
        <v>784</v>
      </c>
      <c r="J20" s="626"/>
      <c r="K20" s="626"/>
      <c r="L20" s="626"/>
      <c r="M20" s="626"/>
      <c r="N20" s="626"/>
      <c r="O20" s="626"/>
      <c r="P20" s="626"/>
      <c r="Q20" s="626"/>
      <c r="R20" s="626"/>
      <c r="S20" s="626"/>
      <c r="T20" s="626"/>
      <c r="U20" s="626"/>
      <c r="V20" s="626"/>
      <c r="W20" s="626"/>
      <c r="X20" s="626"/>
      <c r="Y20" s="626"/>
    </row>
    <row r="21">
      <c r="A21" s="632">
        <v>46271.0</v>
      </c>
      <c r="B21" s="629" t="s">
        <v>558</v>
      </c>
      <c r="C21" s="629" t="s">
        <v>97</v>
      </c>
      <c r="D21" s="649">
        <v>51.0</v>
      </c>
      <c r="E21" s="630">
        <v>16000.0</v>
      </c>
      <c r="F21" s="631">
        <v>956521.0</v>
      </c>
      <c r="G21" s="636">
        <v>46283.0</v>
      </c>
      <c r="H21" s="629" t="s">
        <v>741</v>
      </c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</row>
    <row r="22">
      <c r="A22" s="632">
        <v>46271.0</v>
      </c>
      <c r="B22" s="633" t="s">
        <v>549</v>
      </c>
      <c r="C22" s="633" t="s">
        <v>97</v>
      </c>
      <c r="D22" s="634">
        <v>30.0</v>
      </c>
      <c r="E22" s="635">
        <v>7100.0</v>
      </c>
      <c r="F22" s="631">
        <v>956522.0</v>
      </c>
      <c r="G22" s="636">
        <v>46290.0</v>
      </c>
      <c r="H22" s="638"/>
      <c r="I22" s="626"/>
      <c r="J22" s="640"/>
      <c r="K22" s="626"/>
      <c r="L22" s="626"/>
      <c r="M22" s="626"/>
      <c r="N22" s="626"/>
      <c r="O22" s="626"/>
      <c r="P22" s="626"/>
      <c r="Q22" s="626"/>
      <c r="R22" s="626"/>
      <c r="S22" s="626"/>
      <c r="T22" s="626"/>
      <c r="U22" s="626"/>
      <c r="V22" s="626"/>
      <c r="W22" s="626"/>
      <c r="X22" s="626"/>
      <c r="Y22" s="626"/>
    </row>
    <row r="23">
      <c r="A23" s="632">
        <v>46271.0</v>
      </c>
      <c r="B23" s="633" t="s">
        <v>445</v>
      </c>
      <c r="C23" s="638" t="s">
        <v>341</v>
      </c>
      <c r="D23" s="626"/>
      <c r="E23" s="630">
        <f>34720-24220</f>
        <v>10500</v>
      </c>
      <c r="F23" s="631">
        <v>956523.0</v>
      </c>
      <c r="G23" s="636">
        <v>46297.0</v>
      </c>
      <c r="H23" s="629" t="s">
        <v>755</v>
      </c>
      <c r="I23" s="626"/>
      <c r="J23" s="626"/>
      <c r="K23" s="626"/>
      <c r="L23" s="626"/>
      <c r="M23" s="626"/>
      <c r="N23" s="626"/>
      <c r="O23" s="626"/>
      <c r="P23" s="626"/>
      <c r="Q23" s="626"/>
      <c r="R23" s="626"/>
      <c r="S23" s="626"/>
      <c r="T23" s="626"/>
      <c r="U23" s="626"/>
      <c r="V23" s="626"/>
      <c r="W23" s="626"/>
      <c r="X23" s="626"/>
      <c r="Y23" s="626"/>
    </row>
    <row r="24">
      <c r="A24" s="632">
        <v>46271.0</v>
      </c>
      <c r="B24" s="629" t="s">
        <v>591</v>
      </c>
      <c r="C24" s="629" t="s">
        <v>97</v>
      </c>
      <c r="D24" s="626"/>
      <c r="E24" s="630">
        <f>35015-15015</f>
        <v>20000</v>
      </c>
      <c r="F24" s="631">
        <v>956524.0</v>
      </c>
      <c r="G24" s="637">
        <v>46304.0</v>
      </c>
      <c r="H24" s="629" t="s">
        <v>745</v>
      </c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26"/>
      <c r="Y24" s="626"/>
    </row>
    <row r="25">
      <c r="A25" s="632">
        <v>46271.0</v>
      </c>
      <c r="B25" s="629" t="s">
        <v>591</v>
      </c>
      <c r="C25" s="629" t="s">
        <v>97</v>
      </c>
      <c r="D25" s="626"/>
      <c r="E25" s="630">
        <f>35015-20000</f>
        <v>15015</v>
      </c>
      <c r="F25" s="631">
        <v>956525.0</v>
      </c>
      <c r="G25" s="636">
        <v>46311.0</v>
      </c>
      <c r="H25" s="629" t="s">
        <v>741</v>
      </c>
      <c r="I25" s="626"/>
      <c r="J25" s="626"/>
      <c r="K25" s="626"/>
      <c r="L25" s="626"/>
      <c r="M25" s="626"/>
      <c r="N25" s="626"/>
      <c r="O25" s="626"/>
      <c r="P25" s="626"/>
      <c r="Q25" s="626"/>
      <c r="R25" s="626"/>
      <c r="S25" s="626"/>
      <c r="T25" s="626"/>
      <c r="U25" s="626"/>
      <c r="V25" s="626"/>
      <c r="W25" s="626"/>
      <c r="X25" s="626"/>
      <c r="Y25" s="626"/>
    </row>
    <row r="26">
      <c r="A26" s="632">
        <v>46271.0</v>
      </c>
      <c r="B26" s="629" t="s">
        <v>602</v>
      </c>
      <c r="C26" s="629" t="s">
        <v>341</v>
      </c>
      <c r="D26" s="626"/>
      <c r="E26" s="630">
        <v>17500.0</v>
      </c>
      <c r="F26" s="631">
        <v>956528.0</v>
      </c>
      <c r="G26" s="637">
        <v>46350.0</v>
      </c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</row>
    <row r="27">
      <c r="A27" s="632">
        <v>46271.0</v>
      </c>
      <c r="B27" s="629" t="s">
        <v>569</v>
      </c>
      <c r="C27" s="629" t="s">
        <v>341</v>
      </c>
      <c r="D27" s="626"/>
      <c r="E27" s="630">
        <v>6000.0</v>
      </c>
      <c r="F27" s="631">
        <v>956526.0</v>
      </c>
      <c r="G27" s="637">
        <v>46343.0</v>
      </c>
      <c r="H27" s="626"/>
      <c r="I27" s="626"/>
      <c r="J27" s="626"/>
      <c r="K27" s="626"/>
      <c r="L27" s="626"/>
      <c r="M27" s="626"/>
      <c r="N27" s="626"/>
      <c r="O27" s="626"/>
      <c r="P27" s="626"/>
      <c r="Q27" s="626"/>
      <c r="R27" s="626"/>
      <c r="S27" s="626"/>
      <c r="T27" s="626"/>
      <c r="U27" s="626"/>
      <c r="V27" s="626"/>
      <c r="W27" s="626"/>
      <c r="X27" s="626"/>
      <c r="Y27" s="626"/>
    </row>
    <row r="28">
      <c r="A28" s="632">
        <v>46271.0</v>
      </c>
      <c r="B28" s="629" t="s">
        <v>595</v>
      </c>
      <c r="C28" s="629" t="s">
        <v>97</v>
      </c>
      <c r="D28" s="626"/>
      <c r="E28" s="630">
        <v>11100.0</v>
      </c>
      <c r="F28" s="631">
        <v>956527.0</v>
      </c>
      <c r="G28" s="636">
        <v>46318.0</v>
      </c>
      <c r="H28" s="626"/>
      <c r="I28" s="626"/>
      <c r="J28" s="626"/>
      <c r="K28" s="626"/>
      <c r="L28" s="626"/>
      <c r="M28" s="626"/>
      <c r="N28" s="626"/>
      <c r="O28" s="626"/>
      <c r="P28" s="626"/>
      <c r="Q28" s="626"/>
      <c r="R28" s="626"/>
      <c r="S28" s="626"/>
      <c r="T28" s="626"/>
      <c r="U28" s="626"/>
      <c r="V28" s="626"/>
      <c r="W28" s="626"/>
      <c r="X28" s="626"/>
      <c r="Y28" s="626"/>
    </row>
    <row r="29">
      <c r="A29" s="632">
        <v>46271.0</v>
      </c>
      <c r="B29" s="629" t="s">
        <v>604</v>
      </c>
      <c r="C29" s="629" t="s">
        <v>97</v>
      </c>
      <c r="D29" s="626"/>
      <c r="E29" s="630">
        <v>14400.0</v>
      </c>
      <c r="F29" s="631">
        <v>956529.0</v>
      </c>
      <c r="G29" s="636">
        <v>46325.0</v>
      </c>
      <c r="H29" s="626"/>
      <c r="I29" s="626"/>
      <c r="J29" s="626"/>
      <c r="K29" s="626"/>
      <c r="L29" s="626"/>
      <c r="M29" s="626"/>
      <c r="N29" s="626"/>
      <c r="O29" s="626"/>
      <c r="P29" s="626"/>
      <c r="Q29" s="626"/>
      <c r="R29" s="626"/>
      <c r="S29" s="626"/>
      <c r="T29" s="626"/>
      <c r="U29" s="626"/>
      <c r="V29" s="626"/>
      <c r="W29" s="626"/>
      <c r="X29" s="626"/>
      <c r="Y29" s="626"/>
    </row>
    <row r="30">
      <c r="A30" s="626"/>
      <c r="B30" s="626"/>
      <c r="C30" s="626"/>
      <c r="D30" s="626"/>
      <c r="E30" s="627"/>
      <c r="F30" s="628"/>
      <c r="G30" s="626"/>
      <c r="H30" s="626"/>
      <c r="I30" s="626"/>
      <c r="J30" s="626"/>
      <c r="K30" s="626"/>
      <c r="L30" s="626"/>
      <c r="M30" s="626"/>
      <c r="N30" s="626"/>
      <c r="O30" s="626"/>
      <c r="P30" s="626"/>
      <c r="Q30" s="626"/>
      <c r="R30" s="626"/>
      <c r="S30" s="626"/>
      <c r="T30" s="626"/>
      <c r="U30" s="626"/>
      <c r="V30" s="626"/>
      <c r="W30" s="626"/>
      <c r="X30" s="626"/>
      <c r="Y30" s="626"/>
    </row>
    <row r="31">
      <c r="A31" s="626"/>
      <c r="B31" s="626"/>
      <c r="C31" s="626"/>
      <c r="D31" s="626"/>
      <c r="E31" s="627"/>
      <c r="F31" s="628"/>
      <c r="G31" s="626"/>
      <c r="H31" s="626"/>
      <c r="I31" s="626"/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6"/>
      <c r="U31" s="626"/>
      <c r="V31" s="626"/>
      <c r="W31" s="626"/>
      <c r="X31" s="626"/>
      <c r="Y31" s="626"/>
    </row>
    <row r="32">
      <c r="A32" s="626"/>
      <c r="B32" s="626"/>
      <c r="C32" s="626"/>
      <c r="D32" s="626"/>
      <c r="E32" s="627"/>
      <c r="F32" s="628"/>
      <c r="G32" s="626"/>
      <c r="H32" s="626"/>
      <c r="I32" s="626"/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/>
      <c r="U32" s="626"/>
      <c r="V32" s="626"/>
      <c r="W32" s="626"/>
      <c r="X32" s="626"/>
      <c r="Y32" s="626"/>
    </row>
    <row r="33">
      <c r="A33" s="652">
        <v>46295.0</v>
      </c>
      <c r="B33" s="629" t="s">
        <v>787</v>
      </c>
      <c r="C33" s="626"/>
      <c r="D33" s="626"/>
      <c r="E33" s="630">
        <v>112343.1</v>
      </c>
      <c r="F33" s="628"/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</row>
    <row r="34">
      <c r="A34" s="626"/>
      <c r="B34" s="629" t="s">
        <v>788</v>
      </c>
      <c r="C34" s="626"/>
      <c r="D34" s="626"/>
      <c r="E34" s="630">
        <v>-2500.0</v>
      </c>
      <c r="F34" s="631" t="s">
        <v>789</v>
      </c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</row>
    <row r="35">
      <c r="A35" s="626"/>
      <c r="B35" s="629" t="s">
        <v>788</v>
      </c>
      <c r="C35" s="626"/>
      <c r="D35" s="626"/>
      <c r="E35" s="627">
        <f>-7900*2</f>
        <v>-15800</v>
      </c>
      <c r="F35" s="631" t="s">
        <v>790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6"/>
      <c r="R35" s="626"/>
      <c r="S35" s="626"/>
      <c r="T35" s="626"/>
      <c r="U35" s="626"/>
      <c r="V35" s="626"/>
      <c r="W35" s="626"/>
      <c r="X35" s="626"/>
      <c r="Y35" s="626"/>
    </row>
    <row r="36">
      <c r="A36" s="626"/>
      <c r="B36" s="629" t="s">
        <v>791</v>
      </c>
      <c r="C36" s="626"/>
      <c r="D36" s="626"/>
      <c r="E36" s="630">
        <v>-29000.0</v>
      </c>
      <c r="F36" s="631" t="s">
        <v>792</v>
      </c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6"/>
      <c r="R36" s="626"/>
      <c r="S36" s="626"/>
      <c r="T36" s="626"/>
      <c r="U36" s="626"/>
      <c r="V36" s="626"/>
      <c r="W36" s="626"/>
      <c r="X36" s="626"/>
      <c r="Y36" s="626"/>
    </row>
    <row r="37">
      <c r="A37" s="626"/>
      <c r="B37" s="629" t="s">
        <v>791</v>
      </c>
      <c r="C37" s="626"/>
      <c r="D37" s="626"/>
      <c r="E37" s="630">
        <v>-47400.0</v>
      </c>
      <c r="F37" s="631" t="s">
        <v>793</v>
      </c>
      <c r="G37" s="626"/>
      <c r="H37" s="626"/>
      <c r="I37" s="626"/>
      <c r="J37" s="626"/>
      <c r="K37" s="626"/>
      <c r="L37" s="626"/>
      <c r="M37" s="626"/>
      <c r="N37" s="626"/>
      <c r="O37" s="626"/>
      <c r="P37" s="626"/>
      <c r="Q37" s="626"/>
      <c r="R37" s="626"/>
      <c r="S37" s="626"/>
      <c r="T37" s="626"/>
      <c r="U37" s="626"/>
      <c r="V37" s="626"/>
      <c r="W37" s="626"/>
      <c r="X37" s="626"/>
      <c r="Y37" s="626"/>
    </row>
    <row r="38">
      <c r="A38" s="626"/>
      <c r="B38" s="629" t="s">
        <v>791</v>
      </c>
      <c r="C38" s="626"/>
      <c r="D38" s="626"/>
      <c r="E38" s="630">
        <v>-12000.0</v>
      </c>
      <c r="F38" s="631" t="s">
        <v>794</v>
      </c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</row>
    <row r="39">
      <c r="A39" s="626"/>
      <c r="B39" s="629" t="s">
        <v>791</v>
      </c>
      <c r="C39" s="626"/>
      <c r="D39" s="626"/>
      <c r="E39" s="630">
        <v>-5000.0</v>
      </c>
      <c r="F39" s="631" t="s">
        <v>795</v>
      </c>
      <c r="G39" s="626"/>
      <c r="H39" s="626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</row>
    <row r="40">
      <c r="A40" s="626"/>
      <c r="B40" s="629" t="s">
        <v>796</v>
      </c>
      <c r="C40" s="626"/>
      <c r="D40" s="626"/>
      <c r="E40" s="627">
        <f>sum(E33:E39)</f>
        <v>643.1</v>
      </c>
      <c r="F40" s="631" t="s">
        <v>797</v>
      </c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</row>
    <row r="41">
      <c r="A41" s="626"/>
      <c r="B41" s="626"/>
      <c r="C41" s="626"/>
      <c r="D41" s="626"/>
      <c r="E41" s="627"/>
      <c r="F41" s="628"/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</row>
    <row r="42">
      <c r="A42" s="632">
        <v>46301.0</v>
      </c>
      <c r="B42" s="633"/>
      <c r="C42" s="633" t="s">
        <v>186</v>
      </c>
      <c r="D42" s="634">
        <v>93.0</v>
      </c>
      <c r="E42" s="635">
        <v>10660.0</v>
      </c>
      <c r="F42" s="631">
        <v>956530.0</v>
      </c>
      <c r="G42" s="653">
        <v>46360.0</v>
      </c>
      <c r="H42" s="626"/>
      <c r="I42" s="626"/>
      <c r="J42" s="626"/>
      <c r="K42" s="626"/>
      <c r="L42" s="626"/>
      <c r="M42" s="626"/>
      <c r="N42" s="626"/>
      <c r="O42" s="626"/>
      <c r="P42" s="626"/>
      <c r="Q42" s="626"/>
      <c r="R42" s="626"/>
      <c r="S42" s="626"/>
      <c r="T42" s="626"/>
      <c r="U42" s="626"/>
      <c r="V42" s="626"/>
      <c r="W42" s="626"/>
      <c r="X42" s="626"/>
      <c r="Y42" s="626"/>
    </row>
    <row r="43">
      <c r="A43" s="632">
        <v>46301.0</v>
      </c>
      <c r="B43" s="633" t="s">
        <v>608</v>
      </c>
      <c r="C43" s="633" t="s">
        <v>97</v>
      </c>
      <c r="D43" s="634">
        <v>58.0</v>
      </c>
      <c r="E43" s="635">
        <v>5650.0</v>
      </c>
      <c r="F43" s="631">
        <v>956531.0</v>
      </c>
      <c r="G43" s="653">
        <v>46332.0</v>
      </c>
      <c r="H43" s="626"/>
      <c r="I43" s="626"/>
      <c r="J43" s="626"/>
      <c r="K43" s="626"/>
      <c r="L43" s="626"/>
      <c r="M43" s="626"/>
      <c r="N43" s="626"/>
      <c r="O43" s="626"/>
      <c r="P43" s="626"/>
      <c r="Q43" s="626"/>
      <c r="R43" s="626"/>
      <c r="S43" s="626"/>
      <c r="T43" s="626"/>
      <c r="U43" s="626"/>
      <c r="V43" s="626"/>
      <c r="W43" s="626"/>
      <c r="X43" s="626"/>
      <c r="Y43" s="626"/>
    </row>
    <row r="44">
      <c r="A44" s="632">
        <v>46301.0</v>
      </c>
      <c r="B44" s="633" t="s">
        <v>609</v>
      </c>
      <c r="C44" s="633" t="s">
        <v>97</v>
      </c>
      <c r="D44" s="634">
        <v>59.0</v>
      </c>
      <c r="E44" s="635">
        <v>24950.0</v>
      </c>
      <c r="F44" s="631">
        <v>956532.0</v>
      </c>
      <c r="G44" s="653">
        <v>46339.0</v>
      </c>
      <c r="H44" s="626"/>
      <c r="I44" s="626"/>
      <c r="J44" s="626"/>
      <c r="K44" s="626"/>
      <c r="L44" s="626"/>
      <c r="M44" s="626"/>
      <c r="N44" s="626"/>
      <c r="O44" s="626"/>
      <c r="P44" s="626"/>
      <c r="Q44" s="626"/>
      <c r="R44" s="626"/>
      <c r="S44" s="626"/>
      <c r="T44" s="626"/>
      <c r="U44" s="626"/>
      <c r="V44" s="626"/>
      <c r="W44" s="626"/>
      <c r="X44" s="626"/>
      <c r="Y44" s="626"/>
    </row>
    <row r="45">
      <c r="A45" s="632">
        <v>46301.0</v>
      </c>
      <c r="B45" s="633" t="s">
        <v>612</v>
      </c>
      <c r="C45" s="633" t="s">
        <v>97</v>
      </c>
      <c r="D45" s="634">
        <v>51.0</v>
      </c>
      <c r="E45" s="635">
        <v>7700.0</v>
      </c>
      <c r="F45" s="631">
        <v>956533.0</v>
      </c>
      <c r="G45" s="653">
        <v>46339.0</v>
      </c>
      <c r="H45" s="626"/>
      <c r="I45" s="626"/>
      <c r="J45" s="626"/>
      <c r="K45" s="626"/>
      <c r="L45" s="626"/>
      <c r="M45" s="626"/>
      <c r="N45" s="626"/>
      <c r="O45" s="626"/>
      <c r="P45" s="626"/>
      <c r="Q45" s="626"/>
      <c r="R45" s="626"/>
      <c r="S45" s="626"/>
      <c r="T45" s="626"/>
      <c r="U45" s="626"/>
      <c r="V45" s="626"/>
      <c r="W45" s="626"/>
      <c r="X45" s="626"/>
      <c r="Y45" s="626"/>
    </row>
    <row r="46">
      <c r="A46" s="632">
        <v>46301.0</v>
      </c>
      <c r="B46" s="633" t="s">
        <v>615</v>
      </c>
      <c r="C46" s="633" t="s">
        <v>97</v>
      </c>
      <c r="D46" s="634">
        <v>58.0</v>
      </c>
      <c r="E46" s="635">
        <v>27900.0</v>
      </c>
      <c r="F46" s="631">
        <v>956534.0</v>
      </c>
      <c r="G46" s="653">
        <v>46346.0</v>
      </c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</row>
    <row r="47">
      <c r="A47" s="632">
        <v>46301.0</v>
      </c>
      <c r="B47" s="633" t="s">
        <v>616</v>
      </c>
      <c r="C47" s="633" t="s">
        <v>341</v>
      </c>
      <c r="D47" s="634">
        <v>90.0</v>
      </c>
      <c r="E47" s="635">
        <v>22750.0</v>
      </c>
      <c r="F47" s="631">
        <v>956535.0</v>
      </c>
      <c r="G47" s="655">
        <v>46409.0</v>
      </c>
      <c r="H47" s="626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626"/>
      <c r="W47" s="626"/>
      <c r="X47" s="626"/>
      <c r="Y47" s="626"/>
    </row>
    <row r="48">
      <c r="A48" s="632">
        <v>46301.0</v>
      </c>
      <c r="B48" s="633" t="s">
        <v>619</v>
      </c>
      <c r="C48" s="633" t="s">
        <v>97</v>
      </c>
      <c r="D48" s="634">
        <v>63.0</v>
      </c>
      <c r="E48" s="635">
        <v>15450.0</v>
      </c>
      <c r="F48" s="631">
        <v>956536.0</v>
      </c>
      <c r="G48" s="653">
        <v>46353.0</v>
      </c>
      <c r="H48" s="629" t="s">
        <v>224</v>
      </c>
      <c r="I48" s="626"/>
      <c r="J48" s="626"/>
      <c r="K48" s="626"/>
      <c r="L48" s="626"/>
      <c r="M48" s="626"/>
      <c r="N48" s="626"/>
      <c r="O48" s="626"/>
      <c r="P48" s="626"/>
      <c r="Q48" s="626"/>
      <c r="R48" s="626"/>
      <c r="S48" s="626"/>
      <c r="T48" s="626"/>
      <c r="U48" s="626"/>
      <c r="V48" s="626"/>
      <c r="W48" s="626"/>
      <c r="X48" s="626"/>
      <c r="Y48" s="626"/>
    </row>
    <row r="49">
      <c r="A49" s="632">
        <v>46301.0</v>
      </c>
      <c r="B49" s="633" t="s">
        <v>621</v>
      </c>
      <c r="C49" s="633" t="s">
        <v>341</v>
      </c>
      <c r="D49" s="634">
        <v>99.0</v>
      </c>
      <c r="E49" s="635">
        <v>27550.0</v>
      </c>
      <c r="F49" s="631">
        <v>956537.0</v>
      </c>
      <c r="G49" s="655">
        <v>46416.0</v>
      </c>
      <c r="H49" s="629"/>
      <c r="I49" s="626"/>
      <c r="J49" s="626"/>
      <c r="K49" s="626"/>
      <c r="L49" s="626"/>
      <c r="M49" s="626"/>
      <c r="N49" s="626"/>
      <c r="O49" s="626"/>
      <c r="P49" s="626"/>
      <c r="Q49" s="626"/>
      <c r="R49" s="626"/>
      <c r="S49" s="626"/>
      <c r="T49" s="626"/>
      <c r="U49" s="626"/>
      <c r="V49" s="626"/>
      <c r="W49" s="626"/>
      <c r="X49" s="626"/>
      <c r="Y49" s="626"/>
    </row>
    <row r="50">
      <c r="A50" s="632">
        <v>46301.0</v>
      </c>
      <c r="B50" s="633" t="s">
        <v>619</v>
      </c>
      <c r="C50" s="633" t="s">
        <v>97</v>
      </c>
      <c r="D50" s="634">
        <v>63.0</v>
      </c>
      <c r="E50" s="635">
        <v>15450.0</v>
      </c>
      <c r="F50" s="631">
        <v>956538.0</v>
      </c>
      <c r="G50" s="653">
        <v>46353.0</v>
      </c>
      <c r="H50" s="626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</row>
    <row r="51">
      <c r="A51" s="626"/>
      <c r="B51" s="626"/>
      <c r="C51" s="626"/>
      <c r="D51" s="626"/>
      <c r="E51" s="627"/>
      <c r="F51" s="628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</row>
    <row r="52">
      <c r="A52" s="626"/>
      <c r="B52" s="626"/>
      <c r="C52" s="626"/>
      <c r="D52" s="626"/>
      <c r="E52" s="627"/>
      <c r="F52" s="628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6"/>
    </row>
    <row r="53">
      <c r="A53" s="626"/>
      <c r="B53" s="626"/>
      <c r="C53" s="626"/>
      <c r="D53" s="626"/>
      <c r="E53" s="627"/>
      <c r="F53" s="628"/>
      <c r="G53" s="626"/>
      <c r="H53" s="626"/>
      <c r="I53" s="626"/>
      <c r="J53" s="626"/>
      <c r="K53" s="626"/>
      <c r="L53" s="626"/>
      <c r="M53" s="626"/>
      <c r="N53" s="626"/>
      <c r="O53" s="626"/>
      <c r="P53" s="626"/>
      <c r="Q53" s="626"/>
      <c r="R53" s="626"/>
      <c r="S53" s="626"/>
      <c r="T53" s="626"/>
      <c r="U53" s="626"/>
      <c r="V53" s="626"/>
      <c r="W53" s="626"/>
      <c r="X53" s="626"/>
      <c r="Y53" s="626"/>
    </row>
    <row r="54">
      <c r="A54" s="626"/>
      <c r="B54" s="626"/>
      <c r="C54" s="626"/>
      <c r="D54" s="626"/>
      <c r="E54" s="627"/>
      <c r="F54" s="628"/>
      <c r="G54" s="626"/>
      <c r="H54" s="626"/>
      <c r="I54" s="626"/>
      <c r="J54" s="626"/>
      <c r="K54" s="626"/>
      <c r="L54" s="626"/>
      <c r="M54" s="626"/>
      <c r="N54" s="626"/>
      <c r="O54" s="626"/>
      <c r="P54" s="626"/>
      <c r="Q54" s="626"/>
      <c r="R54" s="626"/>
      <c r="S54" s="626"/>
      <c r="T54" s="626"/>
      <c r="U54" s="626"/>
      <c r="V54" s="626"/>
      <c r="W54" s="626"/>
      <c r="X54" s="626"/>
      <c r="Y54" s="626"/>
    </row>
    <row r="55">
      <c r="A55" s="626"/>
      <c r="B55" s="626"/>
      <c r="C55" s="626"/>
      <c r="D55" s="626"/>
      <c r="E55" s="627"/>
      <c r="F55" s="628"/>
      <c r="G55" s="626"/>
      <c r="H55" s="626"/>
      <c r="I55" s="626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</row>
    <row r="56">
      <c r="A56" s="626"/>
      <c r="B56" s="626"/>
      <c r="C56" s="626"/>
      <c r="D56" s="626"/>
      <c r="E56" s="627"/>
      <c r="F56" s="628"/>
      <c r="G56" s="626"/>
      <c r="H56" s="626"/>
      <c r="I56" s="626"/>
      <c r="J56" s="626"/>
      <c r="K56" s="626"/>
      <c r="L56" s="626"/>
      <c r="M56" s="626"/>
      <c r="N56" s="626"/>
      <c r="O56" s="626"/>
      <c r="P56" s="626"/>
      <c r="Q56" s="626"/>
      <c r="R56" s="626"/>
      <c r="S56" s="626"/>
      <c r="T56" s="626"/>
      <c r="U56" s="626"/>
      <c r="V56" s="626"/>
      <c r="W56" s="626"/>
      <c r="X56" s="626"/>
      <c r="Y56" s="626"/>
    </row>
    <row r="57">
      <c r="A57" s="626"/>
      <c r="B57" s="626"/>
      <c r="C57" s="626"/>
      <c r="D57" s="626"/>
      <c r="E57" s="627"/>
      <c r="F57" s="628"/>
      <c r="G57" s="626"/>
      <c r="H57" s="626"/>
      <c r="I57" s="626"/>
      <c r="J57" s="626"/>
      <c r="K57" s="626"/>
      <c r="L57" s="626"/>
      <c r="M57" s="626"/>
      <c r="N57" s="626"/>
      <c r="O57" s="626"/>
      <c r="P57" s="626"/>
      <c r="Q57" s="626"/>
      <c r="R57" s="626"/>
      <c r="S57" s="626"/>
      <c r="T57" s="626"/>
      <c r="U57" s="626"/>
      <c r="V57" s="626"/>
      <c r="W57" s="626"/>
      <c r="X57" s="626"/>
      <c r="Y57" s="626"/>
    </row>
    <row r="58">
      <c r="A58" s="626"/>
      <c r="B58" s="626"/>
      <c r="C58" s="626"/>
      <c r="D58" s="626"/>
      <c r="E58" s="627"/>
      <c r="F58" s="628"/>
      <c r="G58" s="626"/>
      <c r="H58" s="626"/>
      <c r="I58" s="626"/>
      <c r="J58" s="626"/>
      <c r="K58" s="626"/>
      <c r="L58" s="626"/>
      <c r="M58" s="626"/>
      <c r="N58" s="626"/>
      <c r="O58" s="626"/>
      <c r="P58" s="626"/>
      <c r="Q58" s="626"/>
      <c r="R58" s="626"/>
      <c r="S58" s="626"/>
      <c r="T58" s="626"/>
      <c r="U58" s="626"/>
      <c r="V58" s="626"/>
      <c r="W58" s="626"/>
      <c r="X58" s="626"/>
      <c r="Y58" s="626"/>
    </row>
    <row r="59">
      <c r="A59" s="626"/>
      <c r="B59" s="626"/>
      <c r="C59" s="626"/>
      <c r="D59" s="626"/>
      <c r="E59" s="627"/>
      <c r="F59" s="628"/>
      <c r="G59" s="626"/>
      <c r="H59" s="626"/>
      <c r="I59" s="626"/>
      <c r="J59" s="626"/>
      <c r="K59" s="626"/>
      <c r="L59" s="626"/>
      <c r="M59" s="626"/>
      <c r="N59" s="626"/>
      <c r="O59" s="626"/>
      <c r="P59" s="626"/>
      <c r="Q59" s="626"/>
      <c r="R59" s="626"/>
      <c r="S59" s="626"/>
      <c r="T59" s="626"/>
      <c r="U59" s="626"/>
      <c r="V59" s="626"/>
      <c r="W59" s="626"/>
      <c r="X59" s="626"/>
      <c r="Y59" s="626"/>
    </row>
    <row r="60">
      <c r="A60" s="626"/>
      <c r="B60" s="626"/>
      <c r="C60" s="626"/>
      <c r="D60" s="626"/>
      <c r="E60" s="627"/>
      <c r="F60" s="628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</row>
    <row r="61">
      <c r="A61" s="626"/>
      <c r="B61" s="626"/>
      <c r="C61" s="626"/>
      <c r="D61" s="626"/>
      <c r="E61" s="627"/>
      <c r="F61" s="628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  <c r="R61" s="626"/>
      <c r="S61" s="626"/>
      <c r="T61" s="626"/>
      <c r="U61" s="626"/>
      <c r="V61" s="626"/>
      <c r="W61" s="626"/>
      <c r="X61" s="626"/>
      <c r="Y61" s="626"/>
    </row>
    <row r="62">
      <c r="A62" s="626"/>
      <c r="B62" s="626"/>
      <c r="C62" s="626"/>
      <c r="D62" s="626"/>
      <c r="E62" s="627"/>
      <c r="F62" s="628"/>
      <c r="G62" s="626"/>
      <c r="H62" s="626"/>
      <c r="I62" s="626"/>
      <c r="J62" s="626"/>
      <c r="K62" s="626"/>
      <c r="L62" s="626"/>
      <c r="M62" s="626"/>
      <c r="N62" s="626"/>
      <c r="O62" s="626"/>
      <c r="P62" s="626"/>
      <c r="Q62" s="626"/>
      <c r="R62" s="626"/>
      <c r="S62" s="626"/>
      <c r="T62" s="626"/>
      <c r="U62" s="626"/>
      <c r="V62" s="626"/>
      <c r="W62" s="626"/>
      <c r="X62" s="626"/>
      <c r="Y62" s="626"/>
    </row>
    <row r="63">
      <c r="A63" s="626"/>
      <c r="B63" s="626"/>
      <c r="C63" s="626"/>
      <c r="D63" s="626"/>
      <c r="E63" s="627"/>
      <c r="F63" s="628"/>
      <c r="G63" s="626"/>
      <c r="H63" s="626"/>
      <c r="I63" s="626"/>
      <c r="J63" s="626"/>
      <c r="K63" s="626"/>
      <c r="L63" s="626"/>
      <c r="M63" s="626"/>
      <c r="N63" s="626"/>
      <c r="O63" s="626"/>
      <c r="P63" s="626"/>
      <c r="Q63" s="626"/>
      <c r="R63" s="626"/>
      <c r="S63" s="626"/>
      <c r="T63" s="626"/>
      <c r="U63" s="626"/>
      <c r="V63" s="626"/>
      <c r="W63" s="626"/>
      <c r="X63" s="626"/>
      <c r="Y63" s="626"/>
    </row>
    <row r="64">
      <c r="A64" s="626"/>
      <c r="B64" s="626"/>
      <c r="C64" s="626"/>
      <c r="D64" s="626"/>
      <c r="E64" s="627"/>
      <c r="F64" s="628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6"/>
      <c r="R64" s="626"/>
      <c r="S64" s="626"/>
      <c r="T64" s="626"/>
      <c r="U64" s="626"/>
      <c r="V64" s="626"/>
      <c r="W64" s="626"/>
      <c r="X64" s="626"/>
      <c r="Y64" s="626"/>
    </row>
    <row r="65">
      <c r="A65" s="626"/>
      <c r="B65" s="626"/>
      <c r="C65" s="626"/>
      <c r="D65" s="626"/>
      <c r="E65" s="627"/>
      <c r="F65" s="628"/>
      <c r="G65" s="626"/>
      <c r="H65" s="626"/>
      <c r="I65" s="626"/>
      <c r="J65" s="626"/>
      <c r="K65" s="626"/>
      <c r="L65" s="626"/>
      <c r="M65" s="626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</row>
    <row r="66">
      <c r="A66" s="626"/>
      <c r="B66" s="626"/>
      <c r="C66" s="626"/>
      <c r="D66" s="626"/>
      <c r="E66" s="627"/>
      <c r="F66" s="628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</row>
    <row r="67">
      <c r="A67" s="626"/>
      <c r="B67" s="626"/>
      <c r="C67" s="626"/>
      <c r="D67" s="626"/>
      <c r="E67" s="627"/>
      <c r="F67" s="628"/>
      <c r="G67" s="626"/>
      <c r="H67" s="626"/>
      <c r="I67" s="626"/>
      <c r="J67" s="626"/>
      <c r="K67" s="626"/>
      <c r="L67" s="626"/>
      <c r="M67" s="626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</row>
    <row r="68">
      <c r="A68" s="626"/>
      <c r="B68" s="626"/>
      <c r="C68" s="626"/>
      <c r="D68" s="626"/>
      <c r="E68" s="627"/>
      <c r="F68" s="628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</row>
    <row r="69">
      <c r="A69" s="626"/>
      <c r="B69" s="626"/>
      <c r="C69" s="626"/>
      <c r="D69" s="626"/>
      <c r="E69" s="627"/>
      <c r="F69" s="628"/>
      <c r="G69" s="626"/>
      <c r="H69" s="626"/>
      <c r="I69" s="626"/>
      <c r="J69" s="626"/>
      <c r="K69" s="626"/>
      <c r="L69" s="626"/>
      <c r="M69" s="626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</row>
    <row r="70">
      <c r="A70" s="626"/>
      <c r="B70" s="626"/>
      <c r="C70" s="626"/>
      <c r="D70" s="626"/>
      <c r="E70" s="627"/>
      <c r="F70" s="628"/>
      <c r="G70" s="626"/>
      <c r="H70" s="626"/>
      <c r="I70" s="626"/>
      <c r="J70" s="626"/>
      <c r="K70" s="626"/>
      <c r="L70" s="626"/>
      <c r="M70" s="626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</row>
    <row r="71">
      <c r="A71" s="626"/>
      <c r="B71" s="626"/>
      <c r="C71" s="626"/>
      <c r="D71" s="626"/>
      <c r="E71" s="627"/>
      <c r="F71" s="628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</row>
    <row r="72">
      <c r="A72" s="626"/>
      <c r="B72" s="626"/>
      <c r="C72" s="626"/>
      <c r="D72" s="626"/>
      <c r="E72" s="627"/>
      <c r="F72" s="628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</row>
    <row r="73">
      <c r="A73" s="626"/>
      <c r="B73" s="626"/>
      <c r="C73" s="626"/>
      <c r="D73" s="626"/>
      <c r="E73" s="627"/>
      <c r="F73" s="628"/>
      <c r="G73" s="626"/>
      <c r="H73" s="626"/>
      <c r="I73" s="626"/>
      <c r="J73" s="626"/>
      <c r="K73" s="626"/>
      <c r="L73" s="626"/>
      <c r="M73" s="626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Y73" s="626"/>
    </row>
    <row r="74">
      <c r="A74" s="626"/>
      <c r="B74" s="626"/>
      <c r="C74" s="626"/>
      <c r="D74" s="626"/>
      <c r="E74" s="627"/>
      <c r="F74" s="628"/>
      <c r="G74" s="626"/>
      <c r="H74" s="626"/>
      <c r="I74" s="626"/>
      <c r="J74" s="626"/>
      <c r="K74" s="626"/>
      <c r="L74" s="626"/>
      <c r="M74" s="626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Y74" s="626"/>
    </row>
    <row r="75">
      <c r="A75" s="626"/>
      <c r="B75" s="626"/>
      <c r="C75" s="626"/>
      <c r="D75" s="626"/>
      <c r="E75" s="627"/>
      <c r="F75" s="628"/>
      <c r="G75" s="626"/>
      <c r="H75" s="626"/>
      <c r="I75" s="626"/>
      <c r="J75" s="626"/>
      <c r="K75" s="626"/>
      <c r="L75" s="626"/>
      <c r="M75" s="626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Y75" s="626"/>
    </row>
    <row r="76">
      <c r="A76" s="626"/>
      <c r="B76" s="626"/>
      <c r="C76" s="626"/>
      <c r="D76" s="626"/>
      <c r="E76" s="627"/>
      <c r="F76" s="628"/>
      <c r="G76" s="626"/>
      <c r="H76" s="626"/>
      <c r="I76" s="626"/>
      <c r="J76" s="626"/>
      <c r="K76" s="626"/>
      <c r="L76" s="626"/>
      <c r="M76" s="626"/>
      <c r="N76" s="626"/>
      <c r="O76" s="626"/>
      <c r="P76" s="626"/>
      <c r="Q76" s="626"/>
      <c r="R76" s="626"/>
      <c r="S76" s="626"/>
      <c r="T76" s="626"/>
      <c r="U76" s="626"/>
      <c r="V76" s="626"/>
      <c r="W76" s="626"/>
      <c r="X76" s="626"/>
      <c r="Y76" s="626"/>
    </row>
    <row r="77">
      <c r="A77" s="626"/>
      <c r="B77" s="626"/>
      <c r="C77" s="626"/>
      <c r="D77" s="626"/>
      <c r="E77" s="627"/>
      <c r="F77" s="628"/>
      <c r="G77" s="626"/>
      <c r="H77" s="626"/>
      <c r="I77" s="626"/>
      <c r="J77" s="626"/>
      <c r="K77" s="626"/>
      <c r="L77" s="626"/>
      <c r="M77" s="626"/>
      <c r="N77" s="626"/>
      <c r="O77" s="626"/>
      <c r="P77" s="626"/>
      <c r="Q77" s="626"/>
      <c r="R77" s="626"/>
      <c r="S77" s="626"/>
      <c r="T77" s="626"/>
      <c r="U77" s="626"/>
      <c r="V77" s="626"/>
      <c r="W77" s="626"/>
      <c r="X77" s="626"/>
      <c r="Y77" s="626"/>
    </row>
    <row r="78">
      <c r="A78" s="626"/>
      <c r="B78" s="626"/>
      <c r="C78" s="626"/>
      <c r="D78" s="626"/>
      <c r="E78" s="627"/>
      <c r="F78" s="628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</row>
    <row r="79">
      <c r="A79" s="626"/>
      <c r="B79" s="626"/>
      <c r="C79" s="626"/>
      <c r="D79" s="626"/>
      <c r="E79" s="627"/>
      <c r="F79" s="628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</row>
    <row r="80">
      <c r="A80" s="626"/>
      <c r="B80" s="626"/>
      <c r="C80" s="626"/>
      <c r="D80" s="626"/>
      <c r="E80" s="627"/>
      <c r="F80" s="628"/>
      <c r="G80" s="626"/>
      <c r="H80" s="626"/>
      <c r="I80" s="626"/>
      <c r="J80" s="626"/>
      <c r="K80" s="626"/>
      <c r="L80" s="626"/>
      <c r="M80" s="626"/>
      <c r="N80" s="626"/>
      <c r="O80" s="626"/>
      <c r="P80" s="626"/>
      <c r="Q80" s="626"/>
      <c r="R80" s="626"/>
      <c r="S80" s="626"/>
      <c r="T80" s="626"/>
      <c r="U80" s="626"/>
      <c r="V80" s="626"/>
      <c r="W80" s="626"/>
      <c r="X80" s="626"/>
      <c r="Y80" s="626"/>
    </row>
    <row r="81">
      <c r="A81" s="626"/>
      <c r="B81" s="626"/>
      <c r="C81" s="626"/>
      <c r="D81" s="626"/>
      <c r="E81" s="627"/>
      <c r="F81" s="628"/>
      <c r="G81" s="626"/>
      <c r="H81" s="626"/>
      <c r="I81" s="626"/>
      <c r="J81" s="626"/>
      <c r="K81" s="626"/>
      <c r="L81" s="626"/>
      <c r="M81" s="626"/>
      <c r="N81" s="626"/>
      <c r="O81" s="626"/>
      <c r="P81" s="626"/>
      <c r="Q81" s="626"/>
      <c r="R81" s="626"/>
      <c r="S81" s="626"/>
      <c r="T81" s="626"/>
      <c r="U81" s="626"/>
      <c r="V81" s="626"/>
      <c r="W81" s="626"/>
      <c r="X81" s="626"/>
      <c r="Y81" s="626"/>
    </row>
    <row r="82">
      <c r="A82" s="626"/>
      <c r="B82" s="626"/>
      <c r="C82" s="626"/>
      <c r="D82" s="626"/>
      <c r="E82" s="627"/>
      <c r="F82" s="628"/>
      <c r="G82" s="626"/>
      <c r="H82" s="626"/>
      <c r="I82" s="626"/>
      <c r="J82" s="626"/>
      <c r="K82" s="626"/>
      <c r="L82" s="626"/>
      <c r="M82" s="626"/>
      <c r="N82" s="626"/>
      <c r="O82" s="626"/>
      <c r="P82" s="626"/>
      <c r="Q82" s="626"/>
      <c r="R82" s="626"/>
      <c r="S82" s="626"/>
      <c r="T82" s="626"/>
      <c r="U82" s="626"/>
      <c r="V82" s="626"/>
      <c r="W82" s="626"/>
      <c r="X82" s="626"/>
      <c r="Y82" s="626"/>
    </row>
    <row r="83">
      <c r="A83" s="626"/>
      <c r="B83" s="626"/>
      <c r="C83" s="626"/>
      <c r="D83" s="626"/>
      <c r="E83" s="627"/>
      <c r="F83" s="628"/>
      <c r="G83" s="626"/>
      <c r="H83" s="626"/>
      <c r="I83" s="626"/>
      <c r="J83" s="626"/>
      <c r="K83" s="626"/>
      <c r="L83" s="626"/>
      <c r="M83" s="626"/>
      <c r="N83" s="626"/>
      <c r="O83" s="626"/>
      <c r="P83" s="626"/>
      <c r="Q83" s="626"/>
      <c r="R83" s="626"/>
      <c r="S83" s="626"/>
      <c r="T83" s="626"/>
      <c r="U83" s="626"/>
      <c r="V83" s="626"/>
      <c r="W83" s="626"/>
      <c r="X83" s="626"/>
      <c r="Y83" s="626"/>
    </row>
    <row r="84">
      <c r="A84" s="626"/>
      <c r="B84" s="626"/>
      <c r="C84" s="626"/>
      <c r="D84" s="626"/>
      <c r="E84" s="627"/>
      <c r="F84" s="628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</row>
    <row r="85">
      <c r="A85" s="626"/>
      <c r="B85" s="626"/>
      <c r="C85" s="626"/>
      <c r="D85" s="626"/>
      <c r="E85" s="627"/>
      <c r="F85" s="628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</row>
    <row r="86">
      <c r="A86" s="626"/>
      <c r="B86" s="626"/>
      <c r="C86" s="626"/>
      <c r="D86" s="626"/>
      <c r="E86" s="627"/>
      <c r="F86" s="628"/>
      <c r="G86" s="626"/>
      <c r="H86" s="626"/>
      <c r="I86" s="626"/>
      <c r="J86" s="626"/>
      <c r="K86" s="626"/>
      <c r="L86" s="626"/>
      <c r="M86" s="626"/>
      <c r="N86" s="626"/>
      <c r="O86" s="626"/>
      <c r="P86" s="626"/>
      <c r="Q86" s="626"/>
      <c r="R86" s="626"/>
      <c r="S86" s="626"/>
      <c r="T86" s="626"/>
      <c r="U86" s="626"/>
      <c r="V86" s="626"/>
      <c r="W86" s="626"/>
      <c r="X86" s="626"/>
      <c r="Y86" s="626"/>
    </row>
    <row r="87">
      <c r="A87" s="626"/>
      <c r="B87" s="626"/>
      <c r="C87" s="626"/>
      <c r="D87" s="626"/>
      <c r="E87" s="627"/>
      <c r="F87" s="628"/>
      <c r="G87" s="626"/>
      <c r="H87" s="626"/>
      <c r="I87" s="626"/>
      <c r="J87" s="626"/>
      <c r="K87" s="626"/>
      <c r="L87" s="626"/>
      <c r="M87" s="626"/>
      <c r="N87" s="626"/>
      <c r="O87" s="626"/>
      <c r="P87" s="626"/>
      <c r="Q87" s="626"/>
      <c r="R87" s="626"/>
      <c r="S87" s="626"/>
      <c r="T87" s="626"/>
      <c r="U87" s="626"/>
      <c r="V87" s="626"/>
      <c r="W87" s="626"/>
      <c r="X87" s="626"/>
      <c r="Y87" s="626"/>
    </row>
    <row r="88">
      <c r="A88" s="626"/>
      <c r="B88" s="626"/>
      <c r="C88" s="626"/>
      <c r="D88" s="626"/>
      <c r="E88" s="627"/>
      <c r="F88" s="628"/>
      <c r="G88" s="626"/>
      <c r="H88" s="626"/>
      <c r="I88" s="626"/>
      <c r="J88" s="626"/>
      <c r="K88" s="626"/>
      <c r="L88" s="626"/>
      <c r="M88" s="626"/>
      <c r="N88" s="626"/>
      <c r="O88" s="626"/>
      <c r="P88" s="626"/>
      <c r="Q88" s="626"/>
      <c r="R88" s="626"/>
      <c r="S88" s="626"/>
      <c r="T88" s="626"/>
      <c r="U88" s="626"/>
      <c r="V88" s="626"/>
      <c r="W88" s="626"/>
      <c r="X88" s="626"/>
      <c r="Y88" s="626"/>
    </row>
    <row r="89">
      <c r="A89" s="626"/>
      <c r="B89" s="626"/>
      <c r="C89" s="626"/>
      <c r="D89" s="626"/>
      <c r="E89" s="627"/>
      <c r="F89" s="628"/>
      <c r="G89" s="626"/>
      <c r="H89" s="626"/>
      <c r="I89" s="626"/>
      <c r="J89" s="626"/>
      <c r="K89" s="626"/>
      <c r="L89" s="626"/>
      <c r="M89" s="626"/>
      <c r="N89" s="626"/>
      <c r="O89" s="626"/>
      <c r="P89" s="626"/>
      <c r="Q89" s="626"/>
      <c r="R89" s="626"/>
      <c r="S89" s="626"/>
      <c r="T89" s="626"/>
      <c r="U89" s="626"/>
      <c r="V89" s="626"/>
      <c r="W89" s="626"/>
      <c r="X89" s="626"/>
      <c r="Y89" s="626"/>
    </row>
    <row r="90">
      <c r="A90" s="626"/>
      <c r="B90" s="626"/>
      <c r="C90" s="626"/>
      <c r="D90" s="626"/>
      <c r="E90" s="627"/>
      <c r="F90" s="628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</row>
    <row r="91">
      <c r="A91" s="626"/>
      <c r="B91" s="626"/>
      <c r="C91" s="626"/>
      <c r="D91" s="626"/>
      <c r="E91" s="627"/>
      <c r="F91" s="628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</row>
    <row r="92">
      <c r="A92" s="626"/>
      <c r="B92" s="626"/>
      <c r="C92" s="626"/>
      <c r="D92" s="626"/>
      <c r="E92" s="627"/>
      <c r="F92" s="628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</row>
    <row r="93">
      <c r="A93" s="626"/>
      <c r="B93" s="626"/>
      <c r="C93" s="626"/>
      <c r="D93" s="626"/>
      <c r="E93" s="627"/>
      <c r="F93" s="628"/>
      <c r="G93" s="626"/>
      <c r="H93" s="626"/>
      <c r="I93" s="626"/>
      <c r="J93" s="626"/>
      <c r="K93" s="626"/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</row>
    <row r="94">
      <c r="A94" s="626"/>
      <c r="B94" s="626"/>
      <c r="C94" s="626"/>
      <c r="D94" s="626"/>
      <c r="E94" s="627"/>
      <c r="F94" s="628"/>
      <c r="G94" s="626"/>
      <c r="H94" s="626"/>
      <c r="I94" s="626"/>
      <c r="J94" s="626"/>
      <c r="K94" s="626"/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</row>
    <row r="95">
      <c r="A95" s="626"/>
      <c r="B95" s="626"/>
      <c r="C95" s="626"/>
      <c r="D95" s="626"/>
      <c r="E95" s="627"/>
      <c r="F95" s="628"/>
      <c r="G95" s="626"/>
      <c r="H95" s="626"/>
      <c r="I95" s="626"/>
      <c r="J95" s="626"/>
      <c r="K95" s="626"/>
      <c r="L95" s="626"/>
      <c r="M95" s="626"/>
      <c r="N95" s="626"/>
      <c r="O95" s="626"/>
      <c r="P95" s="626"/>
      <c r="Q95" s="626"/>
      <c r="R95" s="626"/>
      <c r="S95" s="626"/>
      <c r="T95" s="626"/>
      <c r="U95" s="626"/>
      <c r="V95" s="626"/>
      <c r="W95" s="626"/>
      <c r="X95" s="626"/>
      <c r="Y95" s="626"/>
    </row>
    <row r="96">
      <c r="A96" s="626"/>
      <c r="B96" s="626"/>
      <c r="C96" s="626"/>
      <c r="D96" s="626"/>
      <c r="E96" s="627"/>
      <c r="F96" s="628"/>
      <c r="G96" s="626"/>
      <c r="H96" s="626"/>
      <c r="I96" s="626"/>
      <c r="J96" s="626"/>
      <c r="K96" s="626"/>
      <c r="L96" s="626"/>
      <c r="M96" s="626"/>
      <c r="N96" s="626"/>
      <c r="O96" s="626"/>
      <c r="P96" s="626"/>
      <c r="Q96" s="626"/>
      <c r="R96" s="626"/>
      <c r="S96" s="626"/>
      <c r="T96" s="626"/>
      <c r="U96" s="626"/>
      <c r="V96" s="626"/>
      <c r="W96" s="626"/>
      <c r="X96" s="626"/>
      <c r="Y96" s="626"/>
    </row>
    <row r="97">
      <c r="A97" s="626"/>
      <c r="B97" s="626"/>
      <c r="C97" s="626"/>
      <c r="D97" s="626"/>
      <c r="E97" s="627"/>
      <c r="F97" s="628"/>
      <c r="G97" s="626"/>
      <c r="H97" s="626"/>
      <c r="I97" s="626"/>
      <c r="J97" s="626"/>
      <c r="K97" s="626"/>
      <c r="L97" s="626"/>
      <c r="M97" s="626"/>
      <c r="N97" s="626"/>
      <c r="O97" s="626"/>
      <c r="P97" s="626"/>
      <c r="Q97" s="626"/>
      <c r="R97" s="626"/>
      <c r="S97" s="626"/>
      <c r="T97" s="626"/>
      <c r="U97" s="626"/>
      <c r="V97" s="626"/>
      <c r="W97" s="626"/>
      <c r="X97" s="626"/>
      <c r="Y97" s="626"/>
    </row>
    <row r="98">
      <c r="A98" s="626"/>
      <c r="B98" s="626"/>
      <c r="C98" s="626"/>
      <c r="D98" s="626"/>
      <c r="E98" s="627"/>
      <c r="F98" s="628"/>
      <c r="G98" s="626"/>
      <c r="H98" s="626"/>
      <c r="I98" s="626"/>
      <c r="J98" s="626"/>
      <c r="K98" s="626"/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</row>
    <row r="99">
      <c r="A99" s="626"/>
      <c r="B99" s="626"/>
      <c r="C99" s="626"/>
      <c r="D99" s="626"/>
      <c r="E99" s="627"/>
      <c r="F99" s="628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</row>
    <row r="100">
      <c r="A100" s="626"/>
      <c r="B100" s="626"/>
      <c r="C100" s="626"/>
      <c r="D100" s="626"/>
      <c r="E100" s="627"/>
      <c r="F100" s="628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</row>
    <row r="101">
      <c r="A101" s="626"/>
      <c r="B101" s="626"/>
      <c r="C101" s="626"/>
      <c r="D101" s="626"/>
      <c r="E101" s="627"/>
      <c r="F101" s="628"/>
      <c r="G101" s="626"/>
      <c r="H101" s="626"/>
      <c r="I101" s="626"/>
      <c r="J101" s="626"/>
      <c r="K101" s="626"/>
      <c r="L101" s="626"/>
      <c r="M101" s="626"/>
      <c r="N101" s="626"/>
      <c r="O101" s="626"/>
      <c r="P101" s="626"/>
      <c r="Q101" s="626"/>
      <c r="R101" s="626"/>
      <c r="S101" s="626"/>
      <c r="T101" s="626"/>
      <c r="U101" s="626"/>
      <c r="V101" s="626"/>
      <c r="W101" s="626"/>
      <c r="X101" s="626"/>
      <c r="Y101" s="626"/>
    </row>
    <row r="102">
      <c r="A102" s="626"/>
      <c r="B102" s="626"/>
      <c r="C102" s="626"/>
      <c r="D102" s="626"/>
      <c r="E102" s="627"/>
      <c r="F102" s="628"/>
      <c r="G102" s="626"/>
      <c r="H102" s="626"/>
      <c r="I102" s="626"/>
      <c r="J102" s="626"/>
      <c r="K102" s="626"/>
      <c r="L102" s="626"/>
      <c r="M102" s="626"/>
      <c r="N102" s="626"/>
      <c r="O102" s="626"/>
      <c r="P102" s="626"/>
      <c r="Q102" s="626"/>
      <c r="R102" s="626"/>
      <c r="S102" s="626"/>
      <c r="T102" s="626"/>
      <c r="U102" s="626"/>
      <c r="V102" s="626"/>
      <c r="W102" s="626"/>
      <c r="X102" s="626"/>
      <c r="Y102" s="626"/>
    </row>
    <row r="103">
      <c r="A103" s="626"/>
      <c r="B103" s="626"/>
      <c r="C103" s="626"/>
      <c r="D103" s="626"/>
      <c r="E103" s="627"/>
      <c r="F103" s="628"/>
      <c r="G103" s="626"/>
      <c r="H103" s="626"/>
      <c r="I103" s="626"/>
      <c r="J103" s="626"/>
      <c r="K103" s="626"/>
      <c r="L103" s="626"/>
      <c r="M103" s="626"/>
      <c r="N103" s="626"/>
      <c r="O103" s="626"/>
      <c r="P103" s="626"/>
      <c r="Q103" s="626"/>
      <c r="R103" s="626"/>
      <c r="S103" s="626"/>
      <c r="T103" s="626"/>
      <c r="U103" s="626"/>
      <c r="V103" s="626"/>
      <c r="W103" s="626"/>
      <c r="X103" s="626"/>
      <c r="Y103" s="626"/>
    </row>
    <row r="104">
      <c r="A104" s="626"/>
      <c r="B104" s="626"/>
      <c r="C104" s="626"/>
      <c r="D104" s="626"/>
      <c r="E104" s="627"/>
      <c r="F104" s="628"/>
      <c r="G104" s="626"/>
      <c r="H104" s="626"/>
      <c r="I104" s="626"/>
      <c r="J104" s="626"/>
      <c r="K104" s="626"/>
      <c r="L104" s="626"/>
      <c r="M104" s="626"/>
      <c r="N104" s="626"/>
      <c r="O104" s="626"/>
      <c r="P104" s="626"/>
      <c r="Q104" s="626"/>
      <c r="R104" s="626"/>
      <c r="S104" s="626"/>
      <c r="T104" s="626"/>
      <c r="U104" s="626"/>
      <c r="V104" s="626"/>
      <c r="W104" s="626"/>
      <c r="X104" s="626"/>
      <c r="Y104" s="626"/>
    </row>
    <row r="105">
      <c r="A105" s="626"/>
      <c r="B105" s="626"/>
      <c r="C105" s="626"/>
      <c r="D105" s="626"/>
      <c r="E105" s="627"/>
      <c r="F105" s="628"/>
      <c r="G105" s="626"/>
      <c r="H105" s="626"/>
      <c r="I105" s="626"/>
      <c r="J105" s="626"/>
      <c r="K105" s="626"/>
      <c r="L105" s="626"/>
      <c r="M105" s="626"/>
      <c r="N105" s="626"/>
      <c r="O105" s="626"/>
      <c r="P105" s="626"/>
      <c r="Q105" s="626"/>
      <c r="R105" s="626"/>
      <c r="S105" s="626"/>
      <c r="T105" s="626"/>
      <c r="U105" s="626"/>
      <c r="V105" s="626"/>
      <c r="W105" s="626"/>
      <c r="X105" s="626"/>
      <c r="Y105" s="626"/>
    </row>
    <row r="106">
      <c r="A106" s="626"/>
      <c r="B106" s="626"/>
      <c r="C106" s="626"/>
      <c r="D106" s="626"/>
      <c r="E106" s="627"/>
      <c r="F106" s="628"/>
      <c r="G106" s="626"/>
      <c r="H106" s="626"/>
      <c r="I106" s="626"/>
      <c r="J106" s="626"/>
      <c r="K106" s="626"/>
      <c r="L106" s="626"/>
      <c r="M106" s="626"/>
      <c r="N106" s="626"/>
      <c r="O106" s="626"/>
      <c r="P106" s="626"/>
      <c r="Q106" s="626"/>
      <c r="R106" s="626"/>
      <c r="S106" s="626"/>
      <c r="T106" s="626"/>
      <c r="U106" s="626"/>
      <c r="V106" s="626"/>
      <c r="W106" s="626"/>
      <c r="X106" s="626"/>
      <c r="Y106" s="626"/>
    </row>
    <row r="107">
      <c r="A107" s="626"/>
      <c r="B107" s="626"/>
      <c r="C107" s="626"/>
      <c r="D107" s="626"/>
      <c r="E107" s="627"/>
      <c r="F107" s="628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</row>
    <row r="108">
      <c r="A108" s="626"/>
      <c r="B108" s="626"/>
      <c r="C108" s="626"/>
      <c r="D108" s="626"/>
      <c r="E108" s="627"/>
      <c r="F108" s="628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</row>
    <row r="109">
      <c r="A109" s="626"/>
      <c r="B109" s="626"/>
      <c r="C109" s="626"/>
      <c r="D109" s="626"/>
      <c r="E109" s="627"/>
      <c r="F109" s="628"/>
      <c r="G109" s="626"/>
      <c r="H109" s="626"/>
      <c r="I109" s="626"/>
      <c r="J109" s="626"/>
      <c r="K109" s="626"/>
      <c r="L109" s="626"/>
      <c r="M109" s="626"/>
      <c r="N109" s="626"/>
      <c r="O109" s="626"/>
      <c r="P109" s="626"/>
      <c r="Q109" s="626"/>
      <c r="R109" s="626"/>
      <c r="S109" s="626"/>
      <c r="T109" s="626"/>
      <c r="U109" s="626"/>
      <c r="V109" s="626"/>
      <c r="W109" s="626"/>
      <c r="X109" s="626"/>
      <c r="Y109" s="626"/>
    </row>
    <row r="110">
      <c r="A110" s="626"/>
      <c r="B110" s="626"/>
      <c r="C110" s="626"/>
      <c r="D110" s="626"/>
      <c r="E110" s="627"/>
      <c r="F110" s="628"/>
      <c r="G110" s="626"/>
      <c r="H110" s="626"/>
      <c r="I110" s="626"/>
      <c r="J110" s="626"/>
      <c r="K110" s="626"/>
      <c r="L110" s="626"/>
      <c r="M110" s="626"/>
      <c r="N110" s="626"/>
      <c r="O110" s="626"/>
      <c r="P110" s="626"/>
      <c r="Q110" s="626"/>
      <c r="R110" s="626"/>
      <c r="S110" s="626"/>
      <c r="T110" s="626"/>
      <c r="U110" s="626"/>
      <c r="V110" s="626"/>
      <c r="W110" s="626"/>
      <c r="X110" s="626"/>
      <c r="Y110" s="626"/>
    </row>
    <row r="111">
      <c r="A111" s="626"/>
      <c r="B111" s="626"/>
      <c r="C111" s="626"/>
      <c r="D111" s="626"/>
      <c r="E111" s="627"/>
      <c r="F111" s="628"/>
      <c r="G111" s="626"/>
      <c r="H111" s="626"/>
      <c r="I111" s="626"/>
      <c r="J111" s="626"/>
      <c r="K111" s="626"/>
      <c r="L111" s="626"/>
      <c r="M111" s="626"/>
      <c r="N111" s="626"/>
      <c r="O111" s="626"/>
      <c r="P111" s="626"/>
      <c r="Q111" s="626"/>
      <c r="R111" s="626"/>
      <c r="S111" s="626"/>
      <c r="T111" s="626"/>
      <c r="U111" s="626"/>
      <c r="V111" s="626"/>
      <c r="W111" s="626"/>
      <c r="X111" s="626"/>
      <c r="Y111" s="626"/>
    </row>
    <row r="112">
      <c r="A112" s="626"/>
      <c r="B112" s="626"/>
      <c r="C112" s="626"/>
      <c r="D112" s="626"/>
      <c r="E112" s="627"/>
      <c r="F112" s="628"/>
      <c r="G112" s="626"/>
      <c r="H112" s="626"/>
      <c r="I112" s="626"/>
      <c r="J112" s="626"/>
      <c r="K112" s="626"/>
      <c r="L112" s="626"/>
      <c r="M112" s="626"/>
      <c r="N112" s="626"/>
      <c r="O112" s="626"/>
      <c r="P112" s="626"/>
      <c r="Q112" s="626"/>
      <c r="R112" s="626"/>
      <c r="S112" s="626"/>
      <c r="T112" s="626"/>
      <c r="U112" s="626"/>
      <c r="V112" s="626"/>
      <c r="W112" s="626"/>
      <c r="X112" s="626"/>
      <c r="Y112" s="626"/>
    </row>
    <row r="113">
      <c r="A113" s="626"/>
      <c r="B113" s="626"/>
      <c r="C113" s="626"/>
      <c r="D113" s="626"/>
      <c r="E113" s="627"/>
      <c r="F113" s="628"/>
      <c r="G113" s="626"/>
      <c r="H113" s="626"/>
      <c r="I113" s="626"/>
      <c r="J113" s="626"/>
      <c r="K113" s="626"/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6"/>
    </row>
    <row r="114">
      <c r="A114" s="626"/>
      <c r="B114" s="626"/>
      <c r="C114" s="626"/>
      <c r="D114" s="626"/>
      <c r="E114" s="627"/>
      <c r="F114" s="628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</row>
    <row r="115">
      <c r="A115" s="626"/>
      <c r="B115" s="626"/>
      <c r="C115" s="626"/>
      <c r="D115" s="626"/>
      <c r="E115" s="627"/>
      <c r="F115" s="628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</row>
    <row r="116">
      <c r="A116" s="626"/>
      <c r="B116" s="626"/>
      <c r="C116" s="626"/>
      <c r="D116" s="626"/>
      <c r="E116" s="627"/>
      <c r="F116" s="628"/>
      <c r="G116" s="626"/>
      <c r="H116" s="626"/>
      <c r="I116" s="626"/>
      <c r="J116" s="626"/>
      <c r="K116" s="626"/>
      <c r="L116" s="626"/>
      <c r="M116" s="626"/>
      <c r="N116" s="626"/>
      <c r="O116" s="626"/>
      <c r="P116" s="626"/>
      <c r="Q116" s="626"/>
      <c r="R116" s="626"/>
      <c r="S116" s="626"/>
      <c r="T116" s="626"/>
      <c r="U116" s="626"/>
      <c r="V116" s="626"/>
      <c r="W116" s="626"/>
      <c r="X116" s="626"/>
      <c r="Y116" s="626"/>
    </row>
    <row r="117">
      <c r="A117" s="626"/>
      <c r="B117" s="626"/>
      <c r="C117" s="626"/>
      <c r="D117" s="626"/>
      <c r="E117" s="627"/>
      <c r="F117" s="628"/>
      <c r="G117" s="626"/>
      <c r="H117" s="626"/>
      <c r="I117" s="626"/>
      <c r="J117" s="626"/>
      <c r="K117" s="626"/>
      <c r="L117" s="626"/>
      <c r="M117" s="626"/>
      <c r="N117" s="626"/>
      <c r="O117" s="626"/>
      <c r="P117" s="626"/>
      <c r="Q117" s="626"/>
      <c r="R117" s="626"/>
      <c r="S117" s="626"/>
      <c r="T117" s="626"/>
      <c r="U117" s="626"/>
      <c r="V117" s="626"/>
      <c r="W117" s="626"/>
      <c r="X117" s="626"/>
      <c r="Y117" s="626"/>
    </row>
    <row r="118">
      <c r="A118" s="626"/>
      <c r="B118" s="626"/>
      <c r="C118" s="626"/>
      <c r="D118" s="626"/>
      <c r="E118" s="627"/>
      <c r="F118" s="628"/>
      <c r="G118" s="626"/>
      <c r="H118" s="626"/>
      <c r="I118" s="626"/>
      <c r="J118" s="626"/>
      <c r="K118" s="626"/>
      <c r="L118" s="626"/>
      <c r="M118" s="626"/>
      <c r="N118" s="626"/>
      <c r="O118" s="626"/>
      <c r="P118" s="626"/>
      <c r="Q118" s="626"/>
      <c r="R118" s="626"/>
      <c r="S118" s="626"/>
      <c r="T118" s="626"/>
      <c r="U118" s="626"/>
      <c r="V118" s="626"/>
      <c r="W118" s="626"/>
      <c r="X118" s="626"/>
      <c r="Y118" s="626"/>
    </row>
    <row r="119">
      <c r="A119" s="626"/>
      <c r="B119" s="626"/>
      <c r="C119" s="626"/>
      <c r="D119" s="626"/>
      <c r="E119" s="627"/>
      <c r="F119" s="628"/>
      <c r="G119" s="626"/>
      <c r="H119" s="626"/>
      <c r="I119" s="626"/>
      <c r="J119" s="626"/>
      <c r="K119" s="626"/>
      <c r="L119" s="626"/>
      <c r="M119" s="626"/>
      <c r="N119" s="626"/>
      <c r="O119" s="626"/>
      <c r="P119" s="626"/>
      <c r="Q119" s="626"/>
      <c r="R119" s="626"/>
      <c r="S119" s="626"/>
      <c r="T119" s="626"/>
      <c r="U119" s="626"/>
      <c r="V119" s="626"/>
      <c r="W119" s="626"/>
      <c r="X119" s="626"/>
      <c r="Y119" s="626"/>
    </row>
    <row r="120">
      <c r="A120" s="626"/>
      <c r="B120" s="626"/>
      <c r="C120" s="626"/>
      <c r="D120" s="626"/>
      <c r="E120" s="627"/>
      <c r="F120" s="628"/>
      <c r="G120" s="626"/>
      <c r="H120" s="626"/>
      <c r="I120" s="626"/>
      <c r="J120" s="626"/>
      <c r="K120" s="626"/>
      <c r="L120" s="626"/>
      <c r="M120" s="626"/>
      <c r="N120" s="626"/>
      <c r="O120" s="626"/>
      <c r="P120" s="626"/>
      <c r="Q120" s="626"/>
      <c r="R120" s="626"/>
      <c r="S120" s="626"/>
      <c r="T120" s="626"/>
      <c r="U120" s="626"/>
      <c r="V120" s="626"/>
      <c r="W120" s="626"/>
      <c r="X120" s="626"/>
      <c r="Y120" s="626"/>
    </row>
    <row r="121">
      <c r="A121" s="626"/>
      <c r="B121" s="626"/>
      <c r="C121" s="626"/>
      <c r="D121" s="626"/>
      <c r="E121" s="627"/>
      <c r="F121" s="628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</row>
    <row r="122">
      <c r="A122" s="626"/>
      <c r="B122" s="626"/>
      <c r="C122" s="626"/>
      <c r="D122" s="626"/>
      <c r="E122" s="627"/>
      <c r="F122" s="628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</row>
    <row r="123">
      <c r="A123" s="626"/>
      <c r="B123" s="626"/>
      <c r="C123" s="626"/>
      <c r="D123" s="626"/>
      <c r="E123" s="627"/>
      <c r="F123" s="628"/>
      <c r="G123" s="626"/>
      <c r="H123" s="626"/>
      <c r="I123" s="626"/>
      <c r="J123" s="626"/>
      <c r="K123" s="626"/>
      <c r="L123" s="626"/>
      <c r="M123" s="626"/>
      <c r="N123" s="626"/>
      <c r="O123" s="626"/>
      <c r="P123" s="626"/>
      <c r="Q123" s="626"/>
      <c r="R123" s="626"/>
      <c r="S123" s="626"/>
      <c r="T123" s="626"/>
      <c r="U123" s="626"/>
      <c r="V123" s="626"/>
      <c r="W123" s="626"/>
      <c r="X123" s="626"/>
      <c r="Y123" s="626"/>
    </row>
    <row r="124">
      <c r="A124" s="626"/>
      <c r="B124" s="626"/>
      <c r="C124" s="626"/>
      <c r="D124" s="626"/>
      <c r="E124" s="627"/>
      <c r="F124" s="628"/>
      <c r="G124" s="626"/>
      <c r="H124" s="626"/>
      <c r="I124" s="626"/>
      <c r="J124" s="626"/>
      <c r="K124" s="626"/>
      <c r="L124" s="626"/>
      <c r="M124" s="626"/>
      <c r="N124" s="626"/>
      <c r="O124" s="626"/>
      <c r="P124" s="626"/>
      <c r="Q124" s="626"/>
      <c r="R124" s="626"/>
      <c r="S124" s="626"/>
      <c r="T124" s="626"/>
      <c r="U124" s="626"/>
      <c r="V124" s="626"/>
      <c r="W124" s="626"/>
      <c r="X124" s="626"/>
      <c r="Y124" s="626"/>
    </row>
    <row r="125">
      <c r="A125" s="626"/>
      <c r="B125" s="626"/>
      <c r="C125" s="626"/>
      <c r="D125" s="626"/>
      <c r="E125" s="627"/>
      <c r="F125" s="628"/>
      <c r="G125" s="626"/>
      <c r="H125" s="626"/>
      <c r="I125" s="626"/>
      <c r="J125" s="626"/>
      <c r="K125" s="626"/>
      <c r="L125" s="626"/>
      <c r="M125" s="626"/>
      <c r="N125" s="626"/>
      <c r="O125" s="626"/>
      <c r="P125" s="626"/>
      <c r="Q125" s="626"/>
      <c r="R125" s="626"/>
      <c r="S125" s="626"/>
      <c r="T125" s="626"/>
      <c r="U125" s="626"/>
      <c r="V125" s="626"/>
      <c r="W125" s="626"/>
      <c r="X125" s="626"/>
      <c r="Y125" s="626"/>
    </row>
    <row r="126">
      <c r="A126" s="626"/>
      <c r="B126" s="626"/>
      <c r="C126" s="626"/>
      <c r="D126" s="626"/>
      <c r="E126" s="627"/>
      <c r="F126" s="628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</row>
    <row r="127">
      <c r="A127" s="626"/>
      <c r="B127" s="626"/>
      <c r="C127" s="626"/>
      <c r="D127" s="626"/>
      <c r="E127" s="627"/>
      <c r="F127" s="628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</row>
    <row r="128">
      <c r="A128" s="626"/>
      <c r="B128" s="626"/>
      <c r="C128" s="626"/>
      <c r="D128" s="626"/>
      <c r="E128" s="627"/>
      <c r="F128" s="628"/>
      <c r="G128" s="626"/>
      <c r="H128" s="626"/>
      <c r="I128" s="626"/>
      <c r="J128" s="626"/>
      <c r="K128" s="626"/>
      <c r="L128" s="626"/>
      <c r="M128" s="626"/>
      <c r="N128" s="626"/>
      <c r="O128" s="626"/>
      <c r="P128" s="626"/>
      <c r="Q128" s="626"/>
      <c r="R128" s="626"/>
      <c r="S128" s="626"/>
      <c r="T128" s="626"/>
      <c r="U128" s="626"/>
      <c r="V128" s="626"/>
      <c r="W128" s="626"/>
      <c r="X128" s="626"/>
      <c r="Y128" s="626"/>
    </row>
    <row r="129">
      <c r="A129" s="626"/>
      <c r="B129" s="626"/>
      <c r="C129" s="626"/>
      <c r="D129" s="626"/>
      <c r="E129" s="627"/>
      <c r="F129" s="628"/>
      <c r="G129" s="626"/>
      <c r="H129" s="626"/>
      <c r="I129" s="626"/>
      <c r="J129" s="626"/>
      <c r="K129" s="626"/>
      <c r="L129" s="626"/>
      <c r="M129" s="626"/>
      <c r="N129" s="626"/>
      <c r="O129" s="626"/>
      <c r="P129" s="626"/>
      <c r="Q129" s="626"/>
      <c r="R129" s="626"/>
      <c r="S129" s="626"/>
      <c r="T129" s="626"/>
      <c r="U129" s="626"/>
      <c r="V129" s="626"/>
      <c r="W129" s="626"/>
      <c r="X129" s="626"/>
      <c r="Y129" s="626"/>
    </row>
    <row r="130">
      <c r="A130" s="626"/>
      <c r="B130" s="626"/>
      <c r="C130" s="626"/>
      <c r="D130" s="626"/>
      <c r="E130" s="627"/>
      <c r="F130" s="628"/>
      <c r="G130" s="626"/>
      <c r="H130" s="626"/>
      <c r="I130" s="626"/>
      <c r="J130" s="626"/>
      <c r="K130" s="626"/>
      <c r="L130" s="626"/>
      <c r="M130" s="626"/>
      <c r="N130" s="626"/>
      <c r="O130" s="626"/>
      <c r="P130" s="626"/>
      <c r="Q130" s="626"/>
      <c r="R130" s="626"/>
      <c r="S130" s="626"/>
      <c r="T130" s="626"/>
      <c r="U130" s="626"/>
      <c r="V130" s="626"/>
      <c r="W130" s="626"/>
      <c r="X130" s="626"/>
      <c r="Y130" s="626"/>
    </row>
    <row r="131">
      <c r="A131" s="626"/>
      <c r="B131" s="626"/>
      <c r="C131" s="626"/>
      <c r="D131" s="626"/>
      <c r="E131" s="627"/>
      <c r="F131" s="628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</row>
    <row r="132">
      <c r="A132" s="626"/>
      <c r="B132" s="626"/>
      <c r="C132" s="626"/>
      <c r="D132" s="626"/>
      <c r="E132" s="627"/>
      <c r="F132" s="628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</row>
    <row r="133">
      <c r="A133" s="626"/>
      <c r="B133" s="626"/>
      <c r="C133" s="626"/>
      <c r="D133" s="626"/>
      <c r="E133" s="627"/>
      <c r="F133" s="628"/>
      <c r="G133" s="626"/>
      <c r="H133" s="626"/>
      <c r="I133" s="626"/>
      <c r="J133" s="626"/>
      <c r="K133" s="626"/>
      <c r="L133" s="626"/>
      <c r="M133" s="626"/>
      <c r="N133" s="626"/>
      <c r="O133" s="626"/>
      <c r="P133" s="626"/>
      <c r="Q133" s="626"/>
      <c r="R133" s="626"/>
      <c r="S133" s="626"/>
      <c r="T133" s="626"/>
      <c r="U133" s="626"/>
      <c r="V133" s="626"/>
      <c r="W133" s="626"/>
      <c r="X133" s="626"/>
      <c r="Y133" s="626"/>
    </row>
    <row r="134">
      <c r="A134" s="626"/>
      <c r="B134" s="626"/>
      <c r="C134" s="626"/>
      <c r="D134" s="626"/>
      <c r="E134" s="627"/>
      <c r="F134" s="628"/>
      <c r="G134" s="626"/>
      <c r="H134" s="626"/>
      <c r="I134" s="626"/>
      <c r="J134" s="626"/>
      <c r="K134" s="626"/>
      <c r="L134" s="626"/>
      <c r="M134" s="626"/>
      <c r="N134" s="626"/>
      <c r="O134" s="626"/>
      <c r="P134" s="626"/>
      <c r="Q134" s="626"/>
      <c r="R134" s="626"/>
      <c r="S134" s="626"/>
      <c r="T134" s="626"/>
      <c r="U134" s="626"/>
      <c r="V134" s="626"/>
      <c r="W134" s="626"/>
      <c r="X134" s="626"/>
      <c r="Y134" s="626"/>
    </row>
    <row r="135">
      <c r="A135" s="626"/>
      <c r="B135" s="626"/>
      <c r="C135" s="626"/>
      <c r="D135" s="626"/>
      <c r="E135" s="627"/>
      <c r="F135" s="628"/>
      <c r="G135" s="626"/>
      <c r="H135" s="626"/>
      <c r="I135" s="626"/>
      <c r="J135" s="626"/>
      <c r="K135" s="626"/>
      <c r="L135" s="626"/>
      <c r="M135" s="626"/>
      <c r="N135" s="626"/>
      <c r="O135" s="626"/>
      <c r="P135" s="626"/>
      <c r="Q135" s="626"/>
      <c r="R135" s="626"/>
      <c r="S135" s="626"/>
      <c r="T135" s="626"/>
      <c r="U135" s="626"/>
      <c r="V135" s="626"/>
      <c r="W135" s="626"/>
      <c r="X135" s="626"/>
      <c r="Y135" s="626"/>
    </row>
    <row r="136">
      <c r="A136" s="626"/>
      <c r="B136" s="626"/>
      <c r="C136" s="626"/>
      <c r="D136" s="626"/>
      <c r="E136" s="627"/>
      <c r="F136" s="628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</row>
    <row r="137">
      <c r="A137" s="626"/>
      <c r="B137" s="626"/>
      <c r="C137" s="626"/>
      <c r="D137" s="626"/>
      <c r="E137" s="627"/>
      <c r="F137" s="628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</row>
    <row r="138">
      <c r="A138" s="626"/>
      <c r="B138" s="626"/>
      <c r="C138" s="626"/>
      <c r="D138" s="626"/>
      <c r="E138" s="627"/>
      <c r="F138" s="628"/>
      <c r="G138" s="626"/>
      <c r="H138" s="626"/>
      <c r="I138" s="626"/>
      <c r="J138" s="626"/>
      <c r="K138" s="626"/>
      <c r="L138" s="626"/>
      <c r="M138" s="626"/>
      <c r="N138" s="626"/>
      <c r="O138" s="626"/>
      <c r="P138" s="626"/>
      <c r="Q138" s="626"/>
      <c r="R138" s="626"/>
      <c r="S138" s="626"/>
      <c r="T138" s="626"/>
      <c r="U138" s="626"/>
      <c r="V138" s="626"/>
      <c r="W138" s="626"/>
      <c r="X138" s="626"/>
      <c r="Y138" s="626"/>
    </row>
    <row r="139">
      <c r="A139" s="626"/>
      <c r="B139" s="626"/>
      <c r="C139" s="626"/>
      <c r="D139" s="626"/>
      <c r="E139" s="627"/>
      <c r="F139" s="628"/>
      <c r="G139" s="626"/>
      <c r="H139" s="626"/>
      <c r="I139" s="626"/>
      <c r="J139" s="626"/>
      <c r="K139" s="626"/>
      <c r="L139" s="626"/>
      <c r="M139" s="626"/>
      <c r="N139" s="626"/>
      <c r="O139" s="626"/>
      <c r="P139" s="626"/>
      <c r="Q139" s="626"/>
      <c r="R139" s="626"/>
      <c r="S139" s="626"/>
      <c r="T139" s="626"/>
      <c r="U139" s="626"/>
      <c r="V139" s="626"/>
      <c r="W139" s="626"/>
      <c r="X139" s="626"/>
      <c r="Y139" s="626"/>
    </row>
    <row r="140">
      <c r="A140" s="626"/>
      <c r="B140" s="626"/>
      <c r="C140" s="626"/>
      <c r="D140" s="626"/>
      <c r="E140" s="627"/>
      <c r="F140" s="628"/>
      <c r="G140" s="626"/>
      <c r="H140" s="626"/>
      <c r="I140" s="626"/>
      <c r="J140" s="626"/>
      <c r="K140" s="626"/>
      <c r="L140" s="626"/>
      <c r="M140" s="626"/>
      <c r="N140" s="626"/>
      <c r="O140" s="626"/>
      <c r="P140" s="626"/>
      <c r="Q140" s="626"/>
      <c r="R140" s="626"/>
      <c r="S140" s="626"/>
      <c r="T140" s="626"/>
      <c r="U140" s="626"/>
      <c r="V140" s="626"/>
      <c r="W140" s="626"/>
      <c r="X140" s="626"/>
      <c r="Y140" s="626"/>
    </row>
    <row r="141">
      <c r="A141" s="626"/>
      <c r="B141" s="626"/>
      <c r="C141" s="626"/>
      <c r="D141" s="626"/>
      <c r="E141" s="627"/>
      <c r="F141" s="628"/>
      <c r="G141" s="626"/>
      <c r="H141" s="626"/>
      <c r="I141" s="626"/>
      <c r="J141" s="626"/>
      <c r="K141" s="626"/>
      <c r="L141" s="626"/>
      <c r="M141" s="626"/>
      <c r="N141" s="626"/>
      <c r="O141" s="626"/>
      <c r="P141" s="626"/>
      <c r="Q141" s="626"/>
      <c r="R141" s="626"/>
      <c r="S141" s="626"/>
      <c r="T141" s="626"/>
      <c r="U141" s="626"/>
      <c r="V141" s="626"/>
      <c r="W141" s="626"/>
      <c r="X141" s="626"/>
      <c r="Y141" s="626"/>
    </row>
    <row r="142">
      <c r="A142" s="626"/>
      <c r="B142" s="626"/>
      <c r="C142" s="626"/>
      <c r="D142" s="626"/>
      <c r="E142" s="627"/>
      <c r="F142" s="628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</row>
    <row r="143">
      <c r="A143" s="626"/>
      <c r="B143" s="626"/>
      <c r="C143" s="626"/>
      <c r="D143" s="626"/>
      <c r="E143" s="627"/>
      <c r="F143" s="628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</row>
    <row r="144">
      <c r="A144" s="626"/>
      <c r="B144" s="626"/>
      <c r="C144" s="626"/>
      <c r="D144" s="626"/>
      <c r="E144" s="627"/>
      <c r="F144" s="628"/>
      <c r="G144" s="626"/>
      <c r="H144" s="626"/>
      <c r="I144" s="626"/>
      <c r="J144" s="626"/>
      <c r="K144" s="626"/>
      <c r="L144" s="626"/>
      <c r="M144" s="626"/>
      <c r="N144" s="626"/>
      <c r="O144" s="626"/>
      <c r="P144" s="626"/>
      <c r="Q144" s="626"/>
      <c r="R144" s="626"/>
      <c r="S144" s="626"/>
      <c r="T144" s="626"/>
      <c r="U144" s="626"/>
      <c r="V144" s="626"/>
      <c r="W144" s="626"/>
      <c r="X144" s="626"/>
      <c r="Y144" s="626"/>
    </row>
    <row r="145">
      <c r="A145" s="626"/>
      <c r="B145" s="626"/>
      <c r="C145" s="626"/>
      <c r="D145" s="626"/>
      <c r="E145" s="627"/>
      <c r="F145" s="628"/>
      <c r="G145" s="626"/>
      <c r="H145" s="626"/>
      <c r="I145" s="626"/>
      <c r="J145" s="626"/>
      <c r="K145" s="626"/>
      <c r="L145" s="626"/>
      <c r="M145" s="626"/>
      <c r="N145" s="626"/>
      <c r="O145" s="626"/>
      <c r="P145" s="626"/>
      <c r="Q145" s="626"/>
      <c r="R145" s="626"/>
      <c r="S145" s="626"/>
      <c r="T145" s="626"/>
      <c r="U145" s="626"/>
      <c r="V145" s="626"/>
      <c r="W145" s="626"/>
      <c r="X145" s="626"/>
      <c r="Y145" s="626"/>
    </row>
    <row r="146">
      <c r="A146" s="626"/>
      <c r="B146" s="626"/>
      <c r="C146" s="626"/>
      <c r="D146" s="626"/>
      <c r="E146" s="627"/>
      <c r="F146" s="628"/>
      <c r="G146" s="626"/>
      <c r="H146" s="626"/>
      <c r="I146" s="626"/>
      <c r="J146" s="626"/>
      <c r="K146" s="626"/>
      <c r="L146" s="626"/>
      <c r="M146" s="626"/>
      <c r="N146" s="626"/>
      <c r="O146" s="626"/>
      <c r="P146" s="626"/>
      <c r="Q146" s="626"/>
      <c r="R146" s="626"/>
      <c r="S146" s="626"/>
      <c r="T146" s="626"/>
      <c r="U146" s="626"/>
      <c r="V146" s="626"/>
      <c r="W146" s="626"/>
      <c r="X146" s="626"/>
      <c r="Y146" s="626"/>
    </row>
    <row r="147">
      <c r="A147" s="626"/>
      <c r="B147" s="626"/>
      <c r="C147" s="626"/>
      <c r="D147" s="626"/>
      <c r="E147" s="627"/>
      <c r="F147" s="628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</row>
    <row r="148">
      <c r="A148" s="626"/>
      <c r="B148" s="626"/>
      <c r="C148" s="626"/>
      <c r="D148" s="626"/>
      <c r="E148" s="627"/>
      <c r="F148" s="628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</row>
    <row r="149">
      <c r="A149" s="626"/>
      <c r="B149" s="626"/>
      <c r="C149" s="626"/>
      <c r="D149" s="626"/>
      <c r="E149" s="627"/>
      <c r="F149" s="628"/>
      <c r="G149" s="626"/>
      <c r="H149" s="626"/>
      <c r="I149" s="626"/>
      <c r="J149" s="626"/>
      <c r="K149" s="626"/>
      <c r="L149" s="626"/>
      <c r="M149" s="626"/>
      <c r="N149" s="626"/>
      <c r="O149" s="626"/>
      <c r="P149" s="626"/>
      <c r="Q149" s="626"/>
      <c r="R149" s="626"/>
      <c r="S149" s="626"/>
      <c r="T149" s="626"/>
      <c r="U149" s="626"/>
      <c r="V149" s="626"/>
      <c r="W149" s="626"/>
      <c r="X149" s="626"/>
      <c r="Y149" s="626"/>
    </row>
    <row r="150">
      <c r="A150" s="626"/>
      <c r="B150" s="626"/>
      <c r="C150" s="626"/>
      <c r="D150" s="626"/>
      <c r="E150" s="627"/>
      <c r="F150" s="628"/>
      <c r="G150" s="626"/>
      <c r="H150" s="626"/>
      <c r="I150" s="626"/>
      <c r="J150" s="626"/>
      <c r="K150" s="626"/>
      <c r="L150" s="626"/>
      <c r="M150" s="626"/>
      <c r="N150" s="626"/>
      <c r="O150" s="626"/>
      <c r="P150" s="626"/>
      <c r="Q150" s="626"/>
      <c r="R150" s="626"/>
      <c r="S150" s="626"/>
      <c r="T150" s="626"/>
      <c r="U150" s="626"/>
      <c r="V150" s="626"/>
      <c r="W150" s="626"/>
      <c r="X150" s="626"/>
      <c r="Y150" s="626"/>
    </row>
    <row r="151">
      <c r="A151" s="626"/>
      <c r="B151" s="626"/>
      <c r="C151" s="626"/>
      <c r="D151" s="626"/>
      <c r="E151" s="627"/>
      <c r="F151" s="628"/>
      <c r="G151" s="626"/>
      <c r="H151" s="626"/>
      <c r="I151" s="626"/>
      <c r="J151" s="626"/>
      <c r="K151" s="626"/>
      <c r="L151" s="626"/>
      <c r="M151" s="626"/>
      <c r="N151" s="626"/>
      <c r="O151" s="626"/>
      <c r="P151" s="626"/>
      <c r="Q151" s="626"/>
      <c r="R151" s="626"/>
      <c r="S151" s="626"/>
      <c r="T151" s="626"/>
      <c r="U151" s="626"/>
      <c r="V151" s="626"/>
      <c r="W151" s="626"/>
      <c r="X151" s="626"/>
      <c r="Y151" s="626"/>
    </row>
    <row r="152">
      <c r="A152" s="626"/>
      <c r="B152" s="626"/>
      <c r="C152" s="626"/>
      <c r="D152" s="626"/>
      <c r="E152" s="627"/>
      <c r="F152" s="628"/>
      <c r="G152" s="626"/>
      <c r="H152" s="626"/>
      <c r="I152" s="626"/>
      <c r="J152" s="626"/>
      <c r="K152" s="626"/>
      <c r="L152" s="626"/>
      <c r="M152" s="626"/>
      <c r="N152" s="626"/>
      <c r="O152" s="626"/>
      <c r="P152" s="626"/>
      <c r="Q152" s="626"/>
      <c r="R152" s="626"/>
      <c r="S152" s="626"/>
      <c r="T152" s="626"/>
      <c r="U152" s="626"/>
      <c r="V152" s="626"/>
      <c r="W152" s="626"/>
      <c r="X152" s="626"/>
      <c r="Y152" s="626"/>
    </row>
    <row r="153">
      <c r="A153" s="626"/>
      <c r="B153" s="626"/>
      <c r="C153" s="626"/>
      <c r="D153" s="626"/>
      <c r="E153" s="627"/>
      <c r="F153" s="628"/>
      <c r="G153" s="626"/>
      <c r="H153" s="626"/>
      <c r="I153" s="626"/>
      <c r="J153" s="626"/>
      <c r="K153" s="626"/>
      <c r="L153" s="626"/>
      <c r="M153" s="626"/>
      <c r="N153" s="626"/>
      <c r="O153" s="626"/>
      <c r="P153" s="626"/>
      <c r="Q153" s="626"/>
      <c r="R153" s="626"/>
      <c r="S153" s="626"/>
      <c r="T153" s="626"/>
      <c r="U153" s="626"/>
      <c r="V153" s="626"/>
      <c r="W153" s="626"/>
      <c r="X153" s="626"/>
      <c r="Y153" s="626"/>
    </row>
    <row r="154">
      <c r="A154" s="626"/>
      <c r="B154" s="626"/>
      <c r="C154" s="626"/>
      <c r="D154" s="626"/>
      <c r="E154" s="627"/>
      <c r="F154" s="628"/>
      <c r="G154" s="626"/>
      <c r="H154" s="626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</row>
    <row r="155">
      <c r="A155" s="626"/>
      <c r="B155" s="626"/>
      <c r="C155" s="626"/>
      <c r="D155" s="626"/>
      <c r="E155" s="627"/>
      <c r="F155" s="628"/>
      <c r="G155" s="626"/>
      <c r="H155" s="626"/>
      <c r="I155" s="626"/>
      <c r="J155" s="626"/>
      <c r="K155" s="626"/>
      <c r="L155" s="626"/>
      <c r="M155" s="626"/>
      <c r="N155" s="626"/>
      <c r="O155" s="626"/>
      <c r="P155" s="626"/>
      <c r="Q155" s="626"/>
      <c r="R155" s="626"/>
      <c r="S155" s="626"/>
      <c r="T155" s="626"/>
      <c r="U155" s="626"/>
      <c r="V155" s="626"/>
      <c r="W155" s="626"/>
      <c r="X155" s="626"/>
      <c r="Y155" s="626"/>
    </row>
    <row r="156">
      <c r="A156" s="626"/>
      <c r="B156" s="626"/>
      <c r="C156" s="626"/>
      <c r="D156" s="626"/>
      <c r="E156" s="627"/>
      <c r="F156" s="628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</row>
    <row r="157">
      <c r="A157" s="626"/>
      <c r="B157" s="626"/>
      <c r="C157" s="626"/>
      <c r="D157" s="626"/>
      <c r="E157" s="627"/>
      <c r="F157" s="628"/>
      <c r="G157" s="626"/>
      <c r="H157" s="626"/>
      <c r="I157" s="626"/>
      <c r="J157" s="626"/>
      <c r="K157" s="626"/>
      <c r="L157" s="626"/>
      <c r="M157" s="626"/>
      <c r="N157" s="626"/>
      <c r="O157" s="626"/>
      <c r="P157" s="626"/>
      <c r="Q157" s="626"/>
      <c r="R157" s="626"/>
      <c r="S157" s="626"/>
      <c r="T157" s="626"/>
      <c r="U157" s="626"/>
      <c r="V157" s="626"/>
      <c r="W157" s="626"/>
      <c r="X157" s="626"/>
      <c r="Y157" s="626"/>
    </row>
    <row r="158">
      <c r="A158" s="626"/>
      <c r="B158" s="626"/>
      <c r="C158" s="626"/>
      <c r="D158" s="626"/>
      <c r="E158" s="627"/>
      <c r="F158" s="628"/>
      <c r="G158" s="626"/>
      <c r="H158" s="626"/>
      <c r="I158" s="626"/>
      <c r="J158" s="626"/>
      <c r="K158" s="626"/>
      <c r="L158" s="626"/>
      <c r="M158" s="626"/>
      <c r="N158" s="626"/>
      <c r="O158" s="626"/>
      <c r="P158" s="626"/>
      <c r="Q158" s="626"/>
      <c r="R158" s="626"/>
      <c r="S158" s="626"/>
      <c r="T158" s="626"/>
      <c r="U158" s="626"/>
      <c r="V158" s="626"/>
      <c r="W158" s="626"/>
      <c r="X158" s="626"/>
      <c r="Y158" s="626"/>
    </row>
    <row r="159">
      <c r="A159" s="626"/>
      <c r="B159" s="626"/>
      <c r="C159" s="626"/>
      <c r="D159" s="626"/>
      <c r="E159" s="627"/>
      <c r="F159" s="628"/>
      <c r="G159" s="626"/>
      <c r="H159" s="626"/>
      <c r="I159" s="626"/>
      <c r="J159" s="626"/>
      <c r="K159" s="626"/>
      <c r="L159" s="626"/>
      <c r="M159" s="626"/>
      <c r="N159" s="626"/>
      <c r="O159" s="626"/>
      <c r="P159" s="626"/>
      <c r="Q159" s="626"/>
      <c r="R159" s="626"/>
      <c r="S159" s="626"/>
      <c r="T159" s="626"/>
      <c r="U159" s="626"/>
      <c r="V159" s="626"/>
      <c r="W159" s="626"/>
      <c r="X159" s="626"/>
      <c r="Y159" s="626"/>
    </row>
    <row r="160">
      <c r="A160" s="626"/>
      <c r="B160" s="626"/>
      <c r="C160" s="626"/>
      <c r="D160" s="626"/>
      <c r="E160" s="627"/>
      <c r="F160" s="628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</row>
    <row r="161">
      <c r="A161" s="626"/>
      <c r="B161" s="626"/>
      <c r="C161" s="626"/>
      <c r="D161" s="626"/>
      <c r="E161" s="627"/>
      <c r="F161" s="628"/>
      <c r="G161" s="626"/>
      <c r="H161" s="626"/>
      <c r="I161" s="626"/>
      <c r="J161" s="626"/>
      <c r="K161" s="626"/>
      <c r="L161" s="626"/>
      <c r="M161" s="626"/>
      <c r="N161" s="626"/>
      <c r="O161" s="626"/>
      <c r="P161" s="626"/>
      <c r="Q161" s="626"/>
      <c r="R161" s="626"/>
      <c r="S161" s="626"/>
      <c r="T161" s="626"/>
      <c r="U161" s="626"/>
      <c r="V161" s="626"/>
      <c r="W161" s="626"/>
      <c r="X161" s="626"/>
      <c r="Y161" s="626"/>
    </row>
    <row r="162">
      <c r="A162" s="626"/>
      <c r="B162" s="626"/>
      <c r="C162" s="626"/>
      <c r="D162" s="626"/>
      <c r="E162" s="627"/>
      <c r="F162" s="628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</row>
    <row r="163">
      <c r="A163" s="626"/>
      <c r="B163" s="626"/>
      <c r="C163" s="626"/>
      <c r="D163" s="626"/>
      <c r="E163" s="627"/>
      <c r="F163" s="628"/>
      <c r="G163" s="626"/>
      <c r="H163" s="626"/>
      <c r="I163" s="626"/>
      <c r="J163" s="626"/>
      <c r="K163" s="626"/>
      <c r="L163" s="626"/>
      <c r="M163" s="626"/>
      <c r="N163" s="626"/>
      <c r="O163" s="626"/>
      <c r="P163" s="626"/>
      <c r="Q163" s="626"/>
      <c r="R163" s="626"/>
      <c r="S163" s="626"/>
      <c r="T163" s="626"/>
      <c r="U163" s="626"/>
      <c r="V163" s="626"/>
      <c r="W163" s="626"/>
      <c r="X163" s="626"/>
      <c r="Y163" s="626"/>
    </row>
    <row r="164">
      <c r="A164" s="626"/>
      <c r="B164" s="626"/>
      <c r="C164" s="626"/>
      <c r="D164" s="626"/>
      <c r="E164" s="627"/>
      <c r="F164" s="628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</row>
    <row r="165">
      <c r="A165" s="626"/>
      <c r="B165" s="626"/>
      <c r="C165" s="626"/>
      <c r="D165" s="626"/>
      <c r="E165" s="627"/>
      <c r="F165" s="628"/>
      <c r="G165" s="626"/>
      <c r="H165" s="626"/>
      <c r="I165" s="626"/>
      <c r="J165" s="626"/>
      <c r="K165" s="626"/>
      <c r="L165" s="626"/>
      <c r="M165" s="626"/>
      <c r="N165" s="626"/>
      <c r="O165" s="626"/>
      <c r="P165" s="626"/>
      <c r="Q165" s="626"/>
      <c r="R165" s="626"/>
      <c r="S165" s="626"/>
      <c r="T165" s="626"/>
      <c r="U165" s="626"/>
      <c r="V165" s="626"/>
      <c r="W165" s="626"/>
      <c r="X165" s="626"/>
      <c r="Y165" s="626"/>
    </row>
    <row r="166">
      <c r="A166" s="626"/>
      <c r="B166" s="626"/>
      <c r="C166" s="626"/>
      <c r="D166" s="626"/>
      <c r="E166" s="627"/>
      <c r="F166" s="628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</row>
    <row r="167">
      <c r="A167" s="626"/>
      <c r="B167" s="626"/>
      <c r="C167" s="626"/>
      <c r="D167" s="626"/>
      <c r="E167" s="627"/>
      <c r="F167" s="628"/>
      <c r="G167" s="626"/>
      <c r="H167" s="626"/>
      <c r="I167" s="626"/>
      <c r="J167" s="626"/>
      <c r="K167" s="626"/>
      <c r="L167" s="626"/>
      <c r="M167" s="626"/>
      <c r="N167" s="626"/>
      <c r="O167" s="626"/>
      <c r="P167" s="626"/>
      <c r="Q167" s="626"/>
      <c r="R167" s="626"/>
      <c r="S167" s="626"/>
      <c r="T167" s="626"/>
      <c r="U167" s="626"/>
      <c r="V167" s="626"/>
      <c r="W167" s="626"/>
      <c r="X167" s="626"/>
      <c r="Y167" s="626"/>
    </row>
    <row r="168">
      <c r="A168" s="626"/>
      <c r="B168" s="626"/>
      <c r="C168" s="626"/>
      <c r="D168" s="626"/>
      <c r="E168" s="627"/>
      <c r="F168" s="628"/>
      <c r="G168" s="626"/>
      <c r="H168" s="626"/>
      <c r="I168" s="626"/>
      <c r="J168" s="626"/>
      <c r="K168" s="626"/>
      <c r="L168" s="626"/>
      <c r="M168" s="626"/>
      <c r="N168" s="626"/>
      <c r="O168" s="626"/>
      <c r="P168" s="626"/>
      <c r="Q168" s="626"/>
      <c r="R168" s="626"/>
      <c r="S168" s="626"/>
      <c r="T168" s="626"/>
      <c r="U168" s="626"/>
      <c r="V168" s="626"/>
      <c r="W168" s="626"/>
      <c r="X168" s="626"/>
      <c r="Y168" s="626"/>
    </row>
    <row r="169">
      <c r="A169" s="626"/>
      <c r="B169" s="626"/>
      <c r="C169" s="626"/>
      <c r="D169" s="626"/>
      <c r="E169" s="627"/>
      <c r="F169" s="628"/>
      <c r="G169" s="626"/>
      <c r="H169" s="626"/>
      <c r="I169" s="626"/>
      <c r="J169" s="626"/>
      <c r="K169" s="626"/>
      <c r="L169" s="626"/>
      <c r="M169" s="626"/>
      <c r="N169" s="626"/>
      <c r="O169" s="626"/>
      <c r="P169" s="626"/>
      <c r="Q169" s="626"/>
      <c r="R169" s="626"/>
      <c r="S169" s="626"/>
      <c r="T169" s="626"/>
      <c r="U169" s="626"/>
      <c r="V169" s="626"/>
      <c r="W169" s="626"/>
      <c r="X169" s="626"/>
      <c r="Y169" s="626"/>
    </row>
    <row r="170">
      <c r="A170" s="626"/>
      <c r="B170" s="626"/>
      <c r="C170" s="626"/>
      <c r="D170" s="626"/>
      <c r="E170" s="627"/>
      <c r="F170" s="628"/>
      <c r="G170" s="626"/>
      <c r="H170" s="626"/>
      <c r="I170" s="626"/>
      <c r="J170" s="626"/>
      <c r="K170" s="626"/>
      <c r="L170" s="626"/>
      <c r="M170" s="626"/>
      <c r="N170" s="626"/>
      <c r="O170" s="626"/>
      <c r="P170" s="626"/>
      <c r="Q170" s="626"/>
      <c r="R170" s="626"/>
      <c r="S170" s="626"/>
      <c r="T170" s="626"/>
      <c r="U170" s="626"/>
      <c r="V170" s="626"/>
      <c r="W170" s="626"/>
      <c r="X170" s="626"/>
      <c r="Y170" s="626"/>
    </row>
    <row r="171">
      <c r="A171" s="626"/>
      <c r="B171" s="626"/>
      <c r="C171" s="626"/>
      <c r="D171" s="626"/>
      <c r="E171" s="627"/>
      <c r="F171" s="628"/>
      <c r="G171" s="626"/>
      <c r="H171" s="626"/>
      <c r="I171" s="626"/>
      <c r="J171" s="626"/>
      <c r="K171" s="626"/>
      <c r="L171" s="626"/>
      <c r="M171" s="626"/>
      <c r="N171" s="626"/>
      <c r="O171" s="626"/>
      <c r="P171" s="626"/>
      <c r="Q171" s="626"/>
      <c r="R171" s="626"/>
      <c r="S171" s="626"/>
      <c r="T171" s="626"/>
      <c r="U171" s="626"/>
      <c r="V171" s="626"/>
      <c r="W171" s="626"/>
      <c r="X171" s="626"/>
      <c r="Y171" s="626"/>
    </row>
    <row r="172">
      <c r="A172" s="626"/>
      <c r="B172" s="626"/>
      <c r="C172" s="626"/>
      <c r="D172" s="626"/>
      <c r="E172" s="627"/>
      <c r="F172" s="628"/>
      <c r="G172" s="626"/>
      <c r="H172" s="626"/>
      <c r="I172" s="626"/>
      <c r="J172" s="626"/>
      <c r="K172" s="626"/>
      <c r="L172" s="626"/>
      <c r="M172" s="626"/>
      <c r="N172" s="626"/>
      <c r="O172" s="626"/>
      <c r="P172" s="626"/>
      <c r="Q172" s="626"/>
      <c r="R172" s="626"/>
      <c r="S172" s="626"/>
      <c r="T172" s="626"/>
      <c r="U172" s="626"/>
      <c r="V172" s="626"/>
      <c r="W172" s="626"/>
      <c r="X172" s="626"/>
      <c r="Y172" s="626"/>
    </row>
    <row r="173">
      <c r="A173" s="626"/>
      <c r="B173" s="626"/>
      <c r="C173" s="626"/>
      <c r="D173" s="626"/>
      <c r="E173" s="627"/>
      <c r="F173" s="628"/>
      <c r="G173" s="626"/>
      <c r="H173" s="626"/>
      <c r="I173" s="626"/>
      <c r="J173" s="626"/>
      <c r="K173" s="626"/>
      <c r="L173" s="626"/>
      <c r="M173" s="626"/>
      <c r="N173" s="626"/>
      <c r="O173" s="626"/>
      <c r="P173" s="626"/>
      <c r="Q173" s="626"/>
      <c r="R173" s="626"/>
      <c r="S173" s="626"/>
      <c r="T173" s="626"/>
      <c r="U173" s="626"/>
      <c r="V173" s="626"/>
      <c r="W173" s="626"/>
      <c r="X173" s="626"/>
      <c r="Y173" s="626"/>
    </row>
    <row r="174">
      <c r="A174" s="626"/>
      <c r="B174" s="626"/>
      <c r="C174" s="626"/>
      <c r="D174" s="626"/>
      <c r="E174" s="627"/>
      <c r="F174" s="628"/>
      <c r="G174" s="626"/>
      <c r="H174" s="626"/>
      <c r="I174" s="626"/>
      <c r="J174" s="626"/>
      <c r="K174" s="626"/>
      <c r="L174" s="626"/>
      <c r="M174" s="626"/>
      <c r="N174" s="626"/>
      <c r="O174" s="626"/>
      <c r="P174" s="626"/>
      <c r="Q174" s="626"/>
      <c r="R174" s="626"/>
      <c r="S174" s="626"/>
      <c r="T174" s="626"/>
      <c r="U174" s="626"/>
      <c r="V174" s="626"/>
      <c r="W174" s="626"/>
      <c r="X174" s="626"/>
      <c r="Y174" s="626"/>
    </row>
    <row r="175">
      <c r="A175" s="626"/>
      <c r="B175" s="626"/>
      <c r="C175" s="626"/>
      <c r="D175" s="626"/>
      <c r="E175" s="627"/>
      <c r="F175" s="628"/>
      <c r="G175" s="626"/>
      <c r="H175" s="626"/>
      <c r="I175" s="626"/>
      <c r="J175" s="626"/>
      <c r="K175" s="626"/>
      <c r="L175" s="626"/>
      <c r="M175" s="626"/>
      <c r="N175" s="626"/>
      <c r="O175" s="626"/>
      <c r="P175" s="626"/>
      <c r="Q175" s="626"/>
      <c r="R175" s="626"/>
      <c r="S175" s="626"/>
      <c r="T175" s="626"/>
      <c r="U175" s="626"/>
      <c r="V175" s="626"/>
      <c r="W175" s="626"/>
      <c r="X175" s="626"/>
      <c r="Y175" s="626"/>
    </row>
    <row r="176">
      <c r="A176" s="626"/>
      <c r="B176" s="626"/>
      <c r="C176" s="626"/>
      <c r="D176" s="626"/>
      <c r="E176" s="627"/>
      <c r="F176" s="628"/>
      <c r="G176" s="626"/>
      <c r="H176" s="626"/>
      <c r="I176" s="626"/>
      <c r="J176" s="626"/>
      <c r="K176" s="626"/>
      <c r="L176" s="626"/>
      <c r="M176" s="626"/>
      <c r="N176" s="626"/>
      <c r="O176" s="626"/>
      <c r="P176" s="626"/>
      <c r="Q176" s="626"/>
      <c r="R176" s="626"/>
      <c r="S176" s="626"/>
      <c r="T176" s="626"/>
      <c r="U176" s="626"/>
      <c r="V176" s="626"/>
      <c r="W176" s="626"/>
      <c r="X176" s="626"/>
      <c r="Y176" s="626"/>
    </row>
    <row r="177">
      <c r="A177" s="626"/>
      <c r="B177" s="626"/>
      <c r="C177" s="626"/>
      <c r="D177" s="626"/>
      <c r="E177" s="627"/>
      <c r="F177" s="628"/>
      <c r="G177" s="626"/>
      <c r="H177" s="626"/>
      <c r="I177" s="626"/>
      <c r="J177" s="626"/>
      <c r="K177" s="626"/>
      <c r="L177" s="626"/>
      <c r="M177" s="626"/>
      <c r="N177" s="626"/>
      <c r="O177" s="626"/>
      <c r="P177" s="626"/>
      <c r="Q177" s="626"/>
      <c r="R177" s="626"/>
      <c r="S177" s="626"/>
      <c r="T177" s="626"/>
      <c r="U177" s="626"/>
      <c r="V177" s="626"/>
      <c r="W177" s="626"/>
      <c r="X177" s="626"/>
      <c r="Y177" s="626"/>
    </row>
    <row r="178">
      <c r="A178" s="626"/>
      <c r="B178" s="626"/>
      <c r="C178" s="626"/>
      <c r="D178" s="626"/>
      <c r="E178" s="627"/>
      <c r="F178" s="628"/>
      <c r="G178" s="626"/>
      <c r="H178" s="626"/>
      <c r="I178" s="626"/>
      <c r="J178" s="626"/>
      <c r="K178" s="626"/>
      <c r="L178" s="626"/>
      <c r="M178" s="626"/>
      <c r="N178" s="626"/>
      <c r="O178" s="626"/>
      <c r="P178" s="626"/>
      <c r="Q178" s="626"/>
      <c r="R178" s="626"/>
      <c r="S178" s="626"/>
      <c r="T178" s="626"/>
      <c r="U178" s="626"/>
      <c r="V178" s="626"/>
      <c r="W178" s="626"/>
      <c r="X178" s="626"/>
      <c r="Y178" s="626"/>
    </row>
    <row r="179">
      <c r="A179" s="626"/>
      <c r="B179" s="626"/>
      <c r="C179" s="626"/>
      <c r="D179" s="626"/>
      <c r="E179" s="627"/>
      <c r="F179" s="628"/>
      <c r="G179" s="626"/>
      <c r="H179" s="626"/>
      <c r="I179" s="626"/>
      <c r="J179" s="626"/>
      <c r="K179" s="626"/>
      <c r="L179" s="626"/>
      <c r="M179" s="626"/>
      <c r="N179" s="626"/>
      <c r="O179" s="626"/>
      <c r="P179" s="626"/>
      <c r="Q179" s="626"/>
      <c r="R179" s="626"/>
      <c r="S179" s="626"/>
      <c r="T179" s="626"/>
      <c r="U179" s="626"/>
      <c r="V179" s="626"/>
      <c r="W179" s="626"/>
      <c r="X179" s="626"/>
      <c r="Y179" s="626"/>
    </row>
    <row r="180">
      <c r="A180" s="626"/>
      <c r="B180" s="626"/>
      <c r="C180" s="626"/>
      <c r="D180" s="626"/>
      <c r="E180" s="627"/>
      <c r="F180" s="628"/>
      <c r="G180" s="626"/>
      <c r="H180" s="626"/>
      <c r="I180" s="626"/>
      <c r="J180" s="626"/>
      <c r="K180" s="626"/>
      <c r="L180" s="626"/>
      <c r="M180" s="626"/>
      <c r="N180" s="626"/>
      <c r="O180" s="626"/>
      <c r="P180" s="626"/>
      <c r="Q180" s="626"/>
      <c r="R180" s="626"/>
      <c r="S180" s="626"/>
      <c r="T180" s="626"/>
      <c r="U180" s="626"/>
      <c r="V180" s="626"/>
      <c r="W180" s="626"/>
      <c r="X180" s="626"/>
      <c r="Y180" s="626"/>
    </row>
    <row r="181">
      <c r="A181" s="626"/>
      <c r="B181" s="626"/>
      <c r="C181" s="626"/>
      <c r="D181" s="626"/>
      <c r="E181" s="627"/>
      <c r="F181" s="628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</row>
    <row r="182">
      <c r="A182" s="626"/>
      <c r="B182" s="626"/>
      <c r="C182" s="626"/>
      <c r="D182" s="626"/>
      <c r="E182" s="627"/>
      <c r="F182" s="628"/>
      <c r="G182" s="626"/>
      <c r="H182" s="626"/>
      <c r="I182" s="626"/>
      <c r="J182" s="626"/>
      <c r="K182" s="626"/>
      <c r="L182" s="626"/>
      <c r="M182" s="626"/>
      <c r="N182" s="626"/>
      <c r="O182" s="626"/>
      <c r="P182" s="626"/>
      <c r="Q182" s="626"/>
      <c r="R182" s="626"/>
      <c r="S182" s="626"/>
      <c r="T182" s="626"/>
      <c r="U182" s="626"/>
      <c r="V182" s="626"/>
      <c r="W182" s="626"/>
      <c r="X182" s="626"/>
      <c r="Y182" s="626"/>
    </row>
    <row r="183">
      <c r="A183" s="626"/>
      <c r="B183" s="626"/>
      <c r="C183" s="626"/>
      <c r="D183" s="626"/>
      <c r="E183" s="627"/>
      <c r="F183" s="628"/>
      <c r="G183" s="626"/>
      <c r="H183" s="626"/>
      <c r="I183" s="626"/>
      <c r="J183" s="626"/>
      <c r="K183" s="626"/>
      <c r="L183" s="626"/>
      <c r="M183" s="626"/>
      <c r="N183" s="626"/>
      <c r="O183" s="626"/>
      <c r="P183" s="626"/>
      <c r="Q183" s="626"/>
      <c r="R183" s="626"/>
      <c r="S183" s="626"/>
      <c r="T183" s="626"/>
      <c r="U183" s="626"/>
      <c r="V183" s="626"/>
      <c r="W183" s="626"/>
      <c r="X183" s="626"/>
      <c r="Y183" s="626"/>
    </row>
    <row r="184">
      <c r="A184" s="626"/>
      <c r="B184" s="626"/>
      <c r="C184" s="626"/>
      <c r="D184" s="626"/>
      <c r="E184" s="627"/>
      <c r="F184" s="628"/>
      <c r="G184" s="626"/>
      <c r="H184" s="626"/>
      <c r="I184" s="626"/>
      <c r="J184" s="626"/>
      <c r="K184" s="626"/>
      <c r="L184" s="626"/>
      <c r="M184" s="626"/>
      <c r="N184" s="626"/>
      <c r="O184" s="626"/>
      <c r="P184" s="626"/>
      <c r="Q184" s="626"/>
      <c r="R184" s="626"/>
      <c r="S184" s="626"/>
      <c r="T184" s="626"/>
      <c r="U184" s="626"/>
      <c r="V184" s="626"/>
      <c r="W184" s="626"/>
      <c r="X184" s="626"/>
      <c r="Y184" s="626"/>
    </row>
    <row r="185">
      <c r="A185" s="626"/>
      <c r="B185" s="626"/>
      <c r="C185" s="626"/>
      <c r="D185" s="626"/>
      <c r="E185" s="627"/>
      <c r="F185" s="628"/>
      <c r="G185" s="626"/>
      <c r="H185" s="626"/>
      <c r="I185" s="626"/>
      <c r="J185" s="626"/>
      <c r="K185" s="626"/>
      <c r="L185" s="626"/>
      <c r="M185" s="626"/>
      <c r="N185" s="626"/>
      <c r="O185" s="626"/>
      <c r="P185" s="626"/>
      <c r="Q185" s="626"/>
      <c r="R185" s="626"/>
      <c r="S185" s="626"/>
      <c r="T185" s="626"/>
      <c r="U185" s="626"/>
      <c r="V185" s="626"/>
      <c r="W185" s="626"/>
      <c r="X185" s="626"/>
      <c r="Y185" s="626"/>
    </row>
    <row r="186">
      <c r="A186" s="626"/>
      <c r="B186" s="626"/>
      <c r="C186" s="626"/>
      <c r="D186" s="626"/>
      <c r="E186" s="627"/>
      <c r="F186" s="628"/>
      <c r="G186" s="626"/>
      <c r="H186" s="626"/>
      <c r="I186" s="626"/>
      <c r="J186" s="626"/>
      <c r="K186" s="626"/>
      <c r="L186" s="626"/>
      <c r="M186" s="626"/>
      <c r="N186" s="626"/>
      <c r="O186" s="626"/>
      <c r="P186" s="626"/>
      <c r="Q186" s="626"/>
      <c r="R186" s="626"/>
      <c r="S186" s="626"/>
      <c r="T186" s="626"/>
      <c r="U186" s="626"/>
      <c r="V186" s="626"/>
      <c r="W186" s="626"/>
      <c r="X186" s="626"/>
      <c r="Y186" s="626"/>
    </row>
    <row r="187">
      <c r="A187" s="626"/>
      <c r="B187" s="626"/>
      <c r="C187" s="626"/>
      <c r="D187" s="626"/>
      <c r="E187" s="627"/>
      <c r="F187" s="628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</row>
    <row r="188">
      <c r="A188" s="626"/>
      <c r="B188" s="626"/>
      <c r="C188" s="626"/>
      <c r="D188" s="626"/>
      <c r="E188" s="627"/>
      <c r="F188" s="628"/>
      <c r="G188" s="626"/>
      <c r="H188" s="626"/>
      <c r="I188" s="626"/>
      <c r="J188" s="626"/>
      <c r="K188" s="626"/>
      <c r="L188" s="626"/>
      <c r="M188" s="626"/>
      <c r="N188" s="626"/>
      <c r="O188" s="626"/>
      <c r="P188" s="626"/>
      <c r="Q188" s="626"/>
      <c r="R188" s="626"/>
      <c r="S188" s="626"/>
      <c r="T188" s="626"/>
      <c r="U188" s="626"/>
      <c r="V188" s="626"/>
      <c r="W188" s="626"/>
      <c r="X188" s="626"/>
      <c r="Y188" s="626"/>
    </row>
    <row r="189">
      <c r="A189" s="626"/>
      <c r="B189" s="626"/>
      <c r="C189" s="626"/>
      <c r="D189" s="626"/>
      <c r="E189" s="627"/>
      <c r="F189" s="628"/>
      <c r="G189" s="626"/>
      <c r="H189" s="626"/>
      <c r="I189" s="626"/>
      <c r="J189" s="626"/>
      <c r="K189" s="626"/>
      <c r="L189" s="626"/>
      <c r="M189" s="626"/>
      <c r="N189" s="626"/>
      <c r="O189" s="626"/>
      <c r="P189" s="626"/>
      <c r="Q189" s="626"/>
      <c r="R189" s="626"/>
      <c r="S189" s="626"/>
      <c r="T189" s="626"/>
      <c r="U189" s="626"/>
      <c r="V189" s="626"/>
      <c r="W189" s="626"/>
      <c r="X189" s="626"/>
      <c r="Y189" s="626"/>
    </row>
    <row r="190">
      <c r="A190" s="626"/>
      <c r="B190" s="626"/>
      <c r="C190" s="626"/>
      <c r="D190" s="626"/>
      <c r="E190" s="627"/>
      <c r="F190" s="628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</row>
    <row r="191">
      <c r="A191" s="626"/>
      <c r="B191" s="626"/>
      <c r="C191" s="626"/>
      <c r="D191" s="626"/>
      <c r="E191" s="627"/>
      <c r="F191" s="628"/>
      <c r="G191" s="626"/>
      <c r="H191" s="626"/>
      <c r="I191" s="626"/>
      <c r="J191" s="626"/>
      <c r="K191" s="626"/>
      <c r="L191" s="626"/>
      <c r="M191" s="626"/>
      <c r="N191" s="626"/>
      <c r="O191" s="626"/>
      <c r="P191" s="626"/>
      <c r="Q191" s="626"/>
      <c r="R191" s="626"/>
      <c r="S191" s="626"/>
      <c r="T191" s="626"/>
      <c r="U191" s="626"/>
      <c r="V191" s="626"/>
      <c r="W191" s="626"/>
      <c r="X191" s="626"/>
      <c r="Y191" s="626"/>
    </row>
    <row r="192">
      <c r="A192" s="626"/>
      <c r="B192" s="626"/>
      <c r="C192" s="626"/>
      <c r="D192" s="626"/>
      <c r="E192" s="627"/>
      <c r="F192" s="628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</row>
    <row r="193">
      <c r="A193" s="626"/>
      <c r="B193" s="626"/>
      <c r="C193" s="626"/>
      <c r="D193" s="626"/>
      <c r="E193" s="627"/>
      <c r="F193" s="628"/>
      <c r="G193" s="626"/>
      <c r="H193" s="626"/>
      <c r="I193" s="626"/>
      <c r="J193" s="626"/>
      <c r="K193" s="626"/>
      <c r="L193" s="626"/>
      <c r="M193" s="626"/>
      <c r="N193" s="626"/>
      <c r="O193" s="626"/>
      <c r="P193" s="626"/>
      <c r="Q193" s="626"/>
      <c r="R193" s="626"/>
      <c r="S193" s="626"/>
      <c r="T193" s="626"/>
      <c r="U193" s="626"/>
      <c r="V193" s="626"/>
      <c r="W193" s="626"/>
      <c r="X193" s="626"/>
      <c r="Y193" s="626"/>
    </row>
    <row r="194">
      <c r="A194" s="626"/>
      <c r="B194" s="626"/>
      <c r="C194" s="626"/>
      <c r="D194" s="626"/>
      <c r="E194" s="627"/>
      <c r="F194" s="628"/>
      <c r="G194" s="626"/>
      <c r="H194" s="626"/>
      <c r="I194" s="626"/>
      <c r="J194" s="626"/>
      <c r="K194" s="626"/>
      <c r="L194" s="626"/>
      <c r="M194" s="626"/>
      <c r="N194" s="626"/>
      <c r="O194" s="626"/>
      <c r="P194" s="626"/>
      <c r="Q194" s="626"/>
      <c r="R194" s="626"/>
      <c r="S194" s="626"/>
      <c r="T194" s="626"/>
      <c r="U194" s="626"/>
      <c r="V194" s="626"/>
      <c r="W194" s="626"/>
      <c r="X194" s="626"/>
      <c r="Y194" s="626"/>
    </row>
    <row r="195">
      <c r="A195" s="626"/>
      <c r="B195" s="626"/>
      <c r="C195" s="626"/>
      <c r="D195" s="626"/>
      <c r="E195" s="627"/>
      <c r="F195" s="628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</row>
    <row r="196">
      <c r="A196" s="626"/>
      <c r="B196" s="626"/>
      <c r="C196" s="626"/>
      <c r="D196" s="626"/>
      <c r="E196" s="627"/>
      <c r="F196" s="628"/>
      <c r="G196" s="626"/>
      <c r="H196" s="626"/>
      <c r="I196" s="626"/>
      <c r="J196" s="626"/>
      <c r="K196" s="626"/>
      <c r="L196" s="626"/>
      <c r="M196" s="626"/>
      <c r="N196" s="626"/>
      <c r="O196" s="626"/>
      <c r="P196" s="626"/>
      <c r="Q196" s="626"/>
      <c r="R196" s="626"/>
      <c r="S196" s="626"/>
      <c r="T196" s="626"/>
      <c r="U196" s="626"/>
      <c r="V196" s="626"/>
      <c r="W196" s="626"/>
      <c r="X196" s="626"/>
      <c r="Y196" s="626"/>
    </row>
    <row r="197">
      <c r="A197" s="626"/>
      <c r="B197" s="626"/>
      <c r="C197" s="626"/>
      <c r="D197" s="626"/>
      <c r="E197" s="627"/>
      <c r="F197" s="628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</row>
    <row r="198">
      <c r="A198" s="626"/>
      <c r="B198" s="626"/>
      <c r="C198" s="626"/>
      <c r="D198" s="626"/>
      <c r="E198" s="627"/>
      <c r="F198" s="628"/>
      <c r="G198" s="626"/>
      <c r="H198" s="626"/>
      <c r="I198" s="626"/>
      <c r="J198" s="626"/>
      <c r="K198" s="626"/>
      <c r="L198" s="626"/>
      <c r="M198" s="626"/>
      <c r="N198" s="626"/>
      <c r="O198" s="626"/>
      <c r="P198" s="626"/>
      <c r="Q198" s="626"/>
      <c r="R198" s="626"/>
      <c r="S198" s="626"/>
      <c r="T198" s="626"/>
      <c r="U198" s="626"/>
      <c r="V198" s="626"/>
      <c r="W198" s="626"/>
      <c r="X198" s="626"/>
      <c r="Y198" s="626"/>
    </row>
    <row r="199">
      <c r="A199" s="626"/>
      <c r="B199" s="626"/>
      <c r="C199" s="626"/>
      <c r="D199" s="626"/>
      <c r="E199" s="627"/>
      <c r="F199" s="628"/>
      <c r="G199" s="626"/>
      <c r="H199" s="626"/>
      <c r="I199" s="626"/>
      <c r="J199" s="626"/>
      <c r="K199" s="626"/>
      <c r="L199" s="626"/>
      <c r="M199" s="626"/>
      <c r="N199" s="626"/>
      <c r="O199" s="626"/>
      <c r="P199" s="626"/>
      <c r="Q199" s="626"/>
      <c r="R199" s="626"/>
      <c r="S199" s="626"/>
      <c r="T199" s="626"/>
      <c r="U199" s="626"/>
      <c r="V199" s="626"/>
      <c r="W199" s="626"/>
      <c r="X199" s="626"/>
      <c r="Y199" s="626"/>
    </row>
    <row r="200">
      <c r="A200" s="626"/>
      <c r="B200" s="626"/>
      <c r="C200" s="626"/>
      <c r="D200" s="626"/>
      <c r="E200" s="627"/>
      <c r="F200" s="628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</row>
    <row r="201">
      <c r="A201" s="626"/>
      <c r="B201" s="626"/>
      <c r="C201" s="626"/>
      <c r="D201" s="626"/>
      <c r="E201" s="627"/>
      <c r="F201" s="628"/>
      <c r="G201" s="626"/>
      <c r="H201" s="626"/>
      <c r="I201" s="626"/>
      <c r="J201" s="626"/>
      <c r="K201" s="626"/>
      <c r="L201" s="626"/>
      <c r="M201" s="626"/>
      <c r="N201" s="626"/>
      <c r="O201" s="626"/>
      <c r="P201" s="626"/>
      <c r="Q201" s="626"/>
      <c r="R201" s="626"/>
      <c r="S201" s="626"/>
      <c r="T201" s="626"/>
      <c r="U201" s="626"/>
      <c r="V201" s="626"/>
      <c r="W201" s="626"/>
      <c r="X201" s="626"/>
      <c r="Y201" s="626"/>
    </row>
    <row r="202">
      <c r="A202" s="626"/>
      <c r="B202" s="626"/>
      <c r="C202" s="626"/>
      <c r="D202" s="626"/>
      <c r="E202" s="627"/>
      <c r="F202" s="628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</row>
    <row r="203">
      <c r="A203" s="626"/>
      <c r="B203" s="626"/>
      <c r="C203" s="626"/>
      <c r="D203" s="626"/>
      <c r="E203" s="627"/>
      <c r="F203" s="628"/>
      <c r="G203" s="626"/>
      <c r="H203" s="626"/>
      <c r="I203" s="626"/>
      <c r="J203" s="626"/>
      <c r="K203" s="626"/>
      <c r="L203" s="626"/>
      <c r="M203" s="626"/>
      <c r="N203" s="626"/>
      <c r="O203" s="626"/>
      <c r="P203" s="626"/>
      <c r="Q203" s="626"/>
      <c r="R203" s="626"/>
      <c r="S203" s="626"/>
      <c r="T203" s="626"/>
      <c r="U203" s="626"/>
      <c r="V203" s="626"/>
      <c r="W203" s="626"/>
      <c r="X203" s="626"/>
      <c r="Y203" s="626"/>
    </row>
    <row r="204">
      <c r="A204" s="626"/>
      <c r="B204" s="626"/>
      <c r="C204" s="626"/>
      <c r="D204" s="626"/>
      <c r="E204" s="627"/>
      <c r="F204" s="628"/>
      <c r="G204" s="626"/>
      <c r="H204" s="626"/>
      <c r="I204" s="626"/>
      <c r="J204" s="626"/>
      <c r="K204" s="626"/>
      <c r="L204" s="626"/>
      <c r="M204" s="626"/>
      <c r="N204" s="626"/>
      <c r="O204" s="626"/>
      <c r="P204" s="626"/>
      <c r="Q204" s="626"/>
      <c r="R204" s="626"/>
      <c r="S204" s="626"/>
      <c r="T204" s="626"/>
      <c r="U204" s="626"/>
      <c r="V204" s="626"/>
      <c r="W204" s="626"/>
      <c r="X204" s="626"/>
      <c r="Y204" s="626"/>
    </row>
    <row r="205">
      <c r="A205" s="626"/>
      <c r="B205" s="626"/>
      <c r="C205" s="626"/>
      <c r="D205" s="626"/>
      <c r="E205" s="627"/>
      <c r="F205" s="628"/>
      <c r="G205" s="626"/>
      <c r="H205" s="626"/>
      <c r="I205" s="626"/>
      <c r="J205" s="626"/>
      <c r="K205" s="626"/>
      <c r="L205" s="626"/>
      <c r="M205" s="626"/>
      <c r="N205" s="626"/>
      <c r="O205" s="626"/>
      <c r="P205" s="626"/>
      <c r="Q205" s="626"/>
      <c r="R205" s="626"/>
      <c r="S205" s="626"/>
      <c r="T205" s="626"/>
      <c r="U205" s="626"/>
      <c r="V205" s="626"/>
      <c r="W205" s="626"/>
      <c r="X205" s="626"/>
      <c r="Y205" s="626"/>
    </row>
    <row r="206">
      <c r="A206" s="626"/>
      <c r="B206" s="626"/>
      <c r="C206" s="626"/>
      <c r="D206" s="626"/>
      <c r="E206" s="627"/>
      <c r="F206" s="628"/>
      <c r="G206" s="626"/>
      <c r="H206" s="626"/>
      <c r="I206" s="626"/>
      <c r="J206" s="626"/>
      <c r="K206" s="626"/>
      <c r="L206" s="626"/>
      <c r="M206" s="626"/>
      <c r="N206" s="626"/>
      <c r="O206" s="626"/>
      <c r="P206" s="626"/>
      <c r="Q206" s="626"/>
      <c r="R206" s="626"/>
      <c r="S206" s="626"/>
      <c r="T206" s="626"/>
      <c r="U206" s="626"/>
      <c r="V206" s="626"/>
      <c r="W206" s="626"/>
      <c r="X206" s="626"/>
      <c r="Y206" s="626"/>
    </row>
    <row r="207">
      <c r="A207" s="626"/>
      <c r="B207" s="626"/>
      <c r="C207" s="626"/>
      <c r="D207" s="626"/>
      <c r="E207" s="627"/>
      <c r="F207" s="628"/>
      <c r="G207" s="626"/>
      <c r="H207" s="626"/>
      <c r="I207" s="626"/>
      <c r="J207" s="626"/>
      <c r="K207" s="626"/>
      <c r="L207" s="626"/>
      <c r="M207" s="626"/>
      <c r="N207" s="626"/>
      <c r="O207" s="626"/>
      <c r="P207" s="626"/>
      <c r="Q207" s="626"/>
      <c r="R207" s="626"/>
      <c r="S207" s="626"/>
      <c r="T207" s="626"/>
      <c r="U207" s="626"/>
      <c r="V207" s="626"/>
      <c r="W207" s="626"/>
      <c r="X207" s="626"/>
      <c r="Y207" s="626"/>
    </row>
    <row r="208">
      <c r="A208" s="626"/>
      <c r="B208" s="626"/>
      <c r="C208" s="626"/>
      <c r="D208" s="626"/>
      <c r="E208" s="627"/>
      <c r="F208" s="628"/>
      <c r="G208" s="626"/>
      <c r="H208" s="626"/>
      <c r="I208" s="626"/>
      <c r="J208" s="626"/>
      <c r="K208" s="626"/>
      <c r="L208" s="626"/>
      <c r="M208" s="626"/>
      <c r="N208" s="626"/>
      <c r="O208" s="626"/>
      <c r="P208" s="626"/>
      <c r="Q208" s="626"/>
      <c r="R208" s="626"/>
      <c r="S208" s="626"/>
      <c r="T208" s="626"/>
      <c r="U208" s="626"/>
      <c r="V208" s="626"/>
      <c r="W208" s="626"/>
      <c r="X208" s="626"/>
      <c r="Y208" s="626"/>
    </row>
    <row r="209">
      <c r="A209" s="626"/>
      <c r="B209" s="626"/>
      <c r="C209" s="626"/>
      <c r="D209" s="626"/>
      <c r="E209" s="627"/>
      <c r="F209" s="628"/>
      <c r="G209" s="626"/>
      <c r="H209" s="626"/>
      <c r="I209" s="626"/>
      <c r="J209" s="626"/>
      <c r="K209" s="626"/>
      <c r="L209" s="626"/>
      <c r="M209" s="626"/>
      <c r="N209" s="626"/>
      <c r="O209" s="626"/>
      <c r="P209" s="626"/>
      <c r="Q209" s="626"/>
      <c r="R209" s="626"/>
      <c r="S209" s="626"/>
      <c r="T209" s="626"/>
      <c r="U209" s="626"/>
      <c r="V209" s="626"/>
      <c r="W209" s="626"/>
      <c r="X209" s="626"/>
      <c r="Y209" s="626"/>
    </row>
    <row r="210">
      <c r="A210" s="626"/>
      <c r="B210" s="626"/>
      <c r="C210" s="626"/>
      <c r="D210" s="626"/>
      <c r="E210" s="627"/>
      <c r="F210" s="628"/>
      <c r="G210" s="626"/>
      <c r="H210" s="626"/>
      <c r="I210" s="626"/>
      <c r="J210" s="626"/>
      <c r="K210" s="626"/>
      <c r="L210" s="626"/>
      <c r="M210" s="626"/>
      <c r="N210" s="626"/>
      <c r="O210" s="626"/>
      <c r="P210" s="626"/>
      <c r="Q210" s="626"/>
      <c r="R210" s="626"/>
      <c r="S210" s="626"/>
      <c r="T210" s="626"/>
      <c r="U210" s="626"/>
      <c r="V210" s="626"/>
      <c r="W210" s="626"/>
      <c r="X210" s="626"/>
      <c r="Y210" s="626"/>
    </row>
    <row r="211">
      <c r="A211" s="626"/>
      <c r="B211" s="626"/>
      <c r="C211" s="626"/>
      <c r="D211" s="626"/>
      <c r="E211" s="627"/>
      <c r="F211" s="628"/>
      <c r="G211" s="626"/>
      <c r="H211" s="626"/>
      <c r="I211" s="626"/>
      <c r="J211" s="626"/>
      <c r="K211" s="626"/>
      <c r="L211" s="626"/>
      <c r="M211" s="626"/>
      <c r="N211" s="626"/>
      <c r="O211" s="626"/>
      <c r="P211" s="626"/>
      <c r="Q211" s="626"/>
      <c r="R211" s="626"/>
      <c r="S211" s="626"/>
      <c r="T211" s="626"/>
      <c r="U211" s="626"/>
      <c r="V211" s="626"/>
      <c r="W211" s="626"/>
      <c r="X211" s="626"/>
      <c r="Y211" s="626"/>
    </row>
    <row r="212">
      <c r="A212" s="626"/>
      <c r="B212" s="626"/>
      <c r="C212" s="626"/>
      <c r="D212" s="626"/>
      <c r="E212" s="627"/>
      <c r="F212" s="628"/>
      <c r="G212" s="626"/>
      <c r="H212" s="626"/>
      <c r="I212" s="626"/>
      <c r="J212" s="626"/>
      <c r="K212" s="626"/>
      <c r="L212" s="626"/>
      <c r="M212" s="626"/>
      <c r="N212" s="626"/>
      <c r="O212" s="626"/>
      <c r="P212" s="626"/>
      <c r="Q212" s="626"/>
      <c r="R212" s="626"/>
      <c r="S212" s="626"/>
      <c r="T212" s="626"/>
      <c r="U212" s="626"/>
      <c r="V212" s="626"/>
      <c r="W212" s="626"/>
      <c r="X212" s="626"/>
      <c r="Y212" s="626"/>
    </row>
    <row r="213">
      <c r="A213" s="626"/>
      <c r="B213" s="626"/>
      <c r="C213" s="626"/>
      <c r="D213" s="626"/>
      <c r="E213" s="627"/>
      <c r="F213" s="628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</row>
    <row r="214">
      <c r="A214" s="626"/>
      <c r="B214" s="626"/>
      <c r="C214" s="626"/>
      <c r="D214" s="626"/>
      <c r="E214" s="627"/>
      <c r="F214" s="628"/>
      <c r="G214" s="626"/>
      <c r="H214" s="626"/>
      <c r="I214" s="626"/>
      <c r="J214" s="626"/>
      <c r="K214" s="626"/>
      <c r="L214" s="626"/>
      <c r="M214" s="626"/>
      <c r="N214" s="626"/>
      <c r="O214" s="626"/>
      <c r="P214" s="626"/>
      <c r="Q214" s="626"/>
      <c r="R214" s="626"/>
      <c r="S214" s="626"/>
      <c r="T214" s="626"/>
      <c r="U214" s="626"/>
      <c r="V214" s="626"/>
      <c r="W214" s="626"/>
      <c r="X214" s="626"/>
      <c r="Y214" s="626"/>
    </row>
    <row r="215">
      <c r="A215" s="626"/>
      <c r="B215" s="626"/>
      <c r="C215" s="626"/>
      <c r="D215" s="626"/>
      <c r="E215" s="627"/>
      <c r="F215" s="628"/>
      <c r="G215" s="626"/>
      <c r="H215" s="626"/>
      <c r="I215" s="626"/>
      <c r="J215" s="626"/>
      <c r="K215" s="626"/>
      <c r="L215" s="626"/>
      <c r="M215" s="626"/>
      <c r="N215" s="626"/>
      <c r="O215" s="626"/>
      <c r="P215" s="626"/>
      <c r="Q215" s="626"/>
      <c r="R215" s="626"/>
      <c r="S215" s="626"/>
      <c r="T215" s="626"/>
      <c r="U215" s="626"/>
      <c r="V215" s="626"/>
      <c r="W215" s="626"/>
      <c r="X215" s="626"/>
      <c r="Y215" s="626"/>
    </row>
    <row r="216">
      <c r="A216" s="626"/>
      <c r="B216" s="626"/>
      <c r="C216" s="626"/>
      <c r="D216" s="626"/>
      <c r="E216" s="627"/>
      <c r="F216" s="628"/>
      <c r="G216" s="626"/>
      <c r="H216" s="626"/>
      <c r="I216" s="626"/>
      <c r="J216" s="626"/>
      <c r="K216" s="626"/>
      <c r="L216" s="626"/>
      <c r="M216" s="626"/>
      <c r="N216" s="626"/>
      <c r="O216" s="626"/>
      <c r="P216" s="626"/>
      <c r="Q216" s="626"/>
      <c r="R216" s="626"/>
      <c r="S216" s="626"/>
      <c r="T216" s="626"/>
      <c r="U216" s="626"/>
      <c r="V216" s="626"/>
      <c r="W216" s="626"/>
      <c r="X216" s="626"/>
      <c r="Y216" s="626"/>
    </row>
    <row r="217">
      <c r="A217" s="626"/>
      <c r="B217" s="626"/>
      <c r="C217" s="626"/>
      <c r="D217" s="626"/>
      <c r="E217" s="627"/>
      <c r="F217" s="628"/>
      <c r="G217" s="626"/>
      <c r="H217" s="626"/>
      <c r="I217" s="626"/>
      <c r="J217" s="626"/>
      <c r="K217" s="626"/>
      <c r="L217" s="626"/>
      <c r="M217" s="626"/>
      <c r="N217" s="626"/>
      <c r="O217" s="626"/>
      <c r="P217" s="626"/>
      <c r="Q217" s="626"/>
      <c r="R217" s="626"/>
      <c r="S217" s="626"/>
      <c r="T217" s="626"/>
      <c r="U217" s="626"/>
      <c r="V217" s="626"/>
      <c r="W217" s="626"/>
      <c r="X217" s="626"/>
      <c r="Y217" s="626"/>
    </row>
    <row r="218">
      <c r="A218" s="626"/>
      <c r="B218" s="626"/>
      <c r="C218" s="626"/>
      <c r="D218" s="626"/>
      <c r="E218" s="627"/>
      <c r="F218" s="628"/>
      <c r="G218" s="626"/>
      <c r="H218" s="626"/>
      <c r="I218" s="626"/>
      <c r="J218" s="626"/>
      <c r="K218" s="626"/>
      <c r="L218" s="626"/>
      <c r="M218" s="626"/>
      <c r="N218" s="626"/>
      <c r="O218" s="626"/>
      <c r="P218" s="626"/>
      <c r="Q218" s="626"/>
      <c r="R218" s="626"/>
      <c r="S218" s="626"/>
      <c r="T218" s="626"/>
      <c r="U218" s="626"/>
      <c r="V218" s="626"/>
      <c r="W218" s="626"/>
      <c r="X218" s="626"/>
      <c r="Y218" s="626"/>
    </row>
    <row r="219">
      <c r="A219" s="626"/>
      <c r="B219" s="626"/>
      <c r="C219" s="626"/>
      <c r="D219" s="626"/>
      <c r="E219" s="627"/>
      <c r="F219" s="628"/>
      <c r="G219" s="626"/>
      <c r="H219" s="626"/>
      <c r="I219" s="626"/>
      <c r="J219" s="626"/>
      <c r="K219" s="626"/>
      <c r="L219" s="626"/>
      <c r="M219" s="626"/>
      <c r="N219" s="626"/>
      <c r="O219" s="626"/>
      <c r="P219" s="626"/>
      <c r="Q219" s="626"/>
      <c r="R219" s="626"/>
      <c r="S219" s="626"/>
      <c r="T219" s="626"/>
      <c r="U219" s="626"/>
      <c r="V219" s="626"/>
      <c r="W219" s="626"/>
      <c r="X219" s="626"/>
      <c r="Y219" s="626"/>
    </row>
    <row r="220">
      <c r="A220" s="626"/>
      <c r="B220" s="626"/>
      <c r="C220" s="626"/>
      <c r="D220" s="626"/>
      <c r="E220" s="627"/>
      <c r="F220" s="628"/>
      <c r="G220" s="626"/>
      <c r="H220" s="626"/>
      <c r="I220" s="626"/>
      <c r="J220" s="626"/>
      <c r="K220" s="626"/>
      <c r="L220" s="626"/>
      <c r="M220" s="626"/>
      <c r="N220" s="626"/>
      <c r="O220" s="626"/>
      <c r="P220" s="626"/>
      <c r="Q220" s="626"/>
      <c r="R220" s="626"/>
      <c r="S220" s="626"/>
      <c r="T220" s="626"/>
      <c r="U220" s="626"/>
      <c r="V220" s="626"/>
      <c r="W220" s="626"/>
      <c r="X220" s="626"/>
      <c r="Y220" s="626"/>
    </row>
    <row r="221">
      <c r="A221" s="626"/>
      <c r="B221" s="626"/>
      <c r="C221" s="626"/>
      <c r="D221" s="626"/>
      <c r="E221" s="627"/>
      <c r="F221" s="628"/>
      <c r="G221" s="626"/>
      <c r="H221" s="626"/>
      <c r="I221" s="626"/>
      <c r="J221" s="626"/>
      <c r="K221" s="626"/>
      <c r="L221" s="626"/>
      <c r="M221" s="626"/>
      <c r="N221" s="626"/>
      <c r="O221" s="626"/>
      <c r="P221" s="626"/>
      <c r="Q221" s="626"/>
      <c r="R221" s="626"/>
      <c r="S221" s="626"/>
      <c r="T221" s="626"/>
      <c r="U221" s="626"/>
      <c r="V221" s="626"/>
      <c r="W221" s="626"/>
      <c r="X221" s="626"/>
      <c r="Y221" s="626"/>
    </row>
    <row r="222">
      <c r="A222" s="626"/>
      <c r="B222" s="626"/>
      <c r="C222" s="626"/>
      <c r="D222" s="626"/>
      <c r="E222" s="627"/>
      <c r="F222" s="628"/>
      <c r="G222" s="626"/>
      <c r="H222" s="626"/>
      <c r="I222" s="626"/>
      <c r="J222" s="626"/>
      <c r="K222" s="626"/>
      <c r="L222" s="626"/>
      <c r="M222" s="626"/>
      <c r="N222" s="626"/>
      <c r="O222" s="626"/>
      <c r="P222" s="626"/>
      <c r="Q222" s="626"/>
      <c r="R222" s="626"/>
      <c r="S222" s="626"/>
      <c r="T222" s="626"/>
      <c r="U222" s="626"/>
      <c r="V222" s="626"/>
      <c r="W222" s="626"/>
      <c r="X222" s="626"/>
      <c r="Y222" s="626"/>
    </row>
    <row r="223">
      <c r="A223" s="626"/>
      <c r="B223" s="626"/>
      <c r="C223" s="626"/>
      <c r="D223" s="626"/>
      <c r="E223" s="627"/>
      <c r="F223" s="628"/>
      <c r="G223" s="626"/>
      <c r="H223" s="626"/>
      <c r="I223" s="626"/>
      <c r="J223" s="626"/>
      <c r="K223" s="626"/>
      <c r="L223" s="626"/>
      <c r="M223" s="626"/>
      <c r="N223" s="626"/>
      <c r="O223" s="626"/>
      <c r="P223" s="626"/>
      <c r="Q223" s="626"/>
      <c r="R223" s="626"/>
      <c r="S223" s="626"/>
      <c r="T223" s="626"/>
      <c r="U223" s="626"/>
      <c r="V223" s="626"/>
      <c r="W223" s="626"/>
      <c r="X223" s="626"/>
      <c r="Y223" s="626"/>
    </row>
    <row r="224">
      <c r="A224" s="626"/>
      <c r="B224" s="626"/>
      <c r="C224" s="626"/>
      <c r="D224" s="626"/>
      <c r="E224" s="627"/>
      <c r="F224" s="628"/>
      <c r="G224" s="626"/>
      <c r="H224" s="626"/>
      <c r="I224" s="626"/>
      <c r="J224" s="626"/>
      <c r="K224" s="626"/>
      <c r="L224" s="626"/>
      <c r="M224" s="626"/>
      <c r="N224" s="626"/>
      <c r="O224" s="626"/>
      <c r="P224" s="626"/>
      <c r="Q224" s="626"/>
      <c r="R224" s="626"/>
      <c r="S224" s="626"/>
      <c r="T224" s="626"/>
      <c r="U224" s="626"/>
      <c r="V224" s="626"/>
      <c r="W224" s="626"/>
      <c r="X224" s="626"/>
      <c r="Y224" s="626"/>
    </row>
    <row r="225">
      <c r="A225" s="626"/>
      <c r="B225" s="626"/>
      <c r="C225" s="626"/>
      <c r="D225" s="626"/>
      <c r="E225" s="627"/>
      <c r="F225" s="628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</row>
    <row r="226">
      <c r="A226" s="626"/>
      <c r="B226" s="626"/>
      <c r="C226" s="626"/>
      <c r="D226" s="626"/>
      <c r="E226" s="627"/>
      <c r="F226" s="628"/>
      <c r="G226" s="626"/>
      <c r="H226" s="626"/>
      <c r="I226" s="626"/>
      <c r="J226" s="626"/>
      <c r="K226" s="626"/>
      <c r="L226" s="626"/>
      <c r="M226" s="626"/>
      <c r="N226" s="626"/>
      <c r="O226" s="626"/>
      <c r="P226" s="626"/>
      <c r="Q226" s="626"/>
      <c r="R226" s="626"/>
      <c r="S226" s="626"/>
      <c r="T226" s="626"/>
      <c r="U226" s="626"/>
      <c r="V226" s="626"/>
      <c r="W226" s="626"/>
      <c r="X226" s="626"/>
      <c r="Y226" s="626"/>
    </row>
    <row r="227">
      <c r="A227" s="626"/>
      <c r="B227" s="626"/>
      <c r="C227" s="626"/>
      <c r="D227" s="626"/>
      <c r="E227" s="627"/>
      <c r="F227" s="628"/>
      <c r="G227" s="626"/>
      <c r="H227" s="626"/>
      <c r="I227" s="626"/>
      <c r="J227" s="626"/>
      <c r="K227" s="626"/>
      <c r="L227" s="626"/>
      <c r="M227" s="626"/>
      <c r="N227" s="626"/>
      <c r="O227" s="626"/>
      <c r="P227" s="626"/>
      <c r="Q227" s="626"/>
      <c r="R227" s="626"/>
      <c r="S227" s="626"/>
      <c r="T227" s="626"/>
      <c r="U227" s="626"/>
      <c r="V227" s="626"/>
      <c r="W227" s="626"/>
      <c r="X227" s="626"/>
      <c r="Y227" s="626"/>
    </row>
    <row r="228">
      <c r="A228" s="626"/>
      <c r="B228" s="626"/>
      <c r="C228" s="626"/>
      <c r="D228" s="626"/>
      <c r="E228" s="627"/>
      <c r="F228" s="628"/>
      <c r="G228" s="626"/>
      <c r="H228" s="626"/>
      <c r="I228" s="626"/>
      <c r="J228" s="626"/>
      <c r="K228" s="626"/>
      <c r="L228" s="626"/>
      <c r="M228" s="626"/>
      <c r="N228" s="626"/>
      <c r="O228" s="626"/>
      <c r="P228" s="626"/>
      <c r="Q228" s="626"/>
      <c r="R228" s="626"/>
      <c r="S228" s="626"/>
      <c r="T228" s="626"/>
      <c r="U228" s="626"/>
      <c r="V228" s="626"/>
      <c r="W228" s="626"/>
      <c r="X228" s="626"/>
      <c r="Y228" s="626"/>
    </row>
    <row r="229">
      <c r="A229" s="626"/>
      <c r="B229" s="626"/>
      <c r="C229" s="626"/>
      <c r="D229" s="626"/>
      <c r="E229" s="627"/>
      <c r="F229" s="628"/>
      <c r="G229" s="626"/>
      <c r="H229" s="626"/>
      <c r="I229" s="626"/>
      <c r="J229" s="626"/>
      <c r="K229" s="626"/>
      <c r="L229" s="626"/>
      <c r="M229" s="626"/>
      <c r="N229" s="626"/>
      <c r="O229" s="626"/>
      <c r="P229" s="626"/>
      <c r="Q229" s="626"/>
      <c r="R229" s="626"/>
      <c r="S229" s="626"/>
      <c r="T229" s="626"/>
      <c r="U229" s="626"/>
      <c r="V229" s="626"/>
      <c r="W229" s="626"/>
      <c r="X229" s="626"/>
      <c r="Y229" s="626"/>
    </row>
    <row r="230">
      <c r="A230" s="626"/>
      <c r="B230" s="626"/>
      <c r="C230" s="626"/>
      <c r="D230" s="626"/>
      <c r="E230" s="627"/>
      <c r="F230" s="628"/>
      <c r="G230" s="626"/>
      <c r="H230" s="626"/>
      <c r="I230" s="626"/>
      <c r="J230" s="626"/>
      <c r="K230" s="626"/>
      <c r="L230" s="626"/>
      <c r="M230" s="626"/>
      <c r="N230" s="626"/>
      <c r="O230" s="626"/>
      <c r="P230" s="626"/>
      <c r="Q230" s="626"/>
      <c r="R230" s="626"/>
      <c r="S230" s="626"/>
      <c r="T230" s="626"/>
      <c r="U230" s="626"/>
      <c r="V230" s="626"/>
      <c r="W230" s="626"/>
      <c r="X230" s="626"/>
      <c r="Y230" s="626"/>
    </row>
    <row r="231">
      <c r="A231" s="626"/>
      <c r="B231" s="626"/>
      <c r="C231" s="626"/>
      <c r="D231" s="626"/>
      <c r="E231" s="627"/>
      <c r="F231" s="628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</row>
    <row r="232">
      <c r="A232" s="626"/>
      <c r="B232" s="626"/>
      <c r="C232" s="626"/>
      <c r="D232" s="626"/>
      <c r="E232" s="627"/>
      <c r="F232" s="628"/>
      <c r="G232" s="626"/>
      <c r="H232" s="626"/>
      <c r="I232" s="626"/>
      <c r="J232" s="626"/>
      <c r="K232" s="626"/>
      <c r="L232" s="626"/>
      <c r="M232" s="626"/>
      <c r="N232" s="626"/>
      <c r="O232" s="626"/>
      <c r="P232" s="626"/>
      <c r="Q232" s="626"/>
      <c r="R232" s="626"/>
      <c r="S232" s="626"/>
      <c r="T232" s="626"/>
      <c r="U232" s="626"/>
      <c r="V232" s="626"/>
      <c r="W232" s="626"/>
      <c r="X232" s="626"/>
      <c r="Y232" s="626"/>
    </row>
    <row r="233">
      <c r="A233" s="626"/>
      <c r="B233" s="626"/>
      <c r="C233" s="626"/>
      <c r="D233" s="626"/>
      <c r="E233" s="627"/>
      <c r="F233" s="628"/>
      <c r="G233" s="626"/>
      <c r="H233" s="626"/>
      <c r="I233" s="626"/>
      <c r="J233" s="626"/>
      <c r="K233" s="626"/>
      <c r="L233" s="626"/>
      <c r="M233" s="626"/>
      <c r="N233" s="626"/>
      <c r="O233" s="626"/>
      <c r="P233" s="626"/>
      <c r="Q233" s="626"/>
      <c r="R233" s="626"/>
      <c r="S233" s="626"/>
      <c r="T233" s="626"/>
      <c r="U233" s="626"/>
      <c r="V233" s="626"/>
      <c r="W233" s="626"/>
      <c r="X233" s="626"/>
      <c r="Y233" s="626"/>
    </row>
    <row r="234">
      <c r="A234" s="626"/>
      <c r="B234" s="626"/>
      <c r="C234" s="626"/>
      <c r="D234" s="626"/>
      <c r="E234" s="627"/>
      <c r="F234" s="628"/>
      <c r="G234" s="626"/>
      <c r="H234" s="626"/>
      <c r="I234" s="626"/>
      <c r="J234" s="626"/>
      <c r="K234" s="626"/>
      <c r="L234" s="626"/>
      <c r="M234" s="626"/>
      <c r="N234" s="626"/>
      <c r="O234" s="626"/>
      <c r="P234" s="626"/>
      <c r="Q234" s="626"/>
      <c r="R234" s="626"/>
      <c r="S234" s="626"/>
      <c r="T234" s="626"/>
      <c r="U234" s="626"/>
      <c r="V234" s="626"/>
      <c r="W234" s="626"/>
      <c r="X234" s="626"/>
      <c r="Y234" s="626"/>
    </row>
    <row r="235">
      <c r="A235" s="626"/>
      <c r="B235" s="626"/>
      <c r="C235" s="626"/>
      <c r="D235" s="626"/>
      <c r="E235" s="627"/>
      <c r="F235" s="628"/>
      <c r="G235" s="626"/>
      <c r="H235" s="626"/>
      <c r="I235" s="626"/>
      <c r="J235" s="626"/>
      <c r="K235" s="626"/>
      <c r="L235" s="626"/>
      <c r="M235" s="626"/>
      <c r="N235" s="626"/>
      <c r="O235" s="626"/>
      <c r="P235" s="626"/>
      <c r="Q235" s="626"/>
      <c r="R235" s="626"/>
      <c r="S235" s="626"/>
      <c r="T235" s="626"/>
      <c r="U235" s="626"/>
      <c r="V235" s="626"/>
      <c r="W235" s="626"/>
      <c r="X235" s="626"/>
      <c r="Y235" s="626"/>
    </row>
    <row r="236">
      <c r="A236" s="626"/>
      <c r="B236" s="626"/>
      <c r="C236" s="626"/>
      <c r="D236" s="626"/>
      <c r="E236" s="627"/>
      <c r="F236" s="628"/>
      <c r="G236" s="626"/>
      <c r="H236" s="626"/>
      <c r="I236" s="626"/>
      <c r="J236" s="626"/>
      <c r="K236" s="626"/>
      <c r="L236" s="626"/>
      <c r="M236" s="626"/>
      <c r="N236" s="626"/>
      <c r="O236" s="626"/>
      <c r="P236" s="626"/>
      <c r="Q236" s="626"/>
      <c r="R236" s="626"/>
      <c r="S236" s="626"/>
      <c r="T236" s="626"/>
      <c r="U236" s="626"/>
      <c r="V236" s="626"/>
      <c r="W236" s="626"/>
      <c r="X236" s="626"/>
      <c r="Y236" s="626"/>
    </row>
    <row r="237">
      <c r="A237" s="626"/>
      <c r="B237" s="626"/>
      <c r="C237" s="626"/>
      <c r="D237" s="626"/>
      <c r="E237" s="627"/>
      <c r="F237" s="628"/>
      <c r="G237" s="626"/>
      <c r="H237" s="626"/>
      <c r="I237" s="626"/>
      <c r="J237" s="626"/>
      <c r="K237" s="626"/>
      <c r="L237" s="626"/>
      <c r="M237" s="626"/>
      <c r="N237" s="626"/>
      <c r="O237" s="626"/>
      <c r="P237" s="626"/>
      <c r="Q237" s="626"/>
      <c r="R237" s="626"/>
      <c r="S237" s="626"/>
      <c r="T237" s="626"/>
      <c r="U237" s="626"/>
      <c r="V237" s="626"/>
      <c r="W237" s="626"/>
      <c r="X237" s="626"/>
      <c r="Y237" s="626"/>
    </row>
    <row r="238">
      <c r="A238" s="626"/>
      <c r="B238" s="626"/>
      <c r="C238" s="626"/>
      <c r="D238" s="626"/>
      <c r="E238" s="627"/>
      <c r="F238" s="628"/>
      <c r="G238" s="626"/>
      <c r="H238" s="626"/>
      <c r="I238" s="626"/>
      <c r="J238" s="626"/>
      <c r="K238" s="626"/>
      <c r="L238" s="626"/>
      <c r="M238" s="626"/>
      <c r="N238" s="626"/>
      <c r="O238" s="626"/>
      <c r="P238" s="626"/>
      <c r="Q238" s="626"/>
      <c r="R238" s="626"/>
      <c r="S238" s="626"/>
      <c r="T238" s="626"/>
      <c r="U238" s="626"/>
      <c r="V238" s="626"/>
      <c r="W238" s="626"/>
      <c r="X238" s="626"/>
      <c r="Y238" s="626"/>
    </row>
    <row r="239">
      <c r="A239" s="626"/>
      <c r="B239" s="626"/>
      <c r="C239" s="626"/>
      <c r="D239" s="626"/>
      <c r="E239" s="627"/>
      <c r="F239" s="628"/>
      <c r="G239" s="626"/>
      <c r="H239" s="626"/>
      <c r="I239" s="626"/>
      <c r="J239" s="626"/>
      <c r="K239" s="626"/>
      <c r="L239" s="626"/>
      <c r="M239" s="626"/>
      <c r="N239" s="626"/>
      <c r="O239" s="626"/>
      <c r="P239" s="626"/>
      <c r="Q239" s="626"/>
      <c r="R239" s="626"/>
      <c r="S239" s="626"/>
      <c r="T239" s="626"/>
      <c r="U239" s="626"/>
      <c r="V239" s="626"/>
      <c r="W239" s="626"/>
      <c r="X239" s="626"/>
      <c r="Y239" s="626"/>
    </row>
    <row r="240">
      <c r="A240" s="626"/>
      <c r="B240" s="626"/>
      <c r="C240" s="626"/>
      <c r="D240" s="626"/>
      <c r="E240" s="627"/>
      <c r="F240" s="628"/>
      <c r="G240" s="626"/>
      <c r="H240" s="626"/>
      <c r="I240" s="626"/>
      <c r="J240" s="626"/>
      <c r="K240" s="626"/>
      <c r="L240" s="626"/>
      <c r="M240" s="626"/>
      <c r="N240" s="626"/>
      <c r="O240" s="626"/>
      <c r="P240" s="626"/>
      <c r="Q240" s="626"/>
      <c r="R240" s="626"/>
      <c r="S240" s="626"/>
      <c r="T240" s="626"/>
      <c r="U240" s="626"/>
      <c r="V240" s="626"/>
      <c r="W240" s="626"/>
      <c r="X240" s="626"/>
      <c r="Y240" s="626"/>
    </row>
    <row r="241">
      <c r="A241" s="626"/>
      <c r="B241" s="626"/>
      <c r="C241" s="626"/>
      <c r="D241" s="626"/>
      <c r="E241" s="627"/>
      <c r="F241" s="628"/>
      <c r="G241" s="626"/>
      <c r="H241" s="626"/>
      <c r="I241" s="626"/>
      <c r="J241" s="626"/>
      <c r="K241" s="626"/>
      <c r="L241" s="626"/>
      <c r="M241" s="626"/>
      <c r="N241" s="626"/>
      <c r="O241" s="626"/>
      <c r="P241" s="626"/>
      <c r="Q241" s="626"/>
      <c r="R241" s="626"/>
      <c r="S241" s="626"/>
      <c r="T241" s="626"/>
      <c r="U241" s="626"/>
      <c r="V241" s="626"/>
      <c r="W241" s="626"/>
      <c r="X241" s="626"/>
      <c r="Y241" s="626"/>
    </row>
    <row r="242">
      <c r="A242" s="626"/>
      <c r="B242" s="626"/>
      <c r="C242" s="626"/>
      <c r="D242" s="626"/>
      <c r="E242" s="627"/>
      <c r="F242" s="628"/>
      <c r="G242" s="626"/>
      <c r="H242" s="626"/>
      <c r="I242" s="626"/>
      <c r="J242" s="626"/>
      <c r="K242" s="626"/>
      <c r="L242" s="626"/>
      <c r="M242" s="626"/>
      <c r="N242" s="626"/>
      <c r="O242" s="626"/>
      <c r="P242" s="626"/>
      <c r="Q242" s="626"/>
      <c r="R242" s="626"/>
      <c r="S242" s="626"/>
      <c r="T242" s="626"/>
      <c r="U242" s="626"/>
      <c r="V242" s="626"/>
      <c r="W242" s="626"/>
      <c r="X242" s="626"/>
      <c r="Y242" s="626"/>
    </row>
    <row r="243">
      <c r="A243" s="626"/>
      <c r="B243" s="626"/>
      <c r="C243" s="626"/>
      <c r="D243" s="626"/>
      <c r="E243" s="627"/>
      <c r="F243" s="628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</row>
    <row r="244">
      <c r="A244" s="626"/>
      <c r="B244" s="626"/>
      <c r="C244" s="626"/>
      <c r="D244" s="626"/>
      <c r="E244" s="627"/>
      <c r="F244" s="628"/>
      <c r="G244" s="626"/>
      <c r="H244" s="626"/>
      <c r="I244" s="626"/>
      <c r="J244" s="626"/>
      <c r="K244" s="626"/>
      <c r="L244" s="626"/>
      <c r="M244" s="626"/>
      <c r="N244" s="626"/>
      <c r="O244" s="626"/>
      <c r="P244" s="626"/>
      <c r="Q244" s="626"/>
      <c r="R244" s="626"/>
      <c r="S244" s="626"/>
      <c r="T244" s="626"/>
      <c r="U244" s="626"/>
      <c r="V244" s="626"/>
      <c r="W244" s="626"/>
      <c r="X244" s="626"/>
      <c r="Y244" s="626"/>
    </row>
    <row r="245">
      <c r="A245" s="626"/>
      <c r="B245" s="626"/>
      <c r="C245" s="626"/>
      <c r="D245" s="626"/>
      <c r="E245" s="627"/>
      <c r="F245" s="628"/>
      <c r="G245" s="626"/>
      <c r="H245" s="626"/>
      <c r="I245" s="626"/>
      <c r="J245" s="626"/>
      <c r="K245" s="626"/>
      <c r="L245" s="626"/>
      <c r="M245" s="626"/>
      <c r="N245" s="626"/>
      <c r="O245" s="626"/>
      <c r="P245" s="626"/>
      <c r="Q245" s="626"/>
      <c r="R245" s="626"/>
      <c r="S245" s="626"/>
      <c r="T245" s="626"/>
      <c r="U245" s="626"/>
      <c r="V245" s="626"/>
      <c r="W245" s="626"/>
      <c r="X245" s="626"/>
      <c r="Y245" s="626"/>
    </row>
    <row r="246">
      <c r="A246" s="626"/>
      <c r="B246" s="626"/>
      <c r="C246" s="626"/>
      <c r="D246" s="626"/>
      <c r="E246" s="627"/>
      <c r="F246" s="628"/>
      <c r="G246" s="626"/>
      <c r="H246" s="626"/>
      <c r="I246" s="626"/>
      <c r="J246" s="626"/>
      <c r="K246" s="626"/>
      <c r="L246" s="626"/>
      <c r="M246" s="626"/>
      <c r="N246" s="626"/>
      <c r="O246" s="626"/>
      <c r="P246" s="626"/>
      <c r="Q246" s="626"/>
      <c r="R246" s="626"/>
      <c r="S246" s="626"/>
      <c r="T246" s="626"/>
      <c r="U246" s="626"/>
      <c r="V246" s="626"/>
      <c r="W246" s="626"/>
      <c r="X246" s="626"/>
      <c r="Y246" s="626"/>
    </row>
    <row r="247">
      <c r="A247" s="626"/>
      <c r="B247" s="626"/>
      <c r="C247" s="626"/>
      <c r="D247" s="626"/>
      <c r="E247" s="627"/>
      <c r="F247" s="628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</row>
    <row r="248">
      <c r="A248" s="626"/>
      <c r="B248" s="626"/>
      <c r="C248" s="626"/>
      <c r="D248" s="626"/>
      <c r="E248" s="627"/>
      <c r="F248" s="628"/>
      <c r="G248" s="626"/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  <c r="V248" s="626"/>
      <c r="W248" s="626"/>
      <c r="X248" s="626"/>
      <c r="Y248" s="626"/>
    </row>
    <row r="249">
      <c r="A249" s="626"/>
      <c r="B249" s="626"/>
      <c r="C249" s="626"/>
      <c r="D249" s="626"/>
      <c r="E249" s="627"/>
      <c r="F249" s="628"/>
      <c r="G249" s="626"/>
      <c r="H249" s="626"/>
      <c r="I249" s="626"/>
      <c r="J249" s="626"/>
      <c r="K249" s="626"/>
      <c r="L249" s="626"/>
      <c r="M249" s="626"/>
      <c r="N249" s="626"/>
      <c r="O249" s="626"/>
      <c r="P249" s="626"/>
      <c r="Q249" s="626"/>
      <c r="R249" s="626"/>
      <c r="S249" s="626"/>
      <c r="T249" s="626"/>
      <c r="U249" s="626"/>
      <c r="V249" s="626"/>
      <c r="W249" s="626"/>
      <c r="X249" s="626"/>
      <c r="Y249" s="626"/>
    </row>
    <row r="250">
      <c r="A250" s="626"/>
      <c r="B250" s="626"/>
      <c r="C250" s="626"/>
      <c r="D250" s="626"/>
      <c r="E250" s="627"/>
      <c r="F250" s="628"/>
      <c r="G250" s="626"/>
      <c r="H250" s="626"/>
      <c r="I250" s="626"/>
      <c r="J250" s="626"/>
      <c r="K250" s="626"/>
      <c r="L250" s="626"/>
      <c r="M250" s="626"/>
      <c r="N250" s="626"/>
      <c r="O250" s="626"/>
      <c r="P250" s="626"/>
      <c r="Q250" s="626"/>
      <c r="R250" s="626"/>
      <c r="S250" s="626"/>
      <c r="T250" s="626"/>
      <c r="U250" s="626"/>
      <c r="V250" s="626"/>
      <c r="W250" s="626"/>
      <c r="X250" s="626"/>
      <c r="Y250" s="626"/>
    </row>
    <row r="251">
      <c r="A251" s="626"/>
      <c r="B251" s="626"/>
      <c r="C251" s="626"/>
      <c r="D251" s="626"/>
      <c r="E251" s="627"/>
      <c r="F251" s="628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</row>
    <row r="252">
      <c r="A252" s="626"/>
      <c r="B252" s="626"/>
      <c r="C252" s="626"/>
      <c r="D252" s="626"/>
      <c r="E252" s="627"/>
      <c r="F252" s="628"/>
      <c r="G252" s="626"/>
      <c r="H252" s="626"/>
      <c r="I252" s="626"/>
      <c r="J252" s="626"/>
      <c r="K252" s="626"/>
      <c r="L252" s="626"/>
      <c r="M252" s="626"/>
      <c r="N252" s="626"/>
      <c r="O252" s="626"/>
      <c r="P252" s="626"/>
      <c r="Q252" s="626"/>
      <c r="R252" s="626"/>
      <c r="S252" s="626"/>
      <c r="T252" s="626"/>
      <c r="U252" s="626"/>
      <c r="V252" s="626"/>
      <c r="W252" s="626"/>
      <c r="X252" s="626"/>
      <c r="Y252" s="626"/>
    </row>
    <row r="253">
      <c r="A253" s="626"/>
      <c r="B253" s="626"/>
      <c r="C253" s="626"/>
      <c r="D253" s="626"/>
      <c r="E253" s="627"/>
      <c r="F253" s="628"/>
      <c r="G253" s="626"/>
      <c r="H253" s="626"/>
      <c r="I253" s="626"/>
      <c r="J253" s="626"/>
      <c r="K253" s="626"/>
      <c r="L253" s="626"/>
      <c r="M253" s="626"/>
      <c r="N253" s="626"/>
      <c r="O253" s="626"/>
      <c r="P253" s="626"/>
      <c r="Q253" s="626"/>
      <c r="R253" s="626"/>
      <c r="S253" s="626"/>
      <c r="T253" s="626"/>
      <c r="U253" s="626"/>
      <c r="V253" s="626"/>
      <c r="W253" s="626"/>
      <c r="X253" s="626"/>
      <c r="Y253" s="626"/>
    </row>
    <row r="254">
      <c r="A254" s="626"/>
      <c r="B254" s="626"/>
      <c r="C254" s="626"/>
      <c r="D254" s="626"/>
      <c r="E254" s="627"/>
      <c r="F254" s="628"/>
      <c r="G254" s="626"/>
      <c r="H254" s="626"/>
      <c r="I254" s="626"/>
      <c r="J254" s="626"/>
      <c r="K254" s="626"/>
      <c r="L254" s="626"/>
      <c r="M254" s="626"/>
      <c r="N254" s="626"/>
      <c r="O254" s="626"/>
      <c r="P254" s="626"/>
      <c r="Q254" s="626"/>
      <c r="R254" s="626"/>
      <c r="S254" s="626"/>
      <c r="T254" s="626"/>
      <c r="U254" s="626"/>
      <c r="V254" s="626"/>
      <c r="W254" s="626"/>
      <c r="X254" s="626"/>
      <c r="Y254" s="626"/>
    </row>
    <row r="255">
      <c r="A255" s="626"/>
      <c r="B255" s="626"/>
      <c r="C255" s="626"/>
      <c r="D255" s="626"/>
      <c r="E255" s="627"/>
      <c r="F255" s="628"/>
      <c r="G255" s="626"/>
      <c r="H255" s="626"/>
      <c r="I255" s="626"/>
      <c r="J255" s="626"/>
      <c r="K255" s="626"/>
      <c r="L255" s="626"/>
      <c r="M255" s="626"/>
      <c r="N255" s="626"/>
      <c r="O255" s="626"/>
      <c r="P255" s="626"/>
      <c r="Q255" s="626"/>
      <c r="R255" s="626"/>
      <c r="S255" s="626"/>
      <c r="T255" s="626"/>
      <c r="U255" s="626"/>
      <c r="V255" s="626"/>
      <c r="W255" s="626"/>
      <c r="X255" s="626"/>
      <c r="Y255" s="626"/>
    </row>
    <row r="256">
      <c r="A256" s="626"/>
      <c r="B256" s="626"/>
      <c r="C256" s="626"/>
      <c r="D256" s="626"/>
      <c r="E256" s="627"/>
      <c r="F256" s="628"/>
      <c r="G256" s="626"/>
      <c r="H256" s="626"/>
      <c r="I256" s="626"/>
      <c r="J256" s="626"/>
      <c r="K256" s="626"/>
      <c r="L256" s="626"/>
      <c r="M256" s="626"/>
      <c r="N256" s="626"/>
      <c r="O256" s="626"/>
      <c r="P256" s="626"/>
      <c r="Q256" s="626"/>
      <c r="R256" s="626"/>
      <c r="S256" s="626"/>
      <c r="T256" s="626"/>
      <c r="U256" s="626"/>
      <c r="V256" s="626"/>
      <c r="W256" s="626"/>
      <c r="X256" s="626"/>
      <c r="Y256" s="626"/>
    </row>
    <row r="257">
      <c r="A257" s="626"/>
      <c r="B257" s="626"/>
      <c r="C257" s="626"/>
      <c r="D257" s="626"/>
      <c r="E257" s="627"/>
      <c r="F257" s="628"/>
      <c r="G257" s="626"/>
      <c r="H257" s="626"/>
      <c r="I257" s="626"/>
      <c r="J257" s="626"/>
      <c r="K257" s="626"/>
      <c r="L257" s="626"/>
      <c r="M257" s="626"/>
      <c r="N257" s="626"/>
      <c r="O257" s="626"/>
      <c r="P257" s="626"/>
      <c r="Q257" s="626"/>
      <c r="R257" s="626"/>
      <c r="S257" s="626"/>
      <c r="T257" s="626"/>
      <c r="U257" s="626"/>
      <c r="V257" s="626"/>
      <c r="W257" s="626"/>
      <c r="X257" s="626"/>
      <c r="Y257" s="626"/>
    </row>
    <row r="258">
      <c r="A258" s="626"/>
      <c r="B258" s="626"/>
      <c r="C258" s="626"/>
      <c r="D258" s="626"/>
      <c r="E258" s="627"/>
      <c r="F258" s="628"/>
      <c r="G258" s="626"/>
      <c r="H258" s="626"/>
      <c r="I258" s="626"/>
      <c r="J258" s="626"/>
      <c r="K258" s="626"/>
      <c r="L258" s="626"/>
      <c r="M258" s="626"/>
      <c r="N258" s="626"/>
      <c r="O258" s="626"/>
      <c r="P258" s="626"/>
      <c r="Q258" s="626"/>
      <c r="R258" s="626"/>
      <c r="S258" s="626"/>
      <c r="T258" s="626"/>
      <c r="U258" s="626"/>
      <c r="V258" s="626"/>
      <c r="W258" s="626"/>
      <c r="X258" s="626"/>
      <c r="Y258" s="626"/>
    </row>
    <row r="259">
      <c r="A259" s="626"/>
      <c r="B259" s="626"/>
      <c r="C259" s="626"/>
      <c r="D259" s="626"/>
      <c r="E259" s="627"/>
      <c r="F259" s="628"/>
      <c r="G259" s="626"/>
      <c r="H259" s="626"/>
      <c r="I259" s="626"/>
      <c r="J259" s="626"/>
      <c r="K259" s="626"/>
      <c r="L259" s="626"/>
      <c r="M259" s="626"/>
      <c r="N259" s="626"/>
      <c r="O259" s="626"/>
      <c r="P259" s="626"/>
      <c r="Q259" s="626"/>
      <c r="R259" s="626"/>
      <c r="S259" s="626"/>
      <c r="T259" s="626"/>
      <c r="U259" s="626"/>
      <c r="V259" s="626"/>
      <c r="W259" s="626"/>
      <c r="X259" s="626"/>
      <c r="Y259" s="626"/>
    </row>
    <row r="260">
      <c r="A260" s="626"/>
      <c r="B260" s="626"/>
      <c r="C260" s="626"/>
      <c r="D260" s="626"/>
      <c r="E260" s="627"/>
      <c r="F260" s="628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</row>
    <row r="261">
      <c r="A261" s="626"/>
      <c r="B261" s="626"/>
      <c r="C261" s="626"/>
      <c r="D261" s="626"/>
      <c r="E261" s="627"/>
      <c r="F261" s="628"/>
      <c r="G261" s="626"/>
      <c r="H261" s="626"/>
      <c r="I261" s="626"/>
      <c r="J261" s="626"/>
      <c r="K261" s="626"/>
      <c r="L261" s="626"/>
      <c r="M261" s="626"/>
      <c r="N261" s="626"/>
      <c r="O261" s="626"/>
      <c r="P261" s="626"/>
      <c r="Q261" s="626"/>
      <c r="R261" s="626"/>
      <c r="S261" s="626"/>
      <c r="T261" s="626"/>
      <c r="U261" s="626"/>
      <c r="V261" s="626"/>
      <c r="W261" s="626"/>
      <c r="X261" s="626"/>
      <c r="Y261" s="626"/>
    </row>
    <row r="262">
      <c r="A262" s="626"/>
      <c r="B262" s="626"/>
      <c r="C262" s="626"/>
      <c r="D262" s="626"/>
      <c r="E262" s="627"/>
      <c r="F262" s="628"/>
      <c r="G262" s="626"/>
      <c r="H262" s="626"/>
      <c r="I262" s="626"/>
      <c r="J262" s="626"/>
      <c r="K262" s="626"/>
      <c r="L262" s="626"/>
      <c r="M262" s="626"/>
      <c r="N262" s="626"/>
      <c r="O262" s="626"/>
      <c r="P262" s="626"/>
      <c r="Q262" s="626"/>
      <c r="R262" s="626"/>
      <c r="S262" s="626"/>
      <c r="T262" s="626"/>
      <c r="U262" s="626"/>
      <c r="V262" s="626"/>
      <c r="W262" s="626"/>
      <c r="X262" s="626"/>
      <c r="Y262" s="626"/>
    </row>
    <row r="263">
      <c r="A263" s="626"/>
      <c r="B263" s="626"/>
      <c r="C263" s="626"/>
      <c r="D263" s="626"/>
      <c r="E263" s="627"/>
      <c r="F263" s="628"/>
      <c r="G263" s="626"/>
      <c r="H263" s="626"/>
      <c r="I263" s="626"/>
      <c r="J263" s="626"/>
      <c r="K263" s="626"/>
      <c r="L263" s="626"/>
      <c r="M263" s="626"/>
      <c r="N263" s="626"/>
      <c r="O263" s="626"/>
      <c r="P263" s="626"/>
      <c r="Q263" s="626"/>
      <c r="R263" s="626"/>
      <c r="S263" s="626"/>
      <c r="T263" s="626"/>
      <c r="U263" s="626"/>
      <c r="V263" s="626"/>
      <c r="W263" s="626"/>
      <c r="X263" s="626"/>
      <c r="Y263" s="626"/>
    </row>
    <row r="264">
      <c r="A264" s="626"/>
      <c r="B264" s="626"/>
      <c r="C264" s="626"/>
      <c r="D264" s="626"/>
      <c r="E264" s="627"/>
      <c r="F264" s="628"/>
      <c r="G264" s="626"/>
      <c r="H264" s="626"/>
      <c r="I264" s="626"/>
      <c r="J264" s="626"/>
      <c r="K264" s="626"/>
      <c r="L264" s="626"/>
      <c r="M264" s="626"/>
      <c r="N264" s="626"/>
      <c r="O264" s="626"/>
      <c r="P264" s="626"/>
      <c r="Q264" s="626"/>
      <c r="R264" s="626"/>
      <c r="S264" s="626"/>
      <c r="T264" s="626"/>
      <c r="U264" s="626"/>
      <c r="V264" s="626"/>
      <c r="W264" s="626"/>
      <c r="X264" s="626"/>
      <c r="Y264" s="626"/>
    </row>
    <row r="265">
      <c r="A265" s="626"/>
      <c r="B265" s="626"/>
      <c r="C265" s="626"/>
      <c r="D265" s="626"/>
      <c r="E265" s="627"/>
      <c r="F265" s="628"/>
      <c r="G265" s="626"/>
      <c r="H265" s="626"/>
      <c r="I265" s="626"/>
      <c r="J265" s="626"/>
      <c r="K265" s="626"/>
      <c r="L265" s="626"/>
      <c r="M265" s="626"/>
      <c r="N265" s="626"/>
      <c r="O265" s="626"/>
      <c r="P265" s="626"/>
      <c r="Q265" s="626"/>
      <c r="R265" s="626"/>
      <c r="S265" s="626"/>
      <c r="T265" s="626"/>
      <c r="U265" s="626"/>
      <c r="V265" s="626"/>
      <c r="W265" s="626"/>
      <c r="X265" s="626"/>
      <c r="Y265" s="626"/>
    </row>
    <row r="266">
      <c r="A266" s="626"/>
      <c r="B266" s="626"/>
      <c r="C266" s="626"/>
      <c r="D266" s="626"/>
      <c r="E266" s="627"/>
      <c r="F266" s="628"/>
      <c r="G266" s="626"/>
      <c r="H266" s="626"/>
      <c r="I266" s="626"/>
      <c r="J266" s="626"/>
      <c r="K266" s="626"/>
      <c r="L266" s="626"/>
      <c r="M266" s="626"/>
      <c r="N266" s="626"/>
      <c r="O266" s="626"/>
      <c r="P266" s="626"/>
      <c r="Q266" s="626"/>
      <c r="R266" s="626"/>
      <c r="S266" s="626"/>
      <c r="T266" s="626"/>
      <c r="U266" s="626"/>
      <c r="V266" s="626"/>
      <c r="W266" s="626"/>
      <c r="X266" s="626"/>
      <c r="Y266" s="626"/>
    </row>
    <row r="267">
      <c r="A267" s="626"/>
      <c r="B267" s="626"/>
      <c r="C267" s="626"/>
      <c r="D267" s="626"/>
      <c r="E267" s="627"/>
      <c r="F267" s="628"/>
      <c r="G267" s="626"/>
      <c r="H267" s="626"/>
      <c r="I267" s="626"/>
      <c r="J267" s="626"/>
      <c r="K267" s="626"/>
      <c r="L267" s="626"/>
      <c r="M267" s="626"/>
      <c r="N267" s="626"/>
      <c r="O267" s="626"/>
      <c r="P267" s="626"/>
      <c r="Q267" s="626"/>
      <c r="R267" s="626"/>
      <c r="S267" s="626"/>
      <c r="T267" s="626"/>
      <c r="U267" s="626"/>
      <c r="V267" s="626"/>
      <c r="W267" s="626"/>
      <c r="X267" s="626"/>
      <c r="Y267" s="626"/>
    </row>
    <row r="268">
      <c r="A268" s="626"/>
      <c r="B268" s="626"/>
      <c r="C268" s="626"/>
      <c r="D268" s="626"/>
      <c r="E268" s="627"/>
      <c r="F268" s="628"/>
      <c r="G268" s="626"/>
      <c r="H268" s="626"/>
      <c r="I268" s="626"/>
      <c r="J268" s="626"/>
      <c r="K268" s="626"/>
      <c r="L268" s="626"/>
      <c r="M268" s="626"/>
      <c r="N268" s="626"/>
      <c r="O268" s="626"/>
      <c r="P268" s="626"/>
      <c r="Q268" s="626"/>
      <c r="R268" s="626"/>
      <c r="S268" s="626"/>
      <c r="T268" s="626"/>
      <c r="U268" s="626"/>
      <c r="V268" s="626"/>
      <c r="W268" s="626"/>
      <c r="X268" s="626"/>
      <c r="Y268" s="626"/>
    </row>
    <row r="269">
      <c r="A269" s="626"/>
      <c r="B269" s="626"/>
      <c r="C269" s="626"/>
      <c r="D269" s="626"/>
      <c r="E269" s="627"/>
      <c r="F269" s="628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</row>
    <row r="270">
      <c r="A270" s="626"/>
      <c r="B270" s="626"/>
      <c r="C270" s="626"/>
      <c r="D270" s="626"/>
      <c r="E270" s="627"/>
      <c r="F270" s="628"/>
      <c r="G270" s="626"/>
      <c r="H270" s="626"/>
      <c r="I270" s="626"/>
      <c r="J270" s="626"/>
      <c r="K270" s="626"/>
      <c r="L270" s="626"/>
      <c r="M270" s="626"/>
      <c r="N270" s="626"/>
      <c r="O270" s="626"/>
      <c r="P270" s="626"/>
      <c r="Q270" s="626"/>
      <c r="R270" s="626"/>
      <c r="S270" s="626"/>
      <c r="T270" s="626"/>
      <c r="U270" s="626"/>
      <c r="V270" s="626"/>
      <c r="W270" s="626"/>
      <c r="X270" s="626"/>
      <c r="Y270" s="626"/>
    </row>
    <row r="271">
      <c r="A271" s="626"/>
      <c r="B271" s="626"/>
      <c r="C271" s="626"/>
      <c r="D271" s="626"/>
      <c r="E271" s="627"/>
      <c r="F271" s="628"/>
      <c r="G271" s="626"/>
      <c r="H271" s="626"/>
      <c r="I271" s="626"/>
      <c r="J271" s="626"/>
      <c r="K271" s="626"/>
      <c r="L271" s="626"/>
      <c r="M271" s="626"/>
      <c r="N271" s="626"/>
      <c r="O271" s="626"/>
      <c r="P271" s="626"/>
      <c r="Q271" s="626"/>
      <c r="R271" s="626"/>
      <c r="S271" s="626"/>
      <c r="T271" s="626"/>
      <c r="U271" s="626"/>
      <c r="V271" s="626"/>
      <c r="W271" s="626"/>
      <c r="X271" s="626"/>
      <c r="Y271" s="626"/>
    </row>
    <row r="272">
      <c r="A272" s="626"/>
      <c r="B272" s="626"/>
      <c r="C272" s="626"/>
      <c r="D272" s="626"/>
      <c r="E272" s="627"/>
      <c r="F272" s="628"/>
      <c r="G272" s="626"/>
      <c r="H272" s="626"/>
      <c r="I272" s="626"/>
      <c r="J272" s="626"/>
      <c r="K272" s="626"/>
      <c r="L272" s="626"/>
      <c r="M272" s="626"/>
      <c r="N272" s="626"/>
      <c r="O272" s="626"/>
      <c r="P272" s="626"/>
      <c r="Q272" s="626"/>
      <c r="R272" s="626"/>
      <c r="S272" s="626"/>
      <c r="T272" s="626"/>
      <c r="U272" s="626"/>
      <c r="V272" s="626"/>
      <c r="W272" s="626"/>
      <c r="X272" s="626"/>
      <c r="Y272" s="626"/>
    </row>
    <row r="273">
      <c r="A273" s="626"/>
      <c r="B273" s="626"/>
      <c r="C273" s="626"/>
      <c r="D273" s="626"/>
      <c r="E273" s="627"/>
      <c r="F273" s="628"/>
      <c r="G273" s="626"/>
      <c r="H273" s="626"/>
      <c r="I273" s="626"/>
      <c r="J273" s="626"/>
      <c r="K273" s="626"/>
      <c r="L273" s="626"/>
      <c r="M273" s="626"/>
      <c r="N273" s="626"/>
      <c r="O273" s="626"/>
      <c r="P273" s="626"/>
      <c r="Q273" s="626"/>
      <c r="R273" s="626"/>
      <c r="S273" s="626"/>
      <c r="T273" s="626"/>
      <c r="U273" s="626"/>
      <c r="V273" s="626"/>
      <c r="W273" s="626"/>
      <c r="X273" s="626"/>
      <c r="Y273" s="626"/>
    </row>
    <row r="274">
      <c r="A274" s="626"/>
      <c r="B274" s="626"/>
      <c r="C274" s="626"/>
      <c r="D274" s="626"/>
      <c r="E274" s="627"/>
      <c r="F274" s="628"/>
      <c r="G274" s="626"/>
      <c r="H274" s="626"/>
      <c r="I274" s="626"/>
      <c r="J274" s="626"/>
      <c r="K274" s="626"/>
      <c r="L274" s="626"/>
      <c r="M274" s="626"/>
      <c r="N274" s="626"/>
      <c r="O274" s="626"/>
      <c r="P274" s="626"/>
      <c r="Q274" s="626"/>
      <c r="R274" s="626"/>
      <c r="S274" s="626"/>
      <c r="T274" s="626"/>
      <c r="U274" s="626"/>
      <c r="V274" s="626"/>
      <c r="W274" s="626"/>
      <c r="X274" s="626"/>
      <c r="Y274" s="626"/>
    </row>
    <row r="275">
      <c r="A275" s="626"/>
      <c r="B275" s="626"/>
      <c r="C275" s="626"/>
      <c r="D275" s="626"/>
      <c r="E275" s="627"/>
      <c r="F275" s="628"/>
      <c r="G275" s="626"/>
      <c r="H275" s="626"/>
      <c r="I275" s="626"/>
      <c r="J275" s="626"/>
      <c r="K275" s="626"/>
      <c r="L275" s="626"/>
      <c r="M275" s="626"/>
      <c r="N275" s="626"/>
      <c r="O275" s="626"/>
      <c r="P275" s="626"/>
      <c r="Q275" s="626"/>
      <c r="R275" s="626"/>
      <c r="S275" s="626"/>
      <c r="T275" s="626"/>
      <c r="U275" s="626"/>
      <c r="V275" s="626"/>
      <c r="W275" s="626"/>
      <c r="X275" s="626"/>
      <c r="Y275" s="626"/>
    </row>
    <row r="276">
      <c r="A276" s="626"/>
      <c r="B276" s="626"/>
      <c r="C276" s="626"/>
      <c r="D276" s="626"/>
      <c r="E276" s="627"/>
      <c r="F276" s="628"/>
      <c r="G276" s="626"/>
      <c r="H276" s="626"/>
      <c r="I276" s="626"/>
      <c r="J276" s="626"/>
      <c r="K276" s="626"/>
      <c r="L276" s="626"/>
      <c r="M276" s="626"/>
      <c r="N276" s="626"/>
      <c r="O276" s="626"/>
      <c r="P276" s="626"/>
      <c r="Q276" s="626"/>
      <c r="R276" s="626"/>
      <c r="S276" s="626"/>
      <c r="T276" s="626"/>
      <c r="U276" s="626"/>
      <c r="V276" s="626"/>
      <c r="W276" s="626"/>
      <c r="X276" s="626"/>
      <c r="Y276" s="626"/>
    </row>
    <row r="277">
      <c r="A277" s="626"/>
      <c r="B277" s="626"/>
      <c r="C277" s="626"/>
      <c r="D277" s="626"/>
      <c r="E277" s="627"/>
      <c r="F277" s="628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</row>
    <row r="278">
      <c r="A278" s="626"/>
      <c r="B278" s="626"/>
      <c r="C278" s="626"/>
      <c r="D278" s="626"/>
      <c r="E278" s="627"/>
      <c r="F278" s="628"/>
      <c r="G278" s="626"/>
      <c r="H278" s="626"/>
      <c r="I278" s="626"/>
      <c r="J278" s="626"/>
      <c r="K278" s="626"/>
      <c r="L278" s="626"/>
      <c r="M278" s="626"/>
      <c r="N278" s="626"/>
      <c r="O278" s="626"/>
      <c r="P278" s="626"/>
      <c r="Q278" s="626"/>
      <c r="R278" s="626"/>
      <c r="S278" s="626"/>
      <c r="T278" s="626"/>
      <c r="U278" s="626"/>
      <c r="V278" s="626"/>
      <c r="W278" s="626"/>
      <c r="X278" s="626"/>
      <c r="Y278" s="626"/>
    </row>
    <row r="279">
      <c r="A279" s="626"/>
      <c r="B279" s="626"/>
      <c r="C279" s="626"/>
      <c r="D279" s="626"/>
      <c r="E279" s="627"/>
      <c r="F279" s="628"/>
      <c r="G279" s="626"/>
      <c r="H279" s="626"/>
      <c r="I279" s="626"/>
      <c r="J279" s="626"/>
      <c r="K279" s="626"/>
      <c r="L279" s="626"/>
      <c r="M279" s="626"/>
      <c r="N279" s="626"/>
      <c r="O279" s="626"/>
      <c r="P279" s="626"/>
      <c r="Q279" s="626"/>
      <c r="R279" s="626"/>
      <c r="S279" s="626"/>
      <c r="T279" s="626"/>
      <c r="U279" s="626"/>
      <c r="V279" s="626"/>
      <c r="W279" s="626"/>
      <c r="X279" s="626"/>
      <c r="Y279" s="626"/>
    </row>
    <row r="280">
      <c r="A280" s="626"/>
      <c r="B280" s="626"/>
      <c r="C280" s="626"/>
      <c r="D280" s="626"/>
      <c r="E280" s="627"/>
      <c r="F280" s="628"/>
      <c r="G280" s="626"/>
      <c r="H280" s="626"/>
      <c r="I280" s="626"/>
      <c r="J280" s="626"/>
      <c r="K280" s="626"/>
      <c r="L280" s="626"/>
      <c r="M280" s="626"/>
      <c r="N280" s="626"/>
      <c r="O280" s="626"/>
      <c r="P280" s="626"/>
      <c r="Q280" s="626"/>
      <c r="R280" s="626"/>
      <c r="S280" s="626"/>
      <c r="T280" s="626"/>
      <c r="U280" s="626"/>
      <c r="V280" s="626"/>
      <c r="W280" s="626"/>
      <c r="X280" s="626"/>
      <c r="Y280" s="626"/>
    </row>
    <row r="281">
      <c r="A281" s="626"/>
      <c r="B281" s="626"/>
      <c r="C281" s="626"/>
      <c r="D281" s="626"/>
      <c r="E281" s="627"/>
      <c r="F281" s="628"/>
      <c r="G281" s="626"/>
      <c r="H281" s="626"/>
      <c r="I281" s="626"/>
      <c r="J281" s="626"/>
      <c r="K281" s="626"/>
      <c r="L281" s="626"/>
      <c r="M281" s="626"/>
      <c r="N281" s="626"/>
      <c r="O281" s="626"/>
      <c r="P281" s="626"/>
      <c r="Q281" s="626"/>
      <c r="R281" s="626"/>
      <c r="S281" s="626"/>
      <c r="T281" s="626"/>
      <c r="U281" s="626"/>
      <c r="V281" s="626"/>
      <c r="W281" s="626"/>
      <c r="X281" s="626"/>
      <c r="Y281" s="626"/>
    </row>
    <row r="282">
      <c r="A282" s="626"/>
      <c r="B282" s="626"/>
      <c r="C282" s="626"/>
      <c r="D282" s="626"/>
      <c r="E282" s="627"/>
      <c r="F282" s="628"/>
      <c r="G282" s="626"/>
      <c r="H282" s="626"/>
      <c r="I282" s="626"/>
      <c r="J282" s="626"/>
      <c r="K282" s="626"/>
      <c r="L282" s="626"/>
      <c r="M282" s="626"/>
      <c r="N282" s="626"/>
      <c r="O282" s="626"/>
      <c r="P282" s="626"/>
      <c r="Q282" s="626"/>
      <c r="R282" s="626"/>
      <c r="S282" s="626"/>
      <c r="T282" s="626"/>
      <c r="U282" s="626"/>
      <c r="V282" s="626"/>
      <c r="W282" s="626"/>
      <c r="X282" s="626"/>
      <c r="Y282" s="626"/>
    </row>
    <row r="283">
      <c r="A283" s="626"/>
      <c r="B283" s="626"/>
      <c r="C283" s="626"/>
      <c r="D283" s="626"/>
      <c r="E283" s="627"/>
      <c r="F283" s="628"/>
      <c r="G283" s="626"/>
      <c r="H283" s="626"/>
      <c r="I283" s="626"/>
      <c r="J283" s="626"/>
      <c r="K283" s="626"/>
      <c r="L283" s="626"/>
      <c r="M283" s="626"/>
      <c r="N283" s="626"/>
      <c r="O283" s="626"/>
      <c r="P283" s="626"/>
      <c r="Q283" s="626"/>
      <c r="R283" s="626"/>
      <c r="S283" s="626"/>
      <c r="T283" s="626"/>
      <c r="U283" s="626"/>
      <c r="V283" s="626"/>
      <c r="W283" s="626"/>
      <c r="X283" s="626"/>
      <c r="Y283" s="626"/>
    </row>
    <row r="284">
      <c r="A284" s="626"/>
      <c r="B284" s="626"/>
      <c r="C284" s="626"/>
      <c r="D284" s="626"/>
      <c r="E284" s="627"/>
      <c r="F284" s="628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</row>
    <row r="285">
      <c r="A285" s="626"/>
      <c r="B285" s="626"/>
      <c r="C285" s="626"/>
      <c r="D285" s="626"/>
      <c r="E285" s="627"/>
      <c r="F285" s="628"/>
      <c r="G285" s="626"/>
      <c r="H285" s="626"/>
      <c r="I285" s="626"/>
      <c r="J285" s="626"/>
      <c r="K285" s="626"/>
      <c r="L285" s="626"/>
      <c r="M285" s="626"/>
      <c r="N285" s="626"/>
      <c r="O285" s="626"/>
      <c r="P285" s="626"/>
      <c r="Q285" s="626"/>
      <c r="R285" s="626"/>
      <c r="S285" s="626"/>
      <c r="T285" s="626"/>
      <c r="U285" s="626"/>
      <c r="V285" s="626"/>
      <c r="W285" s="626"/>
      <c r="X285" s="626"/>
      <c r="Y285" s="626"/>
    </row>
    <row r="286">
      <c r="A286" s="626"/>
      <c r="B286" s="626"/>
      <c r="C286" s="626"/>
      <c r="D286" s="626"/>
      <c r="E286" s="627"/>
      <c r="F286" s="628"/>
      <c r="G286" s="626"/>
      <c r="H286" s="626"/>
      <c r="I286" s="626"/>
      <c r="J286" s="626"/>
      <c r="K286" s="626"/>
      <c r="L286" s="626"/>
      <c r="M286" s="626"/>
      <c r="N286" s="626"/>
      <c r="O286" s="626"/>
      <c r="P286" s="626"/>
      <c r="Q286" s="626"/>
      <c r="R286" s="626"/>
      <c r="S286" s="626"/>
      <c r="T286" s="626"/>
      <c r="U286" s="626"/>
      <c r="V286" s="626"/>
      <c r="W286" s="626"/>
      <c r="X286" s="626"/>
      <c r="Y286" s="626"/>
    </row>
    <row r="287">
      <c r="A287" s="626"/>
      <c r="B287" s="626"/>
      <c r="C287" s="626"/>
      <c r="D287" s="626"/>
      <c r="E287" s="627"/>
      <c r="F287" s="628"/>
      <c r="G287" s="626"/>
      <c r="H287" s="626"/>
      <c r="I287" s="626"/>
      <c r="J287" s="626"/>
      <c r="K287" s="626"/>
      <c r="L287" s="626"/>
      <c r="M287" s="626"/>
      <c r="N287" s="626"/>
      <c r="O287" s="626"/>
      <c r="P287" s="626"/>
      <c r="Q287" s="626"/>
      <c r="R287" s="626"/>
      <c r="S287" s="626"/>
      <c r="T287" s="626"/>
      <c r="U287" s="626"/>
      <c r="V287" s="626"/>
      <c r="W287" s="626"/>
      <c r="X287" s="626"/>
      <c r="Y287" s="626"/>
    </row>
    <row r="288">
      <c r="A288" s="626"/>
      <c r="B288" s="626"/>
      <c r="C288" s="626"/>
      <c r="D288" s="626"/>
      <c r="E288" s="627"/>
      <c r="F288" s="628"/>
      <c r="G288" s="626"/>
      <c r="H288" s="626"/>
      <c r="I288" s="626"/>
      <c r="J288" s="626"/>
      <c r="K288" s="626"/>
      <c r="L288" s="626"/>
      <c r="M288" s="626"/>
      <c r="N288" s="626"/>
      <c r="O288" s="626"/>
      <c r="P288" s="626"/>
      <c r="Q288" s="626"/>
      <c r="R288" s="626"/>
      <c r="S288" s="626"/>
      <c r="T288" s="626"/>
      <c r="U288" s="626"/>
      <c r="V288" s="626"/>
      <c r="W288" s="626"/>
      <c r="X288" s="626"/>
      <c r="Y288" s="626"/>
    </row>
    <row r="289">
      <c r="A289" s="626"/>
      <c r="B289" s="626"/>
      <c r="C289" s="626"/>
      <c r="D289" s="626"/>
      <c r="E289" s="627"/>
      <c r="F289" s="628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</row>
    <row r="290">
      <c r="A290" s="626"/>
      <c r="B290" s="626"/>
      <c r="C290" s="626"/>
      <c r="D290" s="626"/>
      <c r="E290" s="627"/>
      <c r="F290" s="628"/>
      <c r="G290" s="626"/>
      <c r="H290" s="626"/>
      <c r="I290" s="626"/>
      <c r="J290" s="626"/>
      <c r="K290" s="626"/>
      <c r="L290" s="626"/>
      <c r="M290" s="626"/>
      <c r="N290" s="626"/>
      <c r="O290" s="626"/>
      <c r="P290" s="626"/>
      <c r="Q290" s="626"/>
      <c r="R290" s="626"/>
      <c r="S290" s="626"/>
      <c r="T290" s="626"/>
      <c r="U290" s="626"/>
      <c r="V290" s="626"/>
      <c r="W290" s="626"/>
      <c r="X290" s="626"/>
      <c r="Y290" s="626"/>
    </row>
    <row r="291">
      <c r="A291" s="626"/>
      <c r="B291" s="626"/>
      <c r="C291" s="626"/>
      <c r="D291" s="626"/>
      <c r="E291" s="627"/>
      <c r="F291" s="628"/>
      <c r="G291" s="626"/>
      <c r="H291" s="626"/>
      <c r="I291" s="626"/>
      <c r="J291" s="626"/>
      <c r="K291" s="626"/>
      <c r="L291" s="626"/>
      <c r="M291" s="626"/>
      <c r="N291" s="626"/>
      <c r="O291" s="626"/>
      <c r="P291" s="626"/>
      <c r="Q291" s="626"/>
      <c r="R291" s="626"/>
      <c r="S291" s="626"/>
      <c r="T291" s="626"/>
      <c r="U291" s="626"/>
      <c r="V291" s="626"/>
      <c r="W291" s="626"/>
      <c r="X291" s="626"/>
      <c r="Y291" s="626"/>
    </row>
    <row r="292">
      <c r="A292" s="626"/>
      <c r="B292" s="626"/>
      <c r="C292" s="626"/>
      <c r="D292" s="626"/>
      <c r="E292" s="627"/>
      <c r="F292" s="628"/>
      <c r="G292" s="626"/>
      <c r="H292" s="626"/>
      <c r="I292" s="626"/>
      <c r="J292" s="626"/>
      <c r="K292" s="626"/>
      <c r="L292" s="626"/>
      <c r="M292" s="626"/>
      <c r="N292" s="626"/>
      <c r="O292" s="626"/>
      <c r="P292" s="626"/>
      <c r="Q292" s="626"/>
      <c r="R292" s="626"/>
      <c r="S292" s="626"/>
      <c r="T292" s="626"/>
      <c r="U292" s="626"/>
      <c r="V292" s="626"/>
      <c r="W292" s="626"/>
      <c r="X292" s="626"/>
      <c r="Y292" s="626"/>
    </row>
    <row r="293">
      <c r="A293" s="626"/>
      <c r="B293" s="626"/>
      <c r="C293" s="626"/>
      <c r="D293" s="626"/>
      <c r="E293" s="627"/>
      <c r="F293" s="628"/>
      <c r="G293" s="626"/>
      <c r="H293" s="626"/>
      <c r="I293" s="626"/>
      <c r="J293" s="626"/>
      <c r="K293" s="626"/>
      <c r="L293" s="626"/>
      <c r="M293" s="626"/>
      <c r="N293" s="626"/>
      <c r="O293" s="626"/>
      <c r="P293" s="626"/>
      <c r="Q293" s="626"/>
      <c r="R293" s="626"/>
      <c r="S293" s="626"/>
      <c r="T293" s="626"/>
      <c r="U293" s="626"/>
      <c r="V293" s="626"/>
      <c r="W293" s="626"/>
      <c r="X293" s="626"/>
      <c r="Y293" s="626"/>
    </row>
    <row r="294">
      <c r="A294" s="626"/>
      <c r="B294" s="626"/>
      <c r="C294" s="626"/>
      <c r="D294" s="626"/>
      <c r="E294" s="627"/>
      <c r="F294" s="628"/>
      <c r="G294" s="626"/>
      <c r="H294" s="626"/>
      <c r="I294" s="626"/>
      <c r="J294" s="626"/>
      <c r="K294" s="626"/>
      <c r="L294" s="626"/>
      <c r="M294" s="626"/>
      <c r="N294" s="626"/>
      <c r="O294" s="626"/>
      <c r="P294" s="626"/>
      <c r="Q294" s="626"/>
      <c r="R294" s="626"/>
      <c r="S294" s="626"/>
      <c r="T294" s="626"/>
      <c r="U294" s="626"/>
      <c r="V294" s="626"/>
      <c r="W294" s="626"/>
      <c r="X294" s="626"/>
      <c r="Y294" s="626"/>
    </row>
    <row r="295">
      <c r="A295" s="626"/>
      <c r="B295" s="626"/>
      <c r="C295" s="626"/>
      <c r="D295" s="626"/>
      <c r="E295" s="627"/>
      <c r="F295" s="628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</row>
    <row r="296">
      <c r="A296" s="626"/>
      <c r="B296" s="626"/>
      <c r="C296" s="626"/>
      <c r="D296" s="626"/>
      <c r="E296" s="627"/>
      <c r="F296" s="628"/>
      <c r="G296" s="626"/>
      <c r="H296" s="626"/>
      <c r="I296" s="626"/>
      <c r="J296" s="626"/>
      <c r="K296" s="626"/>
      <c r="L296" s="626"/>
      <c r="M296" s="626"/>
      <c r="N296" s="626"/>
      <c r="O296" s="626"/>
      <c r="P296" s="626"/>
      <c r="Q296" s="626"/>
      <c r="R296" s="626"/>
      <c r="S296" s="626"/>
      <c r="T296" s="626"/>
      <c r="U296" s="626"/>
      <c r="V296" s="626"/>
      <c r="W296" s="626"/>
      <c r="X296" s="626"/>
      <c r="Y296" s="626"/>
    </row>
    <row r="297">
      <c r="A297" s="626"/>
      <c r="B297" s="626"/>
      <c r="C297" s="626"/>
      <c r="D297" s="626"/>
      <c r="E297" s="627"/>
      <c r="F297" s="628"/>
      <c r="G297" s="626"/>
      <c r="H297" s="626"/>
      <c r="I297" s="626"/>
      <c r="J297" s="626"/>
      <c r="K297" s="626"/>
      <c r="L297" s="626"/>
      <c r="M297" s="626"/>
      <c r="N297" s="626"/>
      <c r="O297" s="626"/>
      <c r="P297" s="626"/>
      <c r="Q297" s="626"/>
      <c r="R297" s="626"/>
      <c r="S297" s="626"/>
      <c r="T297" s="626"/>
      <c r="U297" s="626"/>
      <c r="V297" s="626"/>
      <c r="W297" s="626"/>
      <c r="X297" s="626"/>
      <c r="Y297" s="626"/>
    </row>
    <row r="298">
      <c r="A298" s="626"/>
      <c r="B298" s="626"/>
      <c r="C298" s="626"/>
      <c r="D298" s="626"/>
      <c r="E298" s="627"/>
      <c r="F298" s="628"/>
      <c r="G298" s="626"/>
      <c r="H298" s="626"/>
      <c r="I298" s="626"/>
      <c r="J298" s="626"/>
      <c r="K298" s="626"/>
      <c r="L298" s="626"/>
      <c r="M298" s="626"/>
      <c r="N298" s="626"/>
      <c r="O298" s="626"/>
      <c r="P298" s="626"/>
      <c r="Q298" s="626"/>
      <c r="R298" s="626"/>
      <c r="S298" s="626"/>
      <c r="T298" s="626"/>
      <c r="U298" s="626"/>
      <c r="V298" s="626"/>
      <c r="W298" s="626"/>
      <c r="X298" s="626"/>
      <c r="Y298" s="626"/>
    </row>
    <row r="299">
      <c r="A299" s="626"/>
      <c r="B299" s="626"/>
      <c r="C299" s="626"/>
      <c r="D299" s="626"/>
      <c r="E299" s="627"/>
      <c r="F299" s="628"/>
      <c r="G299" s="626"/>
      <c r="H299" s="626"/>
      <c r="I299" s="626"/>
      <c r="J299" s="626"/>
      <c r="K299" s="626"/>
      <c r="L299" s="626"/>
      <c r="M299" s="626"/>
      <c r="N299" s="626"/>
      <c r="O299" s="626"/>
      <c r="P299" s="626"/>
      <c r="Q299" s="626"/>
      <c r="R299" s="626"/>
      <c r="S299" s="626"/>
      <c r="T299" s="626"/>
      <c r="U299" s="626"/>
      <c r="V299" s="626"/>
      <c r="W299" s="626"/>
      <c r="X299" s="626"/>
      <c r="Y299" s="626"/>
    </row>
    <row r="300">
      <c r="A300" s="626"/>
      <c r="B300" s="626"/>
      <c r="C300" s="626"/>
      <c r="D300" s="626"/>
      <c r="E300" s="627"/>
      <c r="F300" s="628"/>
      <c r="G300" s="626"/>
      <c r="H300" s="626"/>
      <c r="I300" s="626"/>
      <c r="J300" s="626"/>
      <c r="K300" s="626"/>
      <c r="L300" s="626"/>
      <c r="M300" s="626"/>
      <c r="N300" s="626"/>
      <c r="O300" s="626"/>
      <c r="P300" s="626"/>
      <c r="Q300" s="626"/>
      <c r="R300" s="626"/>
      <c r="S300" s="626"/>
      <c r="T300" s="626"/>
      <c r="U300" s="626"/>
      <c r="V300" s="626"/>
      <c r="W300" s="626"/>
      <c r="X300" s="626"/>
      <c r="Y300" s="626"/>
    </row>
    <row r="301">
      <c r="A301" s="626"/>
      <c r="B301" s="626"/>
      <c r="C301" s="626"/>
      <c r="D301" s="626"/>
      <c r="E301" s="627"/>
      <c r="F301" s="628"/>
      <c r="G301" s="626"/>
      <c r="H301" s="626"/>
      <c r="I301" s="626"/>
      <c r="J301" s="626"/>
      <c r="K301" s="626"/>
      <c r="L301" s="626"/>
      <c r="M301" s="626"/>
      <c r="N301" s="626"/>
      <c r="O301" s="626"/>
      <c r="P301" s="626"/>
      <c r="Q301" s="626"/>
      <c r="R301" s="626"/>
      <c r="S301" s="626"/>
      <c r="T301" s="626"/>
      <c r="U301" s="626"/>
      <c r="V301" s="626"/>
      <c r="W301" s="626"/>
      <c r="X301" s="626"/>
      <c r="Y301" s="626"/>
    </row>
    <row r="302">
      <c r="A302" s="626"/>
      <c r="B302" s="626"/>
      <c r="C302" s="626"/>
      <c r="D302" s="626"/>
      <c r="E302" s="627"/>
      <c r="F302" s="628"/>
      <c r="G302" s="626"/>
      <c r="H302" s="626"/>
      <c r="I302" s="626"/>
      <c r="J302" s="626"/>
      <c r="K302" s="626"/>
      <c r="L302" s="626"/>
      <c r="M302" s="626"/>
      <c r="N302" s="626"/>
      <c r="O302" s="626"/>
      <c r="P302" s="626"/>
      <c r="Q302" s="626"/>
      <c r="R302" s="626"/>
      <c r="S302" s="626"/>
      <c r="T302" s="626"/>
      <c r="U302" s="626"/>
      <c r="V302" s="626"/>
      <c r="W302" s="626"/>
      <c r="X302" s="626"/>
      <c r="Y302" s="626"/>
    </row>
    <row r="303">
      <c r="A303" s="626"/>
      <c r="B303" s="626"/>
      <c r="C303" s="626"/>
      <c r="D303" s="626"/>
      <c r="E303" s="627"/>
      <c r="F303" s="628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</row>
    <row r="304">
      <c r="A304" s="626"/>
      <c r="B304" s="626"/>
      <c r="C304" s="626"/>
      <c r="D304" s="626"/>
      <c r="E304" s="627"/>
      <c r="F304" s="628"/>
      <c r="G304" s="626"/>
      <c r="H304" s="626"/>
      <c r="I304" s="626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</row>
    <row r="305">
      <c r="A305" s="626"/>
      <c r="B305" s="626"/>
      <c r="C305" s="626"/>
      <c r="D305" s="626"/>
      <c r="E305" s="627"/>
      <c r="F305" s="628"/>
      <c r="G305" s="626"/>
      <c r="H305" s="626"/>
      <c r="I305" s="626"/>
      <c r="J305" s="626"/>
      <c r="K305" s="626"/>
      <c r="L305" s="626"/>
      <c r="M305" s="626"/>
      <c r="N305" s="626"/>
      <c r="O305" s="626"/>
      <c r="P305" s="626"/>
      <c r="Q305" s="626"/>
      <c r="R305" s="626"/>
      <c r="S305" s="626"/>
      <c r="T305" s="626"/>
      <c r="U305" s="626"/>
      <c r="V305" s="626"/>
      <c r="W305" s="626"/>
      <c r="X305" s="626"/>
      <c r="Y305" s="626"/>
    </row>
    <row r="306">
      <c r="A306" s="626"/>
      <c r="B306" s="626"/>
      <c r="C306" s="626"/>
      <c r="D306" s="626"/>
      <c r="E306" s="627"/>
      <c r="F306" s="628"/>
      <c r="G306" s="626"/>
      <c r="H306" s="626"/>
      <c r="I306" s="626"/>
      <c r="J306" s="626"/>
      <c r="K306" s="626"/>
      <c r="L306" s="626"/>
      <c r="M306" s="626"/>
      <c r="N306" s="626"/>
      <c r="O306" s="626"/>
      <c r="P306" s="626"/>
      <c r="Q306" s="626"/>
      <c r="R306" s="626"/>
      <c r="S306" s="626"/>
      <c r="T306" s="626"/>
      <c r="U306" s="626"/>
      <c r="V306" s="626"/>
      <c r="W306" s="626"/>
      <c r="X306" s="626"/>
      <c r="Y306" s="626"/>
    </row>
    <row r="307">
      <c r="A307" s="626"/>
      <c r="B307" s="626"/>
      <c r="C307" s="626"/>
      <c r="D307" s="626"/>
      <c r="E307" s="627"/>
      <c r="F307" s="628"/>
      <c r="G307" s="626"/>
      <c r="H307" s="626"/>
      <c r="I307" s="626"/>
      <c r="J307" s="626"/>
      <c r="K307" s="626"/>
      <c r="L307" s="626"/>
      <c r="M307" s="626"/>
      <c r="N307" s="626"/>
      <c r="O307" s="626"/>
      <c r="P307" s="626"/>
      <c r="Q307" s="626"/>
      <c r="R307" s="626"/>
      <c r="S307" s="626"/>
      <c r="T307" s="626"/>
      <c r="U307" s="626"/>
      <c r="V307" s="626"/>
      <c r="W307" s="626"/>
      <c r="X307" s="626"/>
      <c r="Y307" s="626"/>
    </row>
    <row r="308">
      <c r="A308" s="626"/>
      <c r="B308" s="626"/>
      <c r="C308" s="626"/>
      <c r="D308" s="626"/>
      <c r="E308" s="627"/>
      <c r="F308" s="628"/>
      <c r="G308" s="626"/>
      <c r="H308" s="626"/>
      <c r="I308" s="626"/>
      <c r="J308" s="626"/>
      <c r="K308" s="626"/>
      <c r="L308" s="626"/>
      <c r="M308" s="626"/>
      <c r="N308" s="626"/>
      <c r="O308" s="626"/>
      <c r="P308" s="626"/>
      <c r="Q308" s="626"/>
      <c r="R308" s="626"/>
      <c r="S308" s="626"/>
      <c r="T308" s="626"/>
      <c r="U308" s="626"/>
      <c r="V308" s="626"/>
      <c r="W308" s="626"/>
      <c r="X308" s="626"/>
      <c r="Y308" s="626"/>
    </row>
    <row r="309">
      <c r="A309" s="626"/>
      <c r="B309" s="626"/>
      <c r="C309" s="626"/>
      <c r="D309" s="626"/>
      <c r="E309" s="627"/>
      <c r="F309" s="628"/>
      <c r="G309" s="626"/>
      <c r="H309" s="626"/>
      <c r="I309" s="626"/>
      <c r="J309" s="626"/>
      <c r="K309" s="626"/>
      <c r="L309" s="626"/>
      <c r="M309" s="626"/>
      <c r="N309" s="626"/>
      <c r="O309" s="626"/>
      <c r="P309" s="626"/>
      <c r="Q309" s="626"/>
      <c r="R309" s="626"/>
      <c r="S309" s="626"/>
      <c r="T309" s="626"/>
      <c r="U309" s="626"/>
      <c r="V309" s="626"/>
      <c r="W309" s="626"/>
      <c r="X309" s="626"/>
      <c r="Y309" s="626"/>
    </row>
    <row r="310">
      <c r="A310" s="626"/>
      <c r="B310" s="626"/>
      <c r="C310" s="626"/>
      <c r="D310" s="626"/>
      <c r="E310" s="627"/>
      <c r="F310" s="628"/>
      <c r="G310" s="626"/>
      <c r="H310" s="626"/>
      <c r="I310" s="626"/>
      <c r="J310" s="626"/>
      <c r="K310" s="626"/>
      <c r="L310" s="626"/>
      <c r="M310" s="626"/>
      <c r="N310" s="626"/>
      <c r="O310" s="626"/>
      <c r="P310" s="626"/>
      <c r="Q310" s="626"/>
      <c r="R310" s="626"/>
      <c r="S310" s="626"/>
      <c r="T310" s="626"/>
      <c r="U310" s="626"/>
      <c r="V310" s="626"/>
      <c r="W310" s="626"/>
      <c r="X310" s="626"/>
      <c r="Y310" s="626"/>
    </row>
    <row r="311">
      <c r="A311" s="626"/>
      <c r="B311" s="626"/>
      <c r="C311" s="626"/>
      <c r="D311" s="626"/>
      <c r="E311" s="627"/>
      <c r="F311" s="628"/>
      <c r="G311" s="626"/>
      <c r="H311" s="626"/>
      <c r="I311" s="626"/>
      <c r="J311" s="626"/>
      <c r="K311" s="626"/>
      <c r="L311" s="626"/>
      <c r="M311" s="626"/>
      <c r="N311" s="626"/>
      <c r="O311" s="626"/>
      <c r="P311" s="626"/>
      <c r="Q311" s="626"/>
      <c r="R311" s="626"/>
      <c r="S311" s="626"/>
      <c r="T311" s="626"/>
      <c r="U311" s="626"/>
      <c r="V311" s="626"/>
      <c r="W311" s="626"/>
      <c r="X311" s="626"/>
      <c r="Y311" s="626"/>
    </row>
    <row r="312">
      <c r="A312" s="626"/>
      <c r="B312" s="626"/>
      <c r="C312" s="626"/>
      <c r="D312" s="626"/>
      <c r="E312" s="627"/>
      <c r="F312" s="628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</row>
    <row r="313">
      <c r="A313" s="626"/>
      <c r="B313" s="626"/>
      <c r="C313" s="626"/>
      <c r="D313" s="626"/>
      <c r="E313" s="627"/>
      <c r="F313" s="628"/>
      <c r="G313" s="626"/>
      <c r="H313" s="626"/>
      <c r="I313" s="626"/>
      <c r="J313" s="626"/>
      <c r="K313" s="626"/>
      <c r="L313" s="626"/>
      <c r="M313" s="626"/>
      <c r="N313" s="626"/>
      <c r="O313" s="626"/>
      <c r="P313" s="626"/>
      <c r="Q313" s="626"/>
      <c r="R313" s="626"/>
      <c r="S313" s="626"/>
      <c r="T313" s="626"/>
      <c r="U313" s="626"/>
      <c r="V313" s="626"/>
      <c r="W313" s="626"/>
      <c r="X313" s="626"/>
      <c r="Y313" s="626"/>
    </row>
    <row r="314">
      <c r="A314" s="626"/>
      <c r="B314" s="626"/>
      <c r="C314" s="626"/>
      <c r="D314" s="626"/>
      <c r="E314" s="627"/>
      <c r="F314" s="628"/>
      <c r="G314" s="626"/>
      <c r="H314" s="626"/>
      <c r="I314" s="626"/>
      <c r="J314" s="626"/>
      <c r="K314" s="626"/>
      <c r="L314" s="626"/>
      <c r="M314" s="626"/>
      <c r="N314" s="626"/>
      <c r="O314" s="626"/>
      <c r="P314" s="626"/>
      <c r="Q314" s="626"/>
      <c r="R314" s="626"/>
      <c r="S314" s="626"/>
      <c r="T314" s="626"/>
      <c r="U314" s="626"/>
      <c r="V314" s="626"/>
      <c r="W314" s="626"/>
      <c r="X314" s="626"/>
      <c r="Y314" s="626"/>
    </row>
    <row r="315">
      <c r="A315" s="626"/>
      <c r="B315" s="626"/>
      <c r="C315" s="626"/>
      <c r="D315" s="626"/>
      <c r="E315" s="627"/>
      <c r="F315" s="628"/>
      <c r="G315" s="626"/>
      <c r="H315" s="626"/>
      <c r="I315" s="626"/>
      <c r="J315" s="626"/>
      <c r="K315" s="626"/>
      <c r="L315" s="626"/>
      <c r="M315" s="626"/>
      <c r="N315" s="626"/>
      <c r="O315" s="626"/>
      <c r="P315" s="626"/>
      <c r="Q315" s="626"/>
      <c r="R315" s="626"/>
      <c r="S315" s="626"/>
      <c r="T315" s="626"/>
      <c r="U315" s="626"/>
      <c r="V315" s="626"/>
      <c r="W315" s="626"/>
      <c r="X315" s="626"/>
      <c r="Y315" s="626"/>
    </row>
    <row r="316">
      <c r="A316" s="626"/>
      <c r="B316" s="626"/>
      <c r="C316" s="626"/>
      <c r="D316" s="626"/>
      <c r="E316" s="627"/>
      <c r="F316" s="628"/>
      <c r="G316" s="626"/>
      <c r="H316" s="626"/>
      <c r="I316" s="626"/>
      <c r="J316" s="626"/>
      <c r="K316" s="626"/>
      <c r="L316" s="626"/>
      <c r="M316" s="626"/>
      <c r="N316" s="626"/>
      <c r="O316" s="626"/>
      <c r="P316" s="626"/>
      <c r="Q316" s="626"/>
      <c r="R316" s="626"/>
      <c r="S316" s="626"/>
      <c r="T316" s="626"/>
      <c r="U316" s="626"/>
      <c r="V316" s="626"/>
      <c r="W316" s="626"/>
      <c r="X316" s="626"/>
      <c r="Y316" s="626"/>
    </row>
    <row r="317">
      <c r="A317" s="626"/>
      <c r="B317" s="626"/>
      <c r="C317" s="626"/>
      <c r="D317" s="626"/>
      <c r="E317" s="627"/>
      <c r="F317" s="628"/>
      <c r="G317" s="626"/>
      <c r="H317" s="626"/>
      <c r="I317" s="626"/>
      <c r="J317" s="626"/>
      <c r="K317" s="626"/>
      <c r="L317" s="626"/>
      <c r="M317" s="626"/>
      <c r="N317" s="626"/>
      <c r="O317" s="626"/>
      <c r="P317" s="626"/>
      <c r="Q317" s="626"/>
      <c r="R317" s="626"/>
      <c r="S317" s="626"/>
      <c r="T317" s="626"/>
      <c r="U317" s="626"/>
      <c r="V317" s="626"/>
      <c r="W317" s="626"/>
      <c r="X317" s="626"/>
      <c r="Y317" s="626"/>
    </row>
    <row r="318">
      <c r="A318" s="626"/>
      <c r="B318" s="626"/>
      <c r="C318" s="626"/>
      <c r="D318" s="626"/>
      <c r="E318" s="627"/>
      <c r="F318" s="628"/>
      <c r="G318" s="626"/>
      <c r="H318" s="626"/>
      <c r="I318" s="626"/>
      <c r="J318" s="626"/>
      <c r="K318" s="626"/>
      <c r="L318" s="626"/>
      <c r="M318" s="626"/>
      <c r="N318" s="626"/>
      <c r="O318" s="626"/>
      <c r="P318" s="626"/>
      <c r="Q318" s="626"/>
      <c r="R318" s="626"/>
      <c r="S318" s="626"/>
      <c r="T318" s="626"/>
      <c r="U318" s="626"/>
      <c r="V318" s="626"/>
      <c r="W318" s="626"/>
      <c r="X318" s="626"/>
      <c r="Y318" s="626"/>
    </row>
    <row r="319">
      <c r="A319" s="626"/>
      <c r="B319" s="626"/>
      <c r="C319" s="626"/>
      <c r="D319" s="626"/>
      <c r="E319" s="627"/>
      <c r="F319" s="628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</row>
    <row r="320">
      <c r="A320" s="626"/>
      <c r="B320" s="626"/>
      <c r="C320" s="626"/>
      <c r="D320" s="626"/>
      <c r="E320" s="627"/>
      <c r="F320" s="628"/>
      <c r="G320" s="626"/>
      <c r="H320" s="626"/>
      <c r="I320" s="626"/>
      <c r="J320" s="626"/>
      <c r="K320" s="626"/>
      <c r="L320" s="626"/>
      <c r="M320" s="626"/>
      <c r="N320" s="626"/>
      <c r="O320" s="626"/>
      <c r="P320" s="626"/>
      <c r="Q320" s="626"/>
      <c r="R320" s="626"/>
      <c r="S320" s="626"/>
      <c r="T320" s="626"/>
      <c r="U320" s="626"/>
      <c r="V320" s="626"/>
      <c r="W320" s="626"/>
      <c r="X320" s="626"/>
      <c r="Y320" s="626"/>
    </row>
    <row r="321">
      <c r="A321" s="626"/>
      <c r="B321" s="626"/>
      <c r="C321" s="626"/>
      <c r="D321" s="626"/>
      <c r="E321" s="627"/>
      <c r="F321" s="628"/>
      <c r="G321" s="626"/>
      <c r="H321" s="626"/>
      <c r="I321" s="626"/>
      <c r="J321" s="626"/>
      <c r="K321" s="626"/>
      <c r="L321" s="626"/>
      <c r="M321" s="626"/>
      <c r="N321" s="626"/>
      <c r="O321" s="626"/>
      <c r="P321" s="626"/>
      <c r="Q321" s="626"/>
      <c r="R321" s="626"/>
      <c r="S321" s="626"/>
      <c r="T321" s="626"/>
      <c r="U321" s="626"/>
      <c r="V321" s="626"/>
      <c r="W321" s="626"/>
      <c r="X321" s="626"/>
      <c r="Y321" s="626"/>
    </row>
    <row r="322">
      <c r="A322" s="626"/>
      <c r="B322" s="626"/>
      <c r="C322" s="626"/>
      <c r="D322" s="626"/>
      <c r="E322" s="627"/>
      <c r="F322" s="628"/>
      <c r="G322" s="626"/>
      <c r="H322" s="626"/>
      <c r="I322" s="626"/>
      <c r="J322" s="626"/>
      <c r="K322" s="626"/>
      <c r="L322" s="626"/>
      <c r="M322" s="626"/>
      <c r="N322" s="626"/>
      <c r="O322" s="626"/>
      <c r="P322" s="626"/>
      <c r="Q322" s="626"/>
      <c r="R322" s="626"/>
      <c r="S322" s="626"/>
      <c r="T322" s="626"/>
      <c r="U322" s="626"/>
      <c r="V322" s="626"/>
      <c r="W322" s="626"/>
      <c r="X322" s="626"/>
      <c r="Y322" s="626"/>
    </row>
    <row r="323">
      <c r="A323" s="626"/>
      <c r="B323" s="626"/>
      <c r="C323" s="626"/>
      <c r="D323" s="626"/>
      <c r="E323" s="627"/>
      <c r="F323" s="628"/>
      <c r="G323" s="626"/>
      <c r="H323" s="626"/>
      <c r="I323" s="626"/>
      <c r="J323" s="626"/>
      <c r="K323" s="626"/>
      <c r="L323" s="626"/>
      <c r="M323" s="626"/>
      <c r="N323" s="626"/>
      <c r="O323" s="626"/>
      <c r="P323" s="626"/>
      <c r="Q323" s="626"/>
      <c r="R323" s="626"/>
      <c r="S323" s="626"/>
      <c r="T323" s="626"/>
      <c r="U323" s="626"/>
      <c r="V323" s="626"/>
      <c r="W323" s="626"/>
      <c r="X323" s="626"/>
      <c r="Y323" s="626"/>
    </row>
    <row r="324">
      <c r="A324" s="626"/>
      <c r="B324" s="626"/>
      <c r="C324" s="626"/>
      <c r="D324" s="626"/>
      <c r="E324" s="627"/>
      <c r="F324" s="628"/>
      <c r="G324" s="626"/>
      <c r="H324" s="626"/>
      <c r="I324" s="626"/>
      <c r="J324" s="626"/>
      <c r="K324" s="626"/>
      <c r="L324" s="626"/>
      <c r="M324" s="626"/>
      <c r="N324" s="626"/>
      <c r="O324" s="626"/>
      <c r="P324" s="626"/>
      <c r="Q324" s="626"/>
      <c r="R324" s="626"/>
      <c r="S324" s="626"/>
      <c r="T324" s="626"/>
      <c r="U324" s="626"/>
      <c r="V324" s="626"/>
      <c r="W324" s="626"/>
      <c r="X324" s="626"/>
      <c r="Y324" s="626"/>
    </row>
    <row r="325">
      <c r="A325" s="626"/>
      <c r="B325" s="626"/>
      <c r="C325" s="626"/>
      <c r="D325" s="626"/>
      <c r="E325" s="627"/>
      <c r="F325" s="628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</row>
    <row r="326">
      <c r="A326" s="626"/>
      <c r="B326" s="626"/>
      <c r="C326" s="626"/>
      <c r="D326" s="626"/>
      <c r="E326" s="627"/>
      <c r="F326" s="628"/>
      <c r="G326" s="626"/>
      <c r="H326" s="626"/>
      <c r="I326" s="626"/>
      <c r="J326" s="626"/>
      <c r="K326" s="626"/>
      <c r="L326" s="626"/>
      <c r="M326" s="626"/>
      <c r="N326" s="626"/>
      <c r="O326" s="626"/>
      <c r="P326" s="626"/>
      <c r="Q326" s="626"/>
      <c r="R326" s="626"/>
      <c r="S326" s="626"/>
      <c r="T326" s="626"/>
      <c r="U326" s="626"/>
      <c r="V326" s="626"/>
      <c r="W326" s="626"/>
      <c r="X326" s="626"/>
      <c r="Y326" s="626"/>
    </row>
    <row r="327">
      <c r="A327" s="626"/>
      <c r="B327" s="626"/>
      <c r="C327" s="626"/>
      <c r="D327" s="626"/>
      <c r="E327" s="627"/>
      <c r="F327" s="628"/>
      <c r="G327" s="626"/>
      <c r="H327" s="626"/>
      <c r="I327" s="626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626"/>
      <c r="Y327" s="626"/>
    </row>
    <row r="328">
      <c r="A328" s="626"/>
      <c r="B328" s="626"/>
      <c r="C328" s="626"/>
      <c r="D328" s="626"/>
      <c r="E328" s="627"/>
      <c r="F328" s="628"/>
      <c r="G328" s="626"/>
      <c r="H328" s="626"/>
      <c r="I328" s="626"/>
      <c r="J328" s="626"/>
      <c r="K328" s="626"/>
      <c r="L328" s="626"/>
      <c r="M328" s="626"/>
      <c r="N328" s="626"/>
      <c r="O328" s="626"/>
      <c r="P328" s="626"/>
      <c r="Q328" s="626"/>
      <c r="R328" s="626"/>
      <c r="S328" s="626"/>
      <c r="T328" s="626"/>
      <c r="U328" s="626"/>
      <c r="V328" s="626"/>
      <c r="W328" s="626"/>
      <c r="X328" s="626"/>
      <c r="Y328" s="626"/>
    </row>
    <row r="329">
      <c r="A329" s="626"/>
      <c r="B329" s="626"/>
      <c r="C329" s="626"/>
      <c r="D329" s="626"/>
      <c r="E329" s="627"/>
      <c r="F329" s="628"/>
      <c r="G329" s="626"/>
      <c r="H329" s="626"/>
      <c r="I329" s="626"/>
      <c r="J329" s="626"/>
      <c r="K329" s="626"/>
      <c r="L329" s="626"/>
      <c r="M329" s="626"/>
      <c r="N329" s="626"/>
      <c r="O329" s="626"/>
      <c r="P329" s="626"/>
      <c r="Q329" s="626"/>
      <c r="R329" s="626"/>
      <c r="S329" s="626"/>
      <c r="T329" s="626"/>
      <c r="U329" s="626"/>
      <c r="V329" s="626"/>
      <c r="W329" s="626"/>
      <c r="X329" s="626"/>
      <c r="Y329" s="626"/>
    </row>
    <row r="330">
      <c r="A330" s="626"/>
      <c r="B330" s="626"/>
      <c r="C330" s="626"/>
      <c r="D330" s="626"/>
      <c r="E330" s="627"/>
      <c r="F330" s="628"/>
      <c r="G330" s="626"/>
      <c r="H330" s="626"/>
      <c r="I330" s="626"/>
      <c r="J330" s="626"/>
      <c r="K330" s="626"/>
      <c r="L330" s="626"/>
      <c r="M330" s="626"/>
      <c r="N330" s="626"/>
      <c r="O330" s="626"/>
      <c r="P330" s="626"/>
      <c r="Q330" s="626"/>
      <c r="R330" s="626"/>
      <c r="S330" s="626"/>
      <c r="T330" s="626"/>
      <c r="U330" s="626"/>
      <c r="V330" s="626"/>
      <c r="W330" s="626"/>
      <c r="X330" s="626"/>
      <c r="Y330" s="626"/>
    </row>
    <row r="331">
      <c r="A331" s="626"/>
      <c r="B331" s="626"/>
      <c r="C331" s="626"/>
      <c r="D331" s="626"/>
      <c r="E331" s="627"/>
      <c r="F331" s="628"/>
      <c r="G331" s="626"/>
      <c r="H331" s="626"/>
      <c r="I331" s="626"/>
      <c r="J331" s="626"/>
      <c r="K331" s="626"/>
      <c r="L331" s="626"/>
      <c r="M331" s="626"/>
      <c r="N331" s="626"/>
      <c r="O331" s="626"/>
      <c r="P331" s="626"/>
      <c r="Q331" s="626"/>
      <c r="R331" s="626"/>
      <c r="S331" s="626"/>
      <c r="T331" s="626"/>
      <c r="U331" s="626"/>
      <c r="V331" s="626"/>
      <c r="W331" s="626"/>
      <c r="X331" s="626"/>
      <c r="Y331" s="626"/>
    </row>
    <row r="332">
      <c r="A332" s="626"/>
      <c r="B332" s="626"/>
      <c r="C332" s="626"/>
      <c r="D332" s="626"/>
      <c r="E332" s="627"/>
      <c r="F332" s="628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</row>
    <row r="333">
      <c r="A333" s="626"/>
      <c r="B333" s="626"/>
      <c r="C333" s="626"/>
      <c r="D333" s="626"/>
      <c r="E333" s="627"/>
      <c r="F333" s="628"/>
      <c r="G333" s="626"/>
      <c r="H333" s="626"/>
      <c r="I333" s="626"/>
      <c r="J333" s="626"/>
      <c r="K333" s="626"/>
      <c r="L333" s="626"/>
      <c r="M333" s="626"/>
      <c r="N333" s="626"/>
      <c r="O333" s="626"/>
      <c r="P333" s="626"/>
      <c r="Q333" s="626"/>
      <c r="R333" s="626"/>
      <c r="S333" s="626"/>
      <c r="T333" s="626"/>
      <c r="U333" s="626"/>
      <c r="V333" s="626"/>
      <c r="W333" s="626"/>
      <c r="X333" s="626"/>
      <c r="Y333" s="626"/>
    </row>
    <row r="334">
      <c r="A334" s="626"/>
      <c r="B334" s="626"/>
      <c r="C334" s="626"/>
      <c r="D334" s="626"/>
      <c r="E334" s="627"/>
      <c r="F334" s="628"/>
      <c r="G334" s="626"/>
      <c r="H334" s="626"/>
      <c r="I334" s="626"/>
      <c r="J334" s="626"/>
      <c r="K334" s="626"/>
      <c r="L334" s="626"/>
      <c r="M334" s="626"/>
      <c r="N334" s="626"/>
      <c r="O334" s="626"/>
      <c r="P334" s="626"/>
      <c r="Q334" s="626"/>
      <c r="R334" s="626"/>
      <c r="S334" s="626"/>
      <c r="T334" s="626"/>
      <c r="U334" s="626"/>
      <c r="V334" s="626"/>
      <c r="W334" s="626"/>
      <c r="X334" s="626"/>
      <c r="Y334" s="626"/>
    </row>
    <row r="335">
      <c r="A335" s="626"/>
      <c r="B335" s="626"/>
      <c r="C335" s="626"/>
      <c r="D335" s="626"/>
      <c r="E335" s="627"/>
      <c r="F335" s="628"/>
      <c r="G335" s="626"/>
      <c r="H335" s="626"/>
      <c r="I335" s="626"/>
      <c r="J335" s="626"/>
      <c r="K335" s="626"/>
      <c r="L335" s="626"/>
      <c r="M335" s="626"/>
      <c r="N335" s="626"/>
      <c r="O335" s="626"/>
      <c r="P335" s="626"/>
      <c r="Q335" s="626"/>
      <c r="R335" s="626"/>
      <c r="S335" s="626"/>
      <c r="T335" s="626"/>
      <c r="U335" s="626"/>
      <c r="V335" s="626"/>
      <c r="W335" s="626"/>
      <c r="X335" s="626"/>
      <c r="Y335" s="626"/>
    </row>
    <row r="336">
      <c r="A336" s="626"/>
      <c r="B336" s="626"/>
      <c r="C336" s="626"/>
      <c r="D336" s="626"/>
      <c r="E336" s="627"/>
      <c r="F336" s="628"/>
      <c r="G336" s="626"/>
      <c r="H336" s="626"/>
      <c r="I336" s="626"/>
      <c r="J336" s="626"/>
      <c r="K336" s="626"/>
      <c r="L336" s="626"/>
      <c r="M336" s="626"/>
      <c r="N336" s="626"/>
      <c r="O336" s="626"/>
      <c r="P336" s="626"/>
      <c r="Q336" s="626"/>
      <c r="R336" s="626"/>
      <c r="S336" s="626"/>
      <c r="T336" s="626"/>
      <c r="U336" s="626"/>
      <c r="V336" s="626"/>
      <c r="W336" s="626"/>
      <c r="X336" s="626"/>
      <c r="Y336" s="626"/>
    </row>
    <row r="337">
      <c r="A337" s="626"/>
      <c r="B337" s="626"/>
      <c r="C337" s="626"/>
      <c r="D337" s="626"/>
      <c r="E337" s="627"/>
      <c r="F337" s="628"/>
      <c r="G337" s="626"/>
      <c r="H337" s="626"/>
      <c r="I337" s="626"/>
      <c r="J337" s="626"/>
      <c r="K337" s="626"/>
      <c r="L337" s="626"/>
      <c r="M337" s="626"/>
      <c r="N337" s="626"/>
      <c r="O337" s="626"/>
      <c r="P337" s="626"/>
      <c r="Q337" s="626"/>
      <c r="R337" s="626"/>
      <c r="S337" s="626"/>
      <c r="T337" s="626"/>
      <c r="U337" s="626"/>
      <c r="V337" s="626"/>
      <c r="W337" s="626"/>
      <c r="X337" s="626"/>
      <c r="Y337" s="626"/>
    </row>
    <row r="338">
      <c r="A338" s="626"/>
      <c r="B338" s="626"/>
      <c r="C338" s="626"/>
      <c r="D338" s="626"/>
      <c r="E338" s="627"/>
      <c r="F338" s="628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26"/>
      <c r="Y338" s="626"/>
    </row>
    <row r="339">
      <c r="A339" s="626"/>
      <c r="B339" s="626"/>
      <c r="C339" s="626"/>
      <c r="D339" s="626"/>
      <c r="E339" s="627"/>
      <c r="F339" s="628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</row>
    <row r="340">
      <c r="A340" s="626"/>
      <c r="B340" s="626"/>
      <c r="C340" s="626"/>
      <c r="D340" s="626"/>
      <c r="E340" s="627"/>
      <c r="F340" s="628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626"/>
      <c r="Y340" s="626"/>
    </row>
    <row r="341">
      <c r="A341" s="626"/>
      <c r="B341" s="626"/>
      <c r="C341" s="626"/>
      <c r="D341" s="626"/>
      <c r="E341" s="627"/>
      <c r="F341" s="628"/>
      <c r="G341" s="626"/>
      <c r="H341" s="626"/>
      <c r="I341" s="626"/>
      <c r="J341" s="626"/>
      <c r="K341" s="626"/>
      <c r="L341" s="626"/>
      <c r="M341" s="626"/>
      <c r="N341" s="626"/>
      <c r="O341" s="626"/>
      <c r="P341" s="626"/>
      <c r="Q341" s="626"/>
      <c r="R341" s="626"/>
      <c r="S341" s="626"/>
      <c r="T341" s="626"/>
      <c r="U341" s="626"/>
      <c r="V341" s="626"/>
      <c r="W341" s="626"/>
      <c r="X341" s="626"/>
      <c r="Y341" s="626"/>
    </row>
    <row r="342">
      <c r="A342" s="626"/>
      <c r="B342" s="626"/>
      <c r="C342" s="626"/>
      <c r="D342" s="626"/>
      <c r="E342" s="627"/>
      <c r="F342" s="628"/>
      <c r="G342" s="626"/>
      <c r="H342" s="626"/>
      <c r="I342" s="626"/>
      <c r="J342" s="626"/>
      <c r="K342" s="626"/>
      <c r="L342" s="626"/>
      <c r="M342" s="626"/>
      <c r="N342" s="626"/>
      <c r="O342" s="626"/>
      <c r="P342" s="626"/>
      <c r="Q342" s="626"/>
      <c r="R342" s="626"/>
      <c r="S342" s="626"/>
      <c r="T342" s="626"/>
      <c r="U342" s="626"/>
      <c r="V342" s="626"/>
      <c r="W342" s="626"/>
      <c r="X342" s="626"/>
      <c r="Y342" s="626"/>
    </row>
    <row r="343">
      <c r="A343" s="626"/>
      <c r="B343" s="626"/>
      <c r="C343" s="626"/>
      <c r="D343" s="626"/>
      <c r="E343" s="627"/>
      <c r="F343" s="628"/>
      <c r="G343" s="626"/>
      <c r="H343" s="626"/>
      <c r="I343" s="626"/>
      <c r="J343" s="626"/>
      <c r="K343" s="626"/>
      <c r="L343" s="626"/>
      <c r="M343" s="626"/>
      <c r="N343" s="626"/>
      <c r="O343" s="626"/>
      <c r="P343" s="626"/>
      <c r="Q343" s="626"/>
      <c r="R343" s="626"/>
      <c r="S343" s="626"/>
      <c r="T343" s="626"/>
      <c r="U343" s="626"/>
      <c r="V343" s="626"/>
      <c r="W343" s="626"/>
      <c r="X343" s="626"/>
      <c r="Y343" s="626"/>
    </row>
    <row r="344">
      <c r="A344" s="626"/>
      <c r="B344" s="626"/>
      <c r="C344" s="626"/>
      <c r="D344" s="626"/>
      <c r="E344" s="627"/>
      <c r="F344" s="628"/>
      <c r="G344" s="626"/>
      <c r="H344" s="626"/>
      <c r="I344" s="626"/>
      <c r="J344" s="626"/>
      <c r="K344" s="626"/>
      <c r="L344" s="626"/>
      <c r="M344" s="626"/>
      <c r="N344" s="626"/>
      <c r="O344" s="626"/>
      <c r="P344" s="626"/>
      <c r="Q344" s="626"/>
      <c r="R344" s="626"/>
      <c r="S344" s="626"/>
      <c r="T344" s="626"/>
      <c r="U344" s="626"/>
      <c r="V344" s="626"/>
      <c r="W344" s="626"/>
      <c r="X344" s="626"/>
      <c r="Y344" s="626"/>
    </row>
    <row r="345">
      <c r="A345" s="626"/>
      <c r="B345" s="626"/>
      <c r="C345" s="626"/>
      <c r="D345" s="626"/>
      <c r="E345" s="627"/>
      <c r="F345" s="628"/>
      <c r="G345" s="626"/>
      <c r="H345" s="626"/>
      <c r="I345" s="626"/>
      <c r="J345" s="626"/>
      <c r="K345" s="626"/>
      <c r="L345" s="626"/>
      <c r="M345" s="626"/>
      <c r="N345" s="626"/>
      <c r="O345" s="626"/>
      <c r="P345" s="626"/>
      <c r="Q345" s="626"/>
      <c r="R345" s="626"/>
      <c r="S345" s="626"/>
      <c r="T345" s="626"/>
      <c r="U345" s="626"/>
      <c r="V345" s="626"/>
      <c r="W345" s="626"/>
      <c r="X345" s="626"/>
      <c r="Y345" s="626"/>
    </row>
    <row r="346">
      <c r="A346" s="626"/>
      <c r="B346" s="626"/>
      <c r="C346" s="626"/>
      <c r="D346" s="626"/>
      <c r="E346" s="627"/>
      <c r="F346" s="628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</row>
    <row r="347">
      <c r="A347" s="626"/>
      <c r="B347" s="626"/>
      <c r="C347" s="626"/>
      <c r="D347" s="626"/>
      <c r="E347" s="627"/>
      <c r="F347" s="628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</row>
    <row r="348">
      <c r="A348" s="626"/>
      <c r="B348" s="626"/>
      <c r="C348" s="626"/>
      <c r="D348" s="626"/>
      <c r="E348" s="627"/>
      <c r="F348" s="628"/>
      <c r="G348" s="626"/>
      <c r="H348" s="626"/>
      <c r="I348" s="626"/>
      <c r="J348" s="626"/>
      <c r="K348" s="626"/>
      <c r="L348" s="626"/>
      <c r="M348" s="626"/>
      <c r="N348" s="626"/>
      <c r="O348" s="626"/>
      <c r="P348" s="626"/>
      <c r="Q348" s="626"/>
      <c r="R348" s="626"/>
      <c r="S348" s="626"/>
      <c r="T348" s="626"/>
      <c r="U348" s="626"/>
      <c r="V348" s="626"/>
      <c r="W348" s="626"/>
      <c r="X348" s="626"/>
      <c r="Y348" s="626"/>
    </row>
    <row r="349">
      <c r="A349" s="626"/>
      <c r="B349" s="626"/>
      <c r="C349" s="626"/>
      <c r="D349" s="626"/>
      <c r="E349" s="627"/>
      <c r="F349" s="628"/>
      <c r="G349" s="626"/>
      <c r="H349" s="626"/>
      <c r="I349" s="626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626"/>
      <c r="Y349" s="626"/>
    </row>
    <row r="350">
      <c r="A350" s="626"/>
      <c r="B350" s="626"/>
      <c r="C350" s="626"/>
      <c r="D350" s="626"/>
      <c r="E350" s="627"/>
      <c r="F350" s="628"/>
      <c r="G350" s="626"/>
      <c r="H350" s="626"/>
      <c r="I350" s="626"/>
      <c r="J350" s="626"/>
      <c r="K350" s="626"/>
      <c r="L350" s="626"/>
      <c r="M350" s="626"/>
      <c r="N350" s="626"/>
      <c r="O350" s="626"/>
      <c r="P350" s="626"/>
      <c r="Q350" s="626"/>
      <c r="R350" s="626"/>
      <c r="S350" s="626"/>
      <c r="T350" s="626"/>
      <c r="U350" s="626"/>
      <c r="V350" s="626"/>
      <c r="W350" s="626"/>
      <c r="X350" s="626"/>
      <c r="Y350" s="626"/>
    </row>
    <row r="351">
      <c r="A351" s="626"/>
      <c r="B351" s="626"/>
      <c r="C351" s="626"/>
      <c r="D351" s="626"/>
      <c r="E351" s="627"/>
      <c r="F351" s="628"/>
      <c r="G351" s="626"/>
      <c r="H351" s="626"/>
      <c r="I351" s="626"/>
      <c r="J351" s="626"/>
      <c r="K351" s="626"/>
      <c r="L351" s="626"/>
      <c r="M351" s="626"/>
      <c r="N351" s="626"/>
      <c r="O351" s="626"/>
      <c r="P351" s="626"/>
      <c r="Q351" s="626"/>
      <c r="R351" s="626"/>
      <c r="S351" s="626"/>
      <c r="T351" s="626"/>
      <c r="U351" s="626"/>
      <c r="V351" s="626"/>
      <c r="W351" s="626"/>
      <c r="X351" s="626"/>
      <c r="Y351" s="626"/>
    </row>
    <row r="352">
      <c r="A352" s="626"/>
      <c r="B352" s="626"/>
      <c r="C352" s="626"/>
      <c r="D352" s="626"/>
      <c r="E352" s="627"/>
      <c r="F352" s="628"/>
      <c r="G352" s="626"/>
      <c r="H352" s="626"/>
      <c r="I352" s="626"/>
      <c r="J352" s="626"/>
      <c r="K352" s="626"/>
      <c r="L352" s="626"/>
      <c r="M352" s="626"/>
      <c r="N352" s="626"/>
      <c r="O352" s="626"/>
      <c r="P352" s="626"/>
      <c r="Q352" s="626"/>
      <c r="R352" s="626"/>
      <c r="S352" s="626"/>
      <c r="T352" s="626"/>
      <c r="U352" s="626"/>
      <c r="V352" s="626"/>
      <c r="W352" s="626"/>
      <c r="X352" s="626"/>
      <c r="Y352" s="626"/>
    </row>
    <row r="353">
      <c r="A353" s="626"/>
      <c r="B353" s="626"/>
      <c r="C353" s="626"/>
      <c r="D353" s="626"/>
      <c r="E353" s="627"/>
      <c r="F353" s="628"/>
      <c r="G353" s="626"/>
      <c r="H353" s="626"/>
      <c r="I353" s="626"/>
      <c r="J353" s="626"/>
      <c r="K353" s="626"/>
      <c r="L353" s="626"/>
      <c r="M353" s="626"/>
      <c r="N353" s="626"/>
      <c r="O353" s="626"/>
      <c r="P353" s="626"/>
      <c r="Q353" s="626"/>
      <c r="R353" s="626"/>
      <c r="S353" s="626"/>
      <c r="T353" s="626"/>
      <c r="U353" s="626"/>
      <c r="V353" s="626"/>
      <c r="W353" s="626"/>
      <c r="X353" s="626"/>
      <c r="Y353" s="626"/>
    </row>
    <row r="354">
      <c r="A354" s="626"/>
      <c r="B354" s="626"/>
      <c r="C354" s="626"/>
      <c r="D354" s="626"/>
      <c r="E354" s="627"/>
      <c r="F354" s="628"/>
      <c r="G354" s="626"/>
      <c r="H354" s="626"/>
      <c r="I354" s="626"/>
      <c r="J354" s="626"/>
      <c r="K354" s="626"/>
      <c r="L354" s="626"/>
      <c r="M354" s="626"/>
      <c r="N354" s="626"/>
      <c r="O354" s="626"/>
      <c r="P354" s="626"/>
      <c r="Q354" s="626"/>
      <c r="R354" s="626"/>
      <c r="S354" s="626"/>
      <c r="T354" s="626"/>
      <c r="U354" s="626"/>
      <c r="V354" s="626"/>
      <c r="W354" s="626"/>
      <c r="X354" s="626"/>
      <c r="Y354" s="626"/>
    </row>
    <row r="355">
      <c r="A355" s="626"/>
      <c r="B355" s="626"/>
      <c r="C355" s="626"/>
      <c r="D355" s="626"/>
      <c r="E355" s="627"/>
      <c r="F355" s="628"/>
      <c r="G355" s="626"/>
      <c r="H355" s="626"/>
      <c r="I355" s="626"/>
      <c r="J355" s="626"/>
      <c r="K355" s="626"/>
      <c r="L355" s="626"/>
      <c r="M355" s="626"/>
      <c r="N355" s="626"/>
      <c r="O355" s="626"/>
      <c r="P355" s="626"/>
      <c r="Q355" s="626"/>
      <c r="R355" s="626"/>
      <c r="S355" s="626"/>
      <c r="T355" s="626"/>
      <c r="U355" s="626"/>
      <c r="V355" s="626"/>
      <c r="W355" s="626"/>
      <c r="X355" s="626"/>
      <c r="Y355" s="626"/>
    </row>
    <row r="356">
      <c r="A356" s="626"/>
      <c r="B356" s="626"/>
      <c r="C356" s="626"/>
      <c r="D356" s="626"/>
      <c r="E356" s="627"/>
      <c r="F356" s="628"/>
      <c r="G356" s="626"/>
      <c r="H356" s="626"/>
      <c r="I356" s="626"/>
      <c r="J356" s="626"/>
      <c r="K356" s="626"/>
      <c r="L356" s="626"/>
      <c r="M356" s="626"/>
      <c r="N356" s="626"/>
      <c r="O356" s="626"/>
      <c r="P356" s="626"/>
      <c r="Q356" s="626"/>
      <c r="R356" s="626"/>
      <c r="S356" s="626"/>
      <c r="T356" s="626"/>
      <c r="U356" s="626"/>
      <c r="V356" s="626"/>
      <c r="W356" s="626"/>
      <c r="X356" s="626"/>
      <c r="Y356" s="626"/>
    </row>
    <row r="357">
      <c r="A357" s="626"/>
      <c r="B357" s="626"/>
      <c r="C357" s="626"/>
      <c r="D357" s="626"/>
      <c r="E357" s="627"/>
      <c r="F357" s="628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</row>
    <row r="358">
      <c r="A358" s="626"/>
      <c r="B358" s="626"/>
      <c r="C358" s="626"/>
      <c r="D358" s="626"/>
      <c r="E358" s="627"/>
      <c r="F358" s="628"/>
      <c r="G358" s="626"/>
      <c r="H358" s="626"/>
      <c r="I358" s="626"/>
      <c r="J358" s="626"/>
      <c r="K358" s="626"/>
      <c r="L358" s="626"/>
      <c r="M358" s="626"/>
      <c r="N358" s="626"/>
      <c r="O358" s="626"/>
      <c r="P358" s="626"/>
      <c r="Q358" s="626"/>
      <c r="R358" s="626"/>
      <c r="S358" s="626"/>
      <c r="T358" s="626"/>
      <c r="U358" s="626"/>
      <c r="V358" s="626"/>
      <c r="W358" s="626"/>
      <c r="X358" s="626"/>
      <c r="Y358" s="626"/>
    </row>
    <row r="359">
      <c r="A359" s="626"/>
      <c r="B359" s="626"/>
      <c r="C359" s="626"/>
      <c r="D359" s="626"/>
      <c r="E359" s="627"/>
      <c r="F359" s="628"/>
      <c r="G359" s="626"/>
      <c r="H359" s="626"/>
      <c r="I359" s="626"/>
      <c r="J359" s="626"/>
      <c r="K359" s="626"/>
      <c r="L359" s="626"/>
      <c r="M359" s="626"/>
      <c r="N359" s="626"/>
      <c r="O359" s="626"/>
      <c r="P359" s="626"/>
      <c r="Q359" s="626"/>
      <c r="R359" s="626"/>
      <c r="S359" s="626"/>
      <c r="T359" s="626"/>
      <c r="U359" s="626"/>
      <c r="V359" s="626"/>
      <c r="W359" s="626"/>
      <c r="X359" s="626"/>
      <c r="Y359" s="626"/>
    </row>
    <row r="360">
      <c r="A360" s="626"/>
      <c r="B360" s="626"/>
      <c r="C360" s="626"/>
      <c r="D360" s="626"/>
      <c r="E360" s="627"/>
      <c r="F360" s="628"/>
      <c r="G360" s="626"/>
      <c r="H360" s="626"/>
      <c r="I360" s="626"/>
      <c r="J360" s="626"/>
      <c r="K360" s="626"/>
      <c r="L360" s="626"/>
      <c r="M360" s="626"/>
      <c r="N360" s="626"/>
      <c r="O360" s="626"/>
      <c r="P360" s="626"/>
      <c r="Q360" s="626"/>
      <c r="R360" s="626"/>
      <c r="S360" s="626"/>
      <c r="T360" s="626"/>
      <c r="U360" s="626"/>
      <c r="V360" s="626"/>
      <c r="W360" s="626"/>
      <c r="X360" s="626"/>
      <c r="Y360" s="626"/>
    </row>
    <row r="361">
      <c r="A361" s="626"/>
      <c r="B361" s="626"/>
      <c r="C361" s="626"/>
      <c r="D361" s="626"/>
      <c r="E361" s="627"/>
      <c r="F361" s="628"/>
      <c r="G361" s="626"/>
      <c r="H361" s="626"/>
      <c r="I361" s="626"/>
      <c r="J361" s="626"/>
      <c r="K361" s="626"/>
      <c r="L361" s="626"/>
      <c r="M361" s="626"/>
      <c r="N361" s="626"/>
      <c r="O361" s="626"/>
      <c r="P361" s="626"/>
      <c r="Q361" s="626"/>
      <c r="R361" s="626"/>
      <c r="S361" s="626"/>
      <c r="T361" s="626"/>
      <c r="U361" s="626"/>
      <c r="V361" s="626"/>
      <c r="W361" s="626"/>
      <c r="X361" s="626"/>
      <c r="Y361" s="626"/>
    </row>
    <row r="362">
      <c r="A362" s="626"/>
      <c r="B362" s="626"/>
      <c r="C362" s="626"/>
      <c r="D362" s="626"/>
      <c r="E362" s="627"/>
      <c r="F362" s="628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</row>
    <row r="363">
      <c r="A363" s="626"/>
      <c r="B363" s="626"/>
      <c r="C363" s="626"/>
      <c r="D363" s="626"/>
      <c r="E363" s="627"/>
      <c r="F363" s="628"/>
      <c r="G363" s="626"/>
      <c r="H363" s="626"/>
      <c r="I363" s="626"/>
      <c r="J363" s="626"/>
      <c r="K363" s="626"/>
      <c r="L363" s="626"/>
      <c r="M363" s="626"/>
      <c r="N363" s="626"/>
      <c r="O363" s="626"/>
      <c r="P363" s="626"/>
      <c r="Q363" s="626"/>
      <c r="R363" s="626"/>
      <c r="S363" s="626"/>
      <c r="T363" s="626"/>
      <c r="U363" s="626"/>
      <c r="V363" s="626"/>
      <c r="W363" s="626"/>
      <c r="X363" s="626"/>
      <c r="Y363" s="626"/>
    </row>
    <row r="364">
      <c r="A364" s="626"/>
      <c r="B364" s="626"/>
      <c r="C364" s="626"/>
      <c r="D364" s="626"/>
      <c r="E364" s="627"/>
      <c r="F364" s="628"/>
      <c r="G364" s="626"/>
      <c r="H364" s="626"/>
      <c r="I364" s="626"/>
      <c r="J364" s="626"/>
      <c r="K364" s="626"/>
      <c r="L364" s="626"/>
      <c r="M364" s="626"/>
      <c r="N364" s="626"/>
      <c r="O364" s="626"/>
      <c r="P364" s="626"/>
      <c r="Q364" s="626"/>
      <c r="R364" s="626"/>
      <c r="S364" s="626"/>
      <c r="T364" s="626"/>
      <c r="U364" s="626"/>
      <c r="V364" s="626"/>
      <c r="W364" s="626"/>
      <c r="X364" s="626"/>
      <c r="Y364" s="626"/>
    </row>
    <row r="365">
      <c r="A365" s="626"/>
      <c r="B365" s="626"/>
      <c r="C365" s="626"/>
      <c r="D365" s="626"/>
      <c r="E365" s="627"/>
      <c r="F365" s="628"/>
      <c r="G365" s="626"/>
      <c r="H365" s="626"/>
      <c r="I365" s="626"/>
      <c r="J365" s="626"/>
      <c r="K365" s="626"/>
      <c r="L365" s="626"/>
      <c r="M365" s="626"/>
      <c r="N365" s="626"/>
      <c r="O365" s="626"/>
      <c r="P365" s="626"/>
      <c r="Q365" s="626"/>
      <c r="R365" s="626"/>
      <c r="S365" s="626"/>
      <c r="T365" s="626"/>
      <c r="U365" s="626"/>
      <c r="V365" s="626"/>
      <c r="W365" s="626"/>
      <c r="X365" s="626"/>
      <c r="Y365" s="626"/>
    </row>
    <row r="366">
      <c r="A366" s="626"/>
      <c r="B366" s="626"/>
      <c r="C366" s="626"/>
      <c r="D366" s="626"/>
      <c r="E366" s="627"/>
      <c r="F366" s="628"/>
      <c r="G366" s="626"/>
      <c r="H366" s="626"/>
      <c r="I366" s="626"/>
      <c r="J366" s="626"/>
      <c r="K366" s="626"/>
      <c r="L366" s="626"/>
      <c r="M366" s="626"/>
      <c r="N366" s="626"/>
      <c r="O366" s="626"/>
      <c r="P366" s="626"/>
      <c r="Q366" s="626"/>
      <c r="R366" s="626"/>
      <c r="S366" s="626"/>
      <c r="T366" s="626"/>
      <c r="U366" s="626"/>
      <c r="V366" s="626"/>
      <c r="W366" s="626"/>
      <c r="X366" s="626"/>
      <c r="Y366" s="626"/>
    </row>
    <row r="367">
      <c r="A367" s="626"/>
      <c r="B367" s="626"/>
      <c r="C367" s="626"/>
      <c r="D367" s="626"/>
      <c r="E367" s="627"/>
      <c r="F367" s="628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</row>
    <row r="368">
      <c r="A368" s="626"/>
      <c r="B368" s="626"/>
      <c r="C368" s="626"/>
      <c r="D368" s="626"/>
      <c r="E368" s="627"/>
      <c r="F368" s="628"/>
      <c r="G368" s="626"/>
      <c r="H368" s="626"/>
      <c r="I368" s="626"/>
      <c r="J368" s="626"/>
      <c r="K368" s="626"/>
      <c r="L368" s="626"/>
      <c r="M368" s="626"/>
      <c r="N368" s="626"/>
      <c r="O368" s="626"/>
      <c r="P368" s="626"/>
      <c r="Q368" s="626"/>
      <c r="R368" s="626"/>
      <c r="S368" s="626"/>
      <c r="T368" s="626"/>
      <c r="U368" s="626"/>
      <c r="V368" s="626"/>
      <c r="W368" s="626"/>
      <c r="X368" s="626"/>
      <c r="Y368" s="626"/>
    </row>
    <row r="369">
      <c r="A369" s="626"/>
      <c r="B369" s="626"/>
      <c r="C369" s="626"/>
      <c r="D369" s="626"/>
      <c r="E369" s="627"/>
      <c r="F369" s="628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6"/>
      <c r="T369" s="626"/>
      <c r="U369" s="626"/>
      <c r="V369" s="626"/>
      <c r="W369" s="626"/>
      <c r="X369" s="626"/>
      <c r="Y369" s="626"/>
    </row>
    <row r="370">
      <c r="A370" s="626"/>
      <c r="B370" s="626"/>
      <c r="C370" s="626"/>
      <c r="D370" s="626"/>
      <c r="E370" s="627"/>
      <c r="F370" s="628"/>
      <c r="G370" s="626"/>
      <c r="H370" s="626"/>
      <c r="I370" s="626"/>
      <c r="J370" s="626"/>
      <c r="K370" s="626"/>
      <c r="L370" s="626"/>
      <c r="M370" s="626"/>
      <c r="N370" s="626"/>
      <c r="O370" s="626"/>
      <c r="P370" s="626"/>
      <c r="Q370" s="626"/>
      <c r="R370" s="626"/>
      <c r="S370" s="626"/>
      <c r="T370" s="626"/>
      <c r="U370" s="626"/>
      <c r="V370" s="626"/>
      <c r="W370" s="626"/>
      <c r="X370" s="626"/>
      <c r="Y370" s="626"/>
    </row>
    <row r="371">
      <c r="A371" s="626"/>
      <c r="B371" s="626"/>
      <c r="C371" s="626"/>
      <c r="D371" s="626"/>
      <c r="E371" s="627"/>
      <c r="F371" s="628"/>
      <c r="G371" s="626"/>
      <c r="H371" s="626"/>
      <c r="I371" s="626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26"/>
      <c r="Y371" s="626"/>
    </row>
    <row r="372">
      <c r="A372" s="626"/>
      <c r="B372" s="626"/>
      <c r="C372" s="626"/>
      <c r="D372" s="626"/>
      <c r="E372" s="627"/>
      <c r="F372" s="628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</row>
    <row r="373">
      <c r="A373" s="626"/>
      <c r="B373" s="626"/>
      <c r="C373" s="626"/>
      <c r="D373" s="626"/>
      <c r="E373" s="627"/>
      <c r="F373" s="628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626"/>
      <c r="Y373" s="626"/>
    </row>
    <row r="374">
      <c r="A374" s="626"/>
      <c r="B374" s="626"/>
      <c r="C374" s="626"/>
      <c r="D374" s="626"/>
      <c r="E374" s="627"/>
      <c r="F374" s="628"/>
      <c r="G374" s="626"/>
      <c r="H374" s="626"/>
      <c r="I374" s="626"/>
      <c r="J374" s="626"/>
      <c r="K374" s="626"/>
      <c r="L374" s="626"/>
      <c r="M374" s="626"/>
      <c r="N374" s="626"/>
      <c r="O374" s="626"/>
      <c r="P374" s="626"/>
      <c r="Q374" s="626"/>
      <c r="R374" s="626"/>
      <c r="S374" s="626"/>
      <c r="T374" s="626"/>
      <c r="U374" s="626"/>
      <c r="V374" s="626"/>
      <c r="W374" s="626"/>
      <c r="X374" s="626"/>
      <c r="Y374" s="626"/>
    </row>
    <row r="375">
      <c r="A375" s="626"/>
      <c r="B375" s="626"/>
      <c r="C375" s="626"/>
      <c r="D375" s="626"/>
      <c r="E375" s="627"/>
      <c r="F375" s="628"/>
      <c r="G375" s="626"/>
      <c r="H375" s="626"/>
      <c r="I375" s="626"/>
      <c r="J375" s="626"/>
      <c r="K375" s="626"/>
      <c r="L375" s="626"/>
      <c r="M375" s="626"/>
      <c r="N375" s="626"/>
      <c r="O375" s="626"/>
      <c r="P375" s="626"/>
      <c r="Q375" s="626"/>
      <c r="R375" s="626"/>
      <c r="S375" s="626"/>
      <c r="T375" s="626"/>
      <c r="U375" s="626"/>
      <c r="V375" s="626"/>
      <c r="W375" s="626"/>
      <c r="X375" s="626"/>
      <c r="Y375" s="626"/>
    </row>
    <row r="376">
      <c r="A376" s="626"/>
      <c r="B376" s="626"/>
      <c r="C376" s="626"/>
      <c r="D376" s="626"/>
      <c r="E376" s="627"/>
      <c r="F376" s="628"/>
      <c r="G376" s="626"/>
      <c r="H376" s="626"/>
      <c r="I376" s="626"/>
      <c r="J376" s="626"/>
      <c r="K376" s="626"/>
      <c r="L376" s="626"/>
      <c r="M376" s="626"/>
      <c r="N376" s="626"/>
      <c r="O376" s="626"/>
      <c r="P376" s="626"/>
      <c r="Q376" s="626"/>
      <c r="R376" s="626"/>
      <c r="S376" s="626"/>
      <c r="T376" s="626"/>
      <c r="U376" s="626"/>
      <c r="V376" s="626"/>
      <c r="W376" s="626"/>
      <c r="X376" s="626"/>
      <c r="Y376" s="626"/>
    </row>
    <row r="377">
      <c r="A377" s="626"/>
      <c r="B377" s="626"/>
      <c r="C377" s="626"/>
      <c r="D377" s="626"/>
      <c r="E377" s="627"/>
      <c r="F377" s="628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</row>
    <row r="378">
      <c r="A378" s="626"/>
      <c r="B378" s="626"/>
      <c r="C378" s="626"/>
      <c r="D378" s="626"/>
      <c r="E378" s="627"/>
      <c r="F378" s="628"/>
      <c r="G378" s="626"/>
      <c r="H378" s="626"/>
      <c r="I378" s="626"/>
      <c r="J378" s="626"/>
      <c r="K378" s="626"/>
      <c r="L378" s="626"/>
      <c r="M378" s="626"/>
      <c r="N378" s="626"/>
      <c r="O378" s="626"/>
      <c r="P378" s="626"/>
      <c r="Q378" s="626"/>
      <c r="R378" s="626"/>
      <c r="S378" s="626"/>
      <c r="T378" s="626"/>
      <c r="U378" s="626"/>
      <c r="V378" s="626"/>
      <c r="W378" s="626"/>
      <c r="X378" s="626"/>
      <c r="Y378" s="626"/>
    </row>
    <row r="379">
      <c r="A379" s="626"/>
      <c r="B379" s="626"/>
      <c r="C379" s="626"/>
      <c r="D379" s="626"/>
      <c r="E379" s="627"/>
      <c r="F379" s="628"/>
      <c r="G379" s="626"/>
      <c r="H379" s="626"/>
      <c r="I379" s="626"/>
      <c r="J379" s="626"/>
      <c r="K379" s="626"/>
      <c r="L379" s="626"/>
      <c r="M379" s="626"/>
      <c r="N379" s="626"/>
      <c r="O379" s="626"/>
      <c r="P379" s="626"/>
      <c r="Q379" s="626"/>
      <c r="R379" s="626"/>
      <c r="S379" s="626"/>
      <c r="T379" s="626"/>
      <c r="U379" s="626"/>
      <c r="V379" s="626"/>
      <c r="W379" s="626"/>
      <c r="X379" s="626"/>
      <c r="Y379" s="626"/>
    </row>
    <row r="380">
      <c r="A380" s="626"/>
      <c r="B380" s="626"/>
      <c r="C380" s="626"/>
      <c r="D380" s="626"/>
      <c r="E380" s="627"/>
      <c r="F380" s="628"/>
      <c r="G380" s="626"/>
      <c r="H380" s="626"/>
      <c r="I380" s="626"/>
      <c r="J380" s="626"/>
      <c r="K380" s="626"/>
      <c r="L380" s="626"/>
      <c r="M380" s="626"/>
      <c r="N380" s="626"/>
      <c r="O380" s="626"/>
      <c r="P380" s="626"/>
      <c r="Q380" s="626"/>
      <c r="R380" s="626"/>
      <c r="S380" s="626"/>
      <c r="T380" s="626"/>
      <c r="U380" s="626"/>
      <c r="V380" s="626"/>
      <c r="W380" s="626"/>
      <c r="X380" s="626"/>
      <c r="Y380" s="626"/>
    </row>
    <row r="381">
      <c r="A381" s="626"/>
      <c r="B381" s="626"/>
      <c r="C381" s="626"/>
      <c r="D381" s="626"/>
      <c r="E381" s="627"/>
      <c r="F381" s="628"/>
      <c r="G381" s="626"/>
      <c r="H381" s="626"/>
      <c r="I381" s="626"/>
      <c r="J381" s="626"/>
      <c r="K381" s="626"/>
      <c r="L381" s="626"/>
      <c r="M381" s="626"/>
      <c r="N381" s="626"/>
      <c r="O381" s="626"/>
      <c r="P381" s="626"/>
      <c r="Q381" s="626"/>
      <c r="R381" s="626"/>
      <c r="S381" s="626"/>
      <c r="T381" s="626"/>
      <c r="U381" s="626"/>
      <c r="V381" s="626"/>
      <c r="W381" s="626"/>
      <c r="X381" s="626"/>
      <c r="Y381" s="626"/>
    </row>
    <row r="382">
      <c r="A382" s="626"/>
      <c r="B382" s="626"/>
      <c r="C382" s="626"/>
      <c r="D382" s="626"/>
      <c r="E382" s="627"/>
      <c r="F382" s="628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</row>
    <row r="383">
      <c r="A383" s="626"/>
      <c r="B383" s="626"/>
      <c r="C383" s="626"/>
      <c r="D383" s="626"/>
      <c r="E383" s="627"/>
      <c r="F383" s="628"/>
      <c r="G383" s="626"/>
      <c r="H383" s="626"/>
      <c r="I383" s="626"/>
      <c r="J383" s="626"/>
      <c r="K383" s="626"/>
      <c r="L383" s="626"/>
      <c r="M383" s="626"/>
      <c r="N383" s="626"/>
      <c r="O383" s="626"/>
      <c r="P383" s="626"/>
      <c r="Q383" s="626"/>
      <c r="R383" s="626"/>
      <c r="S383" s="626"/>
      <c r="T383" s="626"/>
      <c r="U383" s="626"/>
      <c r="V383" s="626"/>
      <c r="W383" s="626"/>
      <c r="X383" s="626"/>
      <c r="Y383" s="626"/>
    </row>
    <row r="384">
      <c r="A384" s="626"/>
      <c r="B384" s="626"/>
      <c r="C384" s="626"/>
      <c r="D384" s="626"/>
      <c r="E384" s="627"/>
      <c r="F384" s="628"/>
      <c r="G384" s="626"/>
      <c r="H384" s="626"/>
      <c r="I384" s="626"/>
      <c r="J384" s="626"/>
      <c r="K384" s="626"/>
      <c r="L384" s="626"/>
      <c r="M384" s="626"/>
      <c r="N384" s="626"/>
      <c r="O384" s="626"/>
      <c r="P384" s="626"/>
      <c r="Q384" s="626"/>
      <c r="R384" s="626"/>
      <c r="S384" s="626"/>
      <c r="T384" s="626"/>
      <c r="U384" s="626"/>
      <c r="V384" s="626"/>
      <c r="W384" s="626"/>
      <c r="X384" s="626"/>
      <c r="Y384" s="626"/>
    </row>
    <row r="385">
      <c r="A385" s="626"/>
      <c r="B385" s="626"/>
      <c r="C385" s="626"/>
      <c r="D385" s="626"/>
      <c r="E385" s="627"/>
      <c r="F385" s="628"/>
      <c r="G385" s="626"/>
      <c r="H385" s="626"/>
      <c r="I385" s="626"/>
      <c r="J385" s="626"/>
      <c r="K385" s="626"/>
      <c r="L385" s="626"/>
      <c r="M385" s="626"/>
      <c r="N385" s="626"/>
      <c r="O385" s="626"/>
      <c r="P385" s="626"/>
      <c r="Q385" s="626"/>
      <c r="R385" s="626"/>
      <c r="S385" s="626"/>
      <c r="T385" s="626"/>
      <c r="U385" s="626"/>
      <c r="V385" s="626"/>
      <c r="W385" s="626"/>
      <c r="X385" s="626"/>
      <c r="Y385" s="626"/>
    </row>
    <row r="386">
      <c r="A386" s="626"/>
      <c r="B386" s="626"/>
      <c r="C386" s="626"/>
      <c r="D386" s="626"/>
      <c r="E386" s="627"/>
      <c r="F386" s="628"/>
      <c r="G386" s="626"/>
      <c r="H386" s="626"/>
      <c r="I386" s="626"/>
      <c r="J386" s="626"/>
      <c r="K386" s="626"/>
      <c r="L386" s="626"/>
      <c r="M386" s="626"/>
      <c r="N386" s="626"/>
      <c r="O386" s="626"/>
      <c r="P386" s="626"/>
      <c r="Q386" s="626"/>
      <c r="R386" s="626"/>
      <c r="S386" s="626"/>
      <c r="T386" s="626"/>
      <c r="U386" s="626"/>
      <c r="V386" s="626"/>
      <c r="W386" s="626"/>
      <c r="X386" s="626"/>
      <c r="Y386" s="626"/>
    </row>
    <row r="387">
      <c r="A387" s="626"/>
      <c r="B387" s="626"/>
      <c r="C387" s="626"/>
      <c r="D387" s="626"/>
      <c r="E387" s="627"/>
      <c r="F387" s="628"/>
      <c r="G387" s="626"/>
      <c r="H387" s="626"/>
      <c r="I387" s="626"/>
      <c r="J387" s="626"/>
      <c r="K387" s="626"/>
      <c r="L387" s="626"/>
      <c r="M387" s="626"/>
      <c r="N387" s="626"/>
      <c r="O387" s="626"/>
      <c r="P387" s="626"/>
      <c r="Q387" s="626"/>
      <c r="R387" s="626"/>
      <c r="S387" s="626"/>
      <c r="T387" s="626"/>
      <c r="U387" s="626"/>
      <c r="V387" s="626"/>
      <c r="W387" s="626"/>
      <c r="X387" s="626"/>
      <c r="Y387" s="626"/>
    </row>
    <row r="388">
      <c r="A388" s="626"/>
      <c r="B388" s="626"/>
      <c r="C388" s="626"/>
      <c r="D388" s="626"/>
      <c r="E388" s="627"/>
      <c r="F388" s="628"/>
      <c r="G388" s="626"/>
      <c r="H388" s="626"/>
      <c r="I388" s="626"/>
      <c r="J388" s="626"/>
      <c r="K388" s="626"/>
      <c r="L388" s="626"/>
      <c r="M388" s="626"/>
      <c r="N388" s="626"/>
      <c r="O388" s="626"/>
      <c r="P388" s="626"/>
      <c r="Q388" s="626"/>
      <c r="R388" s="626"/>
      <c r="S388" s="626"/>
      <c r="T388" s="626"/>
      <c r="U388" s="626"/>
      <c r="V388" s="626"/>
      <c r="W388" s="626"/>
      <c r="X388" s="626"/>
      <c r="Y388" s="626"/>
    </row>
    <row r="389">
      <c r="A389" s="626"/>
      <c r="B389" s="626"/>
      <c r="C389" s="626"/>
      <c r="D389" s="626"/>
      <c r="E389" s="627"/>
      <c r="F389" s="628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</row>
    <row r="390">
      <c r="A390" s="626"/>
      <c r="B390" s="626"/>
      <c r="C390" s="626"/>
      <c r="D390" s="626"/>
      <c r="E390" s="627"/>
      <c r="F390" s="628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</row>
    <row r="391">
      <c r="A391" s="626"/>
      <c r="B391" s="626"/>
      <c r="C391" s="626"/>
      <c r="D391" s="626"/>
      <c r="E391" s="627"/>
      <c r="F391" s="628"/>
      <c r="G391" s="626"/>
      <c r="H391" s="626"/>
      <c r="I391" s="626"/>
      <c r="J391" s="626"/>
      <c r="K391" s="626"/>
      <c r="L391" s="626"/>
      <c r="M391" s="626"/>
      <c r="N391" s="626"/>
      <c r="O391" s="626"/>
      <c r="P391" s="626"/>
      <c r="Q391" s="626"/>
      <c r="R391" s="626"/>
      <c r="S391" s="626"/>
      <c r="T391" s="626"/>
      <c r="U391" s="626"/>
      <c r="V391" s="626"/>
      <c r="W391" s="626"/>
      <c r="X391" s="626"/>
      <c r="Y391" s="626"/>
    </row>
    <row r="392">
      <c r="A392" s="626"/>
      <c r="B392" s="626"/>
      <c r="C392" s="626"/>
      <c r="D392" s="626"/>
      <c r="E392" s="627"/>
      <c r="F392" s="628"/>
      <c r="G392" s="626"/>
      <c r="H392" s="626"/>
      <c r="I392" s="626"/>
      <c r="J392" s="626"/>
      <c r="K392" s="626"/>
      <c r="L392" s="626"/>
      <c r="M392" s="626"/>
      <c r="N392" s="626"/>
      <c r="O392" s="626"/>
      <c r="P392" s="626"/>
      <c r="Q392" s="626"/>
      <c r="R392" s="626"/>
      <c r="S392" s="626"/>
      <c r="T392" s="626"/>
      <c r="U392" s="626"/>
      <c r="V392" s="626"/>
      <c r="W392" s="626"/>
      <c r="X392" s="626"/>
      <c r="Y392" s="626"/>
    </row>
    <row r="393">
      <c r="A393" s="626"/>
      <c r="B393" s="626"/>
      <c r="C393" s="626"/>
      <c r="D393" s="626"/>
      <c r="E393" s="627"/>
      <c r="F393" s="628"/>
      <c r="G393" s="626"/>
      <c r="H393" s="626"/>
      <c r="I393" s="626"/>
      <c r="J393" s="626"/>
      <c r="K393" s="626"/>
      <c r="L393" s="626"/>
      <c r="M393" s="626"/>
      <c r="N393" s="626"/>
      <c r="O393" s="626"/>
      <c r="P393" s="626"/>
      <c r="Q393" s="626"/>
      <c r="R393" s="626"/>
      <c r="S393" s="626"/>
      <c r="T393" s="626"/>
      <c r="U393" s="626"/>
      <c r="V393" s="626"/>
      <c r="W393" s="626"/>
      <c r="X393" s="626"/>
      <c r="Y393" s="626"/>
    </row>
    <row r="394">
      <c r="A394" s="626"/>
      <c r="B394" s="626"/>
      <c r="C394" s="626"/>
      <c r="D394" s="626"/>
      <c r="E394" s="627"/>
      <c r="F394" s="628"/>
      <c r="G394" s="626"/>
      <c r="H394" s="626"/>
      <c r="I394" s="626"/>
      <c r="J394" s="626"/>
      <c r="K394" s="626"/>
      <c r="L394" s="626"/>
      <c r="M394" s="626"/>
      <c r="N394" s="626"/>
      <c r="O394" s="626"/>
      <c r="P394" s="626"/>
      <c r="Q394" s="626"/>
      <c r="R394" s="626"/>
      <c r="S394" s="626"/>
      <c r="T394" s="626"/>
      <c r="U394" s="626"/>
      <c r="V394" s="626"/>
      <c r="W394" s="626"/>
      <c r="X394" s="626"/>
      <c r="Y394" s="626"/>
    </row>
    <row r="395">
      <c r="A395" s="626"/>
      <c r="B395" s="626"/>
      <c r="C395" s="626"/>
      <c r="D395" s="626"/>
      <c r="E395" s="627"/>
      <c r="F395" s="628"/>
      <c r="G395" s="626"/>
      <c r="H395" s="626"/>
      <c r="I395" s="626"/>
      <c r="J395" s="626"/>
      <c r="K395" s="626"/>
      <c r="L395" s="626"/>
      <c r="M395" s="626"/>
      <c r="N395" s="626"/>
      <c r="O395" s="626"/>
      <c r="P395" s="626"/>
      <c r="Q395" s="626"/>
      <c r="R395" s="626"/>
      <c r="S395" s="626"/>
      <c r="T395" s="626"/>
      <c r="U395" s="626"/>
      <c r="V395" s="626"/>
      <c r="W395" s="626"/>
      <c r="X395" s="626"/>
      <c r="Y395" s="626"/>
    </row>
    <row r="396">
      <c r="A396" s="626"/>
      <c r="B396" s="626"/>
      <c r="C396" s="626"/>
      <c r="D396" s="626"/>
      <c r="E396" s="627"/>
      <c r="F396" s="628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  <c r="Q396" s="626"/>
      <c r="R396" s="626"/>
      <c r="S396" s="626"/>
      <c r="T396" s="626"/>
      <c r="U396" s="626"/>
      <c r="V396" s="626"/>
      <c r="W396" s="626"/>
      <c r="X396" s="626"/>
      <c r="Y396" s="626"/>
    </row>
    <row r="397">
      <c r="A397" s="626"/>
      <c r="B397" s="626"/>
      <c r="C397" s="626"/>
      <c r="D397" s="626"/>
      <c r="E397" s="627"/>
      <c r="F397" s="628"/>
      <c r="G397" s="626"/>
      <c r="H397" s="626"/>
      <c r="I397" s="626"/>
      <c r="J397" s="626"/>
      <c r="K397" s="626"/>
      <c r="L397" s="626"/>
      <c r="M397" s="626"/>
      <c r="N397" s="626"/>
      <c r="O397" s="626"/>
      <c r="P397" s="626"/>
      <c r="Q397" s="626"/>
      <c r="R397" s="626"/>
      <c r="S397" s="626"/>
      <c r="T397" s="626"/>
      <c r="U397" s="626"/>
      <c r="V397" s="626"/>
      <c r="W397" s="626"/>
      <c r="X397" s="626"/>
      <c r="Y397" s="626"/>
    </row>
    <row r="398">
      <c r="A398" s="626"/>
      <c r="B398" s="626"/>
      <c r="C398" s="626"/>
      <c r="D398" s="626"/>
      <c r="E398" s="627"/>
      <c r="F398" s="628"/>
      <c r="G398" s="626"/>
      <c r="H398" s="626"/>
      <c r="I398" s="626"/>
      <c r="J398" s="626"/>
      <c r="K398" s="626"/>
      <c r="L398" s="626"/>
      <c r="M398" s="626"/>
      <c r="N398" s="626"/>
      <c r="O398" s="626"/>
      <c r="P398" s="626"/>
      <c r="Q398" s="626"/>
      <c r="R398" s="626"/>
      <c r="S398" s="626"/>
      <c r="T398" s="626"/>
      <c r="U398" s="626"/>
      <c r="V398" s="626"/>
      <c r="W398" s="626"/>
      <c r="X398" s="626"/>
      <c r="Y398" s="626"/>
    </row>
    <row r="399">
      <c r="A399" s="626"/>
      <c r="B399" s="626"/>
      <c r="C399" s="626"/>
      <c r="D399" s="626"/>
      <c r="E399" s="627"/>
      <c r="F399" s="628"/>
      <c r="G399" s="626"/>
      <c r="H399" s="626"/>
      <c r="I399" s="626"/>
      <c r="J399" s="626"/>
      <c r="K399" s="626"/>
      <c r="L399" s="626"/>
      <c r="M399" s="626"/>
      <c r="N399" s="626"/>
      <c r="O399" s="626"/>
      <c r="P399" s="626"/>
      <c r="Q399" s="626"/>
      <c r="R399" s="626"/>
      <c r="S399" s="626"/>
      <c r="T399" s="626"/>
      <c r="U399" s="626"/>
      <c r="V399" s="626"/>
      <c r="W399" s="626"/>
      <c r="X399" s="626"/>
      <c r="Y399" s="626"/>
    </row>
    <row r="400">
      <c r="A400" s="626"/>
      <c r="B400" s="626"/>
      <c r="C400" s="626"/>
      <c r="D400" s="626"/>
      <c r="E400" s="627"/>
      <c r="F400" s="628"/>
      <c r="G400" s="626"/>
      <c r="H400" s="626"/>
      <c r="I400" s="626"/>
      <c r="J400" s="626"/>
      <c r="K400" s="626"/>
      <c r="L400" s="626"/>
      <c r="M400" s="626"/>
      <c r="N400" s="626"/>
      <c r="O400" s="626"/>
      <c r="P400" s="626"/>
      <c r="Q400" s="626"/>
      <c r="R400" s="626"/>
      <c r="S400" s="626"/>
      <c r="T400" s="626"/>
      <c r="U400" s="626"/>
      <c r="V400" s="626"/>
      <c r="W400" s="626"/>
      <c r="X400" s="626"/>
      <c r="Y400" s="626"/>
    </row>
    <row r="401">
      <c r="A401" s="626"/>
      <c r="B401" s="626"/>
      <c r="C401" s="626"/>
      <c r="D401" s="626"/>
      <c r="E401" s="627"/>
      <c r="F401" s="628"/>
      <c r="G401" s="626"/>
      <c r="H401" s="626"/>
      <c r="I401" s="626"/>
      <c r="J401" s="626"/>
      <c r="K401" s="626"/>
      <c r="L401" s="626"/>
      <c r="M401" s="626"/>
      <c r="N401" s="626"/>
      <c r="O401" s="626"/>
      <c r="P401" s="626"/>
      <c r="Q401" s="626"/>
      <c r="R401" s="626"/>
      <c r="S401" s="626"/>
      <c r="T401" s="626"/>
      <c r="U401" s="626"/>
      <c r="V401" s="626"/>
      <c r="W401" s="626"/>
      <c r="X401" s="626"/>
      <c r="Y401" s="626"/>
    </row>
    <row r="402">
      <c r="A402" s="626"/>
      <c r="B402" s="626"/>
      <c r="C402" s="626"/>
      <c r="D402" s="626"/>
      <c r="E402" s="627"/>
      <c r="F402" s="628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</row>
    <row r="403">
      <c r="A403" s="626"/>
      <c r="B403" s="626"/>
      <c r="C403" s="626"/>
      <c r="D403" s="626"/>
      <c r="E403" s="627"/>
      <c r="F403" s="628"/>
      <c r="G403" s="626"/>
      <c r="H403" s="626"/>
      <c r="I403" s="626"/>
      <c r="J403" s="626"/>
      <c r="K403" s="626"/>
      <c r="L403" s="626"/>
      <c r="M403" s="626"/>
      <c r="N403" s="626"/>
      <c r="O403" s="626"/>
      <c r="P403" s="626"/>
      <c r="Q403" s="626"/>
      <c r="R403" s="626"/>
      <c r="S403" s="626"/>
      <c r="T403" s="626"/>
      <c r="U403" s="626"/>
      <c r="V403" s="626"/>
      <c r="W403" s="626"/>
      <c r="X403" s="626"/>
      <c r="Y403" s="626"/>
    </row>
    <row r="404">
      <c r="A404" s="626"/>
      <c r="B404" s="626"/>
      <c r="C404" s="626"/>
      <c r="D404" s="626"/>
      <c r="E404" s="627"/>
      <c r="F404" s="628"/>
      <c r="G404" s="626"/>
      <c r="H404" s="626"/>
      <c r="I404" s="626"/>
      <c r="J404" s="626"/>
      <c r="K404" s="626"/>
      <c r="L404" s="626"/>
      <c r="M404" s="626"/>
      <c r="N404" s="626"/>
      <c r="O404" s="626"/>
      <c r="P404" s="626"/>
      <c r="Q404" s="626"/>
      <c r="R404" s="626"/>
      <c r="S404" s="626"/>
      <c r="T404" s="626"/>
      <c r="U404" s="626"/>
      <c r="V404" s="626"/>
      <c r="W404" s="626"/>
      <c r="X404" s="626"/>
      <c r="Y404" s="626"/>
    </row>
    <row r="405">
      <c r="A405" s="626"/>
      <c r="B405" s="626"/>
      <c r="C405" s="626"/>
      <c r="D405" s="626"/>
      <c r="E405" s="627"/>
      <c r="F405" s="628"/>
      <c r="G405" s="626"/>
      <c r="H405" s="626"/>
      <c r="I405" s="626"/>
      <c r="J405" s="626"/>
      <c r="K405" s="626"/>
      <c r="L405" s="626"/>
      <c r="M405" s="626"/>
      <c r="N405" s="626"/>
      <c r="O405" s="626"/>
      <c r="P405" s="626"/>
      <c r="Q405" s="626"/>
      <c r="R405" s="626"/>
      <c r="S405" s="626"/>
      <c r="T405" s="626"/>
      <c r="U405" s="626"/>
      <c r="V405" s="626"/>
      <c r="W405" s="626"/>
      <c r="X405" s="626"/>
      <c r="Y405" s="626"/>
    </row>
    <row r="406">
      <c r="A406" s="626"/>
      <c r="B406" s="626"/>
      <c r="C406" s="626"/>
      <c r="D406" s="626"/>
      <c r="E406" s="627"/>
      <c r="F406" s="628"/>
      <c r="G406" s="626"/>
      <c r="H406" s="626"/>
      <c r="I406" s="626"/>
      <c r="J406" s="626"/>
      <c r="K406" s="626"/>
      <c r="L406" s="626"/>
      <c r="M406" s="626"/>
      <c r="N406" s="626"/>
      <c r="O406" s="626"/>
      <c r="P406" s="626"/>
      <c r="Q406" s="626"/>
      <c r="R406" s="626"/>
      <c r="S406" s="626"/>
      <c r="T406" s="626"/>
      <c r="U406" s="626"/>
      <c r="V406" s="626"/>
      <c r="W406" s="626"/>
      <c r="X406" s="626"/>
      <c r="Y406" s="626"/>
    </row>
    <row r="407">
      <c r="A407" s="626"/>
      <c r="B407" s="626"/>
      <c r="C407" s="626"/>
      <c r="D407" s="626"/>
      <c r="E407" s="627"/>
      <c r="F407" s="628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26"/>
      <c r="Y407" s="626"/>
    </row>
    <row r="408">
      <c r="A408" s="626"/>
      <c r="B408" s="626"/>
      <c r="C408" s="626"/>
      <c r="D408" s="626"/>
      <c r="E408" s="627"/>
      <c r="F408" s="628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</row>
    <row r="409">
      <c r="A409" s="626"/>
      <c r="B409" s="626"/>
      <c r="C409" s="626"/>
      <c r="D409" s="626"/>
      <c r="E409" s="627"/>
      <c r="F409" s="628"/>
      <c r="G409" s="626"/>
      <c r="H409" s="626"/>
      <c r="I409" s="626"/>
      <c r="J409" s="626"/>
      <c r="K409" s="626"/>
      <c r="L409" s="626"/>
      <c r="M409" s="626"/>
      <c r="N409" s="626"/>
      <c r="O409" s="626"/>
      <c r="P409" s="626"/>
      <c r="Q409" s="626"/>
      <c r="R409" s="626"/>
      <c r="S409" s="626"/>
      <c r="T409" s="626"/>
      <c r="U409" s="626"/>
      <c r="V409" s="626"/>
      <c r="W409" s="626"/>
      <c r="X409" s="626"/>
      <c r="Y409" s="626"/>
    </row>
    <row r="410">
      <c r="A410" s="626"/>
      <c r="B410" s="626"/>
      <c r="C410" s="626"/>
      <c r="D410" s="626"/>
      <c r="E410" s="627"/>
      <c r="F410" s="628"/>
      <c r="G410" s="626"/>
      <c r="H410" s="626"/>
      <c r="I410" s="626"/>
      <c r="J410" s="626"/>
      <c r="K410" s="626"/>
      <c r="L410" s="626"/>
      <c r="M410" s="626"/>
      <c r="N410" s="626"/>
      <c r="O410" s="626"/>
      <c r="P410" s="626"/>
      <c r="Q410" s="626"/>
      <c r="R410" s="626"/>
      <c r="S410" s="626"/>
      <c r="T410" s="626"/>
      <c r="U410" s="626"/>
      <c r="V410" s="626"/>
      <c r="W410" s="626"/>
      <c r="X410" s="626"/>
      <c r="Y410" s="626"/>
    </row>
    <row r="411">
      <c r="A411" s="626"/>
      <c r="B411" s="626"/>
      <c r="C411" s="626"/>
      <c r="D411" s="626"/>
      <c r="E411" s="627"/>
      <c r="F411" s="628"/>
      <c r="G411" s="626"/>
      <c r="H411" s="626"/>
      <c r="I411" s="626"/>
      <c r="J411" s="626"/>
      <c r="K411" s="626"/>
      <c r="L411" s="626"/>
      <c r="M411" s="626"/>
      <c r="N411" s="626"/>
      <c r="O411" s="626"/>
      <c r="P411" s="626"/>
      <c r="Q411" s="626"/>
      <c r="R411" s="626"/>
      <c r="S411" s="626"/>
      <c r="T411" s="626"/>
      <c r="U411" s="626"/>
      <c r="V411" s="626"/>
      <c r="W411" s="626"/>
      <c r="X411" s="626"/>
      <c r="Y411" s="626"/>
    </row>
    <row r="412">
      <c r="A412" s="626"/>
      <c r="B412" s="626"/>
      <c r="C412" s="626"/>
      <c r="D412" s="626"/>
      <c r="E412" s="627"/>
      <c r="F412" s="628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</row>
    <row r="413">
      <c r="A413" s="626"/>
      <c r="B413" s="626"/>
      <c r="C413" s="626"/>
      <c r="D413" s="626"/>
      <c r="E413" s="627"/>
      <c r="F413" s="628"/>
      <c r="G413" s="626"/>
      <c r="H413" s="626"/>
      <c r="I413" s="626"/>
      <c r="J413" s="626"/>
      <c r="K413" s="626"/>
      <c r="L413" s="626"/>
      <c r="M413" s="626"/>
      <c r="N413" s="626"/>
      <c r="O413" s="626"/>
      <c r="P413" s="626"/>
      <c r="Q413" s="626"/>
      <c r="R413" s="626"/>
      <c r="S413" s="626"/>
      <c r="T413" s="626"/>
      <c r="U413" s="626"/>
      <c r="V413" s="626"/>
      <c r="W413" s="626"/>
      <c r="X413" s="626"/>
      <c r="Y413" s="626"/>
    </row>
    <row r="414">
      <c r="A414" s="626"/>
      <c r="B414" s="626"/>
      <c r="C414" s="626"/>
      <c r="D414" s="626"/>
      <c r="E414" s="627"/>
      <c r="F414" s="628"/>
      <c r="G414" s="626"/>
      <c r="H414" s="626"/>
      <c r="I414" s="626"/>
      <c r="J414" s="626"/>
      <c r="K414" s="626"/>
      <c r="L414" s="626"/>
      <c r="M414" s="626"/>
      <c r="N414" s="626"/>
      <c r="O414" s="626"/>
      <c r="P414" s="626"/>
      <c r="Q414" s="626"/>
      <c r="R414" s="626"/>
      <c r="S414" s="626"/>
      <c r="T414" s="626"/>
      <c r="U414" s="626"/>
      <c r="V414" s="626"/>
      <c r="W414" s="626"/>
      <c r="X414" s="626"/>
      <c r="Y414" s="626"/>
    </row>
    <row r="415">
      <c r="A415" s="626"/>
      <c r="B415" s="626"/>
      <c r="C415" s="626"/>
      <c r="D415" s="626"/>
      <c r="E415" s="627"/>
      <c r="F415" s="628"/>
      <c r="G415" s="626"/>
      <c r="H415" s="626"/>
      <c r="I415" s="626"/>
      <c r="J415" s="626"/>
      <c r="K415" s="626"/>
      <c r="L415" s="626"/>
      <c r="M415" s="626"/>
      <c r="N415" s="626"/>
      <c r="O415" s="626"/>
      <c r="P415" s="626"/>
      <c r="Q415" s="626"/>
      <c r="R415" s="626"/>
      <c r="S415" s="626"/>
      <c r="T415" s="626"/>
      <c r="U415" s="626"/>
      <c r="V415" s="626"/>
      <c r="W415" s="626"/>
      <c r="X415" s="626"/>
      <c r="Y415" s="626"/>
    </row>
    <row r="416">
      <c r="A416" s="626"/>
      <c r="B416" s="626"/>
      <c r="C416" s="626"/>
      <c r="D416" s="626"/>
      <c r="E416" s="627"/>
      <c r="F416" s="628"/>
      <c r="G416" s="626"/>
      <c r="H416" s="626"/>
      <c r="I416" s="626"/>
      <c r="J416" s="626"/>
      <c r="K416" s="626"/>
      <c r="L416" s="626"/>
      <c r="M416" s="626"/>
      <c r="N416" s="626"/>
      <c r="O416" s="626"/>
      <c r="P416" s="626"/>
      <c r="Q416" s="626"/>
      <c r="R416" s="626"/>
      <c r="S416" s="626"/>
      <c r="T416" s="626"/>
      <c r="U416" s="626"/>
      <c r="V416" s="626"/>
      <c r="W416" s="626"/>
      <c r="X416" s="626"/>
      <c r="Y416" s="626"/>
    </row>
    <row r="417">
      <c r="A417" s="626"/>
      <c r="B417" s="626"/>
      <c r="C417" s="626"/>
      <c r="D417" s="626"/>
      <c r="E417" s="627"/>
      <c r="F417" s="628"/>
      <c r="G417" s="626"/>
      <c r="H417" s="626"/>
      <c r="I417" s="626"/>
      <c r="J417" s="626"/>
      <c r="K417" s="626"/>
      <c r="L417" s="626"/>
      <c r="M417" s="626"/>
      <c r="N417" s="626"/>
      <c r="O417" s="626"/>
      <c r="P417" s="626"/>
      <c r="Q417" s="626"/>
      <c r="R417" s="626"/>
      <c r="S417" s="626"/>
      <c r="T417" s="626"/>
      <c r="U417" s="626"/>
      <c r="V417" s="626"/>
      <c r="W417" s="626"/>
      <c r="X417" s="626"/>
      <c r="Y417" s="626"/>
    </row>
    <row r="418">
      <c r="A418" s="626"/>
      <c r="B418" s="626"/>
      <c r="C418" s="626"/>
      <c r="D418" s="626"/>
      <c r="E418" s="627"/>
      <c r="F418" s="628"/>
      <c r="G418" s="626"/>
      <c r="H418" s="626"/>
      <c r="I418" s="626"/>
      <c r="J418" s="626"/>
      <c r="K418" s="626"/>
      <c r="L418" s="626"/>
      <c r="M418" s="626"/>
      <c r="N418" s="626"/>
      <c r="O418" s="626"/>
      <c r="P418" s="626"/>
      <c r="Q418" s="626"/>
      <c r="R418" s="626"/>
      <c r="S418" s="626"/>
      <c r="T418" s="626"/>
      <c r="U418" s="626"/>
      <c r="V418" s="626"/>
      <c r="W418" s="626"/>
      <c r="X418" s="626"/>
      <c r="Y418" s="626"/>
    </row>
    <row r="419">
      <c r="A419" s="626"/>
      <c r="B419" s="626"/>
      <c r="C419" s="626"/>
      <c r="D419" s="626"/>
      <c r="E419" s="627"/>
      <c r="F419" s="628"/>
      <c r="G419" s="626"/>
      <c r="H419" s="626"/>
      <c r="I419" s="626"/>
      <c r="J419" s="626"/>
      <c r="K419" s="626"/>
      <c r="L419" s="626"/>
      <c r="M419" s="626"/>
      <c r="N419" s="626"/>
      <c r="O419" s="626"/>
      <c r="P419" s="626"/>
      <c r="Q419" s="626"/>
      <c r="R419" s="626"/>
      <c r="S419" s="626"/>
      <c r="T419" s="626"/>
      <c r="U419" s="626"/>
      <c r="V419" s="626"/>
      <c r="W419" s="626"/>
      <c r="X419" s="626"/>
      <c r="Y419" s="626"/>
    </row>
    <row r="420">
      <c r="A420" s="626"/>
      <c r="B420" s="626"/>
      <c r="C420" s="626"/>
      <c r="D420" s="626"/>
      <c r="E420" s="627"/>
      <c r="F420" s="628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</row>
    <row r="421">
      <c r="A421" s="626"/>
      <c r="B421" s="626"/>
      <c r="C421" s="626"/>
      <c r="D421" s="626"/>
      <c r="E421" s="627"/>
      <c r="F421" s="628"/>
      <c r="G421" s="626"/>
      <c r="H421" s="626"/>
      <c r="I421" s="626"/>
      <c r="J421" s="626"/>
      <c r="K421" s="626"/>
      <c r="L421" s="626"/>
      <c r="M421" s="626"/>
      <c r="N421" s="626"/>
      <c r="O421" s="626"/>
      <c r="P421" s="626"/>
      <c r="Q421" s="626"/>
      <c r="R421" s="626"/>
      <c r="S421" s="626"/>
      <c r="T421" s="626"/>
      <c r="U421" s="626"/>
      <c r="V421" s="626"/>
      <c r="W421" s="626"/>
      <c r="X421" s="626"/>
      <c r="Y421" s="626"/>
    </row>
    <row r="422">
      <c r="A422" s="626"/>
      <c r="B422" s="626"/>
      <c r="C422" s="626"/>
      <c r="D422" s="626"/>
      <c r="E422" s="627"/>
      <c r="F422" s="628"/>
      <c r="G422" s="626"/>
      <c r="H422" s="626"/>
      <c r="I422" s="626"/>
      <c r="J422" s="626"/>
      <c r="K422" s="626"/>
      <c r="L422" s="626"/>
      <c r="M422" s="626"/>
      <c r="N422" s="626"/>
      <c r="O422" s="626"/>
      <c r="P422" s="626"/>
      <c r="Q422" s="626"/>
      <c r="R422" s="626"/>
      <c r="S422" s="626"/>
      <c r="T422" s="626"/>
      <c r="U422" s="626"/>
      <c r="V422" s="626"/>
      <c r="W422" s="626"/>
      <c r="X422" s="626"/>
      <c r="Y422" s="626"/>
    </row>
    <row r="423">
      <c r="A423" s="626"/>
      <c r="B423" s="626"/>
      <c r="C423" s="626"/>
      <c r="D423" s="626"/>
      <c r="E423" s="627"/>
      <c r="F423" s="628"/>
      <c r="G423" s="626"/>
      <c r="H423" s="626"/>
      <c r="I423" s="626"/>
      <c r="J423" s="626"/>
      <c r="K423" s="626"/>
      <c r="L423" s="626"/>
      <c r="M423" s="626"/>
      <c r="N423" s="626"/>
      <c r="O423" s="626"/>
      <c r="P423" s="626"/>
      <c r="Q423" s="626"/>
      <c r="R423" s="626"/>
      <c r="S423" s="626"/>
      <c r="T423" s="626"/>
      <c r="U423" s="626"/>
      <c r="V423" s="626"/>
      <c r="W423" s="626"/>
      <c r="X423" s="626"/>
      <c r="Y423" s="626"/>
    </row>
    <row r="424">
      <c r="A424" s="626"/>
      <c r="B424" s="626"/>
      <c r="C424" s="626"/>
      <c r="D424" s="626"/>
      <c r="E424" s="627"/>
      <c r="F424" s="628"/>
      <c r="G424" s="626"/>
      <c r="H424" s="626"/>
      <c r="I424" s="626"/>
      <c r="J424" s="626"/>
      <c r="K424" s="626"/>
      <c r="L424" s="626"/>
      <c r="M424" s="626"/>
      <c r="N424" s="626"/>
      <c r="O424" s="626"/>
      <c r="P424" s="626"/>
      <c r="Q424" s="626"/>
      <c r="R424" s="626"/>
      <c r="S424" s="626"/>
      <c r="T424" s="626"/>
      <c r="U424" s="626"/>
      <c r="V424" s="626"/>
      <c r="W424" s="626"/>
      <c r="X424" s="626"/>
      <c r="Y424" s="626"/>
    </row>
    <row r="425">
      <c r="A425" s="626"/>
      <c r="B425" s="626"/>
      <c r="C425" s="626"/>
      <c r="D425" s="626"/>
      <c r="E425" s="627"/>
      <c r="F425" s="628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</row>
    <row r="426">
      <c r="A426" s="626"/>
      <c r="B426" s="626"/>
      <c r="C426" s="626"/>
      <c r="D426" s="626"/>
      <c r="E426" s="627"/>
      <c r="F426" s="628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</row>
    <row r="427">
      <c r="A427" s="626"/>
      <c r="B427" s="626"/>
      <c r="C427" s="626"/>
      <c r="D427" s="626"/>
      <c r="E427" s="627"/>
      <c r="F427" s="628"/>
      <c r="G427" s="626"/>
      <c r="H427" s="626"/>
      <c r="I427" s="626"/>
      <c r="J427" s="626"/>
      <c r="K427" s="626"/>
      <c r="L427" s="626"/>
      <c r="M427" s="626"/>
      <c r="N427" s="626"/>
      <c r="O427" s="626"/>
      <c r="P427" s="626"/>
      <c r="Q427" s="626"/>
      <c r="R427" s="626"/>
      <c r="S427" s="626"/>
      <c r="T427" s="626"/>
      <c r="U427" s="626"/>
      <c r="V427" s="626"/>
      <c r="W427" s="626"/>
      <c r="X427" s="626"/>
      <c r="Y427" s="626"/>
    </row>
    <row r="428">
      <c r="A428" s="626"/>
      <c r="B428" s="626"/>
      <c r="C428" s="626"/>
      <c r="D428" s="626"/>
      <c r="E428" s="627"/>
      <c r="F428" s="628"/>
      <c r="G428" s="626"/>
      <c r="H428" s="626"/>
      <c r="I428" s="626"/>
      <c r="J428" s="626"/>
      <c r="K428" s="626"/>
      <c r="L428" s="626"/>
      <c r="M428" s="626"/>
      <c r="N428" s="626"/>
      <c r="O428" s="626"/>
      <c r="P428" s="626"/>
      <c r="Q428" s="626"/>
      <c r="R428" s="626"/>
      <c r="S428" s="626"/>
      <c r="T428" s="626"/>
      <c r="U428" s="626"/>
      <c r="V428" s="626"/>
      <c r="W428" s="626"/>
      <c r="X428" s="626"/>
      <c r="Y428" s="626"/>
    </row>
    <row r="429">
      <c r="A429" s="626"/>
      <c r="B429" s="626"/>
      <c r="C429" s="626"/>
      <c r="D429" s="626"/>
      <c r="E429" s="627"/>
      <c r="F429" s="628"/>
      <c r="G429" s="626"/>
      <c r="H429" s="626"/>
      <c r="I429" s="626"/>
      <c r="J429" s="626"/>
      <c r="K429" s="626"/>
      <c r="L429" s="626"/>
      <c r="M429" s="626"/>
      <c r="N429" s="626"/>
      <c r="O429" s="626"/>
      <c r="P429" s="626"/>
      <c r="Q429" s="626"/>
      <c r="R429" s="626"/>
      <c r="S429" s="626"/>
      <c r="T429" s="626"/>
      <c r="U429" s="626"/>
      <c r="V429" s="626"/>
      <c r="W429" s="626"/>
      <c r="X429" s="626"/>
      <c r="Y429" s="626"/>
    </row>
    <row r="430">
      <c r="A430" s="626"/>
      <c r="B430" s="626"/>
      <c r="C430" s="626"/>
      <c r="D430" s="626"/>
      <c r="E430" s="627"/>
      <c r="F430" s="628"/>
      <c r="G430" s="626"/>
      <c r="H430" s="626"/>
      <c r="I430" s="626"/>
      <c r="J430" s="626"/>
      <c r="K430" s="626"/>
      <c r="L430" s="626"/>
      <c r="M430" s="626"/>
      <c r="N430" s="626"/>
      <c r="O430" s="626"/>
      <c r="P430" s="626"/>
      <c r="Q430" s="626"/>
      <c r="R430" s="626"/>
      <c r="S430" s="626"/>
      <c r="T430" s="626"/>
      <c r="U430" s="626"/>
      <c r="V430" s="626"/>
      <c r="W430" s="626"/>
      <c r="X430" s="626"/>
      <c r="Y430" s="626"/>
    </row>
    <row r="431">
      <c r="A431" s="626"/>
      <c r="B431" s="626"/>
      <c r="C431" s="626"/>
      <c r="D431" s="626"/>
      <c r="E431" s="627"/>
      <c r="F431" s="628"/>
      <c r="G431" s="626"/>
      <c r="H431" s="626"/>
      <c r="I431" s="626"/>
      <c r="J431" s="626"/>
      <c r="K431" s="626"/>
      <c r="L431" s="626"/>
      <c r="M431" s="626"/>
      <c r="N431" s="626"/>
      <c r="O431" s="626"/>
      <c r="P431" s="626"/>
      <c r="Q431" s="626"/>
      <c r="R431" s="626"/>
      <c r="S431" s="626"/>
      <c r="T431" s="626"/>
      <c r="U431" s="626"/>
      <c r="V431" s="626"/>
      <c r="W431" s="626"/>
      <c r="X431" s="626"/>
      <c r="Y431" s="626"/>
    </row>
    <row r="432">
      <c r="A432" s="626"/>
      <c r="B432" s="626"/>
      <c r="C432" s="626"/>
      <c r="D432" s="626"/>
      <c r="E432" s="627"/>
      <c r="F432" s="628"/>
      <c r="G432" s="626"/>
      <c r="H432" s="626"/>
      <c r="I432" s="626"/>
      <c r="J432" s="626"/>
      <c r="K432" s="626"/>
      <c r="L432" s="626"/>
      <c r="M432" s="626"/>
      <c r="N432" s="626"/>
      <c r="O432" s="626"/>
      <c r="P432" s="626"/>
      <c r="Q432" s="626"/>
      <c r="R432" s="626"/>
      <c r="S432" s="626"/>
      <c r="T432" s="626"/>
      <c r="U432" s="626"/>
      <c r="V432" s="626"/>
      <c r="W432" s="626"/>
      <c r="X432" s="626"/>
      <c r="Y432" s="626"/>
    </row>
    <row r="433">
      <c r="A433" s="626"/>
      <c r="B433" s="626"/>
      <c r="C433" s="626"/>
      <c r="D433" s="626"/>
      <c r="E433" s="627"/>
      <c r="F433" s="628"/>
      <c r="G433" s="626"/>
      <c r="H433" s="626"/>
      <c r="I433" s="626"/>
      <c r="J433" s="626"/>
      <c r="K433" s="626"/>
      <c r="L433" s="626"/>
      <c r="M433" s="626"/>
      <c r="N433" s="626"/>
      <c r="O433" s="626"/>
      <c r="P433" s="626"/>
      <c r="Q433" s="626"/>
      <c r="R433" s="626"/>
      <c r="S433" s="626"/>
      <c r="T433" s="626"/>
      <c r="U433" s="626"/>
      <c r="V433" s="626"/>
      <c r="W433" s="626"/>
      <c r="X433" s="626"/>
      <c r="Y433" s="626"/>
    </row>
    <row r="434">
      <c r="A434" s="626"/>
      <c r="B434" s="626"/>
      <c r="C434" s="626"/>
      <c r="D434" s="626"/>
      <c r="E434" s="627"/>
      <c r="F434" s="628"/>
      <c r="G434" s="626"/>
      <c r="H434" s="626"/>
      <c r="I434" s="626"/>
      <c r="J434" s="626"/>
      <c r="K434" s="626"/>
      <c r="L434" s="626"/>
      <c r="M434" s="626"/>
      <c r="N434" s="626"/>
      <c r="O434" s="626"/>
      <c r="P434" s="626"/>
      <c r="Q434" s="626"/>
      <c r="R434" s="626"/>
      <c r="S434" s="626"/>
      <c r="T434" s="626"/>
      <c r="U434" s="626"/>
      <c r="V434" s="626"/>
      <c r="W434" s="626"/>
      <c r="X434" s="626"/>
      <c r="Y434" s="626"/>
    </row>
    <row r="435">
      <c r="A435" s="626"/>
      <c r="B435" s="626"/>
      <c r="C435" s="626"/>
      <c r="D435" s="626"/>
      <c r="E435" s="627"/>
      <c r="F435" s="628"/>
      <c r="G435" s="626"/>
      <c r="H435" s="626"/>
      <c r="I435" s="626"/>
      <c r="J435" s="626"/>
      <c r="K435" s="626"/>
      <c r="L435" s="626"/>
      <c r="M435" s="626"/>
      <c r="N435" s="626"/>
      <c r="O435" s="626"/>
      <c r="P435" s="626"/>
      <c r="Q435" s="626"/>
      <c r="R435" s="626"/>
      <c r="S435" s="626"/>
      <c r="T435" s="626"/>
      <c r="U435" s="626"/>
      <c r="V435" s="626"/>
      <c r="W435" s="626"/>
      <c r="X435" s="626"/>
      <c r="Y435" s="626"/>
    </row>
    <row r="436">
      <c r="A436" s="626"/>
      <c r="B436" s="626"/>
      <c r="C436" s="626"/>
      <c r="D436" s="626"/>
      <c r="E436" s="627"/>
      <c r="F436" s="628"/>
      <c r="G436" s="626"/>
      <c r="H436" s="626"/>
      <c r="I436" s="626"/>
      <c r="J436" s="626"/>
      <c r="K436" s="626"/>
      <c r="L436" s="626"/>
      <c r="M436" s="626"/>
      <c r="N436" s="626"/>
      <c r="O436" s="626"/>
      <c r="P436" s="626"/>
      <c r="Q436" s="626"/>
      <c r="R436" s="626"/>
      <c r="S436" s="626"/>
      <c r="T436" s="626"/>
      <c r="U436" s="626"/>
      <c r="V436" s="626"/>
      <c r="W436" s="626"/>
      <c r="X436" s="626"/>
      <c r="Y436" s="626"/>
    </row>
    <row r="437">
      <c r="A437" s="626"/>
      <c r="B437" s="626"/>
      <c r="C437" s="626"/>
      <c r="D437" s="626"/>
      <c r="E437" s="627"/>
      <c r="F437" s="628"/>
      <c r="G437" s="626"/>
      <c r="H437" s="626"/>
      <c r="I437" s="626"/>
      <c r="J437" s="626"/>
      <c r="K437" s="626"/>
      <c r="L437" s="626"/>
      <c r="M437" s="626"/>
      <c r="N437" s="626"/>
      <c r="O437" s="626"/>
      <c r="P437" s="626"/>
      <c r="Q437" s="626"/>
      <c r="R437" s="626"/>
      <c r="S437" s="626"/>
      <c r="T437" s="626"/>
      <c r="U437" s="626"/>
      <c r="V437" s="626"/>
      <c r="W437" s="626"/>
      <c r="X437" s="626"/>
      <c r="Y437" s="626"/>
    </row>
    <row r="438">
      <c r="A438" s="626"/>
      <c r="B438" s="626"/>
      <c r="C438" s="626"/>
      <c r="D438" s="626"/>
      <c r="E438" s="627"/>
      <c r="F438" s="628"/>
      <c r="G438" s="626"/>
      <c r="H438" s="626"/>
      <c r="I438" s="626"/>
      <c r="J438" s="626"/>
      <c r="K438" s="626"/>
      <c r="L438" s="626"/>
      <c r="M438" s="626"/>
      <c r="N438" s="626"/>
      <c r="O438" s="626"/>
      <c r="P438" s="626"/>
      <c r="Q438" s="626"/>
      <c r="R438" s="626"/>
      <c r="S438" s="626"/>
      <c r="T438" s="626"/>
      <c r="U438" s="626"/>
      <c r="V438" s="626"/>
      <c r="W438" s="626"/>
      <c r="X438" s="626"/>
      <c r="Y438" s="626"/>
    </row>
    <row r="439">
      <c r="A439" s="626"/>
      <c r="B439" s="626"/>
      <c r="C439" s="626"/>
      <c r="D439" s="626"/>
      <c r="E439" s="627"/>
      <c r="F439" s="628"/>
      <c r="G439" s="626"/>
      <c r="H439" s="626"/>
      <c r="I439" s="626"/>
      <c r="J439" s="626"/>
      <c r="K439" s="626"/>
      <c r="L439" s="626"/>
      <c r="M439" s="626"/>
      <c r="N439" s="626"/>
      <c r="O439" s="626"/>
      <c r="P439" s="626"/>
      <c r="Q439" s="626"/>
      <c r="R439" s="626"/>
      <c r="S439" s="626"/>
      <c r="T439" s="626"/>
      <c r="U439" s="626"/>
      <c r="V439" s="626"/>
      <c r="W439" s="626"/>
      <c r="X439" s="626"/>
      <c r="Y439" s="626"/>
    </row>
    <row r="440">
      <c r="A440" s="626"/>
      <c r="B440" s="626"/>
      <c r="C440" s="626"/>
      <c r="D440" s="626"/>
      <c r="E440" s="627"/>
      <c r="F440" s="628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6"/>
      <c r="V440" s="626"/>
      <c r="W440" s="626"/>
      <c r="X440" s="626"/>
      <c r="Y440" s="626"/>
    </row>
    <row r="441">
      <c r="A441" s="626"/>
      <c r="B441" s="626"/>
      <c r="C441" s="626"/>
      <c r="D441" s="626"/>
      <c r="E441" s="627"/>
      <c r="F441" s="628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</row>
    <row r="442">
      <c r="A442" s="626"/>
      <c r="B442" s="626"/>
      <c r="C442" s="626"/>
      <c r="D442" s="626"/>
      <c r="E442" s="627"/>
      <c r="F442" s="628"/>
      <c r="G442" s="626"/>
      <c r="H442" s="626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6"/>
      <c r="V442" s="626"/>
      <c r="W442" s="626"/>
      <c r="X442" s="626"/>
      <c r="Y442" s="626"/>
    </row>
    <row r="443">
      <c r="A443" s="626"/>
      <c r="B443" s="626"/>
      <c r="C443" s="626"/>
      <c r="D443" s="626"/>
      <c r="E443" s="627"/>
      <c r="F443" s="628"/>
      <c r="G443" s="626"/>
      <c r="H443" s="626"/>
      <c r="I443" s="626"/>
      <c r="J443" s="626"/>
      <c r="K443" s="626"/>
      <c r="L443" s="626"/>
      <c r="M443" s="626"/>
      <c r="N443" s="626"/>
      <c r="O443" s="626"/>
      <c r="P443" s="626"/>
      <c r="Q443" s="626"/>
      <c r="R443" s="626"/>
      <c r="S443" s="626"/>
      <c r="T443" s="626"/>
      <c r="U443" s="626"/>
      <c r="V443" s="626"/>
      <c r="W443" s="626"/>
      <c r="X443" s="626"/>
      <c r="Y443" s="626"/>
    </row>
    <row r="444">
      <c r="A444" s="626"/>
      <c r="B444" s="626"/>
      <c r="C444" s="626"/>
      <c r="D444" s="626"/>
      <c r="E444" s="627"/>
      <c r="F444" s="628"/>
      <c r="G444" s="626"/>
      <c r="H444" s="626"/>
      <c r="I444" s="626"/>
      <c r="J444" s="626"/>
      <c r="K444" s="626"/>
      <c r="L444" s="626"/>
      <c r="M444" s="626"/>
      <c r="N444" s="626"/>
      <c r="O444" s="626"/>
      <c r="P444" s="626"/>
      <c r="Q444" s="626"/>
      <c r="R444" s="626"/>
      <c r="S444" s="626"/>
      <c r="T444" s="626"/>
      <c r="U444" s="626"/>
      <c r="V444" s="626"/>
      <c r="W444" s="626"/>
      <c r="X444" s="626"/>
      <c r="Y444" s="626"/>
    </row>
    <row r="445">
      <c r="A445" s="626"/>
      <c r="B445" s="626"/>
      <c r="C445" s="626"/>
      <c r="D445" s="626"/>
      <c r="E445" s="627"/>
      <c r="F445" s="628"/>
      <c r="G445" s="626"/>
      <c r="H445" s="626"/>
      <c r="I445" s="626"/>
      <c r="J445" s="626"/>
      <c r="K445" s="626"/>
      <c r="L445" s="626"/>
      <c r="M445" s="626"/>
      <c r="N445" s="626"/>
      <c r="O445" s="626"/>
      <c r="P445" s="626"/>
      <c r="Q445" s="626"/>
      <c r="R445" s="626"/>
      <c r="S445" s="626"/>
      <c r="T445" s="626"/>
      <c r="U445" s="626"/>
      <c r="V445" s="626"/>
      <c r="W445" s="626"/>
      <c r="X445" s="626"/>
      <c r="Y445" s="626"/>
    </row>
    <row r="446">
      <c r="A446" s="626"/>
      <c r="B446" s="626"/>
      <c r="C446" s="626"/>
      <c r="D446" s="626"/>
      <c r="E446" s="627"/>
      <c r="F446" s="628"/>
      <c r="G446" s="626"/>
      <c r="H446" s="626"/>
      <c r="I446" s="626"/>
      <c r="J446" s="626"/>
      <c r="K446" s="626"/>
      <c r="L446" s="626"/>
      <c r="M446" s="626"/>
      <c r="N446" s="626"/>
      <c r="O446" s="626"/>
      <c r="P446" s="626"/>
      <c r="Q446" s="626"/>
      <c r="R446" s="626"/>
      <c r="S446" s="626"/>
      <c r="T446" s="626"/>
      <c r="U446" s="626"/>
      <c r="V446" s="626"/>
      <c r="W446" s="626"/>
      <c r="X446" s="626"/>
      <c r="Y446" s="626"/>
    </row>
    <row r="447">
      <c r="A447" s="626"/>
      <c r="B447" s="626"/>
      <c r="C447" s="626"/>
      <c r="D447" s="626"/>
      <c r="E447" s="627"/>
      <c r="F447" s="628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</row>
    <row r="448">
      <c r="A448" s="626"/>
      <c r="B448" s="626"/>
      <c r="C448" s="626"/>
      <c r="D448" s="626"/>
      <c r="E448" s="627"/>
      <c r="F448" s="628"/>
      <c r="G448" s="626"/>
      <c r="H448" s="626"/>
      <c r="I448" s="626"/>
      <c r="J448" s="626"/>
      <c r="K448" s="626"/>
      <c r="L448" s="626"/>
      <c r="M448" s="626"/>
      <c r="N448" s="626"/>
      <c r="O448" s="626"/>
      <c r="P448" s="626"/>
      <c r="Q448" s="626"/>
      <c r="R448" s="626"/>
      <c r="S448" s="626"/>
      <c r="T448" s="626"/>
      <c r="U448" s="626"/>
      <c r="V448" s="626"/>
      <c r="W448" s="626"/>
      <c r="X448" s="626"/>
      <c r="Y448" s="626"/>
    </row>
    <row r="449">
      <c r="A449" s="626"/>
      <c r="B449" s="626"/>
      <c r="C449" s="626"/>
      <c r="D449" s="626"/>
      <c r="E449" s="627"/>
      <c r="F449" s="628"/>
      <c r="G449" s="626"/>
      <c r="H449" s="626"/>
      <c r="I449" s="626"/>
      <c r="J449" s="626"/>
      <c r="K449" s="626"/>
      <c r="L449" s="626"/>
      <c r="M449" s="626"/>
      <c r="N449" s="626"/>
      <c r="O449" s="626"/>
      <c r="P449" s="626"/>
      <c r="Q449" s="626"/>
      <c r="R449" s="626"/>
      <c r="S449" s="626"/>
      <c r="T449" s="626"/>
      <c r="U449" s="626"/>
      <c r="V449" s="626"/>
      <c r="W449" s="626"/>
      <c r="X449" s="626"/>
      <c r="Y449" s="626"/>
    </row>
    <row r="450">
      <c r="A450" s="626"/>
      <c r="B450" s="626"/>
      <c r="C450" s="626"/>
      <c r="D450" s="626"/>
      <c r="E450" s="627"/>
      <c r="F450" s="628"/>
      <c r="G450" s="626"/>
      <c r="H450" s="626"/>
      <c r="I450" s="626"/>
      <c r="J450" s="626"/>
      <c r="K450" s="626"/>
      <c r="L450" s="626"/>
      <c r="M450" s="626"/>
      <c r="N450" s="626"/>
      <c r="O450" s="626"/>
      <c r="P450" s="626"/>
      <c r="Q450" s="626"/>
      <c r="R450" s="626"/>
      <c r="S450" s="626"/>
      <c r="T450" s="626"/>
      <c r="U450" s="626"/>
      <c r="V450" s="626"/>
      <c r="W450" s="626"/>
      <c r="X450" s="626"/>
      <c r="Y450" s="626"/>
    </row>
    <row r="451">
      <c r="A451" s="626"/>
      <c r="B451" s="626"/>
      <c r="C451" s="626"/>
      <c r="D451" s="626"/>
      <c r="E451" s="627"/>
      <c r="F451" s="628"/>
      <c r="G451" s="626"/>
      <c r="H451" s="626"/>
      <c r="I451" s="626"/>
      <c r="J451" s="626"/>
      <c r="K451" s="626"/>
      <c r="L451" s="626"/>
      <c r="M451" s="626"/>
      <c r="N451" s="626"/>
      <c r="O451" s="626"/>
      <c r="P451" s="626"/>
      <c r="Q451" s="626"/>
      <c r="R451" s="626"/>
      <c r="S451" s="626"/>
      <c r="T451" s="626"/>
      <c r="U451" s="626"/>
      <c r="V451" s="626"/>
      <c r="W451" s="626"/>
      <c r="X451" s="626"/>
      <c r="Y451" s="626"/>
    </row>
    <row r="452">
      <c r="A452" s="626"/>
      <c r="B452" s="626"/>
      <c r="C452" s="626"/>
      <c r="D452" s="626"/>
      <c r="E452" s="627"/>
      <c r="F452" s="628"/>
      <c r="G452" s="626"/>
      <c r="H452" s="626"/>
      <c r="I452" s="626"/>
      <c r="J452" s="626"/>
      <c r="K452" s="626"/>
      <c r="L452" s="626"/>
      <c r="M452" s="626"/>
      <c r="N452" s="626"/>
      <c r="O452" s="626"/>
      <c r="P452" s="626"/>
      <c r="Q452" s="626"/>
      <c r="R452" s="626"/>
      <c r="S452" s="626"/>
      <c r="T452" s="626"/>
      <c r="U452" s="626"/>
      <c r="V452" s="626"/>
      <c r="W452" s="626"/>
      <c r="X452" s="626"/>
      <c r="Y452" s="626"/>
    </row>
    <row r="453">
      <c r="A453" s="626"/>
      <c r="B453" s="626"/>
      <c r="C453" s="626"/>
      <c r="D453" s="626"/>
      <c r="E453" s="627"/>
      <c r="F453" s="628"/>
      <c r="G453" s="626"/>
      <c r="H453" s="626"/>
      <c r="I453" s="626"/>
      <c r="J453" s="626"/>
      <c r="K453" s="626"/>
      <c r="L453" s="626"/>
      <c r="M453" s="626"/>
      <c r="N453" s="626"/>
      <c r="O453" s="626"/>
      <c r="P453" s="626"/>
      <c r="Q453" s="626"/>
      <c r="R453" s="626"/>
      <c r="S453" s="626"/>
      <c r="T453" s="626"/>
      <c r="U453" s="626"/>
      <c r="V453" s="626"/>
      <c r="W453" s="626"/>
      <c r="X453" s="626"/>
      <c r="Y453" s="626"/>
    </row>
    <row r="454">
      <c r="A454" s="626"/>
      <c r="B454" s="626"/>
      <c r="C454" s="626"/>
      <c r="D454" s="626"/>
      <c r="E454" s="627"/>
      <c r="F454" s="628"/>
      <c r="G454" s="626"/>
      <c r="H454" s="626"/>
      <c r="I454" s="626"/>
      <c r="J454" s="626"/>
      <c r="K454" s="626"/>
      <c r="L454" s="626"/>
      <c r="M454" s="626"/>
      <c r="N454" s="626"/>
      <c r="O454" s="626"/>
      <c r="P454" s="626"/>
      <c r="Q454" s="626"/>
      <c r="R454" s="626"/>
      <c r="S454" s="626"/>
      <c r="T454" s="626"/>
      <c r="U454" s="626"/>
      <c r="V454" s="626"/>
      <c r="W454" s="626"/>
      <c r="X454" s="626"/>
      <c r="Y454" s="626"/>
    </row>
    <row r="455">
      <c r="A455" s="626"/>
      <c r="B455" s="626"/>
      <c r="C455" s="626"/>
      <c r="D455" s="626"/>
      <c r="E455" s="627"/>
      <c r="F455" s="628"/>
      <c r="G455" s="626"/>
      <c r="H455" s="626"/>
      <c r="I455" s="626"/>
      <c r="J455" s="626"/>
      <c r="K455" s="626"/>
      <c r="L455" s="626"/>
      <c r="M455" s="626"/>
      <c r="N455" s="626"/>
      <c r="O455" s="626"/>
      <c r="P455" s="626"/>
      <c r="Q455" s="626"/>
      <c r="R455" s="626"/>
      <c r="S455" s="626"/>
      <c r="T455" s="626"/>
      <c r="U455" s="626"/>
      <c r="V455" s="626"/>
      <c r="W455" s="626"/>
      <c r="X455" s="626"/>
      <c r="Y455" s="626"/>
    </row>
    <row r="456">
      <c r="A456" s="626"/>
      <c r="B456" s="626"/>
      <c r="C456" s="626"/>
      <c r="D456" s="626"/>
      <c r="E456" s="627"/>
      <c r="F456" s="628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</row>
    <row r="457">
      <c r="A457" s="626"/>
      <c r="B457" s="626"/>
      <c r="C457" s="626"/>
      <c r="D457" s="626"/>
      <c r="E457" s="627"/>
      <c r="F457" s="628"/>
      <c r="G457" s="626"/>
      <c r="H457" s="626"/>
      <c r="I457" s="626"/>
      <c r="J457" s="626"/>
      <c r="K457" s="626"/>
      <c r="L457" s="626"/>
      <c r="M457" s="626"/>
      <c r="N457" s="626"/>
      <c r="O457" s="626"/>
      <c r="P457" s="626"/>
      <c r="Q457" s="626"/>
      <c r="R457" s="626"/>
      <c r="S457" s="626"/>
      <c r="T457" s="626"/>
      <c r="U457" s="626"/>
      <c r="V457" s="626"/>
      <c r="W457" s="626"/>
      <c r="X457" s="626"/>
      <c r="Y457" s="626"/>
    </row>
    <row r="458">
      <c r="A458" s="626"/>
      <c r="B458" s="626"/>
      <c r="C458" s="626"/>
      <c r="D458" s="626"/>
      <c r="E458" s="627"/>
      <c r="F458" s="628"/>
      <c r="G458" s="626"/>
      <c r="H458" s="626"/>
      <c r="I458" s="626"/>
      <c r="J458" s="626"/>
      <c r="K458" s="626"/>
      <c r="L458" s="626"/>
      <c r="M458" s="626"/>
      <c r="N458" s="626"/>
      <c r="O458" s="626"/>
      <c r="P458" s="626"/>
      <c r="Q458" s="626"/>
      <c r="R458" s="626"/>
      <c r="S458" s="626"/>
      <c r="T458" s="626"/>
      <c r="U458" s="626"/>
      <c r="V458" s="626"/>
      <c r="W458" s="626"/>
      <c r="X458" s="626"/>
      <c r="Y458" s="626"/>
    </row>
    <row r="459">
      <c r="A459" s="626"/>
      <c r="B459" s="626"/>
      <c r="C459" s="626"/>
      <c r="D459" s="626"/>
      <c r="E459" s="627"/>
      <c r="F459" s="628"/>
      <c r="G459" s="626"/>
      <c r="H459" s="626"/>
      <c r="I459" s="626"/>
      <c r="J459" s="626"/>
      <c r="K459" s="626"/>
      <c r="L459" s="626"/>
      <c r="M459" s="626"/>
      <c r="N459" s="626"/>
      <c r="O459" s="626"/>
      <c r="P459" s="626"/>
      <c r="Q459" s="626"/>
      <c r="R459" s="626"/>
      <c r="S459" s="626"/>
      <c r="T459" s="626"/>
      <c r="U459" s="626"/>
      <c r="V459" s="626"/>
      <c r="W459" s="626"/>
      <c r="X459" s="626"/>
      <c r="Y459" s="626"/>
    </row>
    <row r="460">
      <c r="A460" s="626"/>
      <c r="B460" s="626"/>
      <c r="C460" s="626"/>
      <c r="D460" s="626"/>
      <c r="E460" s="627"/>
      <c r="F460" s="628"/>
      <c r="G460" s="626"/>
      <c r="H460" s="626"/>
      <c r="I460" s="626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6"/>
      <c r="V460" s="626"/>
      <c r="W460" s="626"/>
      <c r="X460" s="626"/>
      <c r="Y460" s="626"/>
    </row>
    <row r="461">
      <c r="A461" s="626"/>
      <c r="B461" s="626"/>
      <c r="C461" s="626"/>
      <c r="D461" s="626"/>
      <c r="E461" s="627"/>
      <c r="F461" s="628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</row>
    <row r="462">
      <c r="A462" s="626"/>
      <c r="B462" s="626"/>
      <c r="C462" s="626"/>
      <c r="D462" s="626"/>
      <c r="E462" s="627"/>
      <c r="F462" s="628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</row>
    <row r="463">
      <c r="A463" s="626"/>
      <c r="B463" s="626"/>
      <c r="C463" s="626"/>
      <c r="D463" s="626"/>
      <c r="E463" s="627"/>
      <c r="F463" s="628"/>
      <c r="G463" s="626"/>
      <c r="H463" s="626"/>
      <c r="I463" s="626"/>
      <c r="J463" s="626"/>
      <c r="K463" s="626"/>
      <c r="L463" s="626"/>
      <c r="M463" s="626"/>
      <c r="N463" s="626"/>
      <c r="O463" s="626"/>
      <c r="P463" s="626"/>
      <c r="Q463" s="626"/>
      <c r="R463" s="626"/>
      <c r="S463" s="626"/>
      <c r="T463" s="626"/>
      <c r="U463" s="626"/>
      <c r="V463" s="626"/>
      <c r="W463" s="626"/>
      <c r="X463" s="626"/>
      <c r="Y463" s="626"/>
    </row>
    <row r="464">
      <c r="A464" s="626"/>
      <c r="B464" s="626"/>
      <c r="C464" s="626"/>
      <c r="D464" s="626"/>
      <c r="E464" s="627"/>
      <c r="F464" s="628"/>
      <c r="G464" s="626"/>
      <c r="H464" s="626"/>
      <c r="I464" s="626"/>
      <c r="J464" s="626"/>
      <c r="K464" s="626"/>
      <c r="L464" s="626"/>
      <c r="M464" s="626"/>
      <c r="N464" s="626"/>
      <c r="O464" s="626"/>
      <c r="P464" s="626"/>
      <c r="Q464" s="626"/>
      <c r="R464" s="626"/>
      <c r="S464" s="626"/>
      <c r="T464" s="626"/>
      <c r="U464" s="626"/>
      <c r="V464" s="626"/>
      <c r="W464" s="626"/>
      <c r="X464" s="626"/>
      <c r="Y464" s="626"/>
    </row>
    <row r="465">
      <c r="A465" s="626"/>
      <c r="B465" s="626"/>
      <c r="C465" s="626"/>
      <c r="D465" s="626"/>
      <c r="E465" s="627"/>
      <c r="F465" s="628"/>
      <c r="G465" s="626"/>
      <c r="H465" s="626"/>
      <c r="I465" s="626"/>
      <c r="J465" s="626"/>
      <c r="K465" s="626"/>
      <c r="L465" s="626"/>
      <c r="M465" s="626"/>
      <c r="N465" s="626"/>
      <c r="O465" s="626"/>
      <c r="P465" s="626"/>
      <c r="Q465" s="626"/>
      <c r="R465" s="626"/>
      <c r="S465" s="626"/>
      <c r="T465" s="626"/>
      <c r="U465" s="626"/>
      <c r="V465" s="626"/>
      <c r="W465" s="626"/>
      <c r="X465" s="626"/>
      <c r="Y465" s="626"/>
    </row>
    <row r="466">
      <c r="A466" s="626"/>
      <c r="B466" s="626"/>
      <c r="C466" s="626"/>
      <c r="D466" s="626"/>
      <c r="E466" s="627"/>
      <c r="F466" s="628"/>
      <c r="G466" s="626"/>
      <c r="H466" s="626"/>
      <c r="I466" s="626"/>
      <c r="J466" s="626"/>
      <c r="K466" s="626"/>
      <c r="L466" s="626"/>
      <c r="M466" s="626"/>
      <c r="N466" s="626"/>
      <c r="O466" s="626"/>
      <c r="P466" s="626"/>
      <c r="Q466" s="626"/>
      <c r="R466" s="626"/>
      <c r="S466" s="626"/>
      <c r="T466" s="626"/>
      <c r="U466" s="626"/>
      <c r="V466" s="626"/>
      <c r="W466" s="626"/>
      <c r="X466" s="626"/>
      <c r="Y466" s="626"/>
    </row>
    <row r="467">
      <c r="A467" s="626"/>
      <c r="B467" s="626"/>
      <c r="C467" s="626"/>
      <c r="D467" s="626"/>
      <c r="E467" s="627"/>
      <c r="F467" s="628"/>
      <c r="G467" s="626"/>
      <c r="H467" s="626"/>
      <c r="I467" s="626"/>
      <c r="J467" s="626"/>
      <c r="K467" s="626"/>
      <c r="L467" s="626"/>
      <c r="M467" s="626"/>
      <c r="N467" s="626"/>
      <c r="O467" s="626"/>
      <c r="P467" s="626"/>
      <c r="Q467" s="626"/>
      <c r="R467" s="626"/>
      <c r="S467" s="626"/>
      <c r="T467" s="626"/>
      <c r="U467" s="626"/>
      <c r="V467" s="626"/>
      <c r="W467" s="626"/>
      <c r="X467" s="626"/>
      <c r="Y467" s="626"/>
    </row>
    <row r="468">
      <c r="A468" s="626"/>
      <c r="B468" s="626"/>
      <c r="C468" s="626"/>
      <c r="D468" s="626"/>
      <c r="E468" s="627"/>
      <c r="F468" s="628"/>
      <c r="G468" s="626"/>
      <c r="H468" s="626"/>
      <c r="I468" s="626"/>
      <c r="J468" s="626"/>
      <c r="K468" s="626"/>
      <c r="L468" s="626"/>
      <c r="M468" s="626"/>
      <c r="N468" s="626"/>
      <c r="O468" s="626"/>
      <c r="P468" s="626"/>
      <c r="Q468" s="626"/>
      <c r="R468" s="626"/>
      <c r="S468" s="626"/>
      <c r="T468" s="626"/>
      <c r="U468" s="626"/>
      <c r="V468" s="626"/>
      <c r="W468" s="626"/>
      <c r="X468" s="626"/>
      <c r="Y468" s="626"/>
    </row>
    <row r="469">
      <c r="A469" s="626"/>
      <c r="B469" s="626"/>
      <c r="C469" s="626"/>
      <c r="D469" s="626"/>
      <c r="E469" s="627"/>
      <c r="F469" s="628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</row>
    <row r="470">
      <c r="A470" s="626"/>
      <c r="B470" s="626"/>
      <c r="C470" s="626"/>
      <c r="D470" s="626"/>
      <c r="E470" s="627"/>
      <c r="F470" s="628"/>
      <c r="G470" s="626"/>
      <c r="H470" s="626"/>
      <c r="I470" s="626"/>
      <c r="J470" s="626"/>
      <c r="K470" s="626"/>
      <c r="L470" s="626"/>
      <c r="M470" s="626"/>
      <c r="N470" s="626"/>
      <c r="O470" s="626"/>
      <c r="P470" s="626"/>
      <c r="Q470" s="626"/>
      <c r="R470" s="626"/>
      <c r="S470" s="626"/>
      <c r="T470" s="626"/>
      <c r="U470" s="626"/>
      <c r="V470" s="626"/>
      <c r="W470" s="626"/>
      <c r="X470" s="626"/>
      <c r="Y470" s="626"/>
    </row>
    <row r="471">
      <c r="A471" s="626"/>
      <c r="B471" s="626"/>
      <c r="C471" s="626"/>
      <c r="D471" s="626"/>
      <c r="E471" s="627"/>
      <c r="F471" s="628"/>
      <c r="G471" s="626"/>
      <c r="H471" s="626"/>
      <c r="I471" s="626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6"/>
      <c r="V471" s="626"/>
      <c r="W471" s="626"/>
      <c r="X471" s="626"/>
      <c r="Y471" s="626"/>
    </row>
    <row r="472">
      <c r="A472" s="626"/>
      <c r="B472" s="626"/>
      <c r="C472" s="626"/>
      <c r="D472" s="626"/>
      <c r="E472" s="627"/>
      <c r="F472" s="628"/>
      <c r="G472" s="626"/>
      <c r="H472" s="626"/>
      <c r="I472" s="626"/>
      <c r="J472" s="626"/>
      <c r="K472" s="626"/>
      <c r="L472" s="626"/>
      <c r="M472" s="626"/>
      <c r="N472" s="626"/>
      <c r="O472" s="626"/>
      <c r="P472" s="626"/>
      <c r="Q472" s="626"/>
      <c r="R472" s="626"/>
      <c r="S472" s="626"/>
      <c r="T472" s="626"/>
      <c r="U472" s="626"/>
      <c r="V472" s="626"/>
      <c r="W472" s="626"/>
      <c r="X472" s="626"/>
      <c r="Y472" s="626"/>
    </row>
    <row r="473">
      <c r="A473" s="626"/>
      <c r="B473" s="626"/>
      <c r="C473" s="626"/>
      <c r="D473" s="626"/>
      <c r="E473" s="627"/>
      <c r="F473" s="628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6"/>
      <c r="V473" s="626"/>
      <c r="W473" s="626"/>
      <c r="X473" s="626"/>
      <c r="Y473" s="626"/>
    </row>
    <row r="474">
      <c r="A474" s="626"/>
      <c r="B474" s="626"/>
      <c r="C474" s="626"/>
      <c r="D474" s="626"/>
      <c r="E474" s="627"/>
      <c r="F474" s="628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</row>
    <row r="475">
      <c r="A475" s="626"/>
      <c r="B475" s="626"/>
      <c r="C475" s="626"/>
      <c r="D475" s="626"/>
      <c r="E475" s="627"/>
      <c r="F475" s="628"/>
      <c r="G475" s="626"/>
      <c r="H475" s="626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6"/>
      <c r="V475" s="626"/>
      <c r="W475" s="626"/>
      <c r="X475" s="626"/>
      <c r="Y475" s="626"/>
    </row>
    <row r="476">
      <c r="A476" s="626"/>
      <c r="B476" s="626"/>
      <c r="C476" s="626"/>
      <c r="D476" s="626"/>
      <c r="E476" s="627"/>
      <c r="F476" s="628"/>
      <c r="G476" s="626"/>
      <c r="H476" s="626"/>
      <c r="I476" s="626"/>
      <c r="J476" s="626"/>
      <c r="K476" s="626"/>
      <c r="L476" s="626"/>
      <c r="M476" s="626"/>
      <c r="N476" s="626"/>
      <c r="O476" s="626"/>
      <c r="P476" s="626"/>
      <c r="Q476" s="626"/>
      <c r="R476" s="626"/>
      <c r="S476" s="626"/>
      <c r="T476" s="626"/>
      <c r="U476" s="626"/>
      <c r="V476" s="626"/>
      <c r="W476" s="626"/>
      <c r="X476" s="626"/>
      <c r="Y476" s="626"/>
    </row>
    <row r="477">
      <c r="A477" s="626"/>
      <c r="B477" s="626"/>
      <c r="C477" s="626"/>
      <c r="D477" s="626"/>
      <c r="E477" s="627"/>
      <c r="F477" s="628"/>
      <c r="G477" s="626"/>
      <c r="H477" s="626"/>
      <c r="I477" s="626"/>
      <c r="J477" s="626"/>
      <c r="K477" s="626"/>
      <c r="L477" s="626"/>
      <c r="M477" s="626"/>
      <c r="N477" s="626"/>
      <c r="O477" s="626"/>
      <c r="P477" s="626"/>
      <c r="Q477" s="626"/>
      <c r="R477" s="626"/>
      <c r="S477" s="626"/>
      <c r="T477" s="626"/>
      <c r="U477" s="626"/>
      <c r="V477" s="626"/>
      <c r="W477" s="626"/>
      <c r="X477" s="626"/>
      <c r="Y477" s="626"/>
    </row>
    <row r="478">
      <c r="A478" s="626"/>
      <c r="B478" s="626"/>
      <c r="C478" s="626"/>
      <c r="D478" s="626"/>
      <c r="E478" s="627"/>
      <c r="F478" s="628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</row>
    <row r="479">
      <c r="A479" s="626"/>
      <c r="B479" s="626"/>
      <c r="C479" s="626"/>
      <c r="D479" s="626"/>
      <c r="E479" s="627"/>
      <c r="F479" s="628"/>
      <c r="G479" s="626"/>
      <c r="H479" s="626"/>
      <c r="I479" s="626"/>
      <c r="J479" s="626"/>
      <c r="K479" s="626"/>
      <c r="L479" s="626"/>
      <c r="M479" s="626"/>
      <c r="N479" s="626"/>
      <c r="O479" s="626"/>
      <c r="P479" s="626"/>
      <c r="Q479" s="626"/>
      <c r="R479" s="626"/>
      <c r="S479" s="626"/>
      <c r="T479" s="626"/>
      <c r="U479" s="626"/>
      <c r="V479" s="626"/>
      <c r="W479" s="626"/>
      <c r="X479" s="626"/>
      <c r="Y479" s="626"/>
    </row>
    <row r="480">
      <c r="A480" s="626"/>
      <c r="B480" s="626"/>
      <c r="C480" s="626"/>
      <c r="D480" s="626"/>
      <c r="E480" s="627"/>
      <c r="F480" s="628"/>
      <c r="G480" s="626"/>
      <c r="H480" s="626"/>
      <c r="I480" s="626"/>
      <c r="J480" s="626"/>
      <c r="K480" s="626"/>
      <c r="L480" s="626"/>
      <c r="M480" s="626"/>
      <c r="N480" s="626"/>
      <c r="O480" s="626"/>
      <c r="P480" s="626"/>
      <c r="Q480" s="626"/>
      <c r="R480" s="626"/>
      <c r="S480" s="626"/>
      <c r="T480" s="626"/>
      <c r="U480" s="626"/>
      <c r="V480" s="626"/>
      <c r="W480" s="626"/>
      <c r="X480" s="626"/>
      <c r="Y480" s="626"/>
    </row>
    <row r="481">
      <c r="A481" s="626"/>
      <c r="B481" s="626"/>
      <c r="C481" s="626"/>
      <c r="D481" s="626"/>
      <c r="E481" s="627"/>
      <c r="F481" s="628"/>
      <c r="G481" s="626"/>
      <c r="H481" s="626"/>
      <c r="I481" s="626"/>
      <c r="J481" s="626"/>
      <c r="K481" s="626"/>
      <c r="L481" s="626"/>
      <c r="M481" s="626"/>
      <c r="N481" s="626"/>
      <c r="O481" s="626"/>
      <c r="P481" s="626"/>
      <c r="Q481" s="626"/>
      <c r="R481" s="626"/>
      <c r="S481" s="626"/>
      <c r="T481" s="626"/>
      <c r="U481" s="626"/>
      <c r="V481" s="626"/>
      <c r="W481" s="626"/>
      <c r="X481" s="626"/>
      <c r="Y481" s="626"/>
    </row>
    <row r="482">
      <c r="A482" s="626"/>
      <c r="B482" s="626"/>
      <c r="C482" s="626"/>
      <c r="D482" s="626"/>
      <c r="E482" s="627"/>
      <c r="F482" s="628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</row>
    <row r="483">
      <c r="A483" s="626"/>
      <c r="B483" s="626"/>
      <c r="C483" s="626"/>
      <c r="D483" s="626"/>
      <c r="E483" s="627"/>
      <c r="F483" s="628"/>
      <c r="G483" s="626"/>
      <c r="H483" s="626"/>
      <c r="I483" s="626"/>
      <c r="J483" s="626"/>
      <c r="K483" s="626"/>
      <c r="L483" s="626"/>
      <c r="M483" s="626"/>
      <c r="N483" s="626"/>
      <c r="O483" s="626"/>
      <c r="P483" s="626"/>
      <c r="Q483" s="626"/>
      <c r="R483" s="626"/>
      <c r="S483" s="626"/>
      <c r="T483" s="626"/>
      <c r="U483" s="626"/>
      <c r="V483" s="626"/>
      <c r="W483" s="626"/>
      <c r="X483" s="626"/>
      <c r="Y483" s="626"/>
    </row>
    <row r="484">
      <c r="A484" s="626"/>
      <c r="B484" s="626"/>
      <c r="C484" s="626"/>
      <c r="D484" s="626"/>
      <c r="E484" s="627"/>
      <c r="F484" s="628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6"/>
      <c r="V484" s="626"/>
      <c r="W484" s="626"/>
      <c r="X484" s="626"/>
      <c r="Y484" s="626"/>
    </row>
    <row r="485">
      <c r="A485" s="626"/>
      <c r="B485" s="626"/>
      <c r="C485" s="626"/>
      <c r="D485" s="626"/>
      <c r="E485" s="627"/>
      <c r="F485" s="628"/>
      <c r="G485" s="626"/>
      <c r="H485" s="626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6"/>
      <c r="V485" s="626"/>
      <c r="W485" s="626"/>
      <c r="X485" s="626"/>
      <c r="Y485" s="626"/>
    </row>
    <row r="486">
      <c r="A486" s="626"/>
      <c r="B486" s="626"/>
      <c r="C486" s="626"/>
      <c r="D486" s="626"/>
      <c r="E486" s="627"/>
      <c r="F486" s="628"/>
      <c r="G486" s="626"/>
      <c r="H486" s="626"/>
      <c r="I486" s="626"/>
      <c r="J486" s="626"/>
      <c r="K486" s="626"/>
      <c r="L486" s="626"/>
      <c r="M486" s="626"/>
      <c r="N486" s="626"/>
      <c r="O486" s="626"/>
      <c r="P486" s="626"/>
      <c r="Q486" s="626"/>
      <c r="R486" s="626"/>
      <c r="S486" s="626"/>
      <c r="T486" s="626"/>
      <c r="U486" s="626"/>
      <c r="V486" s="626"/>
      <c r="W486" s="626"/>
      <c r="X486" s="626"/>
      <c r="Y486" s="626"/>
    </row>
    <row r="487">
      <c r="A487" s="626"/>
      <c r="B487" s="626"/>
      <c r="C487" s="626"/>
      <c r="D487" s="626"/>
      <c r="E487" s="627"/>
      <c r="F487" s="628"/>
      <c r="G487" s="626"/>
      <c r="H487" s="626"/>
      <c r="I487" s="626"/>
      <c r="J487" s="626"/>
      <c r="K487" s="626"/>
      <c r="L487" s="626"/>
      <c r="M487" s="626"/>
      <c r="N487" s="626"/>
      <c r="O487" s="626"/>
      <c r="P487" s="626"/>
      <c r="Q487" s="626"/>
      <c r="R487" s="626"/>
      <c r="S487" s="626"/>
      <c r="T487" s="626"/>
      <c r="U487" s="626"/>
      <c r="V487" s="626"/>
      <c r="W487" s="626"/>
      <c r="X487" s="626"/>
      <c r="Y487" s="626"/>
    </row>
    <row r="488">
      <c r="A488" s="626"/>
      <c r="B488" s="626"/>
      <c r="C488" s="626"/>
      <c r="D488" s="626"/>
      <c r="E488" s="627"/>
      <c r="F488" s="628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</row>
    <row r="489">
      <c r="A489" s="626"/>
      <c r="B489" s="626"/>
      <c r="C489" s="626"/>
      <c r="D489" s="626"/>
      <c r="E489" s="627"/>
      <c r="F489" s="628"/>
      <c r="G489" s="626"/>
      <c r="H489" s="626"/>
      <c r="I489" s="626"/>
      <c r="J489" s="626"/>
      <c r="K489" s="626"/>
      <c r="L489" s="626"/>
      <c r="M489" s="626"/>
      <c r="N489" s="626"/>
      <c r="O489" s="626"/>
      <c r="P489" s="626"/>
      <c r="Q489" s="626"/>
      <c r="R489" s="626"/>
      <c r="S489" s="626"/>
      <c r="T489" s="626"/>
      <c r="U489" s="626"/>
      <c r="V489" s="626"/>
      <c r="W489" s="626"/>
      <c r="X489" s="626"/>
      <c r="Y489" s="626"/>
    </row>
    <row r="490">
      <c r="A490" s="626"/>
      <c r="B490" s="626"/>
      <c r="C490" s="626"/>
      <c r="D490" s="626"/>
      <c r="E490" s="627"/>
      <c r="F490" s="628"/>
      <c r="G490" s="626"/>
      <c r="H490" s="626"/>
      <c r="I490" s="626"/>
      <c r="J490" s="626"/>
      <c r="K490" s="626"/>
      <c r="L490" s="626"/>
      <c r="M490" s="626"/>
      <c r="N490" s="626"/>
      <c r="O490" s="626"/>
      <c r="P490" s="626"/>
      <c r="Q490" s="626"/>
      <c r="R490" s="626"/>
      <c r="S490" s="626"/>
      <c r="T490" s="626"/>
      <c r="U490" s="626"/>
      <c r="V490" s="626"/>
      <c r="W490" s="626"/>
      <c r="X490" s="626"/>
      <c r="Y490" s="626"/>
    </row>
    <row r="491">
      <c r="A491" s="626"/>
      <c r="B491" s="626"/>
      <c r="C491" s="626"/>
      <c r="D491" s="626"/>
      <c r="E491" s="627"/>
      <c r="F491" s="628"/>
      <c r="G491" s="626"/>
      <c r="H491" s="626"/>
      <c r="I491" s="626"/>
      <c r="J491" s="626"/>
      <c r="K491" s="626"/>
      <c r="L491" s="626"/>
      <c r="M491" s="626"/>
      <c r="N491" s="626"/>
      <c r="O491" s="626"/>
      <c r="P491" s="626"/>
      <c r="Q491" s="626"/>
      <c r="R491" s="626"/>
      <c r="S491" s="626"/>
      <c r="T491" s="626"/>
      <c r="U491" s="626"/>
      <c r="V491" s="626"/>
      <c r="W491" s="626"/>
      <c r="X491" s="626"/>
      <c r="Y491" s="626"/>
    </row>
    <row r="492">
      <c r="A492" s="626"/>
      <c r="B492" s="626"/>
      <c r="C492" s="626"/>
      <c r="D492" s="626"/>
      <c r="E492" s="627"/>
      <c r="F492" s="628"/>
      <c r="G492" s="626"/>
      <c r="H492" s="626"/>
      <c r="I492" s="626"/>
      <c r="J492" s="626"/>
      <c r="K492" s="626"/>
      <c r="L492" s="626"/>
      <c r="M492" s="626"/>
      <c r="N492" s="626"/>
      <c r="O492" s="626"/>
      <c r="P492" s="626"/>
      <c r="Q492" s="626"/>
      <c r="R492" s="626"/>
      <c r="S492" s="626"/>
      <c r="T492" s="626"/>
      <c r="U492" s="626"/>
      <c r="V492" s="626"/>
      <c r="W492" s="626"/>
      <c r="X492" s="626"/>
      <c r="Y492" s="626"/>
    </row>
    <row r="493">
      <c r="A493" s="626"/>
      <c r="B493" s="626"/>
      <c r="C493" s="626"/>
      <c r="D493" s="626"/>
      <c r="E493" s="627"/>
      <c r="F493" s="628"/>
      <c r="G493" s="626"/>
      <c r="H493" s="626"/>
      <c r="I493" s="626"/>
      <c r="J493" s="626"/>
      <c r="K493" s="626"/>
      <c r="L493" s="626"/>
      <c r="M493" s="626"/>
      <c r="N493" s="626"/>
      <c r="O493" s="626"/>
      <c r="P493" s="626"/>
      <c r="Q493" s="626"/>
      <c r="R493" s="626"/>
      <c r="S493" s="626"/>
      <c r="T493" s="626"/>
      <c r="U493" s="626"/>
      <c r="V493" s="626"/>
      <c r="W493" s="626"/>
      <c r="X493" s="626"/>
      <c r="Y493" s="626"/>
    </row>
    <row r="494">
      <c r="A494" s="626"/>
      <c r="B494" s="626"/>
      <c r="C494" s="626"/>
      <c r="D494" s="626"/>
      <c r="E494" s="627"/>
      <c r="F494" s="628"/>
      <c r="G494" s="626"/>
      <c r="H494" s="626"/>
      <c r="I494" s="626"/>
      <c r="J494" s="626"/>
      <c r="K494" s="626"/>
      <c r="L494" s="626"/>
      <c r="M494" s="626"/>
      <c r="N494" s="626"/>
      <c r="O494" s="626"/>
      <c r="P494" s="626"/>
      <c r="Q494" s="626"/>
      <c r="R494" s="626"/>
      <c r="S494" s="626"/>
      <c r="T494" s="626"/>
      <c r="U494" s="626"/>
      <c r="V494" s="626"/>
      <c r="W494" s="626"/>
      <c r="X494" s="626"/>
      <c r="Y494" s="626"/>
    </row>
    <row r="495">
      <c r="A495" s="626"/>
      <c r="B495" s="626"/>
      <c r="C495" s="626"/>
      <c r="D495" s="626"/>
      <c r="E495" s="627"/>
      <c r="F495" s="628"/>
      <c r="G495" s="626"/>
      <c r="H495" s="626"/>
      <c r="I495" s="626"/>
      <c r="J495" s="626"/>
      <c r="K495" s="626"/>
      <c r="L495" s="626"/>
      <c r="M495" s="626"/>
      <c r="N495" s="626"/>
      <c r="O495" s="626"/>
      <c r="P495" s="626"/>
      <c r="Q495" s="626"/>
      <c r="R495" s="626"/>
      <c r="S495" s="626"/>
      <c r="T495" s="626"/>
      <c r="U495" s="626"/>
      <c r="V495" s="626"/>
      <c r="W495" s="626"/>
      <c r="X495" s="626"/>
      <c r="Y495" s="626"/>
    </row>
    <row r="496">
      <c r="A496" s="626"/>
      <c r="B496" s="626"/>
      <c r="C496" s="626"/>
      <c r="D496" s="626"/>
      <c r="E496" s="627"/>
      <c r="F496" s="628"/>
      <c r="G496" s="626"/>
      <c r="H496" s="626"/>
      <c r="I496" s="626"/>
      <c r="J496" s="626"/>
      <c r="K496" s="626"/>
      <c r="L496" s="626"/>
      <c r="M496" s="626"/>
      <c r="N496" s="626"/>
      <c r="O496" s="626"/>
      <c r="P496" s="626"/>
      <c r="Q496" s="626"/>
      <c r="R496" s="626"/>
      <c r="S496" s="626"/>
      <c r="T496" s="626"/>
      <c r="U496" s="626"/>
      <c r="V496" s="626"/>
      <c r="W496" s="626"/>
      <c r="X496" s="626"/>
      <c r="Y496" s="626"/>
    </row>
    <row r="497">
      <c r="A497" s="626"/>
      <c r="B497" s="626"/>
      <c r="C497" s="626"/>
      <c r="D497" s="626"/>
      <c r="E497" s="627"/>
      <c r="F497" s="628"/>
      <c r="G497" s="626"/>
      <c r="H497" s="626"/>
      <c r="I497" s="626"/>
      <c r="J497" s="626"/>
      <c r="K497" s="626"/>
      <c r="L497" s="626"/>
      <c r="M497" s="626"/>
      <c r="N497" s="626"/>
      <c r="O497" s="626"/>
      <c r="P497" s="626"/>
      <c r="Q497" s="626"/>
      <c r="R497" s="626"/>
      <c r="S497" s="626"/>
      <c r="T497" s="626"/>
      <c r="U497" s="626"/>
      <c r="V497" s="626"/>
      <c r="W497" s="626"/>
      <c r="X497" s="626"/>
      <c r="Y497" s="626"/>
    </row>
    <row r="498">
      <c r="A498" s="626"/>
      <c r="B498" s="626"/>
      <c r="C498" s="626"/>
      <c r="D498" s="626"/>
      <c r="E498" s="627"/>
      <c r="F498" s="628"/>
      <c r="G498" s="626"/>
      <c r="H498" s="626"/>
      <c r="I498" s="626"/>
      <c r="J498" s="626"/>
      <c r="K498" s="626"/>
      <c r="L498" s="626"/>
      <c r="M498" s="626"/>
      <c r="N498" s="626"/>
      <c r="O498" s="626"/>
      <c r="P498" s="626"/>
      <c r="Q498" s="626"/>
      <c r="R498" s="626"/>
      <c r="S498" s="626"/>
      <c r="T498" s="626"/>
      <c r="U498" s="626"/>
      <c r="V498" s="626"/>
      <c r="W498" s="626"/>
      <c r="X498" s="626"/>
      <c r="Y498" s="626"/>
    </row>
    <row r="499">
      <c r="A499" s="626"/>
      <c r="B499" s="626"/>
      <c r="C499" s="626"/>
      <c r="D499" s="626"/>
      <c r="E499" s="627"/>
      <c r="F499" s="628"/>
      <c r="G499" s="626"/>
      <c r="H499" s="626"/>
      <c r="I499" s="626"/>
      <c r="J499" s="626"/>
      <c r="K499" s="626"/>
      <c r="L499" s="626"/>
      <c r="M499" s="626"/>
      <c r="N499" s="626"/>
      <c r="O499" s="626"/>
      <c r="P499" s="626"/>
      <c r="Q499" s="626"/>
      <c r="R499" s="626"/>
      <c r="S499" s="626"/>
      <c r="T499" s="626"/>
      <c r="U499" s="626"/>
      <c r="V499" s="626"/>
      <c r="W499" s="626"/>
      <c r="X499" s="626"/>
      <c r="Y499" s="626"/>
    </row>
    <row r="500">
      <c r="A500" s="626"/>
      <c r="B500" s="626"/>
      <c r="C500" s="626"/>
      <c r="D500" s="626"/>
      <c r="E500" s="627"/>
      <c r="F500" s="628"/>
      <c r="G500" s="626"/>
      <c r="H500" s="626"/>
      <c r="I500" s="626"/>
      <c r="J500" s="626"/>
      <c r="K500" s="626"/>
      <c r="L500" s="626"/>
      <c r="M500" s="626"/>
      <c r="N500" s="626"/>
      <c r="O500" s="626"/>
      <c r="P500" s="626"/>
      <c r="Q500" s="626"/>
      <c r="R500" s="626"/>
      <c r="S500" s="626"/>
      <c r="T500" s="626"/>
      <c r="U500" s="626"/>
      <c r="V500" s="626"/>
      <c r="W500" s="626"/>
      <c r="X500" s="626"/>
      <c r="Y500" s="626"/>
    </row>
    <row r="501">
      <c r="A501" s="626"/>
      <c r="B501" s="626"/>
      <c r="C501" s="626"/>
      <c r="D501" s="626"/>
      <c r="E501" s="627"/>
      <c r="F501" s="628"/>
      <c r="G501" s="626"/>
      <c r="H501" s="626"/>
      <c r="I501" s="626"/>
      <c r="J501" s="626"/>
      <c r="K501" s="626"/>
      <c r="L501" s="626"/>
      <c r="M501" s="626"/>
      <c r="N501" s="626"/>
      <c r="O501" s="626"/>
      <c r="P501" s="626"/>
      <c r="Q501" s="626"/>
      <c r="R501" s="626"/>
      <c r="S501" s="626"/>
      <c r="T501" s="626"/>
      <c r="U501" s="626"/>
      <c r="V501" s="626"/>
      <c r="W501" s="626"/>
      <c r="X501" s="626"/>
      <c r="Y501" s="626"/>
    </row>
    <row r="502">
      <c r="A502" s="626"/>
      <c r="B502" s="626"/>
      <c r="C502" s="626"/>
      <c r="D502" s="626"/>
      <c r="E502" s="627"/>
      <c r="F502" s="628"/>
      <c r="G502" s="626"/>
      <c r="H502" s="626"/>
      <c r="I502" s="626"/>
      <c r="J502" s="626"/>
      <c r="K502" s="626"/>
      <c r="L502" s="626"/>
      <c r="M502" s="626"/>
      <c r="N502" s="626"/>
      <c r="O502" s="626"/>
      <c r="P502" s="626"/>
      <c r="Q502" s="626"/>
      <c r="R502" s="626"/>
      <c r="S502" s="626"/>
      <c r="T502" s="626"/>
      <c r="U502" s="626"/>
      <c r="V502" s="626"/>
      <c r="W502" s="626"/>
      <c r="X502" s="626"/>
      <c r="Y502" s="626"/>
    </row>
    <row r="503">
      <c r="A503" s="626"/>
      <c r="B503" s="626"/>
      <c r="C503" s="626"/>
      <c r="D503" s="626"/>
      <c r="E503" s="627"/>
      <c r="F503" s="628"/>
      <c r="G503" s="626"/>
      <c r="H503" s="626"/>
      <c r="I503" s="626"/>
      <c r="J503" s="626"/>
      <c r="K503" s="626"/>
      <c r="L503" s="626"/>
      <c r="M503" s="626"/>
      <c r="N503" s="626"/>
      <c r="O503" s="626"/>
      <c r="P503" s="626"/>
      <c r="Q503" s="626"/>
      <c r="R503" s="626"/>
      <c r="S503" s="626"/>
      <c r="T503" s="626"/>
      <c r="U503" s="626"/>
      <c r="V503" s="626"/>
      <c r="W503" s="626"/>
      <c r="X503" s="626"/>
      <c r="Y503" s="626"/>
    </row>
    <row r="504">
      <c r="A504" s="626"/>
      <c r="B504" s="626"/>
      <c r="C504" s="626"/>
      <c r="D504" s="626"/>
      <c r="E504" s="627"/>
      <c r="F504" s="628"/>
      <c r="G504" s="626"/>
      <c r="H504" s="626"/>
      <c r="I504" s="626"/>
      <c r="J504" s="626"/>
      <c r="K504" s="626"/>
      <c r="L504" s="626"/>
      <c r="M504" s="626"/>
      <c r="N504" s="626"/>
      <c r="O504" s="626"/>
      <c r="P504" s="626"/>
      <c r="Q504" s="626"/>
      <c r="R504" s="626"/>
      <c r="S504" s="626"/>
      <c r="T504" s="626"/>
      <c r="U504" s="626"/>
      <c r="V504" s="626"/>
      <c r="W504" s="626"/>
      <c r="X504" s="626"/>
      <c r="Y504" s="626"/>
    </row>
    <row r="505">
      <c r="A505" s="626"/>
      <c r="B505" s="626"/>
      <c r="C505" s="626"/>
      <c r="D505" s="626"/>
      <c r="E505" s="627"/>
      <c r="F505" s="628"/>
      <c r="G505" s="626"/>
      <c r="H505" s="626"/>
      <c r="I505" s="626"/>
      <c r="J505" s="626"/>
      <c r="K505" s="626"/>
      <c r="L505" s="626"/>
      <c r="M505" s="626"/>
      <c r="N505" s="626"/>
      <c r="O505" s="626"/>
      <c r="P505" s="626"/>
      <c r="Q505" s="626"/>
      <c r="R505" s="626"/>
      <c r="S505" s="626"/>
      <c r="T505" s="626"/>
      <c r="U505" s="626"/>
      <c r="V505" s="626"/>
      <c r="W505" s="626"/>
      <c r="X505" s="626"/>
      <c r="Y505" s="626"/>
    </row>
    <row r="506">
      <c r="A506" s="626"/>
      <c r="B506" s="626"/>
      <c r="C506" s="626"/>
      <c r="D506" s="626"/>
      <c r="E506" s="627"/>
      <c r="F506" s="628"/>
      <c r="G506" s="626"/>
      <c r="H506" s="626"/>
      <c r="I506" s="626"/>
      <c r="J506" s="626"/>
      <c r="K506" s="626"/>
      <c r="L506" s="626"/>
      <c r="M506" s="626"/>
      <c r="N506" s="626"/>
      <c r="O506" s="626"/>
      <c r="P506" s="626"/>
      <c r="Q506" s="626"/>
      <c r="R506" s="626"/>
      <c r="S506" s="626"/>
      <c r="T506" s="626"/>
      <c r="U506" s="626"/>
      <c r="V506" s="626"/>
      <c r="W506" s="626"/>
      <c r="X506" s="626"/>
      <c r="Y506" s="626"/>
    </row>
    <row r="507">
      <c r="A507" s="626"/>
      <c r="B507" s="626"/>
      <c r="C507" s="626"/>
      <c r="D507" s="626"/>
      <c r="E507" s="627"/>
      <c r="F507" s="628"/>
      <c r="G507" s="626"/>
      <c r="H507" s="626"/>
      <c r="I507" s="626"/>
      <c r="J507" s="626"/>
      <c r="K507" s="626"/>
      <c r="L507" s="626"/>
      <c r="M507" s="626"/>
      <c r="N507" s="626"/>
      <c r="O507" s="626"/>
      <c r="P507" s="626"/>
      <c r="Q507" s="626"/>
      <c r="R507" s="626"/>
      <c r="S507" s="626"/>
      <c r="T507" s="626"/>
      <c r="U507" s="626"/>
      <c r="V507" s="626"/>
      <c r="W507" s="626"/>
      <c r="X507" s="626"/>
      <c r="Y507" s="626"/>
    </row>
    <row r="508">
      <c r="A508" s="626"/>
      <c r="B508" s="626"/>
      <c r="C508" s="626"/>
      <c r="D508" s="626"/>
      <c r="E508" s="627"/>
      <c r="F508" s="628"/>
      <c r="G508" s="626"/>
      <c r="H508" s="626"/>
      <c r="I508" s="626"/>
      <c r="J508" s="626"/>
      <c r="K508" s="626"/>
      <c r="L508" s="626"/>
      <c r="M508" s="626"/>
      <c r="N508" s="626"/>
      <c r="O508" s="626"/>
      <c r="P508" s="626"/>
      <c r="Q508" s="626"/>
      <c r="R508" s="626"/>
      <c r="S508" s="626"/>
      <c r="T508" s="626"/>
      <c r="U508" s="626"/>
      <c r="V508" s="626"/>
      <c r="W508" s="626"/>
      <c r="X508" s="626"/>
      <c r="Y508" s="626"/>
    </row>
    <row r="509">
      <c r="A509" s="626"/>
      <c r="B509" s="626"/>
      <c r="C509" s="626"/>
      <c r="D509" s="626"/>
      <c r="E509" s="627"/>
      <c r="F509" s="628"/>
      <c r="G509" s="626"/>
      <c r="H509" s="626"/>
      <c r="I509" s="626"/>
      <c r="J509" s="626"/>
      <c r="K509" s="626"/>
      <c r="L509" s="626"/>
      <c r="M509" s="626"/>
      <c r="N509" s="626"/>
      <c r="O509" s="626"/>
      <c r="P509" s="626"/>
      <c r="Q509" s="626"/>
      <c r="R509" s="626"/>
      <c r="S509" s="626"/>
      <c r="T509" s="626"/>
      <c r="U509" s="626"/>
      <c r="V509" s="626"/>
      <c r="W509" s="626"/>
      <c r="X509" s="626"/>
      <c r="Y509" s="626"/>
    </row>
    <row r="510">
      <c r="A510" s="626"/>
      <c r="B510" s="626"/>
      <c r="C510" s="626"/>
      <c r="D510" s="626"/>
      <c r="E510" s="627"/>
      <c r="F510" s="628"/>
      <c r="G510" s="626"/>
      <c r="H510" s="626"/>
      <c r="I510" s="626"/>
      <c r="J510" s="626"/>
      <c r="K510" s="626"/>
      <c r="L510" s="626"/>
      <c r="M510" s="626"/>
      <c r="N510" s="626"/>
      <c r="O510" s="626"/>
      <c r="P510" s="626"/>
      <c r="Q510" s="626"/>
      <c r="R510" s="626"/>
      <c r="S510" s="626"/>
      <c r="T510" s="626"/>
      <c r="U510" s="626"/>
      <c r="V510" s="626"/>
      <c r="W510" s="626"/>
      <c r="X510" s="626"/>
      <c r="Y510" s="626"/>
    </row>
    <row r="511">
      <c r="A511" s="626"/>
      <c r="B511" s="626"/>
      <c r="C511" s="626"/>
      <c r="D511" s="626"/>
      <c r="E511" s="627"/>
      <c r="F511" s="628"/>
      <c r="G511" s="626"/>
      <c r="H511" s="626"/>
      <c r="I511" s="626"/>
      <c r="J511" s="626"/>
      <c r="K511" s="626"/>
      <c r="L511" s="626"/>
      <c r="M511" s="626"/>
      <c r="N511" s="626"/>
      <c r="O511" s="626"/>
      <c r="P511" s="626"/>
      <c r="Q511" s="626"/>
      <c r="R511" s="626"/>
      <c r="S511" s="626"/>
      <c r="T511" s="626"/>
      <c r="U511" s="626"/>
      <c r="V511" s="626"/>
      <c r="W511" s="626"/>
      <c r="X511" s="626"/>
      <c r="Y511" s="626"/>
    </row>
    <row r="512">
      <c r="A512" s="626"/>
      <c r="B512" s="626"/>
      <c r="C512" s="626"/>
      <c r="D512" s="626"/>
      <c r="E512" s="627"/>
      <c r="F512" s="628"/>
      <c r="G512" s="626"/>
      <c r="H512" s="626"/>
      <c r="I512" s="626"/>
      <c r="J512" s="626"/>
      <c r="K512" s="626"/>
      <c r="L512" s="626"/>
      <c r="M512" s="626"/>
      <c r="N512" s="626"/>
      <c r="O512" s="626"/>
      <c r="P512" s="626"/>
      <c r="Q512" s="626"/>
      <c r="R512" s="626"/>
      <c r="S512" s="626"/>
      <c r="T512" s="626"/>
      <c r="U512" s="626"/>
      <c r="V512" s="626"/>
      <c r="W512" s="626"/>
      <c r="X512" s="626"/>
      <c r="Y512" s="626"/>
    </row>
    <row r="513">
      <c r="A513" s="626"/>
      <c r="B513" s="626"/>
      <c r="C513" s="626"/>
      <c r="D513" s="626"/>
      <c r="E513" s="627"/>
      <c r="F513" s="628"/>
      <c r="G513" s="626"/>
      <c r="H513" s="626"/>
      <c r="I513" s="626"/>
      <c r="J513" s="626"/>
      <c r="K513" s="626"/>
      <c r="L513" s="626"/>
      <c r="M513" s="626"/>
      <c r="N513" s="626"/>
      <c r="O513" s="626"/>
      <c r="P513" s="626"/>
      <c r="Q513" s="626"/>
      <c r="R513" s="626"/>
      <c r="S513" s="626"/>
      <c r="T513" s="626"/>
      <c r="U513" s="626"/>
      <c r="V513" s="626"/>
      <c r="W513" s="626"/>
      <c r="X513" s="626"/>
      <c r="Y513" s="626"/>
    </row>
    <row r="514">
      <c r="A514" s="626"/>
      <c r="B514" s="626"/>
      <c r="C514" s="626"/>
      <c r="D514" s="626"/>
      <c r="E514" s="627"/>
      <c r="F514" s="628"/>
      <c r="G514" s="626"/>
      <c r="H514" s="626"/>
      <c r="I514" s="626"/>
      <c r="J514" s="626"/>
      <c r="K514" s="626"/>
      <c r="L514" s="626"/>
      <c r="M514" s="626"/>
      <c r="N514" s="626"/>
      <c r="O514" s="626"/>
      <c r="P514" s="626"/>
      <c r="Q514" s="626"/>
      <c r="R514" s="626"/>
      <c r="S514" s="626"/>
      <c r="T514" s="626"/>
      <c r="U514" s="626"/>
      <c r="V514" s="626"/>
      <c r="W514" s="626"/>
      <c r="X514" s="626"/>
      <c r="Y514" s="626"/>
    </row>
    <row r="515">
      <c r="A515" s="626"/>
      <c r="B515" s="626"/>
      <c r="C515" s="626"/>
      <c r="D515" s="626"/>
      <c r="E515" s="627"/>
      <c r="F515" s="628"/>
      <c r="G515" s="626"/>
      <c r="H515" s="626"/>
      <c r="I515" s="626"/>
      <c r="J515" s="626"/>
      <c r="K515" s="626"/>
      <c r="L515" s="626"/>
      <c r="M515" s="626"/>
      <c r="N515" s="626"/>
      <c r="O515" s="626"/>
      <c r="P515" s="626"/>
      <c r="Q515" s="626"/>
      <c r="R515" s="626"/>
      <c r="S515" s="626"/>
      <c r="T515" s="626"/>
      <c r="U515" s="626"/>
      <c r="V515" s="626"/>
      <c r="W515" s="626"/>
      <c r="X515" s="626"/>
      <c r="Y515" s="626"/>
    </row>
    <row r="516">
      <c r="A516" s="626"/>
      <c r="B516" s="626"/>
      <c r="C516" s="626"/>
      <c r="D516" s="626"/>
      <c r="E516" s="627"/>
      <c r="F516" s="628"/>
      <c r="G516" s="626"/>
      <c r="H516" s="626"/>
      <c r="I516" s="626"/>
      <c r="J516" s="626"/>
      <c r="K516" s="626"/>
      <c r="L516" s="626"/>
      <c r="M516" s="626"/>
      <c r="N516" s="626"/>
      <c r="O516" s="626"/>
      <c r="P516" s="626"/>
      <c r="Q516" s="626"/>
      <c r="R516" s="626"/>
      <c r="S516" s="626"/>
      <c r="T516" s="626"/>
      <c r="U516" s="626"/>
      <c r="V516" s="626"/>
      <c r="W516" s="626"/>
      <c r="X516" s="626"/>
      <c r="Y516" s="626"/>
    </row>
    <row r="517">
      <c r="A517" s="626"/>
      <c r="B517" s="626"/>
      <c r="C517" s="626"/>
      <c r="D517" s="626"/>
      <c r="E517" s="627"/>
      <c r="F517" s="628"/>
      <c r="G517" s="626"/>
      <c r="H517" s="626"/>
      <c r="I517" s="626"/>
      <c r="J517" s="626"/>
      <c r="K517" s="626"/>
      <c r="L517" s="626"/>
      <c r="M517" s="626"/>
      <c r="N517" s="626"/>
      <c r="O517" s="626"/>
      <c r="P517" s="626"/>
      <c r="Q517" s="626"/>
      <c r="R517" s="626"/>
      <c r="S517" s="626"/>
      <c r="T517" s="626"/>
      <c r="U517" s="626"/>
      <c r="V517" s="626"/>
      <c r="W517" s="626"/>
      <c r="X517" s="626"/>
      <c r="Y517" s="626"/>
    </row>
    <row r="518">
      <c r="A518" s="626"/>
      <c r="B518" s="626"/>
      <c r="C518" s="626"/>
      <c r="D518" s="626"/>
      <c r="E518" s="627"/>
      <c r="F518" s="628"/>
      <c r="G518" s="626"/>
      <c r="H518" s="626"/>
      <c r="I518" s="626"/>
      <c r="J518" s="626"/>
      <c r="K518" s="626"/>
      <c r="L518" s="626"/>
      <c r="M518" s="626"/>
      <c r="N518" s="626"/>
      <c r="O518" s="626"/>
      <c r="P518" s="626"/>
      <c r="Q518" s="626"/>
      <c r="R518" s="626"/>
      <c r="S518" s="626"/>
      <c r="T518" s="626"/>
      <c r="U518" s="626"/>
      <c r="V518" s="626"/>
      <c r="W518" s="626"/>
      <c r="X518" s="626"/>
      <c r="Y518" s="626"/>
    </row>
    <row r="519">
      <c r="A519" s="626"/>
      <c r="B519" s="626"/>
      <c r="C519" s="626"/>
      <c r="D519" s="626"/>
      <c r="E519" s="627"/>
      <c r="F519" s="628"/>
      <c r="G519" s="626"/>
      <c r="H519" s="626"/>
      <c r="I519" s="626"/>
      <c r="J519" s="626"/>
      <c r="K519" s="626"/>
      <c r="L519" s="626"/>
      <c r="M519" s="626"/>
      <c r="N519" s="626"/>
      <c r="O519" s="626"/>
      <c r="P519" s="626"/>
      <c r="Q519" s="626"/>
      <c r="R519" s="626"/>
      <c r="S519" s="626"/>
      <c r="T519" s="626"/>
      <c r="U519" s="626"/>
      <c r="V519" s="626"/>
      <c r="W519" s="626"/>
      <c r="X519" s="626"/>
      <c r="Y519" s="626"/>
    </row>
    <row r="520">
      <c r="A520" s="626"/>
      <c r="B520" s="626"/>
      <c r="C520" s="626"/>
      <c r="D520" s="626"/>
      <c r="E520" s="627"/>
      <c r="F520" s="628"/>
      <c r="G520" s="626"/>
      <c r="H520" s="626"/>
      <c r="I520" s="626"/>
      <c r="J520" s="626"/>
      <c r="K520" s="626"/>
      <c r="L520" s="626"/>
      <c r="M520" s="626"/>
      <c r="N520" s="626"/>
      <c r="O520" s="626"/>
      <c r="P520" s="626"/>
      <c r="Q520" s="626"/>
      <c r="R520" s="626"/>
      <c r="S520" s="626"/>
      <c r="T520" s="626"/>
      <c r="U520" s="626"/>
      <c r="V520" s="626"/>
      <c r="W520" s="626"/>
      <c r="X520" s="626"/>
      <c r="Y520" s="626"/>
    </row>
    <row r="521">
      <c r="A521" s="626"/>
      <c r="B521" s="626"/>
      <c r="C521" s="626"/>
      <c r="D521" s="626"/>
      <c r="E521" s="627"/>
      <c r="F521" s="628"/>
      <c r="G521" s="626"/>
      <c r="H521" s="626"/>
      <c r="I521" s="626"/>
      <c r="J521" s="626"/>
      <c r="K521" s="626"/>
      <c r="L521" s="626"/>
      <c r="M521" s="626"/>
      <c r="N521" s="626"/>
      <c r="O521" s="626"/>
      <c r="P521" s="626"/>
      <c r="Q521" s="626"/>
      <c r="R521" s="626"/>
      <c r="S521" s="626"/>
      <c r="T521" s="626"/>
      <c r="U521" s="626"/>
      <c r="V521" s="626"/>
      <c r="W521" s="626"/>
      <c r="X521" s="626"/>
      <c r="Y521" s="626"/>
    </row>
    <row r="522">
      <c r="A522" s="626"/>
      <c r="B522" s="626"/>
      <c r="C522" s="626"/>
      <c r="D522" s="626"/>
      <c r="E522" s="627"/>
      <c r="F522" s="628"/>
      <c r="G522" s="626"/>
      <c r="H522" s="626"/>
      <c r="I522" s="626"/>
      <c r="J522" s="626"/>
      <c r="K522" s="626"/>
      <c r="L522" s="626"/>
      <c r="M522" s="626"/>
      <c r="N522" s="626"/>
      <c r="O522" s="626"/>
      <c r="P522" s="626"/>
      <c r="Q522" s="626"/>
      <c r="R522" s="626"/>
      <c r="S522" s="626"/>
      <c r="T522" s="626"/>
      <c r="U522" s="626"/>
      <c r="V522" s="626"/>
      <c r="W522" s="626"/>
      <c r="X522" s="626"/>
      <c r="Y522" s="626"/>
    </row>
    <row r="523">
      <c r="A523" s="626"/>
      <c r="B523" s="626"/>
      <c r="C523" s="626"/>
      <c r="D523" s="626"/>
      <c r="E523" s="627"/>
      <c r="F523" s="628"/>
      <c r="G523" s="626"/>
      <c r="H523" s="626"/>
      <c r="I523" s="626"/>
      <c r="J523" s="626"/>
      <c r="K523" s="626"/>
      <c r="L523" s="626"/>
      <c r="M523" s="626"/>
      <c r="N523" s="626"/>
      <c r="O523" s="626"/>
      <c r="P523" s="626"/>
      <c r="Q523" s="626"/>
      <c r="R523" s="626"/>
      <c r="S523" s="626"/>
      <c r="T523" s="626"/>
      <c r="U523" s="626"/>
      <c r="V523" s="626"/>
      <c r="W523" s="626"/>
      <c r="X523" s="626"/>
      <c r="Y523" s="626"/>
    </row>
    <row r="524">
      <c r="A524" s="626"/>
      <c r="B524" s="626"/>
      <c r="C524" s="626"/>
      <c r="D524" s="626"/>
      <c r="E524" s="627"/>
      <c r="F524" s="628"/>
      <c r="G524" s="626"/>
      <c r="H524" s="626"/>
      <c r="I524" s="626"/>
      <c r="J524" s="626"/>
      <c r="K524" s="626"/>
      <c r="L524" s="626"/>
      <c r="M524" s="626"/>
      <c r="N524" s="626"/>
      <c r="O524" s="626"/>
      <c r="P524" s="626"/>
      <c r="Q524" s="626"/>
      <c r="R524" s="626"/>
      <c r="S524" s="626"/>
      <c r="T524" s="626"/>
      <c r="U524" s="626"/>
      <c r="V524" s="626"/>
      <c r="W524" s="626"/>
      <c r="X524" s="626"/>
      <c r="Y524" s="626"/>
    </row>
    <row r="525">
      <c r="A525" s="626"/>
      <c r="B525" s="626"/>
      <c r="C525" s="626"/>
      <c r="D525" s="626"/>
      <c r="E525" s="627"/>
      <c r="F525" s="628"/>
      <c r="G525" s="626"/>
      <c r="H525" s="626"/>
      <c r="I525" s="626"/>
      <c r="J525" s="626"/>
      <c r="K525" s="626"/>
      <c r="L525" s="626"/>
      <c r="M525" s="626"/>
      <c r="N525" s="626"/>
      <c r="O525" s="626"/>
      <c r="P525" s="626"/>
      <c r="Q525" s="626"/>
      <c r="R525" s="626"/>
      <c r="S525" s="626"/>
      <c r="T525" s="626"/>
      <c r="U525" s="626"/>
      <c r="V525" s="626"/>
      <c r="W525" s="626"/>
      <c r="X525" s="626"/>
      <c r="Y525" s="626"/>
    </row>
    <row r="526">
      <c r="A526" s="626"/>
      <c r="B526" s="626"/>
      <c r="C526" s="626"/>
      <c r="D526" s="626"/>
      <c r="E526" s="627"/>
      <c r="F526" s="628"/>
      <c r="G526" s="626"/>
      <c r="H526" s="626"/>
      <c r="I526" s="626"/>
      <c r="J526" s="626"/>
      <c r="K526" s="626"/>
      <c r="L526" s="626"/>
      <c r="M526" s="626"/>
      <c r="N526" s="626"/>
      <c r="O526" s="626"/>
      <c r="P526" s="626"/>
      <c r="Q526" s="626"/>
      <c r="R526" s="626"/>
      <c r="S526" s="626"/>
      <c r="T526" s="626"/>
      <c r="U526" s="626"/>
      <c r="V526" s="626"/>
      <c r="W526" s="626"/>
      <c r="X526" s="626"/>
      <c r="Y526" s="626"/>
    </row>
    <row r="527">
      <c r="A527" s="626"/>
      <c r="B527" s="626"/>
      <c r="C527" s="626"/>
      <c r="D527" s="626"/>
      <c r="E527" s="627"/>
      <c r="F527" s="628"/>
      <c r="G527" s="626"/>
      <c r="H527" s="626"/>
      <c r="I527" s="626"/>
      <c r="J527" s="626"/>
      <c r="K527" s="626"/>
      <c r="L527" s="626"/>
      <c r="M527" s="626"/>
      <c r="N527" s="626"/>
      <c r="O527" s="626"/>
      <c r="P527" s="626"/>
      <c r="Q527" s="626"/>
      <c r="R527" s="626"/>
      <c r="S527" s="626"/>
      <c r="T527" s="626"/>
      <c r="U527" s="626"/>
      <c r="V527" s="626"/>
      <c r="W527" s="626"/>
      <c r="X527" s="626"/>
      <c r="Y527" s="626"/>
    </row>
    <row r="528">
      <c r="A528" s="626"/>
      <c r="B528" s="626"/>
      <c r="C528" s="626"/>
      <c r="D528" s="626"/>
      <c r="E528" s="627"/>
      <c r="F528" s="628"/>
      <c r="G528" s="626"/>
      <c r="H528" s="626"/>
      <c r="I528" s="626"/>
      <c r="J528" s="626"/>
      <c r="K528" s="626"/>
      <c r="L528" s="626"/>
      <c r="M528" s="626"/>
      <c r="N528" s="626"/>
      <c r="O528" s="626"/>
      <c r="P528" s="626"/>
      <c r="Q528" s="626"/>
      <c r="R528" s="626"/>
      <c r="S528" s="626"/>
      <c r="T528" s="626"/>
      <c r="U528" s="626"/>
      <c r="V528" s="626"/>
      <c r="W528" s="626"/>
      <c r="X528" s="626"/>
      <c r="Y528" s="626"/>
    </row>
    <row r="529">
      <c r="A529" s="626"/>
      <c r="B529" s="626"/>
      <c r="C529" s="626"/>
      <c r="D529" s="626"/>
      <c r="E529" s="627"/>
      <c r="F529" s="628"/>
      <c r="G529" s="626"/>
      <c r="H529" s="626"/>
      <c r="I529" s="626"/>
      <c r="J529" s="626"/>
      <c r="K529" s="626"/>
      <c r="L529" s="626"/>
      <c r="M529" s="626"/>
      <c r="N529" s="626"/>
      <c r="O529" s="626"/>
      <c r="P529" s="626"/>
      <c r="Q529" s="626"/>
      <c r="R529" s="626"/>
      <c r="S529" s="626"/>
      <c r="T529" s="626"/>
      <c r="U529" s="626"/>
      <c r="V529" s="626"/>
      <c r="W529" s="626"/>
      <c r="X529" s="626"/>
      <c r="Y529" s="626"/>
    </row>
    <row r="530">
      <c r="A530" s="626"/>
      <c r="B530" s="626"/>
      <c r="C530" s="626"/>
      <c r="D530" s="626"/>
      <c r="E530" s="627"/>
      <c r="F530" s="628"/>
      <c r="G530" s="626"/>
      <c r="H530" s="626"/>
      <c r="I530" s="626"/>
      <c r="J530" s="626"/>
      <c r="K530" s="626"/>
      <c r="L530" s="626"/>
      <c r="M530" s="626"/>
      <c r="N530" s="626"/>
      <c r="O530" s="626"/>
      <c r="P530" s="626"/>
      <c r="Q530" s="626"/>
      <c r="R530" s="626"/>
      <c r="S530" s="626"/>
      <c r="T530" s="626"/>
      <c r="U530" s="626"/>
      <c r="V530" s="626"/>
      <c r="W530" s="626"/>
      <c r="X530" s="626"/>
      <c r="Y530" s="626"/>
    </row>
    <row r="531">
      <c r="A531" s="626"/>
      <c r="B531" s="626"/>
      <c r="C531" s="626"/>
      <c r="D531" s="626"/>
      <c r="E531" s="627"/>
      <c r="F531" s="628"/>
      <c r="G531" s="626"/>
      <c r="H531" s="626"/>
      <c r="I531" s="626"/>
      <c r="J531" s="626"/>
      <c r="K531" s="626"/>
      <c r="L531" s="626"/>
      <c r="M531" s="626"/>
      <c r="N531" s="626"/>
      <c r="O531" s="626"/>
      <c r="P531" s="626"/>
      <c r="Q531" s="626"/>
      <c r="R531" s="626"/>
      <c r="S531" s="626"/>
      <c r="T531" s="626"/>
      <c r="U531" s="626"/>
      <c r="V531" s="626"/>
      <c r="W531" s="626"/>
      <c r="X531" s="626"/>
      <c r="Y531" s="626"/>
    </row>
    <row r="532">
      <c r="A532" s="626"/>
      <c r="B532" s="626"/>
      <c r="C532" s="626"/>
      <c r="D532" s="626"/>
      <c r="E532" s="627"/>
      <c r="F532" s="628"/>
      <c r="G532" s="626"/>
      <c r="H532" s="626"/>
      <c r="I532" s="626"/>
      <c r="J532" s="626"/>
      <c r="K532" s="626"/>
      <c r="L532" s="626"/>
      <c r="M532" s="626"/>
      <c r="N532" s="626"/>
      <c r="O532" s="626"/>
      <c r="P532" s="626"/>
      <c r="Q532" s="626"/>
      <c r="R532" s="626"/>
      <c r="S532" s="626"/>
      <c r="T532" s="626"/>
      <c r="U532" s="626"/>
      <c r="V532" s="626"/>
      <c r="W532" s="626"/>
      <c r="X532" s="626"/>
      <c r="Y532" s="626"/>
    </row>
    <row r="533">
      <c r="A533" s="626"/>
      <c r="B533" s="626"/>
      <c r="C533" s="626"/>
      <c r="D533" s="626"/>
      <c r="E533" s="627"/>
      <c r="F533" s="628"/>
      <c r="G533" s="626"/>
      <c r="H533" s="626"/>
      <c r="I533" s="626"/>
      <c r="J533" s="626"/>
      <c r="K533" s="626"/>
      <c r="L533" s="626"/>
      <c r="M533" s="626"/>
      <c r="N533" s="626"/>
      <c r="O533" s="626"/>
      <c r="P533" s="626"/>
      <c r="Q533" s="626"/>
      <c r="R533" s="626"/>
      <c r="S533" s="626"/>
      <c r="T533" s="626"/>
      <c r="U533" s="626"/>
      <c r="V533" s="626"/>
      <c r="W533" s="626"/>
      <c r="X533" s="626"/>
      <c r="Y533" s="626"/>
    </row>
    <row r="534">
      <c r="A534" s="626"/>
      <c r="B534" s="626"/>
      <c r="C534" s="626"/>
      <c r="D534" s="626"/>
      <c r="E534" s="627"/>
      <c r="F534" s="628"/>
      <c r="G534" s="626"/>
      <c r="H534" s="626"/>
      <c r="I534" s="626"/>
      <c r="J534" s="626"/>
      <c r="K534" s="626"/>
      <c r="L534" s="626"/>
      <c r="M534" s="626"/>
      <c r="N534" s="626"/>
      <c r="O534" s="626"/>
      <c r="P534" s="626"/>
      <c r="Q534" s="626"/>
      <c r="R534" s="626"/>
      <c r="S534" s="626"/>
      <c r="T534" s="626"/>
      <c r="U534" s="626"/>
      <c r="V534" s="626"/>
      <c r="W534" s="626"/>
      <c r="X534" s="626"/>
      <c r="Y534" s="626"/>
    </row>
    <row r="535">
      <c r="A535" s="626"/>
      <c r="B535" s="626"/>
      <c r="C535" s="626"/>
      <c r="D535" s="626"/>
      <c r="E535" s="627"/>
      <c r="F535" s="628"/>
      <c r="G535" s="626"/>
      <c r="H535" s="626"/>
      <c r="I535" s="626"/>
      <c r="J535" s="626"/>
      <c r="K535" s="626"/>
      <c r="L535" s="626"/>
      <c r="M535" s="626"/>
      <c r="N535" s="626"/>
      <c r="O535" s="626"/>
      <c r="P535" s="626"/>
      <c r="Q535" s="626"/>
      <c r="R535" s="626"/>
      <c r="S535" s="626"/>
      <c r="T535" s="626"/>
      <c r="U535" s="626"/>
      <c r="V535" s="626"/>
      <c r="W535" s="626"/>
      <c r="X535" s="626"/>
      <c r="Y535" s="626"/>
    </row>
    <row r="536">
      <c r="A536" s="626"/>
      <c r="B536" s="626"/>
      <c r="C536" s="626"/>
      <c r="D536" s="626"/>
      <c r="E536" s="627"/>
      <c r="F536" s="628"/>
      <c r="G536" s="626"/>
      <c r="H536" s="626"/>
      <c r="I536" s="626"/>
      <c r="J536" s="626"/>
      <c r="K536" s="626"/>
      <c r="L536" s="626"/>
      <c r="M536" s="626"/>
      <c r="N536" s="626"/>
      <c r="O536" s="626"/>
      <c r="P536" s="626"/>
      <c r="Q536" s="626"/>
      <c r="R536" s="626"/>
      <c r="S536" s="626"/>
      <c r="T536" s="626"/>
      <c r="U536" s="626"/>
      <c r="V536" s="626"/>
      <c r="W536" s="626"/>
      <c r="X536" s="626"/>
      <c r="Y536" s="626"/>
    </row>
    <row r="537">
      <c r="A537" s="626"/>
      <c r="B537" s="626"/>
      <c r="C537" s="626"/>
      <c r="D537" s="626"/>
      <c r="E537" s="627"/>
      <c r="F537" s="628"/>
      <c r="G537" s="626"/>
      <c r="H537" s="626"/>
      <c r="I537" s="626"/>
      <c r="J537" s="626"/>
      <c r="K537" s="626"/>
      <c r="L537" s="626"/>
      <c r="M537" s="626"/>
      <c r="N537" s="626"/>
      <c r="O537" s="626"/>
      <c r="P537" s="626"/>
      <c r="Q537" s="626"/>
      <c r="R537" s="626"/>
      <c r="S537" s="626"/>
      <c r="T537" s="626"/>
      <c r="U537" s="626"/>
      <c r="V537" s="626"/>
      <c r="W537" s="626"/>
      <c r="X537" s="626"/>
      <c r="Y537" s="626"/>
    </row>
    <row r="538">
      <c r="A538" s="626"/>
      <c r="B538" s="626"/>
      <c r="C538" s="626"/>
      <c r="D538" s="626"/>
      <c r="E538" s="627"/>
      <c r="F538" s="628"/>
      <c r="G538" s="626"/>
      <c r="H538" s="626"/>
      <c r="I538" s="626"/>
      <c r="J538" s="626"/>
      <c r="K538" s="626"/>
      <c r="L538" s="626"/>
      <c r="M538" s="626"/>
      <c r="N538" s="626"/>
      <c r="O538" s="626"/>
      <c r="P538" s="626"/>
      <c r="Q538" s="626"/>
      <c r="R538" s="626"/>
      <c r="S538" s="626"/>
      <c r="T538" s="626"/>
      <c r="U538" s="626"/>
      <c r="V538" s="626"/>
      <c r="W538" s="626"/>
      <c r="X538" s="626"/>
      <c r="Y538" s="626"/>
    </row>
    <row r="539">
      <c r="A539" s="626"/>
      <c r="B539" s="626"/>
      <c r="C539" s="626"/>
      <c r="D539" s="626"/>
      <c r="E539" s="627"/>
      <c r="F539" s="628"/>
      <c r="G539" s="626"/>
      <c r="H539" s="626"/>
      <c r="I539" s="626"/>
      <c r="J539" s="626"/>
      <c r="K539" s="626"/>
      <c r="L539" s="626"/>
      <c r="M539" s="626"/>
      <c r="N539" s="626"/>
      <c r="O539" s="626"/>
      <c r="P539" s="626"/>
      <c r="Q539" s="626"/>
      <c r="R539" s="626"/>
      <c r="S539" s="626"/>
      <c r="T539" s="626"/>
      <c r="U539" s="626"/>
      <c r="V539" s="626"/>
      <c r="W539" s="626"/>
      <c r="X539" s="626"/>
      <c r="Y539" s="626"/>
    </row>
    <row r="540">
      <c r="A540" s="626"/>
      <c r="B540" s="626"/>
      <c r="C540" s="626"/>
      <c r="D540" s="626"/>
      <c r="E540" s="627"/>
      <c r="F540" s="628"/>
      <c r="G540" s="626"/>
      <c r="H540" s="626"/>
      <c r="I540" s="626"/>
      <c r="J540" s="626"/>
      <c r="K540" s="626"/>
      <c r="L540" s="626"/>
      <c r="M540" s="626"/>
      <c r="N540" s="626"/>
      <c r="O540" s="626"/>
      <c r="P540" s="626"/>
      <c r="Q540" s="626"/>
      <c r="R540" s="626"/>
      <c r="S540" s="626"/>
      <c r="T540" s="626"/>
      <c r="U540" s="626"/>
      <c r="V540" s="626"/>
      <c r="W540" s="626"/>
      <c r="X540" s="626"/>
      <c r="Y540" s="626"/>
    </row>
    <row r="541">
      <c r="A541" s="626"/>
      <c r="B541" s="626"/>
      <c r="C541" s="626"/>
      <c r="D541" s="626"/>
      <c r="E541" s="627"/>
      <c r="F541" s="628"/>
      <c r="G541" s="626"/>
      <c r="H541" s="626"/>
      <c r="I541" s="626"/>
      <c r="J541" s="626"/>
      <c r="K541" s="626"/>
      <c r="L541" s="626"/>
      <c r="M541" s="626"/>
      <c r="N541" s="626"/>
      <c r="O541" s="626"/>
      <c r="P541" s="626"/>
      <c r="Q541" s="626"/>
      <c r="R541" s="626"/>
      <c r="S541" s="626"/>
      <c r="T541" s="626"/>
      <c r="U541" s="626"/>
      <c r="V541" s="626"/>
      <c r="W541" s="626"/>
      <c r="X541" s="626"/>
      <c r="Y541" s="626"/>
    </row>
    <row r="542">
      <c r="A542" s="626"/>
      <c r="B542" s="626"/>
      <c r="C542" s="626"/>
      <c r="D542" s="626"/>
      <c r="E542" s="627"/>
      <c r="F542" s="628"/>
      <c r="G542" s="626"/>
      <c r="H542" s="626"/>
      <c r="I542" s="626"/>
      <c r="J542" s="626"/>
      <c r="K542" s="626"/>
      <c r="L542" s="626"/>
      <c r="M542" s="626"/>
      <c r="N542" s="626"/>
      <c r="O542" s="626"/>
      <c r="P542" s="626"/>
      <c r="Q542" s="626"/>
      <c r="R542" s="626"/>
      <c r="S542" s="626"/>
      <c r="T542" s="626"/>
      <c r="U542" s="626"/>
      <c r="V542" s="626"/>
      <c r="W542" s="626"/>
      <c r="X542" s="626"/>
      <c r="Y542" s="626"/>
    </row>
    <row r="543">
      <c r="A543" s="626"/>
      <c r="B543" s="626"/>
      <c r="C543" s="626"/>
      <c r="D543" s="626"/>
      <c r="E543" s="627"/>
      <c r="F543" s="628"/>
      <c r="G543" s="626"/>
      <c r="H543" s="626"/>
      <c r="I543" s="626"/>
      <c r="J543" s="626"/>
      <c r="K543" s="626"/>
      <c r="L543" s="626"/>
      <c r="M543" s="626"/>
      <c r="N543" s="626"/>
      <c r="O543" s="626"/>
      <c r="P543" s="626"/>
      <c r="Q543" s="626"/>
      <c r="R543" s="626"/>
      <c r="S543" s="626"/>
      <c r="T543" s="626"/>
      <c r="U543" s="626"/>
      <c r="V543" s="626"/>
      <c r="W543" s="626"/>
      <c r="X543" s="626"/>
      <c r="Y543" s="626"/>
    </row>
    <row r="544">
      <c r="A544" s="626"/>
      <c r="B544" s="626"/>
      <c r="C544" s="626"/>
      <c r="D544" s="626"/>
      <c r="E544" s="627"/>
      <c r="F544" s="628"/>
      <c r="G544" s="626"/>
      <c r="H544" s="626"/>
      <c r="I544" s="626"/>
      <c r="J544" s="626"/>
      <c r="K544" s="626"/>
      <c r="L544" s="626"/>
      <c r="M544" s="626"/>
      <c r="N544" s="626"/>
      <c r="O544" s="626"/>
      <c r="P544" s="626"/>
      <c r="Q544" s="626"/>
      <c r="R544" s="626"/>
      <c r="S544" s="626"/>
      <c r="T544" s="626"/>
      <c r="U544" s="626"/>
      <c r="V544" s="626"/>
      <c r="W544" s="626"/>
      <c r="X544" s="626"/>
      <c r="Y544" s="626"/>
    </row>
    <row r="545">
      <c r="A545" s="626"/>
      <c r="B545" s="626"/>
      <c r="C545" s="626"/>
      <c r="D545" s="626"/>
      <c r="E545" s="627"/>
      <c r="F545" s="628"/>
      <c r="G545" s="626"/>
      <c r="H545" s="626"/>
      <c r="I545" s="626"/>
      <c r="J545" s="626"/>
      <c r="K545" s="626"/>
      <c r="L545" s="626"/>
      <c r="M545" s="626"/>
      <c r="N545" s="626"/>
      <c r="O545" s="626"/>
      <c r="P545" s="626"/>
      <c r="Q545" s="626"/>
      <c r="R545" s="626"/>
      <c r="S545" s="626"/>
      <c r="T545" s="626"/>
      <c r="U545" s="626"/>
      <c r="V545" s="626"/>
      <c r="W545" s="626"/>
      <c r="X545" s="626"/>
      <c r="Y545" s="626"/>
    </row>
    <row r="546">
      <c r="A546" s="626"/>
      <c r="B546" s="626"/>
      <c r="C546" s="626"/>
      <c r="D546" s="626"/>
      <c r="E546" s="627"/>
      <c r="F546" s="628"/>
      <c r="G546" s="626"/>
      <c r="H546" s="626"/>
      <c r="I546" s="626"/>
      <c r="J546" s="626"/>
      <c r="K546" s="626"/>
      <c r="L546" s="626"/>
      <c r="M546" s="626"/>
      <c r="N546" s="626"/>
      <c r="O546" s="626"/>
      <c r="P546" s="626"/>
      <c r="Q546" s="626"/>
      <c r="R546" s="626"/>
      <c r="S546" s="626"/>
      <c r="T546" s="626"/>
      <c r="U546" s="626"/>
      <c r="V546" s="626"/>
      <c r="W546" s="626"/>
      <c r="X546" s="626"/>
      <c r="Y546" s="626"/>
    </row>
    <row r="547">
      <c r="A547" s="626"/>
      <c r="B547" s="626"/>
      <c r="C547" s="626"/>
      <c r="D547" s="626"/>
      <c r="E547" s="627"/>
      <c r="F547" s="628"/>
      <c r="G547" s="626"/>
      <c r="H547" s="626"/>
      <c r="I547" s="626"/>
      <c r="J547" s="626"/>
      <c r="K547" s="626"/>
      <c r="L547" s="626"/>
      <c r="M547" s="626"/>
      <c r="N547" s="626"/>
      <c r="O547" s="626"/>
      <c r="P547" s="626"/>
      <c r="Q547" s="626"/>
      <c r="R547" s="626"/>
      <c r="S547" s="626"/>
      <c r="T547" s="626"/>
      <c r="U547" s="626"/>
      <c r="V547" s="626"/>
      <c r="W547" s="626"/>
      <c r="X547" s="626"/>
      <c r="Y547" s="626"/>
    </row>
    <row r="548">
      <c r="A548" s="626"/>
      <c r="B548" s="626"/>
      <c r="C548" s="626"/>
      <c r="D548" s="626"/>
      <c r="E548" s="627"/>
      <c r="F548" s="628"/>
      <c r="G548" s="626"/>
      <c r="H548" s="626"/>
      <c r="I548" s="626"/>
      <c r="J548" s="626"/>
      <c r="K548" s="626"/>
      <c r="L548" s="626"/>
      <c r="M548" s="626"/>
      <c r="N548" s="626"/>
      <c r="O548" s="626"/>
      <c r="P548" s="626"/>
      <c r="Q548" s="626"/>
      <c r="R548" s="626"/>
      <c r="S548" s="626"/>
      <c r="T548" s="626"/>
      <c r="U548" s="626"/>
      <c r="V548" s="626"/>
      <c r="W548" s="626"/>
      <c r="X548" s="626"/>
      <c r="Y548" s="626"/>
    </row>
    <row r="549">
      <c r="A549" s="626"/>
      <c r="B549" s="626"/>
      <c r="C549" s="626"/>
      <c r="D549" s="626"/>
      <c r="E549" s="627"/>
      <c r="F549" s="628"/>
      <c r="G549" s="626"/>
      <c r="H549" s="626"/>
      <c r="I549" s="626"/>
      <c r="J549" s="626"/>
      <c r="K549" s="626"/>
      <c r="L549" s="626"/>
      <c r="M549" s="626"/>
      <c r="N549" s="626"/>
      <c r="O549" s="626"/>
      <c r="P549" s="626"/>
      <c r="Q549" s="626"/>
      <c r="R549" s="626"/>
      <c r="S549" s="626"/>
      <c r="T549" s="626"/>
      <c r="U549" s="626"/>
      <c r="V549" s="626"/>
      <c r="W549" s="626"/>
      <c r="X549" s="626"/>
      <c r="Y549" s="626"/>
    </row>
    <row r="550">
      <c r="A550" s="626"/>
      <c r="B550" s="626"/>
      <c r="C550" s="626"/>
      <c r="D550" s="626"/>
      <c r="E550" s="627"/>
      <c r="F550" s="628"/>
      <c r="G550" s="626"/>
      <c r="H550" s="626"/>
      <c r="I550" s="626"/>
      <c r="J550" s="626"/>
      <c r="K550" s="626"/>
      <c r="L550" s="626"/>
      <c r="M550" s="626"/>
      <c r="N550" s="626"/>
      <c r="O550" s="626"/>
      <c r="P550" s="626"/>
      <c r="Q550" s="626"/>
      <c r="R550" s="626"/>
      <c r="S550" s="626"/>
      <c r="T550" s="626"/>
      <c r="U550" s="626"/>
      <c r="V550" s="626"/>
      <c r="W550" s="626"/>
      <c r="X550" s="626"/>
      <c r="Y550" s="626"/>
    </row>
    <row r="551">
      <c r="A551" s="626"/>
      <c r="B551" s="626"/>
      <c r="C551" s="626"/>
      <c r="D551" s="626"/>
      <c r="E551" s="627"/>
      <c r="F551" s="628"/>
      <c r="G551" s="626"/>
      <c r="H551" s="626"/>
      <c r="I551" s="626"/>
      <c r="J551" s="626"/>
      <c r="K551" s="626"/>
      <c r="L551" s="626"/>
      <c r="M551" s="626"/>
      <c r="N551" s="626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</row>
    <row r="552">
      <c r="A552" s="626"/>
      <c r="B552" s="626"/>
      <c r="C552" s="626"/>
      <c r="D552" s="626"/>
      <c r="E552" s="627"/>
      <c r="F552" s="628"/>
      <c r="G552" s="626"/>
      <c r="H552" s="626"/>
      <c r="I552" s="626"/>
      <c r="J552" s="626"/>
      <c r="K552" s="626"/>
      <c r="L552" s="626"/>
      <c r="M552" s="626"/>
      <c r="N552" s="626"/>
      <c r="O552" s="626"/>
      <c r="P552" s="626"/>
      <c r="Q552" s="626"/>
      <c r="R552" s="626"/>
      <c r="S552" s="626"/>
      <c r="T552" s="626"/>
      <c r="U552" s="626"/>
      <c r="V552" s="626"/>
      <c r="W552" s="626"/>
      <c r="X552" s="626"/>
      <c r="Y552" s="626"/>
    </row>
    <row r="553">
      <c r="A553" s="626"/>
      <c r="B553" s="626"/>
      <c r="C553" s="626"/>
      <c r="D553" s="626"/>
      <c r="E553" s="627"/>
      <c r="F553" s="628"/>
      <c r="G553" s="626"/>
      <c r="H553" s="626"/>
      <c r="I553" s="626"/>
      <c r="J553" s="626"/>
      <c r="K553" s="626"/>
      <c r="L553" s="626"/>
      <c r="M553" s="626"/>
      <c r="N553" s="626"/>
      <c r="O553" s="626"/>
      <c r="P553" s="626"/>
      <c r="Q553" s="626"/>
      <c r="R553" s="626"/>
      <c r="S553" s="626"/>
      <c r="T553" s="626"/>
      <c r="U553" s="626"/>
      <c r="V553" s="626"/>
      <c r="W553" s="626"/>
      <c r="X553" s="626"/>
      <c r="Y553" s="626"/>
    </row>
    <row r="554">
      <c r="A554" s="626"/>
      <c r="B554" s="626"/>
      <c r="C554" s="626"/>
      <c r="D554" s="626"/>
      <c r="E554" s="627"/>
      <c r="F554" s="628"/>
      <c r="G554" s="626"/>
      <c r="H554" s="626"/>
      <c r="I554" s="626"/>
      <c r="J554" s="626"/>
      <c r="K554" s="626"/>
      <c r="L554" s="626"/>
      <c r="M554" s="626"/>
      <c r="N554" s="626"/>
      <c r="O554" s="626"/>
      <c r="P554" s="626"/>
      <c r="Q554" s="626"/>
      <c r="R554" s="626"/>
      <c r="S554" s="626"/>
      <c r="T554" s="626"/>
      <c r="U554" s="626"/>
      <c r="V554" s="626"/>
      <c r="W554" s="626"/>
      <c r="X554" s="626"/>
      <c r="Y554" s="626"/>
    </row>
    <row r="555">
      <c r="A555" s="626"/>
      <c r="B555" s="626"/>
      <c r="C555" s="626"/>
      <c r="D555" s="626"/>
      <c r="E555" s="627"/>
      <c r="F555" s="628"/>
      <c r="G555" s="626"/>
      <c r="H555" s="626"/>
      <c r="I555" s="626"/>
      <c r="J555" s="626"/>
      <c r="K555" s="626"/>
      <c r="L555" s="626"/>
      <c r="M555" s="626"/>
      <c r="N555" s="626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</row>
    <row r="556">
      <c r="A556" s="626"/>
      <c r="B556" s="626"/>
      <c r="C556" s="626"/>
      <c r="D556" s="626"/>
      <c r="E556" s="627"/>
      <c r="F556" s="628"/>
      <c r="G556" s="626"/>
      <c r="H556" s="626"/>
      <c r="I556" s="626"/>
      <c r="J556" s="626"/>
      <c r="K556" s="626"/>
      <c r="L556" s="626"/>
      <c r="M556" s="626"/>
      <c r="N556" s="626"/>
      <c r="O556" s="626"/>
      <c r="P556" s="626"/>
      <c r="Q556" s="626"/>
      <c r="R556" s="626"/>
      <c r="S556" s="626"/>
      <c r="T556" s="626"/>
      <c r="U556" s="626"/>
      <c r="V556" s="626"/>
      <c r="W556" s="626"/>
      <c r="X556" s="626"/>
      <c r="Y556" s="626"/>
    </row>
    <row r="557">
      <c r="A557" s="626"/>
      <c r="B557" s="626"/>
      <c r="C557" s="626"/>
      <c r="D557" s="626"/>
      <c r="E557" s="627"/>
      <c r="F557" s="628"/>
      <c r="G557" s="626"/>
      <c r="H557" s="626"/>
      <c r="I557" s="626"/>
      <c r="J557" s="626"/>
      <c r="K557" s="626"/>
      <c r="L557" s="626"/>
      <c r="M557" s="626"/>
      <c r="N557" s="626"/>
      <c r="O557" s="626"/>
      <c r="P557" s="626"/>
      <c r="Q557" s="626"/>
      <c r="R557" s="626"/>
      <c r="S557" s="626"/>
      <c r="T557" s="626"/>
      <c r="U557" s="626"/>
      <c r="V557" s="626"/>
      <c r="W557" s="626"/>
      <c r="X557" s="626"/>
      <c r="Y557" s="626"/>
    </row>
    <row r="558">
      <c r="A558" s="626"/>
      <c r="B558" s="626"/>
      <c r="C558" s="626"/>
      <c r="D558" s="626"/>
      <c r="E558" s="627"/>
      <c r="F558" s="628"/>
      <c r="G558" s="626"/>
      <c r="H558" s="626"/>
      <c r="I558" s="626"/>
      <c r="J558" s="626"/>
      <c r="K558" s="626"/>
      <c r="L558" s="626"/>
      <c r="M558" s="626"/>
      <c r="N558" s="626"/>
      <c r="O558" s="626"/>
      <c r="P558" s="626"/>
      <c r="Q558" s="626"/>
      <c r="R558" s="626"/>
      <c r="S558" s="626"/>
      <c r="T558" s="626"/>
      <c r="U558" s="626"/>
      <c r="V558" s="626"/>
      <c r="W558" s="626"/>
      <c r="X558" s="626"/>
      <c r="Y558" s="626"/>
    </row>
    <row r="559">
      <c r="A559" s="626"/>
      <c r="B559" s="626"/>
      <c r="C559" s="626"/>
      <c r="D559" s="626"/>
      <c r="E559" s="627"/>
      <c r="F559" s="628"/>
      <c r="G559" s="626"/>
      <c r="H559" s="626"/>
      <c r="I559" s="626"/>
      <c r="J559" s="626"/>
      <c r="K559" s="626"/>
      <c r="L559" s="626"/>
      <c r="M559" s="626"/>
      <c r="N559" s="626"/>
      <c r="O559" s="626"/>
      <c r="P559" s="626"/>
      <c r="Q559" s="626"/>
      <c r="R559" s="626"/>
      <c r="S559" s="626"/>
      <c r="T559" s="626"/>
      <c r="U559" s="626"/>
      <c r="V559" s="626"/>
      <c r="W559" s="626"/>
      <c r="X559" s="626"/>
      <c r="Y559" s="626"/>
    </row>
    <row r="560">
      <c r="A560" s="626"/>
      <c r="B560" s="626"/>
      <c r="C560" s="626"/>
      <c r="D560" s="626"/>
      <c r="E560" s="627"/>
      <c r="F560" s="628"/>
      <c r="G560" s="626"/>
      <c r="H560" s="626"/>
      <c r="I560" s="626"/>
      <c r="J560" s="626"/>
      <c r="K560" s="626"/>
      <c r="L560" s="626"/>
      <c r="M560" s="626"/>
      <c r="N560" s="626"/>
      <c r="O560" s="626"/>
      <c r="P560" s="626"/>
      <c r="Q560" s="626"/>
      <c r="R560" s="626"/>
      <c r="S560" s="626"/>
      <c r="T560" s="626"/>
      <c r="U560" s="626"/>
      <c r="V560" s="626"/>
      <c r="W560" s="626"/>
      <c r="X560" s="626"/>
      <c r="Y560" s="626"/>
    </row>
    <row r="561">
      <c r="A561" s="626"/>
      <c r="B561" s="626"/>
      <c r="C561" s="626"/>
      <c r="D561" s="626"/>
      <c r="E561" s="627"/>
      <c r="F561" s="628"/>
      <c r="G561" s="626"/>
      <c r="H561" s="626"/>
      <c r="I561" s="626"/>
      <c r="J561" s="626"/>
      <c r="K561" s="626"/>
      <c r="L561" s="626"/>
      <c r="M561" s="626"/>
      <c r="N561" s="626"/>
      <c r="O561" s="626"/>
      <c r="P561" s="626"/>
      <c r="Q561" s="626"/>
      <c r="R561" s="626"/>
      <c r="S561" s="626"/>
      <c r="T561" s="626"/>
      <c r="U561" s="626"/>
      <c r="V561" s="626"/>
      <c r="W561" s="626"/>
      <c r="X561" s="626"/>
      <c r="Y561" s="626"/>
    </row>
    <row r="562">
      <c r="A562" s="626"/>
      <c r="B562" s="626"/>
      <c r="C562" s="626"/>
      <c r="D562" s="626"/>
      <c r="E562" s="627"/>
      <c r="F562" s="628"/>
      <c r="G562" s="626"/>
      <c r="H562" s="626"/>
      <c r="I562" s="626"/>
      <c r="J562" s="626"/>
      <c r="K562" s="626"/>
      <c r="L562" s="626"/>
      <c r="M562" s="626"/>
      <c r="N562" s="626"/>
      <c r="O562" s="626"/>
      <c r="P562" s="626"/>
      <c r="Q562" s="626"/>
      <c r="R562" s="626"/>
      <c r="S562" s="626"/>
      <c r="T562" s="626"/>
      <c r="U562" s="626"/>
      <c r="V562" s="626"/>
      <c r="W562" s="626"/>
      <c r="X562" s="626"/>
      <c r="Y562" s="626"/>
    </row>
    <row r="563">
      <c r="A563" s="626"/>
      <c r="B563" s="626"/>
      <c r="C563" s="626"/>
      <c r="D563" s="626"/>
      <c r="E563" s="627"/>
      <c r="F563" s="628"/>
      <c r="G563" s="626"/>
      <c r="H563" s="626"/>
      <c r="I563" s="626"/>
      <c r="J563" s="626"/>
      <c r="K563" s="626"/>
      <c r="L563" s="626"/>
      <c r="M563" s="626"/>
      <c r="N563" s="626"/>
      <c r="O563" s="626"/>
      <c r="P563" s="626"/>
      <c r="Q563" s="626"/>
      <c r="R563" s="626"/>
      <c r="S563" s="626"/>
      <c r="T563" s="626"/>
      <c r="U563" s="626"/>
      <c r="V563" s="626"/>
      <c r="W563" s="626"/>
      <c r="X563" s="626"/>
      <c r="Y563" s="626"/>
    </row>
    <row r="564">
      <c r="A564" s="626"/>
      <c r="B564" s="626"/>
      <c r="C564" s="626"/>
      <c r="D564" s="626"/>
      <c r="E564" s="627"/>
      <c r="F564" s="628"/>
      <c r="G564" s="626"/>
      <c r="H564" s="626"/>
      <c r="I564" s="626"/>
      <c r="J564" s="626"/>
      <c r="K564" s="626"/>
      <c r="L564" s="626"/>
      <c r="M564" s="626"/>
      <c r="N564" s="626"/>
      <c r="O564" s="626"/>
      <c r="P564" s="626"/>
      <c r="Q564" s="626"/>
      <c r="R564" s="626"/>
      <c r="S564" s="626"/>
      <c r="T564" s="626"/>
      <c r="U564" s="626"/>
      <c r="V564" s="626"/>
      <c r="W564" s="626"/>
      <c r="X564" s="626"/>
      <c r="Y564" s="626"/>
    </row>
    <row r="565">
      <c r="A565" s="626"/>
      <c r="B565" s="626"/>
      <c r="C565" s="626"/>
      <c r="D565" s="626"/>
      <c r="E565" s="627"/>
      <c r="F565" s="628"/>
      <c r="G565" s="626"/>
      <c r="H565" s="626"/>
      <c r="I565" s="626"/>
      <c r="J565" s="626"/>
      <c r="K565" s="626"/>
      <c r="L565" s="626"/>
      <c r="M565" s="626"/>
      <c r="N565" s="626"/>
      <c r="O565" s="626"/>
      <c r="P565" s="626"/>
      <c r="Q565" s="626"/>
      <c r="R565" s="626"/>
      <c r="S565" s="626"/>
      <c r="T565" s="626"/>
      <c r="U565" s="626"/>
      <c r="V565" s="626"/>
      <c r="W565" s="626"/>
      <c r="X565" s="626"/>
      <c r="Y565" s="626"/>
    </row>
    <row r="566">
      <c r="A566" s="626"/>
      <c r="B566" s="626"/>
      <c r="C566" s="626"/>
      <c r="D566" s="626"/>
      <c r="E566" s="627"/>
      <c r="F566" s="628"/>
      <c r="G566" s="626"/>
      <c r="H566" s="626"/>
      <c r="I566" s="626"/>
      <c r="J566" s="626"/>
      <c r="K566" s="626"/>
      <c r="L566" s="626"/>
      <c r="M566" s="626"/>
      <c r="N566" s="626"/>
      <c r="O566" s="626"/>
      <c r="P566" s="626"/>
      <c r="Q566" s="626"/>
      <c r="R566" s="626"/>
      <c r="S566" s="626"/>
      <c r="T566" s="626"/>
      <c r="U566" s="626"/>
      <c r="V566" s="626"/>
      <c r="W566" s="626"/>
      <c r="X566" s="626"/>
      <c r="Y566" s="626"/>
    </row>
    <row r="567">
      <c r="A567" s="626"/>
      <c r="B567" s="626"/>
      <c r="C567" s="626"/>
      <c r="D567" s="626"/>
      <c r="E567" s="627"/>
      <c r="F567" s="628"/>
      <c r="G567" s="626"/>
      <c r="H567" s="626"/>
      <c r="I567" s="626"/>
      <c r="J567" s="626"/>
      <c r="K567" s="626"/>
      <c r="L567" s="626"/>
      <c r="M567" s="626"/>
      <c r="N567" s="626"/>
      <c r="O567" s="626"/>
      <c r="P567" s="626"/>
      <c r="Q567" s="626"/>
      <c r="R567" s="626"/>
      <c r="S567" s="626"/>
      <c r="T567" s="626"/>
      <c r="U567" s="626"/>
      <c r="V567" s="626"/>
      <c r="W567" s="626"/>
      <c r="X567" s="626"/>
      <c r="Y567" s="626"/>
    </row>
    <row r="568">
      <c r="A568" s="626"/>
      <c r="B568" s="626"/>
      <c r="C568" s="626"/>
      <c r="D568" s="626"/>
      <c r="E568" s="627"/>
      <c r="F568" s="628"/>
      <c r="G568" s="626"/>
      <c r="H568" s="626"/>
      <c r="I568" s="626"/>
      <c r="J568" s="626"/>
      <c r="K568" s="626"/>
      <c r="L568" s="626"/>
      <c r="M568" s="626"/>
      <c r="N568" s="626"/>
      <c r="O568" s="626"/>
      <c r="P568" s="626"/>
      <c r="Q568" s="626"/>
      <c r="R568" s="626"/>
      <c r="S568" s="626"/>
      <c r="T568" s="626"/>
      <c r="U568" s="626"/>
      <c r="V568" s="626"/>
      <c r="W568" s="626"/>
      <c r="X568" s="626"/>
      <c r="Y568" s="626"/>
    </row>
    <row r="569">
      <c r="A569" s="626"/>
      <c r="B569" s="626"/>
      <c r="C569" s="626"/>
      <c r="D569" s="626"/>
      <c r="E569" s="627"/>
      <c r="F569" s="628"/>
      <c r="G569" s="626"/>
      <c r="H569" s="626"/>
      <c r="I569" s="626"/>
      <c r="J569" s="626"/>
      <c r="K569" s="626"/>
      <c r="L569" s="626"/>
      <c r="M569" s="626"/>
      <c r="N569" s="626"/>
      <c r="O569" s="626"/>
      <c r="P569" s="626"/>
      <c r="Q569" s="626"/>
      <c r="R569" s="626"/>
      <c r="S569" s="626"/>
      <c r="T569" s="626"/>
      <c r="U569" s="626"/>
      <c r="V569" s="626"/>
      <c r="W569" s="626"/>
      <c r="X569" s="626"/>
      <c r="Y569" s="626"/>
    </row>
    <row r="570">
      <c r="A570" s="626"/>
      <c r="B570" s="626"/>
      <c r="C570" s="626"/>
      <c r="D570" s="626"/>
      <c r="E570" s="627"/>
      <c r="F570" s="628"/>
      <c r="G570" s="626"/>
      <c r="H570" s="626"/>
      <c r="I570" s="626"/>
      <c r="J570" s="626"/>
      <c r="K570" s="626"/>
      <c r="L570" s="626"/>
      <c r="M570" s="626"/>
      <c r="N570" s="626"/>
      <c r="O570" s="626"/>
      <c r="P570" s="626"/>
      <c r="Q570" s="626"/>
      <c r="R570" s="626"/>
      <c r="S570" s="626"/>
      <c r="T570" s="626"/>
      <c r="U570" s="626"/>
      <c r="V570" s="626"/>
      <c r="W570" s="626"/>
      <c r="X570" s="626"/>
      <c r="Y570" s="626"/>
    </row>
    <row r="571">
      <c r="A571" s="626"/>
      <c r="B571" s="626"/>
      <c r="C571" s="626"/>
      <c r="D571" s="626"/>
      <c r="E571" s="627"/>
      <c r="F571" s="628"/>
      <c r="G571" s="626"/>
      <c r="H571" s="626"/>
      <c r="I571" s="626"/>
      <c r="J571" s="626"/>
      <c r="K571" s="626"/>
      <c r="L571" s="626"/>
      <c r="M571" s="626"/>
      <c r="N571" s="626"/>
      <c r="O571" s="626"/>
      <c r="P571" s="626"/>
      <c r="Q571" s="626"/>
      <c r="R571" s="626"/>
      <c r="S571" s="626"/>
      <c r="T571" s="626"/>
      <c r="U571" s="626"/>
      <c r="V571" s="626"/>
      <c r="W571" s="626"/>
      <c r="X571" s="626"/>
      <c r="Y571" s="626"/>
    </row>
    <row r="572">
      <c r="A572" s="626"/>
      <c r="B572" s="626"/>
      <c r="C572" s="626"/>
      <c r="D572" s="626"/>
      <c r="E572" s="627"/>
      <c r="F572" s="628"/>
      <c r="G572" s="626"/>
      <c r="H572" s="626"/>
      <c r="I572" s="626"/>
      <c r="J572" s="626"/>
      <c r="K572" s="626"/>
      <c r="L572" s="626"/>
      <c r="M572" s="626"/>
      <c r="N572" s="626"/>
      <c r="O572" s="626"/>
      <c r="P572" s="626"/>
      <c r="Q572" s="626"/>
      <c r="R572" s="626"/>
      <c r="S572" s="626"/>
      <c r="T572" s="626"/>
      <c r="U572" s="626"/>
      <c r="V572" s="626"/>
      <c r="W572" s="626"/>
      <c r="X572" s="626"/>
      <c r="Y572" s="626"/>
    </row>
    <row r="573">
      <c r="A573" s="626"/>
      <c r="B573" s="626"/>
      <c r="C573" s="626"/>
      <c r="D573" s="626"/>
      <c r="E573" s="627"/>
      <c r="F573" s="628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626"/>
      <c r="Y573" s="626"/>
    </row>
    <row r="574">
      <c r="A574" s="626"/>
      <c r="B574" s="626"/>
      <c r="C574" s="626"/>
      <c r="D574" s="626"/>
      <c r="E574" s="627"/>
      <c r="F574" s="628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626"/>
      <c r="Y574" s="626"/>
    </row>
    <row r="575">
      <c r="A575" s="626"/>
      <c r="B575" s="626"/>
      <c r="C575" s="626"/>
      <c r="D575" s="626"/>
      <c r="E575" s="627"/>
      <c r="F575" s="628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626"/>
      <c r="Y575" s="626"/>
    </row>
    <row r="576">
      <c r="A576" s="626"/>
      <c r="B576" s="626"/>
      <c r="C576" s="626"/>
      <c r="D576" s="626"/>
      <c r="E576" s="627"/>
      <c r="F576" s="628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626"/>
      <c r="Y576" s="626"/>
    </row>
    <row r="577">
      <c r="A577" s="626"/>
      <c r="B577" s="626"/>
      <c r="C577" s="626"/>
      <c r="D577" s="626"/>
      <c r="E577" s="627"/>
      <c r="F577" s="628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626"/>
      <c r="Y577" s="626"/>
    </row>
    <row r="578">
      <c r="A578" s="626"/>
      <c r="B578" s="626"/>
      <c r="C578" s="626"/>
      <c r="D578" s="626"/>
      <c r="E578" s="627"/>
      <c r="F578" s="628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626"/>
      <c r="Y578" s="626"/>
    </row>
    <row r="579">
      <c r="A579" s="626"/>
      <c r="B579" s="626"/>
      <c r="C579" s="626"/>
      <c r="D579" s="626"/>
      <c r="E579" s="627"/>
      <c r="F579" s="628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626"/>
      <c r="Y579" s="626"/>
    </row>
    <row r="580">
      <c r="A580" s="626"/>
      <c r="B580" s="626"/>
      <c r="C580" s="626"/>
      <c r="D580" s="626"/>
      <c r="E580" s="627"/>
      <c r="F580" s="628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626"/>
      <c r="Y580" s="626"/>
    </row>
    <row r="581">
      <c r="A581" s="626"/>
      <c r="B581" s="626"/>
      <c r="C581" s="626"/>
      <c r="D581" s="626"/>
      <c r="E581" s="627"/>
      <c r="F581" s="628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626"/>
      <c r="Y581" s="626"/>
    </row>
    <row r="582">
      <c r="A582" s="626"/>
      <c r="B582" s="626"/>
      <c r="C582" s="626"/>
      <c r="D582" s="626"/>
      <c r="E582" s="627"/>
      <c r="F582" s="628"/>
      <c r="G582" s="626"/>
      <c r="H582" s="626"/>
      <c r="I582" s="626"/>
      <c r="J582" s="626"/>
      <c r="K582" s="626"/>
      <c r="L582" s="626"/>
      <c r="M582" s="626"/>
      <c r="N582" s="626"/>
      <c r="O582" s="626"/>
      <c r="P582" s="626"/>
      <c r="Q582" s="626"/>
      <c r="R582" s="626"/>
      <c r="S582" s="626"/>
      <c r="T582" s="626"/>
      <c r="U582" s="626"/>
      <c r="V582" s="626"/>
      <c r="W582" s="626"/>
      <c r="X582" s="626"/>
      <c r="Y582" s="626"/>
    </row>
    <row r="583">
      <c r="A583" s="626"/>
      <c r="B583" s="626"/>
      <c r="C583" s="626"/>
      <c r="D583" s="626"/>
      <c r="E583" s="627"/>
      <c r="F583" s="628"/>
      <c r="G583" s="626"/>
      <c r="H583" s="626"/>
      <c r="I583" s="626"/>
      <c r="J583" s="626"/>
      <c r="K583" s="626"/>
      <c r="L583" s="626"/>
      <c r="M583" s="626"/>
      <c r="N583" s="626"/>
      <c r="O583" s="626"/>
      <c r="P583" s="626"/>
      <c r="Q583" s="626"/>
      <c r="R583" s="626"/>
      <c r="S583" s="626"/>
      <c r="T583" s="626"/>
      <c r="U583" s="626"/>
      <c r="V583" s="626"/>
      <c r="W583" s="626"/>
      <c r="X583" s="626"/>
      <c r="Y583" s="626"/>
    </row>
    <row r="584">
      <c r="A584" s="626"/>
      <c r="B584" s="626"/>
      <c r="C584" s="626"/>
      <c r="D584" s="626"/>
      <c r="E584" s="627"/>
      <c r="F584" s="628"/>
      <c r="G584" s="626"/>
      <c r="H584" s="626"/>
      <c r="I584" s="626"/>
      <c r="J584" s="626"/>
      <c r="K584" s="626"/>
      <c r="L584" s="626"/>
      <c r="M584" s="626"/>
      <c r="N584" s="626"/>
      <c r="O584" s="626"/>
      <c r="P584" s="626"/>
      <c r="Q584" s="626"/>
      <c r="R584" s="626"/>
      <c r="S584" s="626"/>
      <c r="T584" s="626"/>
      <c r="U584" s="626"/>
      <c r="V584" s="626"/>
      <c r="W584" s="626"/>
      <c r="X584" s="626"/>
      <c r="Y584" s="626"/>
    </row>
    <row r="585">
      <c r="A585" s="626"/>
      <c r="B585" s="626"/>
      <c r="C585" s="626"/>
      <c r="D585" s="626"/>
      <c r="E585" s="627"/>
      <c r="F585" s="628"/>
      <c r="G585" s="626"/>
      <c r="H585" s="626"/>
      <c r="I585" s="626"/>
      <c r="J585" s="626"/>
      <c r="K585" s="626"/>
      <c r="L585" s="626"/>
      <c r="M585" s="626"/>
      <c r="N585" s="626"/>
      <c r="O585" s="626"/>
      <c r="P585" s="626"/>
      <c r="Q585" s="626"/>
      <c r="R585" s="626"/>
      <c r="S585" s="626"/>
      <c r="T585" s="626"/>
      <c r="U585" s="626"/>
      <c r="V585" s="626"/>
      <c r="W585" s="626"/>
      <c r="X585" s="626"/>
      <c r="Y585" s="626"/>
    </row>
    <row r="586">
      <c r="A586" s="626"/>
      <c r="B586" s="626"/>
      <c r="C586" s="626"/>
      <c r="D586" s="626"/>
      <c r="E586" s="627"/>
      <c r="F586" s="628"/>
      <c r="G586" s="626"/>
      <c r="H586" s="626"/>
      <c r="I586" s="626"/>
      <c r="J586" s="626"/>
      <c r="K586" s="626"/>
      <c r="L586" s="626"/>
      <c r="M586" s="626"/>
      <c r="N586" s="626"/>
      <c r="O586" s="626"/>
      <c r="P586" s="626"/>
      <c r="Q586" s="626"/>
      <c r="R586" s="626"/>
      <c r="S586" s="626"/>
      <c r="T586" s="626"/>
      <c r="U586" s="626"/>
      <c r="V586" s="626"/>
      <c r="W586" s="626"/>
      <c r="X586" s="626"/>
      <c r="Y586" s="626"/>
    </row>
    <row r="587">
      <c r="A587" s="626"/>
      <c r="B587" s="626"/>
      <c r="C587" s="626"/>
      <c r="D587" s="626"/>
      <c r="E587" s="627"/>
      <c r="F587" s="628"/>
      <c r="G587" s="626"/>
      <c r="H587" s="626"/>
      <c r="I587" s="626"/>
      <c r="J587" s="626"/>
      <c r="K587" s="626"/>
      <c r="L587" s="626"/>
      <c r="M587" s="626"/>
      <c r="N587" s="626"/>
      <c r="O587" s="626"/>
      <c r="P587" s="626"/>
      <c r="Q587" s="626"/>
      <c r="R587" s="626"/>
      <c r="S587" s="626"/>
      <c r="T587" s="626"/>
      <c r="U587" s="626"/>
      <c r="V587" s="626"/>
      <c r="W587" s="626"/>
      <c r="X587" s="626"/>
      <c r="Y587" s="626"/>
    </row>
    <row r="588">
      <c r="A588" s="626"/>
      <c r="B588" s="626"/>
      <c r="C588" s="626"/>
      <c r="D588" s="626"/>
      <c r="E588" s="627"/>
      <c r="F588" s="628"/>
      <c r="G588" s="626"/>
      <c r="H588" s="626"/>
      <c r="I588" s="626"/>
      <c r="J588" s="626"/>
      <c r="K588" s="626"/>
      <c r="L588" s="626"/>
      <c r="M588" s="626"/>
      <c r="N588" s="626"/>
      <c r="O588" s="626"/>
      <c r="P588" s="626"/>
      <c r="Q588" s="626"/>
      <c r="R588" s="626"/>
      <c r="S588" s="626"/>
      <c r="T588" s="626"/>
      <c r="U588" s="626"/>
      <c r="V588" s="626"/>
      <c r="W588" s="626"/>
      <c r="X588" s="626"/>
      <c r="Y588" s="626"/>
    </row>
    <row r="589">
      <c r="A589" s="626"/>
      <c r="B589" s="626"/>
      <c r="C589" s="626"/>
      <c r="D589" s="626"/>
      <c r="E589" s="627"/>
      <c r="F589" s="628"/>
      <c r="G589" s="626"/>
      <c r="H589" s="626"/>
      <c r="I589" s="626"/>
      <c r="J589" s="626"/>
      <c r="K589" s="626"/>
      <c r="L589" s="626"/>
      <c r="M589" s="626"/>
      <c r="N589" s="626"/>
      <c r="O589" s="626"/>
      <c r="P589" s="626"/>
      <c r="Q589" s="626"/>
      <c r="R589" s="626"/>
      <c r="S589" s="626"/>
      <c r="T589" s="626"/>
      <c r="U589" s="626"/>
      <c r="V589" s="626"/>
      <c r="W589" s="626"/>
      <c r="X589" s="626"/>
      <c r="Y589" s="626"/>
    </row>
    <row r="590">
      <c r="A590" s="626"/>
      <c r="B590" s="626"/>
      <c r="C590" s="626"/>
      <c r="D590" s="626"/>
      <c r="E590" s="627"/>
      <c r="F590" s="628"/>
      <c r="G590" s="626"/>
      <c r="H590" s="626"/>
      <c r="I590" s="626"/>
      <c r="J590" s="626"/>
      <c r="K590" s="626"/>
      <c r="L590" s="626"/>
      <c r="M590" s="626"/>
      <c r="N590" s="626"/>
      <c r="O590" s="626"/>
      <c r="P590" s="626"/>
      <c r="Q590" s="626"/>
      <c r="R590" s="626"/>
      <c r="S590" s="626"/>
      <c r="T590" s="626"/>
      <c r="U590" s="626"/>
      <c r="V590" s="626"/>
      <c r="W590" s="626"/>
      <c r="X590" s="626"/>
      <c r="Y590" s="626"/>
    </row>
    <row r="591">
      <c r="A591" s="626"/>
      <c r="B591" s="626"/>
      <c r="C591" s="626"/>
      <c r="D591" s="626"/>
      <c r="E591" s="627"/>
      <c r="F591" s="628"/>
      <c r="G591" s="626"/>
      <c r="H591" s="626"/>
      <c r="I591" s="626"/>
      <c r="J591" s="626"/>
      <c r="K591" s="626"/>
      <c r="L591" s="626"/>
      <c r="M591" s="626"/>
      <c r="N591" s="626"/>
      <c r="O591" s="626"/>
      <c r="P591" s="626"/>
      <c r="Q591" s="626"/>
      <c r="R591" s="626"/>
      <c r="S591" s="626"/>
      <c r="T591" s="626"/>
      <c r="U591" s="626"/>
      <c r="V591" s="626"/>
      <c r="W591" s="626"/>
      <c r="X591" s="626"/>
      <c r="Y591" s="626"/>
    </row>
    <row r="592">
      <c r="A592" s="626"/>
      <c r="B592" s="626"/>
      <c r="C592" s="626"/>
      <c r="D592" s="626"/>
      <c r="E592" s="627"/>
      <c r="F592" s="628"/>
      <c r="G592" s="626"/>
      <c r="H592" s="626"/>
      <c r="I592" s="626"/>
      <c r="J592" s="626"/>
      <c r="K592" s="626"/>
      <c r="L592" s="626"/>
      <c r="M592" s="626"/>
      <c r="N592" s="626"/>
      <c r="O592" s="626"/>
      <c r="P592" s="626"/>
      <c r="Q592" s="626"/>
      <c r="R592" s="626"/>
      <c r="S592" s="626"/>
      <c r="T592" s="626"/>
      <c r="U592" s="626"/>
      <c r="V592" s="626"/>
      <c r="W592" s="626"/>
      <c r="X592" s="626"/>
      <c r="Y592" s="626"/>
    </row>
    <row r="593">
      <c r="A593" s="626"/>
      <c r="B593" s="626"/>
      <c r="C593" s="626"/>
      <c r="D593" s="626"/>
      <c r="E593" s="627"/>
      <c r="F593" s="628"/>
      <c r="G593" s="626"/>
      <c r="H593" s="626"/>
      <c r="I593" s="626"/>
      <c r="J593" s="626"/>
      <c r="K593" s="626"/>
      <c r="L593" s="626"/>
      <c r="M593" s="626"/>
      <c r="N593" s="626"/>
      <c r="O593" s="626"/>
      <c r="P593" s="626"/>
      <c r="Q593" s="626"/>
      <c r="R593" s="626"/>
      <c r="S593" s="626"/>
      <c r="T593" s="626"/>
      <c r="U593" s="626"/>
      <c r="V593" s="626"/>
      <c r="W593" s="626"/>
      <c r="X593" s="626"/>
      <c r="Y593" s="626"/>
    </row>
    <row r="594">
      <c r="A594" s="626"/>
      <c r="B594" s="626"/>
      <c r="C594" s="626"/>
      <c r="D594" s="626"/>
      <c r="E594" s="627"/>
      <c r="F594" s="628"/>
      <c r="G594" s="626"/>
      <c r="H594" s="626"/>
      <c r="I594" s="626"/>
      <c r="J594" s="626"/>
      <c r="K594" s="626"/>
      <c r="L594" s="626"/>
      <c r="M594" s="626"/>
      <c r="N594" s="626"/>
      <c r="O594" s="626"/>
      <c r="P594" s="626"/>
      <c r="Q594" s="626"/>
      <c r="R594" s="626"/>
      <c r="S594" s="626"/>
      <c r="T594" s="626"/>
      <c r="U594" s="626"/>
      <c r="V594" s="626"/>
      <c r="W594" s="626"/>
      <c r="X594" s="626"/>
      <c r="Y594" s="626"/>
    </row>
    <row r="595">
      <c r="A595" s="626"/>
      <c r="B595" s="626"/>
      <c r="C595" s="626"/>
      <c r="D595" s="626"/>
      <c r="E595" s="627"/>
      <c r="F595" s="628"/>
      <c r="G595" s="626"/>
      <c r="H595" s="626"/>
      <c r="I595" s="626"/>
      <c r="J595" s="626"/>
      <c r="K595" s="626"/>
      <c r="L595" s="626"/>
      <c r="M595" s="626"/>
      <c r="N595" s="626"/>
      <c r="O595" s="626"/>
      <c r="P595" s="626"/>
      <c r="Q595" s="626"/>
      <c r="R595" s="626"/>
      <c r="S595" s="626"/>
      <c r="T595" s="626"/>
      <c r="U595" s="626"/>
      <c r="V595" s="626"/>
      <c r="W595" s="626"/>
      <c r="X595" s="626"/>
      <c r="Y595" s="626"/>
    </row>
    <row r="596">
      <c r="A596" s="626"/>
      <c r="B596" s="626"/>
      <c r="C596" s="626"/>
      <c r="D596" s="626"/>
      <c r="E596" s="627"/>
      <c r="F596" s="628"/>
      <c r="G596" s="626"/>
      <c r="H596" s="626"/>
      <c r="I596" s="626"/>
      <c r="J596" s="626"/>
      <c r="K596" s="626"/>
      <c r="L596" s="626"/>
      <c r="M596" s="626"/>
      <c r="N596" s="626"/>
      <c r="O596" s="626"/>
      <c r="P596" s="626"/>
      <c r="Q596" s="626"/>
      <c r="R596" s="626"/>
      <c r="S596" s="626"/>
      <c r="T596" s="626"/>
      <c r="U596" s="626"/>
      <c r="V596" s="626"/>
      <c r="W596" s="626"/>
      <c r="X596" s="626"/>
      <c r="Y596" s="626"/>
    </row>
    <row r="597">
      <c r="A597" s="626"/>
      <c r="B597" s="626"/>
      <c r="C597" s="626"/>
      <c r="D597" s="626"/>
      <c r="E597" s="627"/>
      <c r="F597" s="628"/>
      <c r="G597" s="626"/>
      <c r="H597" s="626"/>
      <c r="I597" s="626"/>
      <c r="J597" s="626"/>
      <c r="K597" s="626"/>
      <c r="L597" s="626"/>
      <c r="M597" s="626"/>
      <c r="N597" s="626"/>
      <c r="O597" s="626"/>
      <c r="P597" s="626"/>
      <c r="Q597" s="626"/>
      <c r="R597" s="626"/>
      <c r="S597" s="626"/>
      <c r="T597" s="626"/>
      <c r="U597" s="626"/>
      <c r="V597" s="626"/>
      <c r="W597" s="626"/>
      <c r="X597" s="626"/>
      <c r="Y597" s="626"/>
    </row>
    <row r="598">
      <c r="A598" s="626"/>
      <c r="B598" s="626"/>
      <c r="C598" s="626"/>
      <c r="D598" s="626"/>
      <c r="E598" s="627"/>
      <c r="F598" s="628"/>
      <c r="G598" s="626"/>
      <c r="H598" s="626"/>
      <c r="I598" s="626"/>
      <c r="J598" s="626"/>
      <c r="K598" s="626"/>
      <c r="L598" s="626"/>
      <c r="M598" s="626"/>
      <c r="N598" s="626"/>
      <c r="O598" s="626"/>
      <c r="P598" s="626"/>
      <c r="Q598" s="626"/>
      <c r="R598" s="626"/>
      <c r="S598" s="626"/>
      <c r="T598" s="626"/>
      <c r="U598" s="626"/>
      <c r="V598" s="626"/>
      <c r="W598" s="626"/>
      <c r="X598" s="626"/>
      <c r="Y598" s="626"/>
    </row>
    <row r="599">
      <c r="A599" s="626"/>
      <c r="B599" s="626"/>
      <c r="C599" s="626"/>
      <c r="D599" s="626"/>
      <c r="E599" s="627"/>
      <c r="F599" s="628"/>
      <c r="G599" s="626"/>
      <c r="H599" s="626"/>
      <c r="I599" s="626"/>
      <c r="J599" s="626"/>
      <c r="K599" s="626"/>
      <c r="L599" s="626"/>
      <c r="M599" s="626"/>
      <c r="N599" s="626"/>
      <c r="O599" s="626"/>
      <c r="P599" s="626"/>
      <c r="Q599" s="626"/>
      <c r="R599" s="626"/>
      <c r="S599" s="626"/>
      <c r="T599" s="626"/>
      <c r="U599" s="626"/>
      <c r="V599" s="626"/>
      <c r="W599" s="626"/>
      <c r="X599" s="626"/>
      <c r="Y599" s="626"/>
    </row>
    <row r="600">
      <c r="A600" s="626"/>
      <c r="B600" s="626"/>
      <c r="C600" s="626"/>
      <c r="D600" s="626"/>
      <c r="E600" s="627"/>
      <c r="F600" s="628"/>
      <c r="G600" s="626"/>
      <c r="H600" s="626"/>
      <c r="I600" s="626"/>
      <c r="J600" s="626"/>
      <c r="K600" s="626"/>
      <c r="L600" s="626"/>
      <c r="M600" s="626"/>
      <c r="N600" s="626"/>
      <c r="O600" s="626"/>
      <c r="P600" s="626"/>
      <c r="Q600" s="626"/>
      <c r="R600" s="626"/>
      <c r="S600" s="626"/>
      <c r="T600" s="626"/>
      <c r="U600" s="626"/>
      <c r="V600" s="626"/>
      <c r="W600" s="626"/>
      <c r="X600" s="626"/>
      <c r="Y600" s="626"/>
    </row>
    <row r="601">
      <c r="A601" s="626"/>
      <c r="B601" s="626"/>
      <c r="C601" s="626"/>
      <c r="D601" s="626"/>
      <c r="E601" s="627"/>
      <c r="F601" s="628"/>
      <c r="G601" s="626"/>
      <c r="H601" s="626"/>
      <c r="I601" s="626"/>
      <c r="J601" s="626"/>
      <c r="K601" s="626"/>
      <c r="L601" s="626"/>
      <c r="M601" s="626"/>
      <c r="N601" s="626"/>
      <c r="O601" s="626"/>
      <c r="P601" s="626"/>
      <c r="Q601" s="626"/>
      <c r="R601" s="626"/>
      <c r="S601" s="626"/>
      <c r="T601" s="626"/>
      <c r="U601" s="626"/>
      <c r="V601" s="626"/>
      <c r="W601" s="626"/>
      <c r="X601" s="626"/>
      <c r="Y601" s="626"/>
    </row>
    <row r="602">
      <c r="A602" s="626"/>
      <c r="B602" s="626"/>
      <c r="C602" s="626"/>
      <c r="D602" s="626"/>
      <c r="E602" s="627"/>
      <c r="F602" s="628"/>
      <c r="G602" s="626"/>
      <c r="H602" s="626"/>
      <c r="I602" s="626"/>
      <c r="J602" s="626"/>
      <c r="K602" s="626"/>
      <c r="L602" s="626"/>
      <c r="M602" s="626"/>
      <c r="N602" s="626"/>
      <c r="O602" s="626"/>
      <c r="P602" s="626"/>
      <c r="Q602" s="626"/>
      <c r="R602" s="626"/>
      <c r="S602" s="626"/>
      <c r="T602" s="626"/>
      <c r="U602" s="626"/>
      <c r="V602" s="626"/>
      <c r="W602" s="626"/>
      <c r="X602" s="626"/>
      <c r="Y602" s="626"/>
    </row>
    <row r="603">
      <c r="A603" s="626"/>
      <c r="B603" s="626"/>
      <c r="C603" s="626"/>
      <c r="D603" s="626"/>
      <c r="E603" s="627"/>
      <c r="F603" s="628"/>
      <c r="G603" s="626"/>
      <c r="H603" s="626"/>
      <c r="I603" s="626"/>
      <c r="J603" s="626"/>
      <c r="K603" s="626"/>
      <c r="L603" s="626"/>
      <c r="M603" s="626"/>
      <c r="N603" s="626"/>
      <c r="O603" s="626"/>
      <c r="P603" s="626"/>
      <c r="Q603" s="626"/>
      <c r="R603" s="626"/>
      <c r="S603" s="626"/>
      <c r="T603" s="626"/>
      <c r="U603" s="626"/>
      <c r="V603" s="626"/>
      <c r="W603" s="626"/>
      <c r="X603" s="626"/>
      <c r="Y603" s="626"/>
    </row>
    <row r="604">
      <c r="A604" s="626"/>
      <c r="B604" s="626"/>
      <c r="C604" s="626"/>
      <c r="D604" s="626"/>
      <c r="E604" s="627"/>
      <c r="F604" s="628"/>
      <c r="G604" s="626"/>
      <c r="H604" s="626"/>
      <c r="I604" s="626"/>
      <c r="J604" s="626"/>
      <c r="K604" s="626"/>
      <c r="L604" s="626"/>
      <c r="M604" s="626"/>
      <c r="N604" s="626"/>
      <c r="O604" s="626"/>
      <c r="P604" s="626"/>
      <c r="Q604" s="626"/>
      <c r="R604" s="626"/>
      <c r="S604" s="626"/>
      <c r="T604" s="626"/>
      <c r="U604" s="626"/>
      <c r="V604" s="626"/>
      <c r="W604" s="626"/>
      <c r="X604" s="626"/>
      <c r="Y604" s="626"/>
    </row>
    <row r="605">
      <c r="A605" s="626"/>
      <c r="B605" s="626"/>
      <c r="C605" s="626"/>
      <c r="D605" s="626"/>
      <c r="E605" s="627"/>
      <c r="F605" s="628"/>
      <c r="G605" s="626"/>
      <c r="H605" s="626"/>
      <c r="I605" s="626"/>
      <c r="J605" s="626"/>
      <c r="K605" s="626"/>
      <c r="L605" s="626"/>
      <c r="M605" s="626"/>
      <c r="N605" s="626"/>
      <c r="O605" s="626"/>
      <c r="P605" s="626"/>
      <c r="Q605" s="626"/>
      <c r="R605" s="626"/>
      <c r="S605" s="626"/>
      <c r="T605" s="626"/>
      <c r="U605" s="626"/>
      <c r="V605" s="626"/>
      <c r="W605" s="626"/>
      <c r="X605" s="626"/>
      <c r="Y605" s="626"/>
    </row>
    <row r="606">
      <c r="A606" s="626"/>
      <c r="B606" s="626"/>
      <c r="C606" s="626"/>
      <c r="D606" s="626"/>
      <c r="E606" s="627"/>
      <c r="F606" s="628"/>
      <c r="G606" s="626"/>
      <c r="H606" s="626"/>
      <c r="I606" s="626"/>
      <c r="J606" s="626"/>
      <c r="K606" s="626"/>
      <c r="L606" s="626"/>
      <c r="M606" s="626"/>
      <c r="N606" s="626"/>
      <c r="O606" s="626"/>
      <c r="P606" s="626"/>
      <c r="Q606" s="626"/>
      <c r="R606" s="626"/>
      <c r="S606" s="626"/>
      <c r="T606" s="626"/>
      <c r="U606" s="626"/>
      <c r="V606" s="626"/>
      <c r="W606" s="626"/>
      <c r="X606" s="626"/>
      <c r="Y606" s="626"/>
    </row>
    <row r="607">
      <c r="A607" s="626"/>
      <c r="B607" s="626"/>
      <c r="C607" s="626"/>
      <c r="D607" s="626"/>
      <c r="E607" s="627"/>
      <c r="F607" s="628"/>
      <c r="G607" s="626"/>
      <c r="H607" s="626"/>
      <c r="I607" s="626"/>
      <c r="J607" s="626"/>
      <c r="K607" s="626"/>
      <c r="L607" s="626"/>
      <c r="M607" s="626"/>
      <c r="N607" s="626"/>
      <c r="O607" s="626"/>
      <c r="P607" s="626"/>
      <c r="Q607" s="626"/>
      <c r="R607" s="626"/>
      <c r="S607" s="626"/>
      <c r="T607" s="626"/>
      <c r="U607" s="626"/>
      <c r="V607" s="626"/>
      <c r="W607" s="626"/>
      <c r="X607" s="626"/>
      <c r="Y607" s="626"/>
    </row>
    <row r="608">
      <c r="A608" s="626"/>
      <c r="B608" s="626"/>
      <c r="C608" s="626"/>
      <c r="D608" s="626"/>
      <c r="E608" s="627"/>
      <c r="F608" s="628"/>
      <c r="G608" s="626"/>
      <c r="H608" s="626"/>
      <c r="I608" s="626"/>
      <c r="J608" s="626"/>
      <c r="K608" s="626"/>
      <c r="L608" s="626"/>
      <c r="M608" s="626"/>
      <c r="N608" s="626"/>
      <c r="O608" s="626"/>
      <c r="P608" s="626"/>
      <c r="Q608" s="626"/>
      <c r="R608" s="626"/>
      <c r="S608" s="626"/>
      <c r="T608" s="626"/>
      <c r="U608" s="626"/>
      <c r="V608" s="626"/>
      <c r="W608" s="626"/>
      <c r="X608" s="626"/>
      <c r="Y608" s="626"/>
    </row>
    <row r="609">
      <c r="A609" s="626"/>
      <c r="B609" s="626"/>
      <c r="C609" s="626"/>
      <c r="D609" s="626"/>
      <c r="E609" s="627"/>
      <c r="F609" s="628"/>
      <c r="G609" s="626"/>
      <c r="H609" s="626"/>
      <c r="I609" s="626"/>
      <c r="J609" s="626"/>
      <c r="K609" s="626"/>
      <c r="L609" s="626"/>
      <c r="M609" s="626"/>
      <c r="N609" s="626"/>
      <c r="O609" s="626"/>
      <c r="P609" s="626"/>
      <c r="Q609" s="626"/>
      <c r="R609" s="626"/>
      <c r="S609" s="626"/>
      <c r="T609" s="626"/>
      <c r="U609" s="626"/>
      <c r="V609" s="626"/>
      <c r="W609" s="626"/>
      <c r="X609" s="626"/>
      <c r="Y609" s="626"/>
    </row>
    <row r="610">
      <c r="A610" s="626"/>
      <c r="B610" s="626"/>
      <c r="C610" s="626"/>
      <c r="D610" s="626"/>
      <c r="E610" s="627"/>
      <c r="F610" s="628"/>
      <c r="G610" s="626"/>
      <c r="H610" s="626"/>
      <c r="I610" s="626"/>
      <c r="J610" s="626"/>
      <c r="K610" s="626"/>
      <c r="L610" s="626"/>
      <c r="M610" s="626"/>
      <c r="N610" s="626"/>
      <c r="O610" s="626"/>
      <c r="P610" s="626"/>
      <c r="Q610" s="626"/>
      <c r="R610" s="626"/>
      <c r="S610" s="626"/>
      <c r="T610" s="626"/>
      <c r="U610" s="626"/>
      <c r="V610" s="626"/>
      <c r="W610" s="626"/>
      <c r="X610" s="626"/>
      <c r="Y610" s="626"/>
    </row>
    <row r="611">
      <c r="A611" s="626"/>
      <c r="B611" s="626"/>
      <c r="C611" s="626"/>
      <c r="D611" s="626"/>
      <c r="E611" s="627"/>
      <c r="F611" s="628"/>
      <c r="G611" s="626"/>
      <c r="H611" s="626"/>
      <c r="I611" s="626"/>
      <c r="J611" s="626"/>
      <c r="K611" s="626"/>
      <c r="L611" s="626"/>
      <c r="M611" s="626"/>
      <c r="N611" s="626"/>
      <c r="O611" s="626"/>
      <c r="P611" s="626"/>
      <c r="Q611" s="626"/>
      <c r="R611" s="626"/>
      <c r="S611" s="626"/>
      <c r="T611" s="626"/>
      <c r="U611" s="626"/>
      <c r="V611" s="626"/>
      <c r="W611" s="626"/>
      <c r="X611" s="626"/>
      <c r="Y611" s="626"/>
    </row>
    <row r="612">
      <c r="A612" s="626"/>
      <c r="B612" s="626"/>
      <c r="C612" s="626"/>
      <c r="D612" s="626"/>
      <c r="E612" s="627"/>
      <c r="F612" s="628"/>
      <c r="G612" s="626"/>
      <c r="H612" s="626"/>
      <c r="I612" s="626"/>
      <c r="J612" s="626"/>
      <c r="K612" s="626"/>
      <c r="L612" s="626"/>
      <c r="M612" s="626"/>
      <c r="N612" s="626"/>
      <c r="O612" s="626"/>
      <c r="P612" s="626"/>
      <c r="Q612" s="626"/>
      <c r="R612" s="626"/>
      <c r="S612" s="626"/>
      <c r="T612" s="626"/>
      <c r="U612" s="626"/>
      <c r="V612" s="626"/>
      <c r="W612" s="626"/>
      <c r="X612" s="626"/>
      <c r="Y612" s="626"/>
    </row>
    <row r="613">
      <c r="A613" s="626"/>
      <c r="B613" s="626"/>
      <c r="C613" s="626"/>
      <c r="D613" s="626"/>
      <c r="E613" s="627"/>
      <c r="F613" s="628"/>
      <c r="G613" s="626"/>
      <c r="H613" s="626"/>
      <c r="I613" s="626"/>
      <c r="J613" s="626"/>
      <c r="K613" s="626"/>
      <c r="L613" s="626"/>
      <c r="M613" s="626"/>
      <c r="N613" s="626"/>
      <c r="O613" s="626"/>
      <c r="P613" s="626"/>
      <c r="Q613" s="626"/>
      <c r="R613" s="626"/>
      <c r="S613" s="626"/>
      <c r="T613" s="626"/>
      <c r="U613" s="626"/>
      <c r="V613" s="626"/>
      <c r="W613" s="626"/>
      <c r="X613" s="626"/>
      <c r="Y613" s="626"/>
    </row>
    <row r="614">
      <c r="A614" s="626"/>
      <c r="B614" s="626"/>
      <c r="C614" s="626"/>
      <c r="D614" s="626"/>
      <c r="E614" s="627"/>
      <c r="F614" s="628"/>
      <c r="G614" s="626"/>
      <c r="H614" s="626"/>
      <c r="I614" s="626"/>
      <c r="J614" s="626"/>
      <c r="K614" s="626"/>
      <c r="L614" s="626"/>
      <c r="M614" s="626"/>
      <c r="N614" s="626"/>
      <c r="O614" s="626"/>
      <c r="P614" s="626"/>
      <c r="Q614" s="626"/>
      <c r="R614" s="626"/>
      <c r="S614" s="626"/>
      <c r="T614" s="626"/>
      <c r="U614" s="626"/>
      <c r="V614" s="626"/>
      <c r="W614" s="626"/>
      <c r="X614" s="626"/>
      <c r="Y614" s="626"/>
    </row>
    <row r="615">
      <c r="A615" s="626"/>
      <c r="B615" s="626"/>
      <c r="C615" s="626"/>
      <c r="D615" s="626"/>
      <c r="E615" s="627"/>
      <c r="F615" s="628"/>
      <c r="G615" s="626"/>
      <c r="H615" s="626"/>
      <c r="I615" s="626"/>
      <c r="J615" s="626"/>
      <c r="K615" s="626"/>
      <c r="L615" s="626"/>
      <c r="M615" s="626"/>
      <c r="N615" s="626"/>
      <c r="O615" s="626"/>
      <c r="P615" s="626"/>
      <c r="Q615" s="626"/>
      <c r="R615" s="626"/>
      <c r="S615" s="626"/>
      <c r="T615" s="626"/>
      <c r="U615" s="626"/>
      <c r="V615" s="626"/>
      <c r="W615" s="626"/>
      <c r="X615" s="626"/>
      <c r="Y615" s="626"/>
    </row>
    <row r="616">
      <c r="A616" s="626"/>
      <c r="B616" s="626"/>
      <c r="C616" s="626"/>
      <c r="D616" s="626"/>
      <c r="E616" s="627"/>
      <c r="F616" s="628"/>
      <c r="G616" s="626"/>
      <c r="H616" s="626"/>
      <c r="I616" s="626"/>
      <c r="J616" s="626"/>
      <c r="K616" s="626"/>
      <c r="L616" s="626"/>
      <c r="M616" s="626"/>
      <c r="N616" s="626"/>
      <c r="O616" s="626"/>
      <c r="P616" s="626"/>
      <c r="Q616" s="626"/>
      <c r="R616" s="626"/>
      <c r="S616" s="626"/>
      <c r="T616" s="626"/>
      <c r="U616" s="626"/>
      <c r="V616" s="626"/>
      <c r="W616" s="626"/>
      <c r="X616" s="626"/>
      <c r="Y616" s="626"/>
    </row>
    <row r="617">
      <c r="A617" s="626"/>
      <c r="B617" s="626"/>
      <c r="C617" s="626"/>
      <c r="D617" s="626"/>
      <c r="E617" s="627"/>
      <c r="F617" s="628"/>
      <c r="G617" s="626"/>
      <c r="H617" s="626"/>
      <c r="I617" s="626"/>
      <c r="J617" s="626"/>
      <c r="K617" s="626"/>
      <c r="L617" s="626"/>
      <c r="M617" s="626"/>
      <c r="N617" s="626"/>
      <c r="O617" s="626"/>
      <c r="P617" s="626"/>
      <c r="Q617" s="626"/>
      <c r="R617" s="626"/>
      <c r="S617" s="626"/>
      <c r="T617" s="626"/>
      <c r="U617" s="626"/>
      <c r="V617" s="626"/>
      <c r="W617" s="626"/>
      <c r="X617" s="626"/>
      <c r="Y617" s="626"/>
    </row>
    <row r="618">
      <c r="A618" s="626"/>
      <c r="B618" s="626"/>
      <c r="C618" s="626"/>
      <c r="D618" s="626"/>
      <c r="E618" s="627"/>
      <c r="F618" s="628"/>
      <c r="G618" s="626"/>
      <c r="H618" s="626"/>
      <c r="I618" s="626"/>
      <c r="J618" s="626"/>
      <c r="K618" s="626"/>
      <c r="L618" s="626"/>
      <c r="M618" s="626"/>
      <c r="N618" s="626"/>
      <c r="O618" s="626"/>
      <c r="P618" s="626"/>
      <c r="Q618" s="626"/>
      <c r="R618" s="626"/>
      <c r="S618" s="626"/>
      <c r="T618" s="626"/>
      <c r="U618" s="626"/>
      <c r="V618" s="626"/>
      <c r="W618" s="626"/>
      <c r="X618" s="626"/>
      <c r="Y618" s="626"/>
    </row>
    <row r="619">
      <c r="A619" s="626"/>
      <c r="B619" s="626"/>
      <c r="C619" s="626"/>
      <c r="D619" s="626"/>
      <c r="E619" s="627"/>
      <c r="F619" s="628"/>
      <c r="G619" s="626"/>
      <c r="H619" s="626"/>
      <c r="I619" s="626"/>
      <c r="J619" s="626"/>
      <c r="K619" s="626"/>
      <c r="L619" s="626"/>
      <c r="M619" s="626"/>
      <c r="N619" s="626"/>
      <c r="O619" s="626"/>
      <c r="P619" s="626"/>
      <c r="Q619" s="626"/>
      <c r="R619" s="626"/>
      <c r="S619" s="626"/>
      <c r="T619" s="626"/>
      <c r="U619" s="626"/>
      <c r="V619" s="626"/>
      <c r="W619" s="626"/>
      <c r="X619" s="626"/>
      <c r="Y619" s="626"/>
    </row>
    <row r="620">
      <c r="A620" s="626"/>
      <c r="B620" s="626"/>
      <c r="C620" s="626"/>
      <c r="D620" s="626"/>
      <c r="E620" s="627"/>
      <c r="F620" s="628"/>
      <c r="G620" s="626"/>
      <c r="H620" s="626"/>
      <c r="I620" s="626"/>
      <c r="J620" s="626"/>
      <c r="K620" s="626"/>
      <c r="L620" s="626"/>
      <c r="M620" s="626"/>
      <c r="N620" s="626"/>
      <c r="O620" s="626"/>
      <c r="P620" s="626"/>
      <c r="Q620" s="626"/>
      <c r="R620" s="626"/>
      <c r="S620" s="626"/>
      <c r="T620" s="626"/>
      <c r="U620" s="626"/>
      <c r="V620" s="626"/>
      <c r="W620" s="626"/>
      <c r="X620" s="626"/>
      <c r="Y620" s="626"/>
    </row>
    <row r="621">
      <c r="A621" s="626"/>
      <c r="B621" s="626"/>
      <c r="C621" s="626"/>
      <c r="D621" s="626"/>
      <c r="E621" s="627"/>
      <c r="F621" s="628"/>
      <c r="G621" s="626"/>
      <c r="H621" s="626"/>
      <c r="I621" s="626"/>
      <c r="J621" s="626"/>
      <c r="K621" s="626"/>
      <c r="L621" s="626"/>
      <c r="M621" s="626"/>
      <c r="N621" s="626"/>
      <c r="O621" s="626"/>
      <c r="P621" s="626"/>
      <c r="Q621" s="626"/>
      <c r="R621" s="626"/>
      <c r="S621" s="626"/>
      <c r="T621" s="626"/>
      <c r="U621" s="626"/>
      <c r="V621" s="626"/>
      <c r="W621" s="626"/>
      <c r="X621" s="626"/>
      <c r="Y621" s="626"/>
    </row>
    <row r="622">
      <c r="A622" s="626"/>
      <c r="B622" s="626"/>
      <c r="C622" s="626"/>
      <c r="D622" s="626"/>
      <c r="E622" s="627"/>
      <c r="F622" s="628"/>
      <c r="G622" s="626"/>
      <c r="H622" s="626"/>
      <c r="I622" s="626"/>
      <c r="J622" s="626"/>
      <c r="K622" s="626"/>
      <c r="L622" s="626"/>
      <c r="M622" s="626"/>
      <c r="N622" s="626"/>
      <c r="O622" s="626"/>
      <c r="P622" s="626"/>
      <c r="Q622" s="626"/>
      <c r="R622" s="626"/>
      <c r="S622" s="626"/>
      <c r="T622" s="626"/>
      <c r="U622" s="626"/>
      <c r="V622" s="626"/>
      <c r="W622" s="626"/>
      <c r="X622" s="626"/>
      <c r="Y622" s="626"/>
    </row>
    <row r="623">
      <c r="A623" s="626"/>
      <c r="B623" s="626"/>
      <c r="C623" s="626"/>
      <c r="D623" s="626"/>
      <c r="E623" s="627"/>
      <c r="F623" s="628"/>
      <c r="G623" s="626"/>
      <c r="H623" s="626"/>
      <c r="I623" s="626"/>
      <c r="J623" s="626"/>
      <c r="K623" s="626"/>
      <c r="L623" s="626"/>
      <c r="M623" s="626"/>
      <c r="N623" s="626"/>
      <c r="O623" s="626"/>
      <c r="P623" s="626"/>
      <c r="Q623" s="626"/>
      <c r="R623" s="626"/>
      <c r="S623" s="626"/>
      <c r="T623" s="626"/>
      <c r="U623" s="626"/>
      <c r="V623" s="626"/>
      <c r="W623" s="626"/>
      <c r="X623" s="626"/>
      <c r="Y623" s="626"/>
    </row>
    <row r="624">
      <c r="A624" s="626"/>
      <c r="B624" s="626"/>
      <c r="C624" s="626"/>
      <c r="D624" s="626"/>
      <c r="E624" s="627"/>
      <c r="F624" s="628"/>
      <c r="G624" s="626"/>
      <c r="H624" s="626"/>
      <c r="I624" s="626"/>
      <c r="J624" s="626"/>
      <c r="K624" s="626"/>
      <c r="L624" s="626"/>
      <c r="M624" s="626"/>
      <c r="N624" s="626"/>
      <c r="O624" s="626"/>
      <c r="P624" s="626"/>
      <c r="Q624" s="626"/>
      <c r="R624" s="626"/>
      <c r="S624" s="626"/>
      <c r="T624" s="626"/>
      <c r="U624" s="626"/>
      <c r="V624" s="626"/>
      <c r="W624" s="626"/>
      <c r="X624" s="626"/>
      <c r="Y624" s="626"/>
    </row>
    <row r="625">
      <c r="A625" s="626"/>
      <c r="B625" s="626"/>
      <c r="C625" s="626"/>
      <c r="D625" s="626"/>
      <c r="E625" s="627"/>
      <c r="F625" s="628"/>
      <c r="G625" s="626"/>
      <c r="H625" s="626"/>
      <c r="I625" s="626"/>
      <c r="J625" s="626"/>
      <c r="K625" s="626"/>
      <c r="L625" s="626"/>
      <c r="M625" s="626"/>
      <c r="N625" s="626"/>
      <c r="O625" s="626"/>
      <c r="P625" s="626"/>
      <c r="Q625" s="626"/>
      <c r="R625" s="626"/>
      <c r="S625" s="626"/>
      <c r="T625" s="626"/>
      <c r="U625" s="626"/>
      <c r="V625" s="626"/>
      <c r="W625" s="626"/>
      <c r="X625" s="626"/>
      <c r="Y625" s="626"/>
    </row>
    <row r="626">
      <c r="A626" s="626"/>
      <c r="B626" s="626"/>
      <c r="C626" s="626"/>
      <c r="D626" s="626"/>
      <c r="E626" s="627"/>
      <c r="F626" s="628"/>
      <c r="G626" s="626"/>
      <c r="H626" s="626"/>
      <c r="I626" s="626"/>
      <c r="J626" s="626"/>
      <c r="K626" s="626"/>
      <c r="L626" s="626"/>
      <c r="M626" s="626"/>
      <c r="N626" s="626"/>
      <c r="O626" s="626"/>
      <c r="P626" s="626"/>
      <c r="Q626" s="626"/>
      <c r="R626" s="626"/>
      <c r="S626" s="626"/>
      <c r="T626" s="626"/>
      <c r="U626" s="626"/>
      <c r="V626" s="626"/>
      <c r="W626" s="626"/>
      <c r="X626" s="626"/>
      <c r="Y626" s="626"/>
    </row>
    <row r="627">
      <c r="A627" s="626"/>
      <c r="B627" s="626"/>
      <c r="C627" s="626"/>
      <c r="D627" s="626"/>
      <c r="E627" s="627"/>
      <c r="F627" s="628"/>
      <c r="G627" s="626"/>
      <c r="H627" s="626"/>
      <c r="I627" s="626"/>
      <c r="J627" s="626"/>
      <c r="K627" s="626"/>
      <c r="L627" s="626"/>
      <c r="M627" s="626"/>
      <c r="N627" s="626"/>
      <c r="O627" s="626"/>
      <c r="P627" s="626"/>
      <c r="Q627" s="626"/>
      <c r="R627" s="626"/>
      <c r="S627" s="626"/>
      <c r="T627" s="626"/>
      <c r="U627" s="626"/>
      <c r="V627" s="626"/>
      <c r="W627" s="626"/>
      <c r="X627" s="626"/>
      <c r="Y627" s="626"/>
    </row>
    <row r="628">
      <c r="A628" s="626"/>
      <c r="B628" s="626"/>
      <c r="C628" s="626"/>
      <c r="D628" s="626"/>
      <c r="E628" s="627"/>
      <c r="F628" s="628"/>
      <c r="G628" s="626"/>
      <c r="H628" s="626"/>
      <c r="I628" s="626"/>
      <c r="J628" s="626"/>
      <c r="K628" s="626"/>
      <c r="L628" s="626"/>
      <c r="M628" s="626"/>
      <c r="N628" s="626"/>
      <c r="O628" s="626"/>
      <c r="P628" s="626"/>
      <c r="Q628" s="626"/>
      <c r="R628" s="626"/>
      <c r="S628" s="626"/>
      <c r="T628" s="626"/>
      <c r="U628" s="626"/>
      <c r="V628" s="626"/>
      <c r="W628" s="626"/>
      <c r="X628" s="626"/>
      <c r="Y628" s="626"/>
    </row>
    <row r="629">
      <c r="A629" s="626"/>
      <c r="B629" s="626"/>
      <c r="C629" s="626"/>
      <c r="D629" s="626"/>
      <c r="E629" s="627"/>
      <c r="F629" s="628"/>
      <c r="G629" s="626"/>
      <c r="H629" s="626"/>
      <c r="I629" s="626"/>
      <c r="J629" s="626"/>
      <c r="K629" s="626"/>
      <c r="L629" s="626"/>
      <c r="M629" s="626"/>
      <c r="N629" s="626"/>
      <c r="O629" s="626"/>
      <c r="P629" s="626"/>
      <c r="Q629" s="626"/>
      <c r="R629" s="626"/>
      <c r="S629" s="626"/>
      <c r="T629" s="626"/>
      <c r="U629" s="626"/>
      <c r="V629" s="626"/>
      <c r="W629" s="626"/>
      <c r="X629" s="626"/>
      <c r="Y629" s="626"/>
    </row>
    <row r="630">
      <c r="A630" s="626"/>
      <c r="B630" s="626"/>
      <c r="C630" s="626"/>
      <c r="D630" s="626"/>
      <c r="E630" s="627"/>
      <c r="F630" s="628"/>
      <c r="G630" s="626"/>
      <c r="H630" s="626"/>
      <c r="I630" s="626"/>
      <c r="J630" s="626"/>
      <c r="K630" s="626"/>
      <c r="L630" s="626"/>
      <c r="M630" s="626"/>
      <c r="N630" s="626"/>
      <c r="O630" s="626"/>
      <c r="P630" s="626"/>
      <c r="Q630" s="626"/>
      <c r="R630" s="626"/>
      <c r="S630" s="626"/>
      <c r="T630" s="626"/>
      <c r="U630" s="626"/>
      <c r="V630" s="626"/>
      <c r="W630" s="626"/>
      <c r="X630" s="626"/>
      <c r="Y630" s="626"/>
    </row>
    <row r="631">
      <c r="A631" s="626"/>
      <c r="B631" s="626"/>
      <c r="C631" s="626"/>
      <c r="D631" s="626"/>
      <c r="E631" s="627"/>
      <c r="F631" s="628"/>
      <c r="G631" s="626"/>
      <c r="H631" s="626"/>
      <c r="I631" s="626"/>
      <c r="J631" s="626"/>
      <c r="K631" s="626"/>
      <c r="L631" s="626"/>
      <c r="M631" s="626"/>
      <c r="N631" s="626"/>
      <c r="O631" s="626"/>
      <c r="P631" s="626"/>
      <c r="Q631" s="626"/>
      <c r="R631" s="626"/>
      <c r="S631" s="626"/>
      <c r="T631" s="626"/>
      <c r="U631" s="626"/>
      <c r="V631" s="626"/>
      <c r="W631" s="626"/>
      <c r="X631" s="626"/>
      <c r="Y631" s="626"/>
    </row>
    <row r="632">
      <c r="A632" s="626"/>
      <c r="B632" s="626"/>
      <c r="C632" s="626"/>
      <c r="D632" s="626"/>
      <c r="E632" s="627"/>
      <c r="F632" s="628"/>
      <c r="G632" s="626"/>
      <c r="H632" s="626"/>
      <c r="I632" s="626"/>
      <c r="J632" s="626"/>
      <c r="K632" s="626"/>
      <c r="L632" s="626"/>
      <c r="M632" s="626"/>
      <c r="N632" s="626"/>
      <c r="O632" s="626"/>
      <c r="P632" s="626"/>
      <c r="Q632" s="626"/>
      <c r="R632" s="626"/>
      <c r="S632" s="626"/>
      <c r="T632" s="626"/>
      <c r="U632" s="626"/>
      <c r="V632" s="626"/>
      <c r="W632" s="626"/>
      <c r="X632" s="626"/>
      <c r="Y632" s="626"/>
    </row>
    <row r="633">
      <c r="A633" s="626"/>
      <c r="B633" s="626"/>
      <c r="C633" s="626"/>
      <c r="D633" s="626"/>
      <c r="E633" s="627"/>
      <c r="F633" s="628"/>
      <c r="G633" s="626"/>
      <c r="H633" s="626"/>
      <c r="I633" s="626"/>
      <c r="J633" s="626"/>
      <c r="K633" s="626"/>
      <c r="L633" s="626"/>
      <c r="M633" s="626"/>
      <c r="N633" s="626"/>
      <c r="O633" s="626"/>
      <c r="P633" s="626"/>
      <c r="Q633" s="626"/>
      <c r="R633" s="626"/>
      <c r="S633" s="626"/>
      <c r="T633" s="626"/>
      <c r="U633" s="626"/>
      <c r="V633" s="626"/>
      <c r="W633" s="626"/>
      <c r="X633" s="626"/>
      <c r="Y633" s="626"/>
    </row>
    <row r="634">
      <c r="A634" s="626"/>
      <c r="B634" s="626"/>
      <c r="C634" s="626"/>
      <c r="D634" s="626"/>
      <c r="E634" s="627"/>
      <c r="F634" s="628"/>
      <c r="G634" s="626"/>
      <c r="H634" s="626"/>
      <c r="I634" s="626"/>
      <c r="J634" s="626"/>
      <c r="K634" s="626"/>
      <c r="L634" s="626"/>
      <c r="M634" s="626"/>
      <c r="N634" s="626"/>
      <c r="O634" s="626"/>
      <c r="P634" s="626"/>
      <c r="Q634" s="626"/>
      <c r="R634" s="626"/>
      <c r="S634" s="626"/>
      <c r="T634" s="626"/>
      <c r="U634" s="626"/>
      <c r="V634" s="626"/>
      <c r="W634" s="626"/>
      <c r="X634" s="626"/>
      <c r="Y634" s="626"/>
    </row>
    <row r="635">
      <c r="A635" s="626"/>
      <c r="B635" s="626"/>
      <c r="C635" s="626"/>
      <c r="D635" s="626"/>
      <c r="E635" s="627"/>
      <c r="F635" s="628"/>
      <c r="G635" s="626"/>
      <c r="H635" s="626"/>
      <c r="I635" s="626"/>
      <c r="J635" s="626"/>
      <c r="K635" s="626"/>
      <c r="L635" s="626"/>
      <c r="M635" s="626"/>
      <c r="N635" s="626"/>
      <c r="O635" s="626"/>
      <c r="P635" s="626"/>
      <c r="Q635" s="626"/>
      <c r="R635" s="626"/>
      <c r="S635" s="626"/>
      <c r="T635" s="626"/>
      <c r="U635" s="626"/>
      <c r="V635" s="626"/>
      <c r="W635" s="626"/>
      <c r="X635" s="626"/>
      <c r="Y635" s="626"/>
    </row>
    <row r="636">
      <c r="A636" s="626"/>
      <c r="B636" s="626"/>
      <c r="C636" s="626"/>
      <c r="D636" s="626"/>
      <c r="E636" s="627"/>
      <c r="F636" s="628"/>
      <c r="G636" s="626"/>
      <c r="H636" s="626"/>
      <c r="I636" s="626"/>
      <c r="J636" s="626"/>
      <c r="K636" s="626"/>
      <c r="L636" s="626"/>
      <c r="M636" s="626"/>
      <c r="N636" s="626"/>
      <c r="O636" s="626"/>
      <c r="P636" s="626"/>
      <c r="Q636" s="626"/>
      <c r="R636" s="626"/>
      <c r="S636" s="626"/>
      <c r="T636" s="626"/>
      <c r="U636" s="626"/>
      <c r="V636" s="626"/>
      <c r="W636" s="626"/>
      <c r="X636" s="626"/>
      <c r="Y636" s="626"/>
    </row>
    <row r="637">
      <c r="A637" s="626"/>
      <c r="B637" s="626"/>
      <c r="C637" s="626"/>
      <c r="D637" s="626"/>
      <c r="E637" s="627"/>
      <c r="F637" s="628"/>
      <c r="G637" s="626"/>
      <c r="H637" s="626"/>
      <c r="I637" s="626"/>
      <c r="J637" s="626"/>
      <c r="K637" s="626"/>
      <c r="L637" s="626"/>
      <c r="M637" s="626"/>
      <c r="N637" s="626"/>
      <c r="O637" s="626"/>
      <c r="P637" s="626"/>
      <c r="Q637" s="626"/>
      <c r="R637" s="626"/>
      <c r="S637" s="626"/>
      <c r="T637" s="626"/>
      <c r="U637" s="626"/>
      <c r="V637" s="626"/>
      <c r="W637" s="626"/>
      <c r="X637" s="626"/>
      <c r="Y637" s="626"/>
    </row>
    <row r="638">
      <c r="A638" s="626"/>
      <c r="B638" s="626"/>
      <c r="C638" s="626"/>
      <c r="D638" s="626"/>
      <c r="E638" s="627"/>
      <c r="F638" s="628"/>
      <c r="G638" s="626"/>
      <c r="H638" s="626"/>
      <c r="I638" s="626"/>
      <c r="J638" s="626"/>
      <c r="K638" s="626"/>
      <c r="L638" s="626"/>
      <c r="M638" s="626"/>
      <c r="N638" s="626"/>
      <c r="O638" s="626"/>
      <c r="P638" s="626"/>
      <c r="Q638" s="626"/>
      <c r="R638" s="626"/>
      <c r="S638" s="626"/>
      <c r="T638" s="626"/>
      <c r="U638" s="626"/>
      <c r="V638" s="626"/>
      <c r="W638" s="626"/>
      <c r="X638" s="626"/>
      <c r="Y638" s="626"/>
    </row>
    <row r="639">
      <c r="A639" s="626"/>
      <c r="B639" s="626"/>
      <c r="C639" s="626"/>
      <c r="D639" s="626"/>
      <c r="E639" s="627"/>
      <c r="F639" s="628"/>
      <c r="G639" s="626"/>
      <c r="H639" s="626"/>
      <c r="I639" s="626"/>
      <c r="J639" s="626"/>
      <c r="K639" s="626"/>
      <c r="L639" s="626"/>
      <c r="M639" s="626"/>
      <c r="N639" s="626"/>
      <c r="O639" s="626"/>
      <c r="P639" s="626"/>
      <c r="Q639" s="626"/>
      <c r="R639" s="626"/>
      <c r="S639" s="626"/>
      <c r="T639" s="626"/>
      <c r="U639" s="626"/>
      <c r="V639" s="626"/>
      <c r="W639" s="626"/>
      <c r="X639" s="626"/>
      <c r="Y639" s="626"/>
    </row>
    <row r="640">
      <c r="A640" s="626"/>
      <c r="B640" s="626"/>
      <c r="C640" s="626"/>
      <c r="D640" s="626"/>
      <c r="E640" s="627"/>
      <c r="F640" s="628"/>
      <c r="G640" s="626"/>
      <c r="H640" s="626"/>
      <c r="I640" s="626"/>
      <c r="J640" s="626"/>
      <c r="K640" s="626"/>
      <c r="L640" s="626"/>
      <c r="M640" s="626"/>
      <c r="N640" s="626"/>
      <c r="O640" s="626"/>
      <c r="P640" s="626"/>
      <c r="Q640" s="626"/>
      <c r="R640" s="626"/>
      <c r="S640" s="626"/>
      <c r="T640" s="626"/>
      <c r="U640" s="626"/>
      <c r="V640" s="626"/>
      <c r="W640" s="626"/>
      <c r="X640" s="626"/>
      <c r="Y640" s="626"/>
    </row>
    <row r="641">
      <c r="A641" s="626"/>
      <c r="B641" s="626"/>
      <c r="C641" s="626"/>
      <c r="D641" s="626"/>
      <c r="E641" s="627"/>
      <c r="F641" s="628"/>
      <c r="G641" s="626"/>
      <c r="H641" s="626"/>
      <c r="I641" s="626"/>
      <c r="J641" s="626"/>
      <c r="K641" s="626"/>
      <c r="L641" s="626"/>
      <c r="M641" s="626"/>
      <c r="N641" s="626"/>
      <c r="O641" s="626"/>
      <c r="P641" s="626"/>
      <c r="Q641" s="626"/>
      <c r="R641" s="626"/>
      <c r="S641" s="626"/>
      <c r="T641" s="626"/>
      <c r="U641" s="626"/>
      <c r="V641" s="626"/>
      <c r="W641" s="626"/>
      <c r="X641" s="626"/>
      <c r="Y641" s="626"/>
    </row>
    <row r="642">
      <c r="A642" s="626"/>
      <c r="B642" s="626"/>
      <c r="C642" s="626"/>
      <c r="D642" s="626"/>
      <c r="E642" s="627"/>
      <c r="F642" s="628"/>
      <c r="G642" s="626"/>
      <c r="H642" s="626"/>
      <c r="I642" s="626"/>
      <c r="J642" s="626"/>
      <c r="K642" s="626"/>
      <c r="L642" s="626"/>
      <c r="M642" s="626"/>
      <c r="N642" s="626"/>
      <c r="O642" s="626"/>
      <c r="P642" s="626"/>
      <c r="Q642" s="626"/>
      <c r="R642" s="626"/>
      <c r="S642" s="626"/>
      <c r="T642" s="626"/>
      <c r="U642" s="626"/>
      <c r="V642" s="626"/>
      <c r="W642" s="626"/>
      <c r="X642" s="626"/>
      <c r="Y642" s="626"/>
    </row>
    <row r="643">
      <c r="A643" s="626"/>
      <c r="B643" s="626"/>
      <c r="C643" s="626"/>
      <c r="D643" s="626"/>
      <c r="E643" s="627"/>
      <c r="F643" s="628"/>
      <c r="G643" s="626"/>
      <c r="H643" s="626"/>
      <c r="I643" s="626"/>
      <c r="J643" s="626"/>
      <c r="K643" s="626"/>
      <c r="L643" s="626"/>
      <c r="M643" s="626"/>
      <c r="N643" s="626"/>
      <c r="O643" s="626"/>
      <c r="P643" s="626"/>
      <c r="Q643" s="626"/>
      <c r="R643" s="626"/>
      <c r="S643" s="626"/>
      <c r="T643" s="626"/>
      <c r="U643" s="626"/>
      <c r="V643" s="626"/>
      <c r="W643" s="626"/>
      <c r="X643" s="626"/>
      <c r="Y643" s="626"/>
    </row>
    <row r="644">
      <c r="A644" s="626"/>
      <c r="B644" s="626"/>
      <c r="C644" s="626"/>
      <c r="D644" s="626"/>
      <c r="E644" s="627"/>
      <c r="F644" s="628"/>
      <c r="G644" s="626"/>
      <c r="H644" s="626"/>
      <c r="I644" s="626"/>
      <c r="J644" s="626"/>
      <c r="K644" s="626"/>
      <c r="L644" s="626"/>
      <c r="M644" s="626"/>
      <c r="N644" s="626"/>
      <c r="O644" s="626"/>
      <c r="P644" s="626"/>
      <c r="Q644" s="626"/>
      <c r="R644" s="626"/>
      <c r="S644" s="626"/>
      <c r="T644" s="626"/>
      <c r="U644" s="626"/>
      <c r="V644" s="626"/>
      <c r="W644" s="626"/>
      <c r="X644" s="626"/>
      <c r="Y644" s="626"/>
    </row>
    <row r="645">
      <c r="A645" s="626"/>
      <c r="B645" s="626"/>
      <c r="C645" s="626"/>
      <c r="D645" s="626"/>
      <c r="E645" s="627"/>
      <c r="F645" s="628"/>
      <c r="G645" s="626"/>
      <c r="H645" s="626"/>
      <c r="I645" s="626"/>
      <c r="J645" s="626"/>
      <c r="K645" s="626"/>
      <c r="L645" s="626"/>
      <c r="M645" s="626"/>
      <c r="N645" s="626"/>
      <c r="O645" s="626"/>
      <c r="P645" s="626"/>
      <c r="Q645" s="626"/>
      <c r="R645" s="626"/>
      <c r="S645" s="626"/>
      <c r="T645" s="626"/>
      <c r="U645" s="626"/>
      <c r="V645" s="626"/>
      <c r="W645" s="626"/>
      <c r="X645" s="626"/>
      <c r="Y645" s="626"/>
    </row>
    <row r="646">
      <c r="A646" s="626"/>
      <c r="B646" s="626"/>
      <c r="C646" s="626"/>
      <c r="D646" s="626"/>
      <c r="E646" s="627"/>
      <c r="F646" s="628"/>
      <c r="G646" s="626"/>
      <c r="H646" s="626"/>
      <c r="I646" s="626"/>
      <c r="J646" s="626"/>
      <c r="K646" s="626"/>
      <c r="L646" s="626"/>
      <c r="M646" s="626"/>
      <c r="N646" s="626"/>
      <c r="O646" s="626"/>
      <c r="P646" s="626"/>
      <c r="Q646" s="626"/>
      <c r="R646" s="626"/>
      <c r="S646" s="626"/>
      <c r="T646" s="626"/>
      <c r="U646" s="626"/>
      <c r="V646" s="626"/>
      <c r="W646" s="626"/>
      <c r="X646" s="626"/>
      <c r="Y646" s="626"/>
    </row>
    <row r="647">
      <c r="A647" s="626"/>
      <c r="B647" s="626"/>
      <c r="C647" s="626"/>
      <c r="D647" s="626"/>
      <c r="E647" s="627"/>
      <c r="F647" s="628"/>
      <c r="G647" s="626"/>
      <c r="H647" s="626"/>
      <c r="I647" s="626"/>
      <c r="J647" s="626"/>
      <c r="K647" s="626"/>
      <c r="L647" s="626"/>
      <c r="M647" s="626"/>
      <c r="N647" s="626"/>
      <c r="O647" s="626"/>
      <c r="P647" s="626"/>
      <c r="Q647" s="626"/>
      <c r="R647" s="626"/>
      <c r="S647" s="626"/>
      <c r="T647" s="626"/>
      <c r="U647" s="626"/>
      <c r="V647" s="626"/>
      <c r="W647" s="626"/>
      <c r="X647" s="626"/>
      <c r="Y647" s="626"/>
    </row>
    <row r="648">
      <c r="A648" s="626"/>
      <c r="B648" s="626"/>
      <c r="C648" s="626"/>
      <c r="D648" s="626"/>
      <c r="E648" s="627"/>
      <c r="F648" s="628"/>
      <c r="G648" s="626"/>
      <c r="H648" s="626"/>
      <c r="I648" s="626"/>
      <c r="J648" s="626"/>
      <c r="K648" s="626"/>
      <c r="L648" s="626"/>
      <c r="M648" s="626"/>
      <c r="N648" s="626"/>
      <c r="O648" s="626"/>
      <c r="P648" s="626"/>
      <c r="Q648" s="626"/>
      <c r="R648" s="626"/>
      <c r="S648" s="626"/>
      <c r="T648" s="626"/>
      <c r="U648" s="626"/>
      <c r="V648" s="626"/>
      <c r="W648" s="626"/>
      <c r="X648" s="626"/>
      <c r="Y648" s="626"/>
    </row>
    <row r="649">
      <c r="A649" s="626"/>
      <c r="B649" s="626"/>
      <c r="C649" s="626"/>
      <c r="D649" s="626"/>
      <c r="E649" s="627"/>
      <c r="F649" s="628"/>
      <c r="G649" s="626"/>
      <c r="H649" s="626"/>
      <c r="I649" s="626"/>
      <c r="J649" s="626"/>
      <c r="K649" s="626"/>
      <c r="L649" s="626"/>
      <c r="M649" s="626"/>
      <c r="N649" s="626"/>
      <c r="O649" s="626"/>
      <c r="P649" s="626"/>
      <c r="Q649" s="626"/>
      <c r="R649" s="626"/>
      <c r="S649" s="626"/>
      <c r="T649" s="626"/>
      <c r="U649" s="626"/>
      <c r="V649" s="626"/>
      <c r="W649" s="626"/>
      <c r="X649" s="626"/>
      <c r="Y649" s="626"/>
    </row>
    <row r="650">
      <c r="A650" s="626"/>
      <c r="B650" s="626"/>
      <c r="C650" s="626"/>
      <c r="D650" s="626"/>
      <c r="E650" s="627"/>
      <c r="F650" s="628"/>
      <c r="G650" s="626"/>
      <c r="H650" s="626"/>
      <c r="I650" s="626"/>
      <c r="J650" s="626"/>
      <c r="K650" s="626"/>
      <c r="L650" s="626"/>
      <c r="M650" s="626"/>
      <c r="N650" s="626"/>
      <c r="O650" s="626"/>
      <c r="P650" s="626"/>
      <c r="Q650" s="626"/>
      <c r="R650" s="626"/>
      <c r="S650" s="626"/>
      <c r="T650" s="626"/>
      <c r="U650" s="626"/>
      <c r="V650" s="626"/>
      <c r="W650" s="626"/>
      <c r="X650" s="626"/>
      <c r="Y650" s="626"/>
    </row>
    <row r="651">
      <c r="A651" s="626"/>
      <c r="B651" s="626"/>
      <c r="C651" s="626"/>
      <c r="D651" s="626"/>
      <c r="E651" s="627"/>
      <c r="F651" s="628"/>
      <c r="G651" s="626"/>
      <c r="H651" s="626"/>
      <c r="I651" s="626"/>
      <c r="J651" s="626"/>
      <c r="K651" s="626"/>
      <c r="L651" s="626"/>
      <c r="M651" s="626"/>
      <c r="N651" s="626"/>
      <c r="O651" s="626"/>
      <c r="P651" s="626"/>
      <c r="Q651" s="626"/>
      <c r="R651" s="626"/>
      <c r="S651" s="626"/>
      <c r="T651" s="626"/>
      <c r="U651" s="626"/>
      <c r="V651" s="626"/>
      <c r="W651" s="626"/>
      <c r="X651" s="626"/>
      <c r="Y651" s="626"/>
    </row>
    <row r="652">
      <c r="A652" s="626"/>
      <c r="B652" s="626"/>
      <c r="C652" s="626"/>
      <c r="D652" s="626"/>
      <c r="E652" s="627"/>
      <c r="F652" s="628"/>
      <c r="G652" s="626"/>
      <c r="H652" s="626"/>
      <c r="I652" s="626"/>
      <c r="J652" s="626"/>
      <c r="K652" s="626"/>
      <c r="L652" s="626"/>
      <c r="M652" s="626"/>
      <c r="N652" s="626"/>
      <c r="O652" s="626"/>
      <c r="P652" s="626"/>
      <c r="Q652" s="626"/>
      <c r="R652" s="626"/>
      <c r="S652" s="626"/>
      <c r="T652" s="626"/>
      <c r="U652" s="626"/>
      <c r="V652" s="626"/>
      <c r="W652" s="626"/>
      <c r="X652" s="626"/>
      <c r="Y652" s="626"/>
    </row>
    <row r="653">
      <c r="A653" s="626"/>
      <c r="B653" s="626"/>
      <c r="C653" s="626"/>
      <c r="D653" s="626"/>
      <c r="E653" s="627"/>
      <c r="F653" s="628"/>
      <c r="G653" s="626"/>
      <c r="H653" s="626"/>
      <c r="I653" s="626"/>
      <c r="J653" s="626"/>
      <c r="K653" s="626"/>
      <c r="L653" s="626"/>
      <c r="M653" s="626"/>
      <c r="N653" s="626"/>
      <c r="O653" s="626"/>
      <c r="P653" s="626"/>
      <c r="Q653" s="626"/>
      <c r="R653" s="626"/>
      <c r="S653" s="626"/>
      <c r="T653" s="626"/>
      <c r="U653" s="626"/>
      <c r="V653" s="626"/>
      <c r="W653" s="626"/>
      <c r="X653" s="626"/>
      <c r="Y653" s="626"/>
    </row>
    <row r="654">
      <c r="A654" s="626"/>
      <c r="B654" s="626"/>
      <c r="C654" s="626"/>
      <c r="D654" s="626"/>
      <c r="E654" s="627"/>
      <c r="F654" s="628"/>
      <c r="G654" s="626"/>
      <c r="H654" s="626"/>
      <c r="I654" s="626"/>
      <c r="J654" s="626"/>
      <c r="K654" s="626"/>
      <c r="L654" s="626"/>
      <c r="M654" s="626"/>
      <c r="N654" s="626"/>
      <c r="O654" s="626"/>
      <c r="P654" s="626"/>
      <c r="Q654" s="626"/>
      <c r="R654" s="626"/>
      <c r="S654" s="626"/>
      <c r="T654" s="626"/>
      <c r="U654" s="626"/>
      <c r="V654" s="626"/>
      <c r="W654" s="626"/>
      <c r="X654" s="626"/>
      <c r="Y654" s="626"/>
    </row>
    <row r="655">
      <c r="A655" s="626"/>
      <c r="B655" s="626"/>
      <c r="C655" s="626"/>
      <c r="D655" s="626"/>
      <c r="E655" s="627"/>
      <c r="F655" s="628"/>
      <c r="G655" s="626"/>
      <c r="H655" s="626"/>
      <c r="I655" s="626"/>
      <c r="J655" s="626"/>
      <c r="K655" s="626"/>
      <c r="L655" s="626"/>
      <c r="M655" s="626"/>
      <c r="N655" s="626"/>
      <c r="O655" s="626"/>
      <c r="P655" s="626"/>
      <c r="Q655" s="626"/>
      <c r="R655" s="626"/>
      <c r="S655" s="626"/>
      <c r="T655" s="626"/>
      <c r="U655" s="626"/>
      <c r="V655" s="626"/>
      <c r="W655" s="626"/>
      <c r="X655" s="626"/>
      <c r="Y655" s="626"/>
    </row>
    <row r="656">
      <c r="A656" s="626"/>
      <c r="B656" s="626"/>
      <c r="C656" s="626"/>
      <c r="D656" s="626"/>
      <c r="E656" s="627"/>
      <c r="F656" s="628"/>
      <c r="G656" s="626"/>
      <c r="H656" s="626"/>
      <c r="I656" s="626"/>
      <c r="J656" s="626"/>
      <c r="K656" s="626"/>
      <c r="L656" s="626"/>
      <c r="M656" s="626"/>
      <c r="N656" s="626"/>
      <c r="O656" s="626"/>
      <c r="P656" s="626"/>
      <c r="Q656" s="626"/>
      <c r="R656" s="626"/>
      <c r="S656" s="626"/>
      <c r="T656" s="626"/>
      <c r="U656" s="626"/>
      <c r="V656" s="626"/>
      <c r="W656" s="626"/>
      <c r="X656" s="626"/>
      <c r="Y656" s="626"/>
    </row>
    <row r="657">
      <c r="A657" s="626"/>
      <c r="B657" s="626"/>
      <c r="C657" s="626"/>
      <c r="D657" s="626"/>
      <c r="E657" s="627"/>
      <c r="F657" s="628"/>
      <c r="G657" s="626"/>
      <c r="H657" s="626"/>
      <c r="I657" s="626"/>
      <c r="J657" s="626"/>
      <c r="K657" s="626"/>
      <c r="L657" s="626"/>
      <c r="M657" s="626"/>
      <c r="N657" s="626"/>
      <c r="O657" s="626"/>
      <c r="P657" s="626"/>
      <c r="Q657" s="626"/>
      <c r="R657" s="626"/>
      <c r="S657" s="626"/>
      <c r="T657" s="626"/>
      <c r="U657" s="626"/>
      <c r="V657" s="626"/>
      <c r="W657" s="626"/>
      <c r="X657" s="626"/>
      <c r="Y657" s="626"/>
    </row>
    <row r="658">
      <c r="A658" s="626"/>
      <c r="B658" s="626"/>
      <c r="C658" s="626"/>
      <c r="D658" s="626"/>
      <c r="E658" s="627"/>
      <c r="F658" s="628"/>
      <c r="G658" s="626"/>
      <c r="H658" s="626"/>
      <c r="I658" s="626"/>
      <c r="J658" s="626"/>
      <c r="K658" s="626"/>
      <c r="L658" s="626"/>
      <c r="M658" s="626"/>
      <c r="N658" s="626"/>
      <c r="O658" s="626"/>
      <c r="P658" s="626"/>
      <c r="Q658" s="626"/>
      <c r="R658" s="626"/>
      <c r="S658" s="626"/>
      <c r="T658" s="626"/>
      <c r="U658" s="626"/>
      <c r="V658" s="626"/>
      <c r="W658" s="626"/>
      <c r="X658" s="626"/>
      <c r="Y658" s="626"/>
    </row>
    <row r="659">
      <c r="A659" s="626"/>
      <c r="B659" s="626"/>
      <c r="C659" s="626"/>
      <c r="D659" s="626"/>
      <c r="E659" s="627"/>
      <c r="F659" s="628"/>
      <c r="G659" s="626"/>
      <c r="H659" s="626"/>
      <c r="I659" s="626"/>
      <c r="J659" s="626"/>
      <c r="K659" s="626"/>
      <c r="L659" s="626"/>
      <c r="M659" s="626"/>
      <c r="N659" s="626"/>
      <c r="O659" s="626"/>
      <c r="P659" s="626"/>
      <c r="Q659" s="626"/>
      <c r="R659" s="626"/>
      <c r="S659" s="626"/>
      <c r="T659" s="626"/>
      <c r="U659" s="626"/>
      <c r="V659" s="626"/>
      <c r="W659" s="626"/>
      <c r="X659" s="626"/>
      <c r="Y659" s="626"/>
    </row>
    <row r="660">
      <c r="A660" s="626"/>
      <c r="B660" s="626"/>
      <c r="C660" s="626"/>
      <c r="D660" s="626"/>
      <c r="E660" s="627"/>
      <c r="F660" s="628"/>
      <c r="G660" s="626"/>
      <c r="H660" s="626"/>
      <c r="I660" s="626"/>
      <c r="J660" s="626"/>
      <c r="K660" s="626"/>
      <c r="L660" s="626"/>
      <c r="M660" s="626"/>
      <c r="N660" s="626"/>
      <c r="O660" s="626"/>
      <c r="P660" s="626"/>
      <c r="Q660" s="626"/>
      <c r="R660" s="626"/>
      <c r="S660" s="626"/>
      <c r="T660" s="626"/>
      <c r="U660" s="626"/>
      <c r="V660" s="626"/>
      <c r="W660" s="626"/>
      <c r="X660" s="626"/>
      <c r="Y660" s="626"/>
    </row>
    <row r="661">
      <c r="A661" s="626"/>
      <c r="B661" s="626"/>
      <c r="C661" s="626"/>
      <c r="D661" s="626"/>
      <c r="E661" s="627"/>
      <c r="F661" s="628"/>
      <c r="G661" s="626"/>
      <c r="H661" s="626"/>
      <c r="I661" s="626"/>
      <c r="J661" s="626"/>
      <c r="K661" s="626"/>
      <c r="L661" s="626"/>
      <c r="M661" s="626"/>
      <c r="N661" s="626"/>
      <c r="O661" s="626"/>
      <c r="P661" s="626"/>
      <c r="Q661" s="626"/>
      <c r="R661" s="626"/>
      <c r="S661" s="626"/>
      <c r="T661" s="626"/>
      <c r="U661" s="626"/>
      <c r="V661" s="626"/>
      <c r="W661" s="626"/>
      <c r="X661" s="626"/>
      <c r="Y661" s="626"/>
    </row>
    <row r="662">
      <c r="A662" s="626"/>
      <c r="B662" s="626"/>
      <c r="C662" s="626"/>
      <c r="D662" s="626"/>
      <c r="E662" s="627"/>
      <c r="F662" s="628"/>
      <c r="G662" s="626"/>
      <c r="H662" s="626"/>
      <c r="I662" s="626"/>
      <c r="J662" s="626"/>
      <c r="K662" s="626"/>
      <c r="L662" s="626"/>
      <c r="M662" s="626"/>
      <c r="N662" s="626"/>
      <c r="O662" s="626"/>
      <c r="P662" s="626"/>
      <c r="Q662" s="626"/>
      <c r="R662" s="626"/>
      <c r="S662" s="626"/>
      <c r="T662" s="626"/>
      <c r="U662" s="626"/>
      <c r="V662" s="626"/>
      <c r="W662" s="626"/>
      <c r="X662" s="626"/>
      <c r="Y662" s="626"/>
    </row>
    <row r="663">
      <c r="A663" s="626"/>
      <c r="B663" s="626"/>
      <c r="C663" s="626"/>
      <c r="D663" s="626"/>
      <c r="E663" s="627"/>
      <c r="F663" s="628"/>
      <c r="G663" s="626"/>
      <c r="H663" s="626"/>
      <c r="I663" s="626"/>
      <c r="J663" s="626"/>
      <c r="K663" s="626"/>
      <c r="L663" s="626"/>
      <c r="M663" s="626"/>
      <c r="N663" s="626"/>
      <c r="O663" s="626"/>
      <c r="P663" s="626"/>
      <c r="Q663" s="626"/>
      <c r="R663" s="626"/>
      <c r="S663" s="626"/>
      <c r="T663" s="626"/>
      <c r="U663" s="626"/>
      <c r="V663" s="626"/>
      <c r="W663" s="626"/>
      <c r="X663" s="626"/>
      <c r="Y663" s="626"/>
    </row>
    <row r="664">
      <c r="A664" s="626"/>
      <c r="B664" s="626"/>
      <c r="C664" s="626"/>
      <c r="D664" s="626"/>
      <c r="E664" s="627"/>
      <c r="F664" s="628"/>
      <c r="G664" s="626"/>
      <c r="H664" s="626"/>
      <c r="I664" s="626"/>
      <c r="J664" s="626"/>
      <c r="K664" s="626"/>
      <c r="L664" s="626"/>
      <c r="M664" s="626"/>
      <c r="N664" s="626"/>
      <c r="O664" s="626"/>
      <c r="P664" s="626"/>
      <c r="Q664" s="626"/>
      <c r="R664" s="626"/>
      <c r="S664" s="626"/>
      <c r="T664" s="626"/>
      <c r="U664" s="626"/>
      <c r="V664" s="626"/>
      <c r="W664" s="626"/>
      <c r="X664" s="626"/>
      <c r="Y664" s="626"/>
    </row>
    <row r="665">
      <c r="A665" s="626"/>
      <c r="B665" s="626"/>
      <c r="C665" s="626"/>
      <c r="D665" s="626"/>
      <c r="E665" s="627"/>
      <c r="F665" s="628"/>
      <c r="G665" s="626"/>
      <c r="H665" s="626"/>
      <c r="I665" s="626"/>
      <c r="J665" s="626"/>
      <c r="K665" s="626"/>
      <c r="L665" s="626"/>
      <c r="M665" s="626"/>
      <c r="N665" s="626"/>
      <c r="O665" s="626"/>
      <c r="P665" s="626"/>
      <c r="Q665" s="626"/>
      <c r="R665" s="626"/>
      <c r="S665" s="626"/>
      <c r="T665" s="626"/>
      <c r="U665" s="626"/>
      <c r="V665" s="626"/>
      <c r="W665" s="626"/>
      <c r="X665" s="626"/>
      <c r="Y665" s="626"/>
    </row>
    <row r="666">
      <c r="A666" s="626"/>
      <c r="B666" s="626"/>
      <c r="C666" s="626"/>
      <c r="D666" s="626"/>
      <c r="E666" s="627"/>
      <c r="F666" s="628"/>
      <c r="G666" s="626"/>
      <c r="H666" s="626"/>
      <c r="I666" s="626"/>
      <c r="J666" s="626"/>
      <c r="K666" s="626"/>
      <c r="L666" s="626"/>
      <c r="M666" s="626"/>
      <c r="N666" s="626"/>
      <c r="O666" s="626"/>
      <c r="P666" s="626"/>
      <c r="Q666" s="626"/>
      <c r="R666" s="626"/>
      <c r="S666" s="626"/>
      <c r="T666" s="626"/>
      <c r="U666" s="626"/>
      <c r="V666" s="626"/>
      <c r="W666" s="626"/>
      <c r="X666" s="626"/>
      <c r="Y666" s="626"/>
    </row>
    <row r="667">
      <c r="A667" s="626"/>
      <c r="B667" s="626"/>
      <c r="C667" s="626"/>
      <c r="D667" s="626"/>
      <c r="E667" s="627"/>
      <c r="F667" s="628"/>
      <c r="G667" s="626"/>
      <c r="H667" s="626"/>
      <c r="I667" s="626"/>
      <c r="J667" s="626"/>
      <c r="K667" s="626"/>
      <c r="L667" s="626"/>
      <c r="M667" s="626"/>
      <c r="N667" s="626"/>
      <c r="O667" s="626"/>
      <c r="P667" s="626"/>
      <c r="Q667" s="626"/>
      <c r="R667" s="626"/>
      <c r="S667" s="626"/>
      <c r="T667" s="626"/>
      <c r="U667" s="626"/>
      <c r="V667" s="626"/>
      <c r="W667" s="626"/>
      <c r="X667" s="626"/>
      <c r="Y667" s="626"/>
    </row>
    <row r="668">
      <c r="A668" s="626"/>
      <c r="B668" s="626"/>
      <c r="C668" s="626"/>
      <c r="D668" s="626"/>
      <c r="E668" s="627"/>
      <c r="F668" s="628"/>
      <c r="G668" s="626"/>
      <c r="H668" s="626"/>
      <c r="I668" s="626"/>
      <c r="J668" s="626"/>
      <c r="K668" s="626"/>
      <c r="L668" s="626"/>
      <c r="M668" s="626"/>
      <c r="N668" s="626"/>
      <c r="O668" s="626"/>
      <c r="P668" s="626"/>
      <c r="Q668" s="626"/>
      <c r="R668" s="626"/>
      <c r="S668" s="626"/>
      <c r="T668" s="626"/>
      <c r="U668" s="626"/>
      <c r="V668" s="626"/>
      <c r="W668" s="626"/>
      <c r="X668" s="626"/>
      <c r="Y668" s="626"/>
    </row>
    <row r="669">
      <c r="A669" s="626"/>
      <c r="B669" s="626"/>
      <c r="C669" s="626"/>
      <c r="D669" s="626"/>
      <c r="E669" s="627"/>
      <c r="F669" s="628"/>
      <c r="G669" s="626"/>
      <c r="H669" s="626"/>
      <c r="I669" s="626"/>
      <c r="J669" s="626"/>
      <c r="K669" s="626"/>
      <c r="L669" s="626"/>
      <c r="M669" s="626"/>
      <c r="N669" s="626"/>
      <c r="O669" s="626"/>
      <c r="P669" s="626"/>
      <c r="Q669" s="626"/>
      <c r="R669" s="626"/>
      <c r="S669" s="626"/>
      <c r="T669" s="626"/>
      <c r="U669" s="626"/>
      <c r="V669" s="626"/>
      <c r="W669" s="626"/>
      <c r="X669" s="626"/>
      <c r="Y669" s="626"/>
    </row>
    <row r="670">
      <c r="A670" s="626"/>
      <c r="B670" s="626"/>
      <c r="C670" s="626"/>
      <c r="D670" s="626"/>
      <c r="E670" s="627"/>
      <c r="F670" s="628"/>
      <c r="G670" s="626"/>
      <c r="H670" s="626"/>
      <c r="I670" s="626"/>
      <c r="J670" s="626"/>
      <c r="K670" s="626"/>
      <c r="L670" s="626"/>
      <c r="M670" s="626"/>
      <c r="N670" s="626"/>
      <c r="O670" s="626"/>
      <c r="P670" s="626"/>
      <c r="Q670" s="626"/>
      <c r="R670" s="626"/>
      <c r="S670" s="626"/>
      <c r="T670" s="626"/>
      <c r="U670" s="626"/>
      <c r="V670" s="626"/>
      <c r="W670" s="626"/>
      <c r="X670" s="626"/>
      <c r="Y670" s="626"/>
    </row>
    <row r="671">
      <c r="A671" s="626"/>
      <c r="B671" s="626"/>
      <c r="C671" s="626"/>
      <c r="D671" s="626"/>
      <c r="E671" s="627"/>
      <c r="F671" s="628"/>
      <c r="G671" s="626"/>
      <c r="H671" s="626"/>
      <c r="I671" s="626"/>
      <c r="J671" s="626"/>
      <c r="K671" s="626"/>
      <c r="L671" s="626"/>
      <c r="M671" s="626"/>
      <c r="N671" s="626"/>
      <c r="O671" s="626"/>
      <c r="P671" s="626"/>
      <c r="Q671" s="626"/>
      <c r="R671" s="626"/>
      <c r="S671" s="626"/>
      <c r="T671" s="626"/>
      <c r="U671" s="626"/>
      <c r="V671" s="626"/>
      <c r="W671" s="626"/>
      <c r="X671" s="626"/>
      <c r="Y671" s="626"/>
    </row>
    <row r="672">
      <c r="A672" s="626"/>
      <c r="B672" s="626"/>
      <c r="C672" s="626"/>
      <c r="D672" s="626"/>
      <c r="E672" s="627"/>
      <c r="F672" s="628"/>
      <c r="G672" s="626"/>
      <c r="H672" s="626"/>
      <c r="I672" s="626"/>
      <c r="J672" s="626"/>
      <c r="K672" s="626"/>
      <c r="L672" s="626"/>
      <c r="M672" s="626"/>
      <c r="N672" s="626"/>
      <c r="O672" s="626"/>
      <c r="P672" s="626"/>
      <c r="Q672" s="626"/>
      <c r="R672" s="626"/>
      <c r="S672" s="626"/>
      <c r="T672" s="626"/>
      <c r="U672" s="626"/>
      <c r="V672" s="626"/>
      <c r="W672" s="626"/>
      <c r="X672" s="626"/>
      <c r="Y672" s="626"/>
    </row>
    <row r="673">
      <c r="A673" s="626"/>
      <c r="B673" s="626"/>
      <c r="C673" s="626"/>
      <c r="D673" s="626"/>
      <c r="E673" s="627"/>
      <c r="F673" s="628"/>
      <c r="G673" s="626"/>
      <c r="H673" s="626"/>
      <c r="I673" s="626"/>
      <c r="J673" s="626"/>
      <c r="K673" s="626"/>
      <c r="L673" s="626"/>
      <c r="M673" s="626"/>
      <c r="N673" s="626"/>
      <c r="O673" s="626"/>
      <c r="P673" s="626"/>
      <c r="Q673" s="626"/>
      <c r="R673" s="626"/>
      <c r="S673" s="626"/>
      <c r="T673" s="626"/>
      <c r="U673" s="626"/>
      <c r="V673" s="626"/>
      <c r="W673" s="626"/>
      <c r="X673" s="626"/>
      <c r="Y673" s="626"/>
    </row>
    <row r="674">
      <c r="A674" s="626"/>
      <c r="B674" s="626"/>
      <c r="C674" s="626"/>
      <c r="D674" s="626"/>
      <c r="E674" s="627"/>
      <c r="F674" s="628"/>
      <c r="G674" s="626"/>
      <c r="H674" s="626"/>
      <c r="I674" s="626"/>
      <c r="J674" s="626"/>
      <c r="K674" s="626"/>
      <c r="L674" s="626"/>
      <c r="M674" s="626"/>
      <c r="N674" s="626"/>
      <c r="O674" s="626"/>
      <c r="P674" s="626"/>
      <c r="Q674" s="626"/>
      <c r="R674" s="626"/>
      <c r="S674" s="626"/>
      <c r="T674" s="626"/>
      <c r="U674" s="626"/>
      <c r="V674" s="626"/>
      <c r="W674" s="626"/>
      <c r="X674" s="626"/>
      <c r="Y674" s="626"/>
    </row>
    <row r="675">
      <c r="A675" s="626"/>
      <c r="B675" s="626"/>
      <c r="C675" s="626"/>
      <c r="D675" s="626"/>
      <c r="E675" s="627"/>
      <c r="F675" s="628"/>
      <c r="G675" s="626"/>
      <c r="H675" s="626"/>
      <c r="I675" s="626"/>
      <c r="J675" s="626"/>
      <c r="K675" s="626"/>
      <c r="L675" s="626"/>
      <c r="M675" s="626"/>
      <c r="N675" s="626"/>
      <c r="O675" s="626"/>
      <c r="P675" s="626"/>
      <c r="Q675" s="626"/>
      <c r="R675" s="626"/>
      <c r="S675" s="626"/>
      <c r="T675" s="626"/>
      <c r="U675" s="626"/>
      <c r="V675" s="626"/>
      <c r="W675" s="626"/>
      <c r="X675" s="626"/>
      <c r="Y675" s="626"/>
    </row>
    <row r="676">
      <c r="A676" s="626"/>
      <c r="B676" s="626"/>
      <c r="C676" s="626"/>
      <c r="D676" s="626"/>
      <c r="E676" s="627"/>
      <c r="F676" s="628"/>
      <c r="G676" s="626"/>
      <c r="H676" s="626"/>
      <c r="I676" s="626"/>
      <c r="J676" s="626"/>
      <c r="K676" s="626"/>
      <c r="L676" s="626"/>
      <c r="M676" s="626"/>
      <c r="N676" s="626"/>
      <c r="O676" s="626"/>
      <c r="P676" s="626"/>
      <c r="Q676" s="626"/>
      <c r="R676" s="626"/>
      <c r="S676" s="626"/>
      <c r="T676" s="626"/>
      <c r="U676" s="626"/>
      <c r="V676" s="626"/>
      <c r="W676" s="626"/>
      <c r="X676" s="626"/>
      <c r="Y676" s="626"/>
    </row>
    <row r="677">
      <c r="A677" s="626"/>
      <c r="B677" s="626"/>
      <c r="C677" s="626"/>
      <c r="D677" s="626"/>
      <c r="E677" s="627"/>
      <c r="F677" s="628"/>
      <c r="G677" s="626"/>
      <c r="H677" s="626"/>
      <c r="I677" s="626"/>
      <c r="J677" s="626"/>
      <c r="K677" s="626"/>
      <c r="L677" s="626"/>
      <c r="M677" s="626"/>
      <c r="N677" s="626"/>
      <c r="O677" s="626"/>
      <c r="P677" s="626"/>
      <c r="Q677" s="626"/>
      <c r="R677" s="626"/>
      <c r="S677" s="626"/>
      <c r="T677" s="626"/>
      <c r="U677" s="626"/>
      <c r="V677" s="626"/>
      <c r="W677" s="626"/>
      <c r="X677" s="626"/>
      <c r="Y677" s="626"/>
    </row>
    <row r="678">
      <c r="A678" s="626"/>
      <c r="B678" s="626"/>
      <c r="C678" s="626"/>
      <c r="D678" s="626"/>
      <c r="E678" s="627"/>
      <c r="F678" s="628"/>
      <c r="G678" s="626"/>
      <c r="H678" s="626"/>
      <c r="I678" s="626"/>
      <c r="J678" s="626"/>
      <c r="K678" s="626"/>
      <c r="L678" s="626"/>
      <c r="M678" s="626"/>
      <c r="N678" s="626"/>
      <c r="O678" s="626"/>
      <c r="P678" s="626"/>
      <c r="Q678" s="626"/>
      <c r="R678" s="626"/>
      <c r="S678" s="626"/>
      <c r="T678" s="626"/>
      <c r="U678" s="626"/>
      <c r="V678" s="626"/>
      <c r="W678" s="626"/>
      <c r="X678" s="626"/>
      <c r="Y678" s="626"/>
    </row>
    <row r="679">
      <c r="A679" s="626"/>
      <c r="B679" s="626"/>
      <c r="C679" s="626"/>
      <c r="D679" s="626"/>
      <c r="E679" s="627"/>
      <c r="F679" s="628"/>
      <c r="G679" s="626"/>
      <c r="H679" s="626"/>
      <c r="I679" s="626"/>
      <c r="J679" s="626"/>
      <c r="K679" s="626"/>
      <c r="L679" s="626"/>
      <c r="M679" s="626"/>
      <c r="N679" s="626"/>
      <c r="O679" s="626"/>
      <c r="P679" s="626"/>
      <c r="Q679" s="626"/>
      <c r="R679" s="626"/>
      <c r="S679" s="626"/>
      <c r="T679" s="626"/>
      <c r="U679" s="626"/>
      <c r="V679" s="626"/>
      <c r="W679" s="626"/>
      <c r="X679" s="626"/>
      <c r="Y679" s="626"/>
    </row>
    <row r="680">
      <c r="A680" s="626"/>
      <c r="B680" s="626"/>
      <c r="C680" s="626"/>
      <c r="D680" s="626"/>
      <c r="E680" s="627"/>
      <c r="F680" s="628"/>
      <c r="G680" s="626"/>
      <c r="H680" s="626"/>
      <c r="I680" s="626"/>
      <c r="J680" s="626"/>
      <c r="K680" s="626"/>
      <c r="L680" s="626"/>
      <c r="M680" s="626"/>
      <c r="N680" s="626"/>
      <c r="O680" s="626"/>
      <c r="P680" s="626"/>
      <c r="Q680" s="626"/>
      <c r="R680" s="626"/>
      <c r="S680" s="626"/>
      <c r="T680" s="626"/>
      <c r="U680" s="626"/>
      <c r="V680" s="626"/>
      <c r="W680" s="626"/>
      <c r="X680" s="626"/>
      <c r="Y680" s="626"/>
    </row>
    <row r="681">
      <c r="A681" s="626"/>
      <c r="B681" s="626"/>
      <c r="C681" s="626"/>
      <c r="D681" s="626"/>
      <c r="E681" s="627"/>
      <c r="F681" s="628"/>
      <c r="G681" s="626"/>
      <c r="H681" s="626"/>
      <c r="I681" s="626"/>
      <c r="J681" s="626"/>
      <c r="K681" s="626"/>
      <c r="L681" s="626"/>
      <c r="M681" s="626"/>
      <c r="N681" s="626"/>
      <c r="O681" s="626"/>
      <c r="P681" s="626"/>
      <c r="Q681" s="626"/>
      <c r="R681" s="626"/>
      <c r="S681" s="626"/>
      <c r="T681" s="626"/>
      <c r="U681" s="626"/>
      <c r="V681" s="626"/>
      <c r="W681" s="626"/>
      <c r="X681" s="626"/>
      <c r="Y681" s="626"/>
    </row>
    <row r="682">
      <c r="A682" s="626"/>
      <c r="B682" s="626"/>
      <c r="C682" s="626"/>
      <c r="D682" s="626"/>
      <c r="E682" s="627"/>
      <c r="F682" s="628"/>
      <c r="G682" s="626"/>
      <c r="H682" s="626"/>
      <c r="I682" s="626"/>
      <c r="J682" s="626"/>
      <c r="K682" s="626"/>
      <c r="L682" s="626"/>
      <c r="M682" s="626"/>
      <c r="N682" s="626"/>
      <c r="O682" s="626"/>
      <c r="P682" s="626"/>
      <c r="Q682" s="626"/>
      <c r="R682" s="626"/>
      <c r="S682" s="626"/>
      <c r="T682" s="626"/>
      <c r="U682" s="626"/>
      <c r="V682" s="626"/>
      <c r="W682" s="626"/>
      <c r="X682" s="626"/>
      <c r="Y682" s="626"/>
    </row>
    <row r="683">
      <c r="A683" s="626"/>
      <c r="B683" s="626"/>
      <c r="C683" s="626"/>
      <c r="D683" s="626"/>
      <c r="E683" s="627"/>
      <c r="F683" s="628"/>
      <c r="G683" s="626"/>
      <c r="H683" s="626"/>
      <c r="I683" s="626"/>
      <c r="J683" s="626"/>
      <c r="K683" s="626"/>
      <c r="L683" s="626"/>
      <c r="M683" s="626"/>
      <c r="N683" s="626"/>
      <c r="O683" s="626"/>
      <c r="P683" s="626"/>
      <c r="Q683" s="626"/>
      <c r="R683" s="626"/>
      <c r="S683" s="626"/>
      <c r="T683" s="626"/>
      <c r="U683" s="626"/>
      <c r="V683" s="626"/>
      <c r="W683" s="626"/>
      <c r="X683" s="626"/>
      <c r="Y683" s="626"/>
    </row>
    <row r="684">
      <c r="A684" s="626"/>
      <c r="B684" s="626"/>
      <c r="C684" s="626"/>
      <c r="D684" s="626"/>
      <c r="E684" s="627"/>
      <c r="F684" s="628"/>
      <c r="G684" s="626"/>
      <c r="H684" s="626"/>
      <c r="I684" s="626"/>
      <c r="J684" s="626"/>
      <c r="K684" s="626"/>
      <c r="L684" s="626"/>
      <c r="M684" s="626"/>
      <c r="N684" s="626"/>
      <c r="O684" s="626"/>
      <c r="P684" s="626"/>
      <c r="Q684" s="626"/>
      <c r="R684" s="626"/>
      <c r="S684" s="626"/>
      <c r="T684" s="626"/>
      <c r="U684" s="626"/>
      <c r="V684" s="626"/>
      <c r="W684" s="626"/>
      <c r="X684" s="626"/>
      <c r="Y684" s="626"/>
    </row>
    <row r="685">
      <c r="A685" s="626"/>
      <c r="B685" s="626"/>
      <c r="C685" s="626"/>
      <c r="D685" s="626"/>
      <c r="E685" s="627"/>
      <c r="F685" s="628"/>
      <c r="G685" s="626"/>
      <c r="H685" s="626"/>
      <c r="I685" s="626"/>
      <c r="J685" s="626"/>
      <c r="K685" s="626"/>
      <c r="L685" s="626"/>
      <c r="M685" s="626"/>
      <c r="N685" s="626"/>
      <c r="O685" s="626"/>
      <c r="P685" s="626"/>
      <c r="Q685" s="626"/>
      <c r="R685" s="626"/>
      <c r="S685" s="626"/>
      <c r="T685" s="626"/>
      <c r="U685" s="626"/>
      <c r="V685" s="626"/>
      <c r="W685" s="626"/>
      <c r="X685" s="626"/>
      <c r="Y685" s="626"/>
    </row>
    <row r="686">
      <c r="A686" s="626"/>
      <c r="B686" s="626"/>
      <c r="C686" s="626"/>
      <c r="D686" s="626"/>
      <c r="E686" s="627"/>
      <c r="F686" s="628"/>
      <c r="G686" s="626"/>
      <c r="H686" s="626"/>
      <c r="I686" s="626"/>
      <c r="J686" s="626"/>
      <c r="K686" s="626"/>
      <c r="L686" s="626"/>
      <c r="M686" s="626"/>
      <c r="N686" s="626"/>
      <c r="O686" s="626"/>
      <c r="P686" s="626"/>
      <c r="Q686" s="626"/>
      <c r="R686" s="626"/>
      <c r="S686" s="626"/>
      <c r="T686" s="626"/>
      <c r="U686" s="626"/>
      <c r="V686" s="626"/>
      <c r="W686" s="626"/>
      <c r="X686" s="626"/>
      <c r="Y686" s="626"/>
    </row>
    <row r="687">
      <c r="A687" s="626"/>
      <c r="B687" s="626"/>
      <c r="C687" s="626"/>
      <c r="D687" s="626"/>
      <c r="E687" s="627"/>
      <c r="F687" s="628"/>
      <c r="G687" s="626"/>
      <c r="H687" s="626"/>
      <c r="I687" s="626"/>
      <c r="J687" s="626"/>
      <c r="K687" s="626"/>
      <c r="L687" s="626"/>
      <c r="M687" s="626"/>
      <c r="N687" s="626"/>
      <c r="O687" s="626"/>
      <c r="P687" s="626"/>
      <c r="Q687" s="626"/>
      <c r="R687" s="626"/>
      <c r="S687" s="626"/>
      <c r="T687" s="626"/>
      <c r="U687" s="626"/>
      <c r="V687" s="626"/>
      <c r="W687" s="626"/>
      <c r="X687" s="626"/>
      <c r="Y687" s="626"/>
    </row>
    <row r="688">
      <c r="A688" s="626"/>
      <c r="B688" s="626"/>
      <c r="C688" s="626"/>
      <c r="D688" s="626"/>
      <c r="E688" s="627"/>
      <c r="F688" s="628"/>
      <c r="G688" s="626"/>
      <c r="H688" s="626"/>
      <c r="I688" s="626"/>
      <c r="J688" s="626"/>
      <c r="K688" s="626"/>
      <c r="L688" s="626"/>
      <c r="M688" s="626"/>
      <c r="N688" s="626"/>
      <c r="O688" s="626"/>
      <c r="P688" s="626"/>
      <c r="Q688" s="626"/>
      <c r="R688" s="626"/>
      <c r="S688" s="626"/>
      <c r="T688" s="626"/>
      <c r="U688" s="626"/>
      <c r="V688" s="626"/>
      <c r="W688" s="626"/>
      <c r="X688" s="626"/>
      <c r="Y688" s="626"/>
    </row>
    <row r="689">
      <c r="A689" s="626"/>
      <c r="B689" s="626"/>
      <c r="C689" s="626"/>
      <c r="D689" s="626"/>
      <c r="E689" s="627"/>
      <c r="F689" s="628"/>
      <c r="G689" s="626"/>
      <c r="H689" s="626"/>
      <c r="I689" s="626"/>
      <c r="J689" s="626"/>
      <c r="K689" s="626"/>
      <c r="L689" s="626"/>
      <c r="M689" s="626"/>
      <c r="N689" s="626"/>
      <c r="O689" s="626"/>
      <c r="P689" s="626"/>
      <c r="Q689" s="626"/>
      <c r="R689" s="626"/>
      <c r="S689" s="626"/>
      <c r="T689" s="626"/>
      <c r="U689" s="626"/>
      <c r="V689" s="626"/>
      <c r="W689" s="626"/>
      <c r="X689" s="626"/>
      <c r="Y689" s="626"/>
    </row>
    <row r="690">
      <c r="A690" s="626"/>
      <c r="B690" s="626"/>
      <c r="C690" s="626"/>
      <c r="D690" s="626"/>
      <c r="E690" s="627"/>
      <c r="F690" s="628"/>
      <c r="G690" s="626"/>
      <c r="H690" s="626"/>
      <c r="I690" s="626"/>
      <c r="J690" s="626"/>
      <c r="K690" s="626"/>
      <c r="L690" s="626"/>
      <c r="M690" s="626"/>
      <c r="N690" s="626"/>
      <c r="O690" s="626"/>
      <c r="P690" s="626"/>
      <c r="Q690" s="626"/>
      <c r="R690" s="626"/>
      <c r="S690" s="626"/>
      <c r="T690" s="626"/>
      <c r="U690" s="626"/>
      <c r="V690" s="626"/>
      <c r="W690" s="626"/>
      <c r="X690" s="626"/>
      <c r="Y690" s="626"/>
    </row>
    <row r="691">
      <c r="A691" s="626"/>
      <c r="B691" s="626"/>
      <c r="C691" s="626"/>
      <c r="D691" s="626"/>
      <c r="E691" s="627"/>
      <c r="F691" s="628"/>
      <c r="G691" s="626"/>
      <c r="H691" s="626"/>
      <c r="I691" s="626"/>
      <c r="J691" s="626"/>
      <c r="K691" s="626"/>
      <c r="L691" s="626"/>
      <c r="M691" s="626"/>
      <c r="N691" s="626"/>
      <c r="O691" s="626"/>
      <c r="P691" s="626"/>
      <c r="Q691" s="626"/>
      <c r="R691" s="626"/>
      <c r="S691" s="626"/>
      <c r="T691" s="626"/>
      <c r="U691" s="626"/>
      <c r="V691" s="626"/>
      <c r="W691" s="626"/>
      <c r="X691" s="626"/>
      <c r="Y691" s="626"/>
    </row>
    <row r="692">
      <c r="A692" s="626"/>
      <c r="B692" s="626"/>
      <c r="C692" s="626"/>
      <c r="D692" s="626"/>
      <c r="E692" s="627"/>
      <c r="F692" s="628"/>
      <c r="G692" s="626"/>
      <c r="H692" s="626"/>
      <c r="I692" s="626"/>
      <c r="J692" s="626"/>
      <c r="K692" s="626"/>
      <c r="L692" s="626"/>
      <c r="M692" s="626"/>
      <c r="N692" s="626"/>
      <c r="O692" s="626"/>
      <c r="P692" s="626"/>
      <c r="Q692" s="626"/>
      <c r="R692" s="626"/>
      <c r="S692" s="626"/>
      <c r="T692" s="626"/>
      <c r="U692" s="626"/>
      <c r="V692" s="626"/>
      <c r="W692" s="626"/>
      <c r="X692" s="626"/>
      <c r="Y692" s="626"/>
    </row>
    <row r="693">
      <c r="A693" s="626"/>
      <c r="B693" s="626"/>
      <c r="C693" s="626"/>
      <c r="D693" s="626"/>
      <c r="E693" s="627"/>
      <c r="F693" s="628"/>
      <c r="G693" s="626"/>
      <c r="H693" s="626"/>
      <c r="I693" s="626"/>
      <c r="J693" s="626"/>
      <c r="K693" s="626"/>
      <c r="L693" s="626"/>
      <c r="M693" s="626"/>
      <c r="N693" s="626"/>
      <c r="O693" s="626"/>
      <c r="P693" s="626"/>
      <c r="Q693" s="626"/>
      <c r="R693" s="626"/>
      <c r="S693" s="626"/>
      <c r="T693" s="626"/>
      <c r="U693" s="626"/>
      <c r="V693" s="626"/>
      <c r="W693" s="626"/>
      <c r="X693" s="626"/>
      <c r="Y693" s="626"/>
    </row>
    <row r="694">
      <c r="A694" s="626"/>
      <c r="B694" s="626"/>
      <c r="C694" s="626"/>
      <c r="D694" s="626"/>
      <c r="E694" s="627"/>
      <c r="F694" s="628"/>
      <c r="G694" s="626"/>
      <c r="H694" s="626"/>
      <c r="I694" s="626"/>
      <c r="J694" s="626"/>
      <c r="K694" s="626"/>
      <c r="L694" s="626"/>
      <c r="M694" s="626"/>
      <c r="N694" s="626"/>
      <c r="O694" s="626"/>
      <c r="P694" s="626"/>
      <c r="Q694" s="626"/>
      <c r="R694" s="626"/>
      <c r="S694" s="626"/>
      <c r="T694" s="626"/>
      <c r="U694" s="626"/>
      <c r="V694" s="626"/>
      <c r="W694" s="626"/>
      <c r="X694" s="626"/>
      <c r="Y694" s="626"/>
    </row>
    <row r="695">
      <c r="A695" s="626"/>
      <c r="B695" s="626"/>
      <c r="C695" s="626"/>
      <c r="D695" s="626"/>
      <c r="E695" s="627"/>
      <c r="F695" s="628"/>
      <c r="G695" s="626"/>
      <c r="H695" s="626"/>
      <c r="I695" s="626"/>
      <c r="J695" s="626"/>
      <c r="K695" s="626"/>
      <c r="L695" s="626"/>
      <c r="M695" s="626"/>
      <c r="N695" s="626"/>
      <c r="O695" s="626"/>
      <c r="P695" s="626"/>
      <c r="Q695" s="626"/>
      <c r="R695" s="626"/>
      <c r="S695" s="626"/>
      <c r="T695" s="626"/>
      <c r="U695" s="626"/>
      <c r="V695" s="626"/>
      <c r="W695" s="626"/>
      <c r="X695" s="626"/>
      <c r="Y695" s="626"/>
    </row>
    <row r="696">
      <c r="A696" s="626"/>
      <c r="B696" s="626"/>
      <c r="C696" s="626"/>
      <c r="D696" s="626"/>
      <c r="E696" s="627"/>
      <c r="F696" s="628"/>
      <c r="G696" s="626"/>
      <c r="H696" s="626"/>
      <c r="I696" s="626"/>
      <c r="J696" s="626"/>
      <c r="K696" s="626"/>
      <c r="L696" s="626"/>
      <c r="M696" s="626"/>
      <c r="N696" s="626"/>
      <c r="O696" s="626"/>
      <c r="P696" s="626"/>
      <c r="Q696" s="626"/>
      <c r="R696" s="626"/>
      <c r="S696" s="626"/>
      <c r="T696" s="626"/>
      <c r="U696" s="626"/>
      <c r="V696" s="626"/>
      <c r="W696" s="626"/>
      <c r="X696" s="626"/>
      <c r="Y696" s="626"/>
    </row>
    <row r="697">
      <c r="A697" s="626"/>
      <c r="B697" s="626"/>
      <c r="C697" s="626"/>
      <c r="D697" s="626"/>
      <c r="E697" s="627"/>
      <c r="F697" s="628"/>
      <c r="G697" s="626"/>
      <c r="H697" s="626"/>
      <c r="I697" s="626"/>
      <c r="J697" s="626"/>
      <c r="K697" s="626"/>
      <c r="L697" s="626"/>
      <c r="M697" s="626"/>
      <c r="N697" s="626"/>
      <c r="O697" s="626"/>
      <c r="P697" s="626"/>
      <c r="Q697" s="626"/>
      <c r="R697" s="626"/>
      <c r="S697" s="626"/>
      <c r="T697" s="626"/>
      <c r="U697" s="626"/>
      <c r="V697" s="626"/>
      <c r="W697" s="626"/>
      <c r="X697" s="626"/>
      <c r="Y697" s="626"/>
    </row>
    <row r="698">
      <c r="A698" s="626"/>
      <c r="B698" s="626"/>
      <c r="C698" s="626"/>
      <c r="D698" s="626"/>
      <c r="E698" s="627"/>
      <c r="F698" s="628"/>
      <c r="G698" s="626"/>
      <c r="H698" s="626"/>
      <c r="I698" s="626"/>
      <c r="J698" s="626"/>
      <c r="K698" s="626"/>
      <c r="L698" s="626"/>
      <c r="M698" s="626"/>
      <c r="N698" s="626"/>
      <c r="O698" s="626"/>
      <c r="P698" s="626"/>
      <c r="Q698" s="626"/>
      <c r="R698" s="626"/>
      <c r="S698" s="626"/>
      <c r="T698" s="626"/>
      <c r="U698" s="626"/>
      <c r="V698" s="626"/>
      <c r="W698" s="626"/>
      <c r="X698" s="626"/>
      <c r="Y698" s="626"/>
    </row>
    <row r="699">
      <c r="A699" s="626"/>
      <c r="B699" s="626"/>
      <c r="C699" s="626"/>
      <c r="D699" s="626"/>
      <c r="E699" s="627"/>
      <c r="F699" s="628"/>
      <c r="G699" s="626"/>
      <c r="H699" s="626"/>
      <c r="I699" s="626"/>
      <c r="J699" s="626"/>
      <c r="K699" s="626"/>
      <c r="L699" s="626"/>
      <c r="M699" s="626"/>
      <c r="N699" s="626"/>
      <c r="O699" s="626"/>
      <c r="P699" s="626"/>
      <c r="Q699" s="626"/>
      <c r="R699" s="626"/>
      <c r="S699" s="626"/>
      <c r="T699" s="626"/>
      <c r="U699" s="626"/>
      <c r="V699" s="626"/>
      <c r="W699" s="626"/>
      <c r="X699" s="626"/>
      <c r="Y699" s="626"/>
    </row>
    <row r="700">
      <c r="A700" s="626"/>
      <c r="B700" s="626"/>
      <c r="C700" s="626"/>
      <c r="D700" s="626"/>
      <c r="E700" s="627"/>
      <c r="F700" s="628"/>
      <c r="G700" s="626"/>
      <c r="H700" s="626"/>
      <c r="I700" s="626"/>
      <c r="J700" s="626"/>
      <c r="K700" s="626"/>
      <c r="L700" s="626"/>
      <c r="M700" s="626"/>
      <c r="N700" s="626"/>
      <c r="O700" s="626"/>
      <c r="P700" s="626"/>
      <c r="Q700" s="626"/>
      <c r="R700" s="626"/>
      <c r="S700" s="626"/>
      <c r="T700" s="626"/>
      <c r="U700" s="626"/>
      <c r="V700" s="626"/>
      <c r="W700" s="626"/>
      <c r="X700" s="626"/>
      <c r="Y700" s="626"/>
    </row>
    <row r="701">
      <c r="A701" s="626"/>
      <c r="B701" s="626"/>
      <c r="C701" s="626"/>
      <c r="D701" s="626"/>
      <c r="E701" s="627"/>
      <c r="F701" s="628"/>
      <c r="G701" s="626"/>
      <c r="H701" s="626"/>
      <c r="I701" s="626"/>
      <c r="J701" s="626"/>
      <c r="K701" s="626"/>
      <c r="L701" s="626"/>
      <c r="M701" s="626"/>
      <c r="N701" s="626"/>
      <c r="O701" s="626"/>
      <c r="P701" s="626"/>
      <c r="Q701" s="626"/>
      <c r="R701" s="626"/>
      <c r="S701" s="626"/>
      <c r="T701" s="626"/>
      <c r="U701" s="626"/>
      <c r="V701" s="626"/>
      <c r="W701" s="626"/>
      <c r="X701" s="626"/>
      <c r="Y701" s="626"/>
    </row>
    <row r="702">
      <c r="A702" s="626"/>
      <c r="B702" s="626"/>
      <c r="C702" s="626"/>
      <c r="D702" s="626"/>
      <c r="E702" s="627"/>
      <c r="F702" s="628"/>
      <c r="G702" s="626"/>
      <c r="H702" s="626"/>
      <c r="I702" s="626"/>
      <c r="J702" s="626"/>
      <c r="K702" s="626"/>
      <c r="L702" s="626"/>
      <c r="M702" s="626"/>
      <c r="N702" s="626"/>
      <c r="O702" s="626"/>
      <c r="P702" s="626"/>
      <c r="Q702" s="626"/>
      <c r="R702" s="626"/>
      <c r="S702" s="626"/>
      <c r="T702" s="626"/>
      <c r="U702" s="626"/>
      <c r="V702" s="626"/>
      <c r="W702" s="626"/>
      <c r="X702" s="626"/>
      <c r="Y702" s="626"/>
    </row>
    <row r="703">
      <c r="A703" s="626"/>
      <c r="B703" s="626"/>
      <c r="C703" s="626"/>
      <c r="D703" s="626"/>
      <c r="E703" s="627"/>
      <c r="F703" s="628"/>
      <c r="G703" s="626"/>
      <c r="H703" s="626"/>
      <c r="I703" s="626"/>
      <c r="J703" s="626"/>
      <c r="K703" s="626"/>
      <c r="L703" s="626"/>
      <c r="M703" s="626"/>
      <c r="N703" s="626"/>
      <c r="O703" s="626"/>
      <c r="P703" s="626"/>
      <c r="Q703" s="626"/>
      <c r="R703" s="626"/>
      <c r="S703" s="626"/>
      <c r="T703" s="626"/>
      <c r="U703" s="626"/>
      <c r="V703" s="626"/>
      <c r="W703" s="626"/>
      <c r="X703" s="626"/>
      <c r="Y703" s="626"/>
    </row>
    <row r="704">
      <c r="A704" s="626"/>
      <c r="B704" s="626"/>
      <c r="C704" s="626"/>
      <c r="D704" s="626"/>
      <c r="E704" s="627"/>
      <c r="F704" s="628"/>
      <c r="G704" s="626"/>
      <c r="H704" s="626"/>
      <c r="I704" s="626"/>
      <c r="J704" s="626"/>
      <c r="K704" s="626"/>
      <c r="L704" s="626"/>
      <c r="M704" s="626"/>
      <c r="N704" s="626"/>
      <c r="O704" s="626"/>
      <c r="P704" s="626"/>
      <c r="Q704" s="626"/>
      <c r="R704" s="626"/>
      <c r="S704" s="626"/>
      <c r="T704" s="626"/>
      <c r="U704" s="626"/>
      <c r="V704" s="626"/>
      <c r="W704" s="626"/>
      <c r="X704" s="626"/>
      <c r="Y704" s="626"/>
    </row>
    <row r="705">
      <c r="A705" s="626"/>
      <c r="B705" s="626"/>
      <c r="C705" s="626"/>
      <c r="D705" s="626"/>
      <c r="E705" s="627"/>
      <c r="F705" s="628"/>
      <c r="G705" s="626"/>
      <c r="H705" s="626"/>
      <c r="I705" s="626"/>
      <c r="J705" s="626"/>
      <c r="K705" s="626"/>
      <c r="L705" s="626"/>
      <c r="M705" s="626"/>
      <c r="N705" s="626"/>
      <c r="O705" s="626"/>
      <c r="P705" s="626"/>
      <c r="Q705" s="626"/>
      <c r="R705" s="626"/>
      <c r="S705" s="626"/>
      <c r="T705" s="626"/>
      <c r="U705" s="626"/>
      <c r="V705" s="626"/>
      <c r="W705" s="626"/>
      <c r="X705" s="626"/>
      <c r="Y705" s="626"/>
    </row>
    <row r="706">
      <c r="A706" s="626"/>
      <c r="B706" s="626"/>
      <c r="C706" s="626"/>
      <c r="D706" s="626"/>
      <c r="E706" s="627"/>
      <c r="F706" s="628"/>
      <c r="G706" s="626"/>
      <c r="H706" s="626"/>
      <c r="I706" s="626"/>
      <c r="J706" s="626"/>
      <c r="K706" s="626"/>
      <c r="L706" s="626"/>
      <c r="M706" s="626"/>
      <c r="N706" s="626"/>
      <c r="O706" s="626"/>
      <c r="P706" s="626"/>
      <c r="Q706" s="626"/>
      <c r="R706" s="626"/>
      <c r="S706" s="626"/>
      <c r="T706" s="626"/>
      <c r="U706" s="626"/>
      <c r="V706" s="626"/>
      <c r="W706" s="626"/>
      <c r="X706" s="626"/>
      <c r="Y706" s="626"/>
    </row>
    <row r="707">
      <c r="A707" s="626"/>
      <c r="B707" s="626"/>
      <c r="C707" s="626"/>
      <c r="D707" s="626"/>
      <c r="E707" s="627"/>
      <c r="F707" s="628"/>
      <c r="G707" s="626"/>
      <c r="H707" s="626"/>
      <c r="I707" s="626"/>
      <c r="J707" s="626"/>
      <c r="K707" s="626"/>
      <c r="L707" s="626"/>
      <c r="M707" s="626"/>
      <c r="N707" s="626"/>
      <c r="O707" s="626"/>
      <c r="P707" s="626"/>
      <c r="Q707" s="626"/>
      <c r="R707" s="626"/>
      <c r="S707" s="626"/>
      <c r="T707" s="626"/>
      <c r="U707" s="626"/>
      <c r="V707" s="626"/>
      <c r="W707" s="626"/>
      <c r="X707" s="626"/>
      <c r="Y707" s="626"/>
    </row>
    <row r="708">
      <c r="A708" s="626"/>
      <c r="B708" s="626"/>
      <c r="C708" s="626"/>
      <c r="D708" s="626"/>
      <c r="E708" s="627"/>
      <c r="F708" s="628"/>
      <c r="G708" s="626"/>
      <c r="H708" s="626"/>
      <c r="I708" s="626"/>
      <c r="J708" s="626"/>
      <c r="K708" s="626"/>
      <c r="L708" s="626"/>
      <c r="M708" s="626"/>
      <c r="N708" s="626"/>
      <c r="O708" s="626"/>
      <c r="P708" s="626"/>
      <c r="Q708" s="626"/>
      <c r="R708" s="626"/>
      <c r="S708" s="626"/>
      <c r="T708" s="626"/>
      <c r="U708" s="626"/>
      <c r="V708" s="626"/>
      <c r="W708" s="626"/>
      <c r="X708" s="626"/>
      <c r="Y708" s="626"/>
    </row>
    <row r="709">
      <c r="A709" s="626"/>
      <c r="B709" s="626"/>
      <c r="C709" s="626"/>
      <c r="D709" s="626"/>
      <c r="E709" s="627"/>
      <c r="F709" s="628"/>
      <c r="G709" s="626"/>
      <c r="H709" s="626"/>
      <c r="I709" s="626"/>
      <c r="J709" s="626"/>
      <c r="K709" s="626"/>
      <c r="L709" s="626"/>
      <c r="M709" s="626"/>
      <c r="N709" s="626"/>
      <c r="O709" s="626"/>
      <c r="P709" s="626"/>
      <c r="Q709" s="626"/>
      <c r="R709" s="626"/>
      <c r="S709" s="626"/>
      <c r="T709" s="626"/>
      <c r="U709" s="626"/>
      <c r="V709" s="626"/>
      <c r="W709" s="626"/>
      <c r="X709" s="626"/>
      <c r="Y709" s="626"/>
    </row>
    <row r="710">
      <c r="A710" s="626"/>
      <c r="B710" s="626"/>
      <c r="C710" s="626"/>
      <c r="D710" s="626"/>
      <c r="E710" s="627"/>
      <c r="F710" s="628"/>
      <c r="G710" s="626"/>
      <c r="H710" s="626"/>
      <c r="I710" s="626"/>
      <c r="J710" s="626"/>
      <c r="K710" s="626"/>
      <c r="L710" s="626"/>
      <c r="M710" s="626"/>
      <c r="N710" s="626"/>
      <c r="O710" s="626"/>
      <c r="P710" s="626"/>
      <c r="Q710" s="626"/>
      <c r="R710" s="626"/>
      <c r="S710" s="626"/>
      <c r="T710" s="626"/>
      <c r="U710" s="626"/>
      <c r="V710" s="626"/>
      <c r="W710" s="626"/>
      <c r="X710" s="626"/>
      <c r="Y710" s="626"/>
    </row>
    <row r="711">
      <c r="A711" s="626"/>
      <c r="B711" s="626"/>
      <c r="C711" s="626"/>
      <c r="D711" s="626"/>
      <c r="E711" s="627"/>
      <c r="F711" s="628"/>
      <c r="G711" s="626"/>
      <c r="H711" s="626"/>
      <c r="I711" s="626"/>
      <c r="J711" s="626"/>
      <c r="K711" s="626"/>
      <c r="L711" s="626"/>
      <c r="M711" s="626"/>
      <c r="N711" s="626"/>
      <c r="O711" s="626"/>
      <c r="P711" s="626"/>
      <c r="Q711" s="626"/>
      <c r="R711" s="626"/>
      <c r="S711" s="626"/>
      <c r="T711" s="626"/>
      <c r="U711" s="626"/>
      <c r="V711" s="626"/>
      <c r="W711" s="626"/>
      <c r="X711" s="626"/>
      <c r="Y711" s="626"/>
    </row>
    <row r="712">
      <c r="A712" s="626"/>
      <c r="B712" s="626"/>
      <c r="C712" s="626"/>
      <c r="D712" s="626"/>
      <c r="E712" s="627"/>
      <c r="F712" s="628"/>
      <c r="G712" s="626"/>
      <c r="H712" s="626"/>
      <c r="I712" s="626"/>
      <c r="J712" s="626"/>
      <c r="K712" s="626"/>
      <c r="L712" s="626"/>
      <c r="M712" s="626"/>
      <c r="N712" s="626"/>
      <c r="O712" s="626"/>
      <c r="P712" s="626"/>
      <c r="Q712" s="626"/>
      <c r="R712" s="626"/>
      <c r="S712" s="626"/>
      <c r="T712" s="626"/>
      <c r="U712" s="626"/>
      <c r="V712" s="626"/>
      <c r="W712" s="626"/>
      <c r="X712" s="626"/>
      <c r="Y712" s="626"/>
    </row>
    <row r="713">
      <c r="A713" s="626"/>
      <c r="B713" s="626"/>
      <c r="C713" s="626"/>
      <c r="D713" s="626"/>
      <c r="E713" s="627"/>
      <c r="F713" s="628"/>
      <c r="G713" s="626"/>
      <c r="H713" s="626"/>
      <c r="I713" s="626"/>
      <c r="J713" s="626"/>
      <c r="K713" s="626"/>
      <c r="L713" s="626"/>
      <c r="M713" s="626"/>
      <c r="N713" s="626"/>
      <c r="O713" s="626"/>
      <c r="P713" s="626"/>
      <c r="Q713" s="626"/>
      <c r="R713" s="626"/>
      <c r="S713" s="626"/>
      <c r="T713" s="626"/>
      <c r="U713" s="626"/>
      <c r="V713" s="626"/>
      <c r="W713" s="626"/>
      <c r="X713" s="626"/>
      <c r="Y713" s="626"/>
    </row>
    <row r="714">
      <c r="A714" s="626"/>
      <c r="B714" s="626"/>
      <c r="C714" s="626"/>
      <c r="D714" s="626"/>
      <c r="E714" s="627"/>
      <c r="F714" s="628"/>
      <c r="G714" s="626"/>
      <c r="H714" s="626"/>
      <c r="I714" s="626"/>
      <c r="J714" s="626"/>
      <c r="K714" s="626"/>
      <c r="L714" s="626"/>
      <c r="M714" s="626"/>
      <c r="N714" s="626"/>
      <c r="O714" s="626"/>
      <c r="P714" s="626"/>
      <c r="Q714" s="626"/>
      <c r="R714" s="626"/>
      <c r="S714" s="626"/>
      <c r="T714" s="626"/>
      <c r="U714" s="626"/>
      <c r="V714" s="626"/>
      <c r="W714" s="626"/>
      <c r="X714" s="626"/>
      <c r="Y714" s="626"/>
    </row>
    <row r="715">
      <c r="A715" s="626"/>
      <c r="B715" s="626"/>
      <c r="C715" s="626"/>
      <c r="D715" s="626"/>
      <c r="E715" s="627"/>
      <c r="F715" s="628"/>
      <c r="G715" s="626"/>
      <c r="H715" s="626"/>
      <c r="I715" s="626"/>
      <c r="J715" s="626"/>
      <c r="K715" s="626"/>
      <c r="L715" s="626"/>
      <c r="M715" s="626"/>
      <c r="N715" s="626"/>
      <c r="O715" s="626"/>
      <c r="P715" s="626"/>
      <c r="Q715" s="626"/>
      <c r="R715" s="626"/>
      <c r="S715" s="626"/>
      <c r="T715" s="626"/>
      <c r="U715" s="626"/>
      <c r="V715" s="626"/>
      <c r="W715" s="626"/>
      <c r="X715" s="626"/>
      <c r="Y715" s="626"/>
    </row>
    <row r="716">
      <c r="A716" s="626"/>
      <c r="B716" s="626"/>
      <c r="C716" s="626"/>
      <c r="D716" s="626"/>
      <c r="E716" s="627"/>
      <c r="F716" s="628"/>
      <c r="G716" s="626"/>
      <c r="H716" s="626"/>
      <c r="I716" s="626"/>
      <c r="J716" s="626"/>
      <c r="K716" s="626"/>
      <c r="L716" s="626"/>
      <c r="M716" s="626"/>
      <c r="N716" s="626"/>
      <c r="O716" s="626"/>
      <c r="P716" s="626"/>
      <c r="Q716" s="626"/>
      <c r="R716" s="626"/>
      <c r="S716" s="626"/>
      <c r="T716" s="626"/>
      <c r="U716" s="626"/>
      <c r="V716" s="626"/>
      <c r="W716" s="626"/>
      <c r="X716" s="626"/>
      <c r="Y716" s="626"/>
    </row>
    <row r="717">
      <c r="A717" s="626"/>
      <c r="B717" s="626"/>
      <c r="C717" s="626"/>
      <c r="D717" s="626"/>
      <c r="E717" s="627"/>
      <c r="F717" s="628"/>
      <c r="G717" s="626"/>
      <c r="H717" s="626"/>
      <c r="I717" s="626"/>
      <c r="J717" s="626"/>
      <c r="K717" s="626"/>
      <c r="L717" s="626"/>
      <c r="M717" s="626"/>
      <c r="N717" s="626"/>
      <c r="O717" s="626"/>
      <c r="P717" s="626"/>
      <c r="Q717" s="626"/>
      <c r="R717" s="626"/>
      <c r="S717" s="626"/>
      <c r="T717" s="626"/>
      <c r="U717" s="626"/>
      <c r="V717" s="626"/>
      <c r="W717" s="626"/>
      <c r="X717" s="626"/>
      <c r="Y717" s="626"/>
    </row>
    <row r="718">
      <c r="A718" s="626"/>
      <c r="B718" s="626"/>
      <c r="C718" s="626"/>
      <c r="D718" s="626"/>
      <c r="E718" s="627"/>
      <c r="F718" s="628"/>
      <c r="G718" s="626"/>
      <c r="H718" s="626"/>
      <c r="I718" s="626"/>
      <c r="J718" s="626"/>
      <c r="K718" s="626"/>
      <c r="L718" s="626"/>
      <c r="M718" s="626"/>
      <c r="N718" s="626"/>
      <c r="O718" s="626"/>
      <c r="P718" s="626"/>
      <c r="Q718" s="626"/>
      <c r="R718" s="626"/>
      <c r="S718" s="626"/>
      <c r="T718" s="626"/>
      <c r="U718" s="626"/>
      <c r="V718" s="626"/>
      <c r="W718" s="626"/>
      <c r="X718" s="626"/>
      <c r="Y718" s="626"/>
    </row>
    <row r="719">
      <c r="A719" s="626"/>
      <c r="B719" s="626"/>
      <c r="C719" s="626"/>
      <c r="D719" s="626"/>
      <c r="E719" s="627"/>
      <c r="F719" s="628"/>
      <c r="G719" s="626"/>
      <c r="H719" s="626"/>
      <c r="I719" s="626"/>
      <c r="J719" s="626"/>
      <c r="K719" s="626"/>
      <c r="L719" s="626"/>
      <c r="M719" s="626"/>
      <c r="N719" s="626"/>
      <c r="O719" s="626"/>
      <c r="P719" s="626"/>
      <c r="Q719" s="626"/>
      <c r="R719" s="626"/>
      <c r="S719" s="626"/>
      <c r="T719" s="626"/>
      <c r="U719" s="626"/>
      <c r="V719" s="626"/>
      <c r="W719" s="626"/>
      <c r="X719" s="626"/>
      <c r="Y719" s="626"/>
    </row>
    <row r="720">
      <c r="A720" s="626"/>
      <c r="B720" s="626"/>
      <c r="C720" s="626"/>
      <c r="D720" s="626"/>
      <c r="E720" s="627"/>
      <c r="F720" s="628"/>
      <c r="G720" s="626"/>
      <c r="H720" s="626"/>
      <c r="I720" s="626"/>
      <c r="J720" s="626"/>
      <c r="K720" s="626"/>
      <c r="L720" s="626"/>
      <c r="M720" s="626"/>
      <c r="N720" s="626"/>
      <c r="O720" s="626"/>
      <c r="P720" s="626"/>
      <c r="Q720" s="626"/>
      <c r="R720" s="626"/>
      <c r="S720" s="626"/>
      <c r="T720" s="626"/>
      <c r="U720" s="626"/>
      <c r="V720" s="626"/>
      <c r="W720" s="626"/>
      <c r="X720" s="626"/>
      <c r="Y720" s="626"/>
    </row>
    <row r="721">
      <c r="A721" s="626"/>
      <c r="B721" s="626"/>
      <c r="C721" s="626"/>
      <c r="D721" s="626"/>
      <c r="E721" s="627"/>
      <c r="F721" s="628"/>
      <c r="G721" s="626"/>
      <c r="H721" s="626"/>
      <c r="I721" s="626"/>
      <c r="J721" s="626"/>
      <c r="K721" s="626"/>
      <c r="L721" s="626"/>
      <c r="M721" s="626"/>
      <c r="N721" s="626"/>
      <c r="O721" s="626"/>
      <c r="P721" s="626"/>
      <c r="Q721" s="626"/>
      <c r="R721" s="626"/>
      <c r="S721" s="626"/>
      <c r="T721" s="626"/>
      <c r="U721" s="626"/>
      <c r="V721" s="626"/>
      <c r="W721" s="626"/>
      <c r="X721" s="626"/>
      <c r="Y721" s="626"/>
    </row>
    <row r="722">
      <c r="A722" s="626"/>
      <c r="B722" s="626"/>
      <c r="C722" s="626"/>
      <c r="D722" s="626"/>
      <c r="E722" s="627"/>
      <c r="F722" s="628"/>
      <c r="G722" s="626"/>
      <c r="H722" s="626"/>
      <c r="I722" s="626"/>
      <c r="J722" s="626"/>
      <c r="K722" s="626"/>
      <c r="L722" s="626"/>
      <c r="M722" s="626"/>
      <c r="N722" s="626"/>
      <c r="O722" s="626"/>
      <c r="P722" s="626"/>
      <c r="Q722" s="626"/>
      <c r="R722" s="626"/>
      <c r="S722" s="626"/>
      <c r="T722" s="626"/>
      <c r="U722" s="626"/>
      <c r="V722" s="626"/>
      <c r="W722" s="626"/>
      <c r="X722" s="626"/>
      <c r="Y722" s="626"/>
    </row>
    <row r="723">
      <c r="A723" s="626"/>
      <c r="B723" s="626"/>
      <c r="C723" s="626"/>
      <c r="D723" s="626"/>
      <c r="E723" s="627"/>
      <c r="F723" s="628"/>
      <c r="G723" s="626"/>
      <c r="H723" s="626"/>
      <c r="I723" s="626"/>
      <c r="J723" s="626"/>
      <c r="K723" s="626"/>
      <c r="L723" s="626"/>
      <c r="M723" s="626"/>
      <c r="N723" s="626"/>
      <c r="O723" s="626"/>
      <c r="P723" s="626"/>
      <c r="Q723" s="626"/>
      <c r="R723" s="626"/>
      <c r="S723" s="626"/>
      <c r="T723" s="626"/>
      <c r="U723" s="626"/>
      <c r="V723" s="626"/>
      <c r="W723" s="626"/>
      <c r="X723" s="626"/>
      <c r="Y723" s="626"/>
    </row>
    <row r="724">
      <c r="A724" s="626"/>
      <c r="B724" s="626"/>
      <c r="C724" s="626"/>
      <c r="D724" s="626"/>
      <c r="E724" s="627"/>
      <c r="F724" s="628"/>
      <c r="G724" s="626"/>
      <c r="H724" s="626"/>
      <c r="I724" s="626"/>
      <c r="J724" s="626"/>
      <c r="K724" s="626"/>
      <c r="L724" s="626"/>
      <c r="M724" s="626"/>
      <c r="N724" s="626"/>
      <c r="O724" s="626"/>
      <c r="P724" s="626"/>
      <c r="Q724" s="626"/>
      <c r="R724" s="626"/>
      <c r="S724" s="626"/>
      <c r="T724" s="626"/>
      <c r="U724" s="626"/>
      <c r="V724" s="626"/>
      <c r="W724" s="626"/>
      <c r="X724" s="626"/>
      <c r="Y724" s="626"/>
    </row>
    <row r="725">
      <c r="A725" s="626"/>
      <c r="B725" s="626"/>
      <c r="C725" s="626"/>
      <c r="D725" s="626"/>
      <c r="E725" s="627"/>
      <c r="F725" s="628"/>
      <c r="G725" s="626"/>
      <c r="H725" s="626"/>
      <c r="I725" s="626"/>
      <c r="J725" s="626"/>
      <c r="K725" s="626"/>
      <c r="L725" s="626"/>
      <c r="M725" s="626"/>
      <c r="N725" s="626"/>
      <c r="O725" s="626"/>
      <c r="P725" s="626"/>
      <c r="Q725" s="626"/>
      <c r="R725" s="626"/>
      <c r="S725" s="626"/>
      <c r="T725" s="626"/>
      <c r="U725" s="626"/>
      <c r="V725" s="626"/>
      <c r="W725" s="626"/>
      <c r="X725" s="626"/>
      <c r="Y725" s="626"/>
    </row>
    <row r="726">
      <c r="A726" s="626"/>
      <c r="B726" s="626"/>
      <c r="C726" s="626"/>
      <c r="D726" s="626"/>
      <c r="E726" s="627"/>
      <c r="F726" s="628"/>
      <c r="G726" s="626"/>
      <c r="H726" s="626"/>
      <c r="I726" s="626"/>
      <c r="J726" s="626"/>
      <c r="K726" s="626"/>
      <c r="L726" s="626"/>
      <c r="M726" s="626"/>
      <c r="N726" s="626"/>
      <c r="O726" s="626"/>
      <c r="P726" s="626"/>
      <c r="Q726" s="626"/>
      <c r="R726" s="626"/>
      <c r="S726" s="626"/>
      <c r="T726" s="626"/>
      <c r="U726" s="626"/>
      <c r="V726" s="626"/>
      <c r="W726" s="626"/>
      <c r="X726" s="626"/>
      <c r="Y726" s="626"/>
    </row>
    <row r="727">
      <c r="A727" s="626"/>
      <c r="B727" s="626"/>
      <c r="C727" s="626"/>
      <c r="D727" s="626"/>
      <c r="E727" s="627"/>
      <c r="F727" s="628"/>
      <c r="G727" s="626"/>
      <c r="H727" s="626"/>
      <c r="I727" s="626"/>
      <c r="J727" s="626"/>
      <c r="K727" s="626"/>
      <c r="L727" s="626"/>
      <c r="M727" s="626"/>
      <c r="N727" s="626"/>
      <c r="O727" s="626"/>
      <c r="P727" s="626"/>
      <c r="Q727" s="626"/>
      <c r="R727" s="626"/>
      <c r="S727" s="626"/>
      <c r="T727" s="626"/>
      <c r="U727" s="626"/>
      <c r="V727" s="626"/>
      <c r="W727" s="626"/>
      <c r="X727" s="626"/>
      <c r="Y727" s="626"/>
    </row>
    <row r="728">
      <c r="A728" s="626"/>
      <c r="B728" s="626"/>
      <c r="C728" s="626"/>
      <c r="D728" s="626"/>
      <c r="E728" s="627"/>
      <c r="F728" s="628"/>
      <c r="G728" s="626"/>
      <c r="H728" s="626"/>
      <c r="I728" s="626"/>
      <c r="J728" s="626"/>
      <c r="K728" s="626"/>
      <c r="L728" s="626"/>
      <c r="M728" s="626"/>
      <c r="N728" s="626"/>
      <c r="O728" s="626"/>
      <c r="P728" s="626"/>
      <c r="Q728" s="626"/>
      <c r="R728" s="626"/>
      <c r="S728" s="626"/>
      <c r="T728" s="626"/>
      <c r="U728" s="626"/>
      <c r="V728" s="626"/>
      <c r="W728" s="626"/>
      <c r="X728" s="626"/>
      <c r="Y728" s="626"/>
    </row>
    <row r="729">
      <c r="A729" s="626"/>
      <c r="B729" s="626"/>
      <c r="C729" s="626"/>
      <c r="D729" s="626"/>
      <c r="E729" s="627"/>
      <c r="F729" s="628"/>
      <c r="G729" s="626"/>
      <c r="H729" s="626"/>
      <c r="I729" s="626"/>
      <c r="J729" s="626"/>
      <c r="K729" s="626"/>
      <c r="L729" s="626"/>
      <c r="M729" s="626"/>
      <c r="N729" s="626"/>
      <c r="O729" s="626"/>
      <c r="P729" s="626"/>
      <c r="Q729" s="626"/>
      <c r="R729" s="626"/>
      <c r="S729" s="626"/>
      <c r="T729" s="626"/>
      <c r="U729" s="626"/>
      <c r="V729" s="626"/>
      <c r="W729" s="626"/>
      <c r="X729" s="626"/>
      <c r="Y729" s="626"/>
    </row>
    <row r="730">
      <c r="A730" s="626"/>
      <c r="B730" s="626"/>
      <c r="C730" s="626"/>
      <c r="D730" s="626"/>
      <c r="E730" s="627"/>
      <c r="F730" s="628"/>
      <c r="G730" s="626"/>
      <c r="H730" s="626"/>
      <c r="I730" s="626"/>
      <c r="J730" s="626"/>
      <c r="K730" s="626"/>
      <c r="L730" s="626"/>
      <c r="M730" s="626"/>
      <c r="N730" s="626"/>
      <c r="O730" s="626"/>
      <c r="P730" s="626"/>
      <c r="Q730" s="626"/>
      <c r="R730" s="626"/>
      <c r="S730" s="626"/>
      <c r="T730" s="626"/>
      <c r="U730" s="626"/>
      <c r="V730" s="626"/>
      <c r="W730" s="626"/>
      <c r="X730" s="626"/>
      <c r="Y730" s="626"/>
    </row>
    <row r="731">
      <c r="A731" s="626"/>
      <c r="B731" s="626"/>
      <c r="C731" s="626"/>
      <c r="D731" s="626"/>
      <c r="E731" s="627"/>
      <c r="F731" s="628"/>
      <c r="G731" s="626"/>
      <c r="H731" s="626"/>
      <c r="I731" s="626"/>
      <c r="J731" s="626"/>
      <c r="K731" s="626"/>
      <c r="L731" s="626"/>
      <c r="M731" s="626"/>
      <c r="N731" s="626"/>
      <c r="O731" s="626"/>
      <c r="P731" s="626"/>
      <c r="Q731" s="626"/>
      <c r="R731" s="626"/>
      <c r="S731" s="626"/>
      <c r="T731" s="626"/>
      <c r="U731" s="626"/>
      <c r="V731" s="626"/>
      <c r="W731" s="626"/>
      <c r="X731" s="626"/>
      <c r="Y731" s="626"/>
    </row>
    <row r="732">
      <c r="A732" s="626"/>
      <c r="B732" s="626"/>
      <c r="C732" s="626"/>
      <c r="D732" s="626"/>
      <c r="E732" s="627"/>
      <c r="F732" s="628"/>
      <c r="G732" s="626"/>
      <c r="H732" s="626"/>
      <c r="I732" s="626"/>
      <c r="J732" s="626"/>
      <c r="K732" s="626"/>
      <c r="L732" s="626"/>
      <c r="M732" s="626"/>
      <c r="N732" s="626"/>
      <c r="O732" s="626"/>
      <c r="P732" s="626"/>
      <c r="Q732" s="626"/>
      <c r="R732" s="626"/>
      <c r="S732" s="626"/>
      <c r="T732" s="626"/>
      <c r="U732" s="626"/>
      <c r="V732" s="626"/>
      <c r="W732" s="626"/>
      <c r="X732" s="626"/>
      <c r="Y732" s="626"/>
    </row>
    <row r="733">
      <c r="A733" s="626"/>
      <c r="B733" s="626"/>
      <c r="C733" s="626"/>
      <c r="D733" s="626"/>
      <c r="E733" s="627"/>
      <c r="F733" s="628"/>
      <c r="G733" s="626"/>
      <c r="H733" s="626"/>
      <c r="I733" s="626"/>
      <c r="J733" s="626"/>
      <c r="K733" s="626"/>
      <c r="L733" s="626"/>
      <c r="M733" s="626"/>
      <c r="N733" s="626"/>
      <c r="O733" s="626"/>
      <c r="P733" s="626"/>
      <c r="Q733" s="626"/>
      <c r="R733" s="626"/>
      <c r="S733" s="626"/>
      <c r="T733" s="626"/>
      <c r="U733" s="626"/>
      <c r="V733" s="626"/>
      <c r="W733" s="626"/>
      <c r="X733" s="626"/>
      <c r="Y733" s="626"/>
    </row>
    <row r="734">
      <c r="A734" s="626"/>
      <c r="B734" s="626"/>
      <c r="C734" s="626"/>
      <c r="D734" s="626"/>
      <c r="E734" s="627"/>
      <c r="F734" s="628"/>
      <c r="G734" s="626"/>
      <c r="H734" s="626"/>
      <c r="I734" s="626"/>
      <c r="J734" s="626"/>
      <c r="K734" s="626"/>
      <c r="L734" s="626"/>
      <c r="M734" s="626"/>
      <c r="N734" s="626"/>
      <c r="O734" s="626"/>
      <c r="P734" s="626"/>
      <c r="Q734" s="626"/>
      <c r="R734" s="626"/>
      <c r="S734" s="626"/>
      <c r="T734" s="626"/>
      <c r="U734" s="626"/>
      <c r="V734" s="626"/>
      <c r="W734" s="626"/>
      <c r="X734" s="626"/>
      <c r="Y734" s="626"/>
    </row>
    <row r="735">
      <c r="A735" s="626"/>
      <c r="B735" s="626"/>
      <c r="C735" s="626"/>
      <c r="D735" s="626"/>
      <c r="E735" s="627"/>
      <c r="F735" s="628"/>
      <c r="G735" s="626"/>
      <c r="H735" s="626"/>
      <c r="I735" s="626"/>
      <c r="J735" s="626"/>
      <c r="K735" s="626"/>
      <c r="L735" s="626"/>
      <c r="M735" s="626"/>
      <c r="N735" s="626"/>
      <c r="O735" s="626"/>
      <c r="P735" s="626"/>
      <c r="Q735" s="626"/>
      <c r="R735" s="626"/>
      <c r="S735" s="626"/>
      <c r="T735" s="626"/>
      <c r="U735" s="626"/>
      <c r="V735" s="626"/>
      <c r="W735" s="626"/>
      <c r="X735" s="626"/>
      <c r="Y735" s="626"/>
    </row>
    <row r="736">
      <c r="A736" s="626"/>
      <c r="B736" s="626"/>
      <c r="C736" s="626"/>
      <c r="D736" s="626"/>
      <c r="E736" s="627"/>
      <c r="F736" s="628"/>
      <c r="G736" s="626"/>
      <c r="H736" s="626"/>
      <c r="I736" s="626"/>
      <c r="J736" s="626"/>
      <c r="K736" s="626"/>
      <c r="L736" s="626"/>
      <c r="M736" s="626"/>
      <c r="N736" s="626"/>
      <c r="O736" s="626"/>
      <c r="P736" s="626"/>
      <c r="Q736" s="626"/>
      <c r="R736" s="626"/>
      <c r="S736" s="626"/>
      <c r="T736" s="626"/>
      <c r="U736" s="626"/>
      <c r="V736" s="626"/>
      <c r="W736" s="626"/>
      <c r="X736" s="626"/>
      <c r="Y736" s="626"/>
    </row>
    <row r="737">
      <c r="A737" s="626"/>
      <c r="B737" s="626"/>
      <c r="C737" s="626"/>
      <c r="D737" s="626"/>
      <c r="E737" s="627"/>
      <c r="F737" s="628"/>
      <c r="G737" s="626"/>
      <c r="H737" s="626"/>
      <c r="I737" s="626"/>
      <c r="J737" s="626"/>
      <c r="K737" s="626"/>
      <c r="L737" s="626"/>
      <c r="M737" s="626"/>
      <c r="N737" s="626"/>
      <c r="O737" s="626"/>
      <c r="P737" s="626"/>
      <c r="Q737" s="626"/>
      <c r="R737" s="626"/>
      <c r="S737" s="626"/>
      <c r="T737" s="626"/>
      <c r="U737" s="626"/>
      <c r="V737" s="626"/>
      <c r="W737" s="626"/>
      <c r="X737" s="626"/>
      <c r="Y737" s="626"/>
    </row>
    <row r="738">
      <c r="A738" s="626"/>
      <c r="B738" s="626"/>
      <c r="C738" s="626"/>
      <c r="D738" s="626"/>
      <c r="E738" s="627"/>
      <c r="F738" s="628"/>
      <c r="G738" s="626"/>
      <c r="H738" s="626"/>
      <c r="I738" s="626"/>
      <c r="J738" s="626"/>
      <c r="K738" s="626"/>
      <c r="L738" s="626"/>
      <c r="M738" s="626"/>
      <c r="N738" s="626"/>
      <c r="O738" s="626"/>
      <c r="P738" s="626"/>
      <c r="Q738" s="626"/>
      <c r="R738" s="626"/>
      <c r="S738" s="626"/>
      <c r="T738" s="626"/>
      <c r="U738" s="626"/>
      <c r="V738" s="626"/>
      <c r="W738" s="626"/>
      <c r="X738" s="626"/>
      <c r="Y738" s="626"/>
    </row>
    <row r="739">
      <c r="A739" s="626"/>
      <c r="B739" s="626"/>
      <c r="C739" s="626"/>
      <c r="D739" s="626"/>
      <c r="E739" s="627"/>
      <c r="F739" s="628"/>
      <c r="G739" s="626"/>
      <c r="H739" s="626"/>
      <c r="I739" s="626"/>
      <c r="J739" s="626"/>
      <c r="K739" s="626"/>
      <c r="L739" s="626"/>
      <c r="M739" s="626"/>
      <c r="N739" s="626"/>
      <c r="O739" s="626"/>
      <c r="P739" s="626"/>
      <c r="Q739" s="626"/>
      <c r="R739" s="626"/>
      <c r="S739" s="626"/>
      <c r="T739" s="626"/>
      <c r="U739" s="626"/>
      <c r="V739" s="626"/>
      <c r="W739" s="626"/>
      <c r="X739" s="626"/>
      <c r="Y739" s="626"/>
    </row>
    <row r="740">
      <c r="A740" s="626"/>
      <c r="B740" s="626"/>
      <c r="C740" s="626"/>
      <c r="D740" s="626"/>
      <c r="E740" s="627"/>
      <c r="F740" s="628"/>
      <c r="G740" s="626"/>
      <c r="H740" s="626"/>
      <c r="I740" s="626"/>
      <c r="J740" s="626"/>
      <c r="K740" s="626"/>
      <c r="L740" s="626"/>
      <c r="M740" s="626"/>
      <c r="N740" s="626"/>
      <c r="O740" s="626"/>
      <c r="P740" s="626"/>
      <c r="Q740" s="626"/>
      <c r="R740" s="626"/>
      <c r="S740" s="626"/>
      <c r="T740" s="626"/>
      <c r="U740" s="626"/>
      <c r="V740" s="626"/>
      <c r="W740" s="626"/>
      <c r="X740" s="626"/>
      <c r="Y740" s="626"/>
    </row>
    <row r="741">
      <c r="A741" s="626"/>
      <c r="B741" s="626"/>
      <c r="C741" s="626"/>
      <c r="D741" s="626"/>
      <c r="E741" s="627"/>
      <c r="F741" s="628"/>
      <c r="G741" s="626"/>
      <c r="H741" s="626"/>
      <c r="I741" s="626"/>
      <c r="J741" s="626"/>
      <c r="K741" s="626"/>
      <c r="L741" s="626"/>
      <c r="M741" s="626"/>
      <c r="N741" s="626"/>
      <c r="O741" s="626"/>
      <c r="P741" s="626"/>
      <c r="Q741" s="626"/>
      <c r="R741" s="626"/>
      <c r="S741" s="626"/>
      <c r="T741" s="626"/>
      <c r="U741" s="626"/>
      <c r="V741" s="626"/>
      <c r="W741" s="626"/>
      <c r="X741" s="626"/>
      <c r="Y741" s="626"/>
    </row>
    <row r="742">
      <c r="A742" s="626"/>
      <c r="B742" s="626"/>
      <c r="C742" s="626"/>
      <c r="D742" s="626"/>
      <c r="E742" s="627"/>
      <c r="F742" s="628"/>
      <c r="G742" s="626"/>
      <c r="H742" s="626"/>
      <c r="I742" s="626"/>
      <c r="J742" s="626"/>
      <c r="K742" s="626"/>
      <c r="L742" s="626"/>
      <c r="M742" s="626"/>
      <c r="N742" s="626"/>
      <c r="O742" s="626"/>
      <c r="P742" s="626"/>
      <c r="Q742" s="626"/>
      <c r="R742" s="626"/>
      <c r="S742" s="626"/>
      <c r="T742" s="626"/>
      <c r="U742" s="626"/>
      <c r="V742" s="626"/>
      <c r="W742" s="626"/>
      <c r="X742" s="626"/>
      <c r="Y742" s="626"/>
    </row>
    <row r="743">
      <c r="A743" s="626"/>
      <c r="B743" s="626"/>
      <c r="C743" s="626"/>
      <c r="D743" s="626"/>
      <c r="E743" s="627"/>
      <c r="F743" s="628"/>
      <c r="G743" s="626"/>
      <c r="H743" s="626"/>
      <c r="I743" s="626"/>
      <c r="J743" s="626"/>
      <c r="K743" s="626"/>
      <c r="L743" s="626"/>
      <c r="M743" s="626"/>
      <c r="N743" s="626"/>
      <c r="O743" s="626"/>
      <c r="P743" s="626"/>
      <c r="Q743" s="626"/>
      <c r="R743" s="626"/>
      <c r="S743" s="626"/>
      <c r="T743" s="626"/>
      <c r="U743" s="626"/>
      <c r="V743" s="626"/>
      <c r="W743" s="626"/>
      <c r="X743" s="626"/>
      <c r="Y743" s="626"/>
    </row>
    <row r="744">
      <c r="A744" s="626"/>
      <c r="B744" s="626"/>
      <c r="C744" s="626"/>
      <c r="D744" s="626"/>
      <c r="E744" s="627"/>
      <c r="F744" s="628"/>
      <c r="G744" s="626"/>
      <c r="H744" s="626"/>
      <c r="I744" s="626"/>
      <c r="J744" s="626"/>
      <c r="K744" s="626"/>
      <c r="L744" s="626"/>
      <c r="M744" s="626"/>
      <c r="N744" s="626"/>
      <c r="O744" s="626"/>
      <c r="P744" s="626"/>
      <c r="Q744" s="626"/>
      <c r="R744" s="626"/>
      <c r="S744" s="626"/>
      <c r="T744" s="626"/>
      <c r="U744" s="626"/>
      <c r="V744" s="626"/>
      <c r="W744" s="626"/>
      <c r="X744" s="626"/>
      <c r="Y744" s="626"/>
    </row>
    <row r="745">
      <c r="A745" s="626"/>
      <c r="B745" s="626"/>
      <c r="C745" s="626"/>
      <c r="D745" s="626"/>
      <c r="E745" s="627"/>
      <c r="F745" s="628"/>
      <c r="G745" s="626"/>
      <c r="H745" s="626"/>
      <c r="I745" s="626"/>
      <c r="J745" s="626"/>
      <c r="K745" s="626"/>
      <c r="L745" s="626"/>
      <c r="M745" s="626"/>
      <c r="N745" s="626"/>
      <c r="O745" s="626"/>
      <c r="P745" s="626"/>
      <c r="Q745" s="626"/>
      <c r="R745" s="626"/>
      <c r="S745" s="626"/>
      <c r="T745" s="626"/>
      <c r="U745" s="626"/>
      <c r="V745" s="626"/>
      <c r="W745" s="626"/>
      <c r="X745" s="626"/>
      <c r="Y745" s="626"/>
    </row>
    <row r="746">
      <c r="A746" s="626"/>
      <c r="B746" s="626"/>
      <c r="C746" s="626"/>
      <c r="D746" s="626"/>
      <c r="E746" s="627"/>
      <c r="F746" s="628"/>
      <c r="G746" s="626"/>
      <c r="H746" s="626"/>
      <c r="I746" s="626"/>
      <c r="J746" s="626"/>
      <c r="K746" s="626"/>
      <c r="L746" s="626"/>
      <c r="M746" s="626"/>
      <c r="N746" s="626"/>
      <c r="O746" s="626"/>
      <c r="P746" s="626"/>
      <c r="Q746" s="626"/>
      <c r="R746" s="626"/>
      <c r="S746" s="626"/>
      <c r="T746" s="626"/>
      <c r="U746" s="626"/>
      <c r="V746" s="626"/>
      <c r="W746" s="626"/>
      <c r="X746" s="626"/>
      <c r="Y746" s="626"/>
    </row>
    <row r="747">
      <c r="A747" s="626"/>
      <c r="B747" s="626"/>
      <c r="C747" s="626"/>
      <c r="D747" s="626"/>
      <c r="E747" s="627"/>
      <c r="F747" s="628"/>
      <c r="G747" s="626"/>
      <c r="H747" s="626"/>
      <c r="I747" s="626"/>
      <c r="J747" s="626"/>
      <c r="K747" s="626"/>
      <c r="L747" s="626"/>
      <c r="M747" s="626"/>
      <c r="N747" s="626"/>
      <c r="O747" s="626"/>
      <c r="P747" s="626"/>
      <c r="Q747" s="626"/>
      <c r="R747" s="626"/>
      <c r="S747" s="626"/>
      <c r="T747" s="626"/>
      <c r="U747" s="626"/>
      <c r="V747" s="626"/>
      <c r="W747" s="626"/>
      <c r="X747" s="626"/>
      <c r="Y747" s="626"/>
    </row>
    <row r="748">
      <c r="A748" s="626"/>
      <c r="B748" s="626"/>
      <c r="C748" s="626"/>
      <c r="D748" s="626"/>
      <c r="E748" s="627"/>
      <c r="F748" s="628"/>
      <c r="G748" s="626"/>
      <c r="H748" s="626"/>
      <c r="I748" s="626"/>
      <c r="J748" s="626"/>
      <c r="K748" s="626"/>
      <c r="L748" s="626"/>
      <c r="M748" s="626"/>
      <c r="N748" s="626"/>
      <c r="O748" s="626"/>
      <c r="P748" s="626"/>
      <c r="Q748" s="626"/>
      <c r="R748" s="626"/>
      <c r="S748" s="626"/>
      <c r="T748" s="626"/>
      <c r="U748" s="626"/>
      <c r="V748" s="626"/>
      <c r="W748" s="626"/>
      <c r="X748" s="626"/>
      <c r="Y748" s="626"/>
    </row>
    <row r="749">
      <c r="A749" s="626"/>
      <c r="B749" s="626"/>
      <c r="C749" s="626"/>
      <c r="D749" s="626"/>
      <c r="E749" s="627"/>
      <c r="F749" s="628"/>
      <c r="G749" s="626"/>
      <c r="H749" s="626"/>
      <c r="I749" s="626"/>
      <c r="J749" s="626"/>
      <c r="K749" s="626"/>
      <c r="L749" s="626"/>
      <c r="M749" s="626"/>
      <c r="N749" s="626"/>
      <c r="O749" s="626"/>
      <c r="P749" s="626"/>
      <c r="Q749" s="626"/>
      <c r="R749" s="626"/>
      <c r="S749" s="626"/>
      <c r="T749" s="626"/>
      <c r="U749" s="626"/>
      <c r="V749" s="626"/>
      <c r="W749" s="626"/>
      <c r="X749" s="626"/>
      <c r="Y749" s="626"/>
    </row>
    <row r="750">
      <c r="A750" s="626"/>
      <c r="B750" s="626"/>
      <c r="C750" s="626"/>
      <c r="D750" s="626"/>
      <c r="E750" s="627"/>
      <c r="F750" s="628"/>
      <c r="G750" s="626"/>
      <c r="H750" s="626"/>
      <c r="I750" s="626"/>
      <c r="J750" s="626"/>
      <c r="K750" s="626"/>
      <c r="L750" s="626"/>
      <c r="M750" s="626"/>
      <c r="N750" s="626"/>
      <c r="O750" s="626"/>
      <c r="P750" s="626"/>
      <c r="Q750" s="626"/>
      <c r="R750" s="626"/>
      <c r="S750" s="626"/>
      <c r="T750" s="626"/>
      <c r="U750" s="626"/>
      <c r="V750" s="626"/>
      <c r="W750" s="626"/>
      <c r="X750" s="626"/>
      <c r="Y750" s="626"/>
    </row>
    <row r="751">
      <c r="A751" s="626"/>
      <c r="B751" s="626"/>
      <c r="C751" s="626"/>
      <c r="D751" s="626"/>
      <c r="E751" s="627"/>
      <c r="F751" s="628"/>
      <c r="G751" s="626"/>
      <c r="H751" s="626"/>
      <c r="I751" s="626"/>
      <c r="J751" s="626"/>
      <c r="K751" s="626"/>
      <c r="L751" s="626"/>
      <c r="M751" s="626"/>
      <c r="N751" s="626"/>
      <c r="O751" s="626"/>
      <c r="P751" s="626"/>
      <c r="Q751" s="626"/>
      <c r="R751" s="626"/>
      <c r="S751" s="626"/>
      <c r="T751" s="626"/>
      <c r="U751" s="626"/>
      <c r="V751" s="626"/>
      <c r="W751" s="626"/>
      <c r="X751" s="626"/>
      <c r="Y751" s="626"/>
    </row>
    <row r="752">
      <c r="A752" s="626"/>
      <c r="B752" s="626"/>
      <c r="C752" s="626"/>
      <c r="D752" s="626"/>
      <c r="E752" s="627"/>
      <c r="F752" s="628"/>
      <c r="G752" s="626"/>
      <c r="H752" s="626"/>
      <c r="I752" s="626"/>
      <c r="J752" s="626"/>
      <c r="K752" s="626"/>
      <c r="L752" s="626"/>
      <c r="M752" s="626"/>
      <c r="N752" s="626"/>
      <c r="O752" s="626"/>
      <c r="P752" s="626"/>
      <c r="Q752" s="626"/>
      <c r="R752" s="626"/>
      <c r="S752" s="626"/>
      <c r="T752" s="626"/>
      <c r="U752" s="626"/>
      <c r="V752" s="626"/>
      <c r="W752" s="626"/>
      <c r="X752" s="626"/>
      <c r="Y752" s="626"/>
    </row>
    <row r="753">
      <c r="A753" s="626"/>
      <c r="B753" s="626"/>
      <c r="C753" s="626"/>
      <c r="D753" s="626"/>
      <c r="E753" s="627"/>
      <c r="F753" s="628"/>
      <c r="G753" s="626"/>
      <c r="H753" s="626"/>
      <c r="I753" s="626"/>
      <c r="J753" s="626"/>
      <c r="K753" s="626"/>
      <c r="L753" s="626"/>
      <c r="M753" s="626"/>
      <c r="N753" s="626"/>
      <c r="O753" s="626"/>
      <c r="P753" s="626"/>
      <c r="Q753" s="626"/>
      <c r="R753" s="626"/>
      <c r="S753" s="626"/>
      <c r="T753" s="626"/>
      <c r="U753" s="626"/>
      <c r="V753" s="626"/>
      <c r="W753" s="626"/>
      <c r="X753" s="626"/>
      <c r="Y753" s="626"/>
    </row>
    <row r="754">
      <c r="A754" s="626"/>
      <c r="B754" s="626"/>
      <c r="C754" s="626"/>
      <c r="D754" s="626"/>
      <c r="E754" s="627"/>
      <c r="F754" s="628"/>
      <c r="G754" s="626"/>
      <c r="H754" s="626"/>
      <c r="I754" s="626"/>
      <c r="J754" s="626"/>
      <c r="K754" s="626"/>
      <c r="L754" s="626"/>
      <c r="M754" s="626"/>
      <c r="N754" s="626"/>
      <c r="O754" s="626"/>
      <c r="P754" s="626"/>
      <c r="Q754" s="626"/>
      <c r="R754" s="626"/>
      <c r="S754" s="626"/>
      <c r="T754" s="626"/>
      <c r="U754" s="626"/>
      <c r="V754" s="626"/>
      <c r="W754" s="626"/>
      <c r="X754" s="626"/>
      <c r="Y754" s="626"/>
    </row>
    <row r="755">
      <c r="A755" s="626"/>
      <c r="B755" s="626"/>
      <c r="C755" s="626"/>
      <c r="D755" s="626"/>
      <c r="E755" s="627"/>
      <c r="F755" s="628"/>
      <c r="G755" s="626"/>
      <c r="H755" s="626"/>
      <c r="I755" s="626"/>
      <c r="J755" s="626"/>
      <c r="K755" s="626"/>
      <c r="L755" s="626"/>
      <c r="M755" s="626"/>
      <c r="N755" s="626"/>
      <c r="O755" s="626"/>
      <c r="P755" s="626"/>
      <c r="Q755" s="626"/>
      <c r="R755" s="626"/>
      <c r="S755" s="626"/>
      <c r="T755" s="626"/>
      <c r="U755" s="626"/>
      <c r="V755" s="626"/>
      <c r="W755" s="626"/>
      <c r="X755" s="626"/>
      <c r="Y755" s="626"/>
    </row>
    <row r="756">
      <c r="A756" s="626"/>
      <c r="B756" s="626"/>
      <c r="C756" s="626"/>
      <c r="D756" s="626"/>
      <c r="E756" s="627"/>
      <c r="F756" s="628"/>
      <c r="G756" s="626"/>
      <c r="H756" s="626"/>
      <c r="I756" s="626"/>
      <c r="J756" s="626"/>
      <c r="K756" s="626"/>
      <c r="L756" s="626"/>
      <c r="M756" s="626"/>
      <c r="N756" s="626"/>
      <c r="O756" s="626"/>
      <c r="P756" s="626"/>
      <c r="Q756" s="626"/>
      <c r="R756" s="626"/>
      <c r="S756" s="626"/>
      <c r="T756" s="626"/>
      <c r="U756" s="626"/>
      <c r="V756" s="626"/>
      <c r="W756" s="626"/>
      <c r="X756" s="626"/>
      <c r="Y756" s="626"/>
    </row>
    <row r="757">
      <c r="A757" s="626"/>
      <c r="B757" s="626"/>
      <c r="C757" s="626"/>
      <c r="D757" s="626"/>
      <c r="E757" s="627"/>
      <c r="F757" s="628"/>
      <c r="G757" s="626"/>
      <c r="H757" s="626"/>
      <c r="I757" s="626"/>
      <c r="J757" s="626"/>
      <c r="K757" s="626"/>
      <c r="L757" s="626"/>
      <c r="M757" s="626"/>
      <c r="N757" s="626"/>
      <c r="O757" s="626"/>
      <c r="P757" s="626"/>
      <c r="Q757" s="626"/>
      <c r="R757" s="626"/>
      <c r="S757" s="626"/>
      <c r="T757" s="626"/>
      <c r="U757" s="626"/>
      <c r="V757" s="626"/>
      <c r="W757" s="626"/>
      <c r="X757" s="626"/>
      <c r="Y757" s="626"/>
    </row>
    <row r="758">
      <c r="A758" s="626"/>
      <c r="B758" s="626"/>
      <c r="C758" s="626"/>
      <c r="D758" s="626"/>
      <c r="E758" s="627"/>
      <c r="F758" s="628"/>
      <c r="G758" s="626"/>
      <c r="H758" s="626"/>
      <c r="I758" s="626"/>
      <c r="J758" s="626"/>
      <c r="K758" s="626"/>
      <c r="L758" s="626"/>
      <c r="M758" s="626"/>
      <c r="N758" s="626"/>
      <c r="O758" s="626"/>
      <c r="P758" s="626"/>
      <c r="Q758" s="626"/>
      <c r="R758" s="626"/>
      <c r="S758" s="626"/>
      <c r="T758" s="626"/>
      <c r="U758" s="626"/>
      <c r="V758" s="626"/>
      <c r="W758" s="626"/>
      <c r="X758" s="626"/>
      <c r="Y758" s="626"/>
    </row>
    <row r="759">
      <c r="A759" s="626"/>
      <c r="B759" s="626"/>
      <c r="C759" s="626"/>
      <c r="D759" s="626"/>
      <c r="E759" s="627"/>
      <c r="F759" s="628"/>
      <c r="G759" s="626"/>
      <c r="H759" s="626"/>
      <c r="I759" s="626"/>
      <c r="J759" s="626"/>
      <c r="K759" s="626"/>
      <c r="L759" s="626"/>
      <c r="M759" s="626"/>
      <c r="N759" s="626"/>
      <c r="O759" s="626"/>
      <c r="P759" s="626"/>
      <c r="Q759" s="626"/>
      <c r="R759" s="626"/>
      <c r="S759" s="626"/>
      <c r="T759" s="626"/>
      <c r="U759" s="626"/>
      <c r="V759" s="626"/>
      <c r="W759" s="626"/>
      <c r="X759" s="626"/>
      <c r="Y759" s="626"/>
    </row>
    <row r="760">
      <c r="A760" s="626"/>
      <c r="B760" s="626"/>
      <c r="C760" s="626"/>
      <c r="D760" s="626"/>
      <c r="E760" s="627"/>
      <c r="F760" s="628"/>
      <c r="G760" s="626"/>
      <c r="H760" s="626"/>
      <c r="I760" s="626"/>
      <c r="J760" s="626"/>
      <c r="K760" s="626"/>
      <c r="L760" s="626"/>
      <c r="M760" s="626"/>
      <c r="N760" s="626"/>
      <c r="O760" s="626"/>
      <c r="P760" s="626"/>
      <c r="Q760" s="626"/>
      <c r="R760" s="626"/>
      <c r="S760" s="626"/>
      <c r="T760" s="626"/>
      <c r="U760" s="626"/>
      <c r="V760" s="626"/>
      <c r="W760" s="626"/>
      <c r="X760" s="626"/>
      <c r="Y760" s="626"/>
    </row>
    <row r="761">
      <c r="A761" s="626"/>
      <c r="B761" s="626"/>
      <c r="C761" s="626"/>
      <c r="D761" s="626"/>
      <c r="E761" s="627"/>
      <c r="F761" s="628"/>
      <c r="G761" s="626"/>
      <c r="H761" s="626"/>
      <c r="I761" s="626"/>
      <c r="J761" s="626"/>
      <c r="K761" s="626"/>
      <c r="L761" s="626"/>
      <c r="M761" s="626"/>
      <c r="N761" s="626"/>
      <c r="O761" s="626"/>
      <c r="P761" s="626"/>
      <c r="Q761" s="626"/>
      <c r="R761" s="626"/>
      <c r="S761" s="626"/>
      <c r="T761" s="626"/>
      <c r="U761" s="626"/>
      <c r="V761" s="626"/>
      <c r="W761" s="626"/>
      <c r="X761" s="626"/>
      <c r="Y761" s="626"/>
    </row>
    <row r="762">
      <c r="A762" s="626"/>
      <c r="B762" s="626"/>
      <c r="C762" s="626"/>
      <c r="D762" s="626"/>
      <c r="E762" s="627"/>
      <c r="F762" s="628"/>
      <c r="G762" s="626"/>
      <c r="H762" s="626"/>
      <c r="I762" s="626"/>
      <c r="J762" s="626"/>
      <c r="K762" s="626"/>
      <c r="L762" s="626"/>
      <c r="M762" s="626"/>
      <c r="N762" s="626"/>
      <c r="O762" s="626"/>
      <c r="P762" s="626"/>
      <c r="Q762" s="626"/>
      <c r="R762" s="626"/>
      <c r="S762" s="626"/>
      <c r="T762" s="626"/>
      <c r="U762" s="626"/>
      <c r="V762" s="626"/>
      <c r="W762" s="626"/>
      <c r="X762" s="626"/>
      <c r="Y762" s="626"/>
    </row>
    <row r="763">
      <c r="A763" s="626"/>
      <c r="B763" s="626"/>
      <c r="C763" s="626"/>
      <c r="D763" s="626"/>
      <c r="E763" s="627"/>
      <c r="F763" s="628"/>
      <c r="G763" s="626"/>
      <c r="H763" s="626"/>
      <c r="I763" s="626"/>
      <c r="J763" s="626"/>
      <c r="K763" s="626"/>
      <c r="L763" s="626"/>
      <c r="M763" s="626"/>
      <c r="N763" s="626"/>
      <c r="O763" s="626"/>
      <c r="P763" s="626"/>
      <c r="Q763" s="626"/>
      <c r="R763" s="626"/>
      <c r="S763" s="626"/>
      <c r="T763" s="626"/>
      <c r="U763" s="626"/>
      <c r="V763" s="626"/>
      <c r="W763" s="626"/>
      <c r="X763" s="626"/>
      <c r="Y763" s="626"/>
    </row>
    <row r="764">
      <c r="A764" s="626"/>
      <c r="B764" s="626"/>
      <c r="C764" s="626"/>
      <c r="D764" s="626"/>
      <c r="E764" s="627"/>
      <c r="F764" s="628"/>
      <c r="G764" s="626"/>
      <c r="H764" s="626"/>
      <c r="I764" s="626"/>
      <c r="J764" s="626"/>
      <c r="K764" s="626"/>
      <c r="L764" s="626"/>
      <c r="M764" s="626"/>
      <c r="N764" s="626"/>
      <c r="O764" s="626"/>
      <c r="P764" s="626"/>
      <c r="Q764" s="626"/>
      <c r="R764" s="626"/>
      <c r="S764" s="626"/>
      <c r="T764" s="626"/>
      <c r="U764" s="626"/>
      <c r="V764" s="626"/>
      <c r="W764" s="626"/>
      <c r="X764" s="626"/>
      <c r="Y764" s="626"/>
    </row>
    <row r="765">
      <c r="A765" s="626"/>
      <c r="B765" s="626"/>
      <c r="C765" s="626"/>
      <c r="D765" s="626"/>
      <c r="E765" s="627"/>
      <c r="F765" s="628"/>
      <c r="G765" s="626"/>
      <c r="H765" s="626"/>
      <c r="I765" s="626"/>
      <c r="J765" s="626"/>
      <c r="K765" s="626"/>
      <c r="L765" s="626"/>
      <c r="M765" s="626"/>
      <c r="N765" s="626"/>
      <c r="O765" s="626"/>
      <c r="P765" s="626"/>
      <c r="Q765" s="626"/>
      <c r="R765" s="626"/>
      <c r="S765" s="626"/>
      <c r="T765" s="626"/>
      <c r="U765" s="626"/>
      <c r="V765" s="626"/>
      <c r="W765" s="626"/>
      <c r="X765" s="626"/>
      <c r="Y765" s="626"/>
    </row>
    <row r="766">
      <c r="A766" s="626"/>
      <c r="B766" s="626"/>
      <c r="C766" s="626"/>
      <c r="D766" s="626"/>
      <c r="E766" s="627"/>
      <c r="F766" s="628"/>
      <c r="G766" s="626"/>
      <c r="H766" s="626"/>
      <c r="I766" s="626"/>
      <c r="J766" s="626"/>
      <c r="K766" s="626"/>
      <c r="L766" s="626"/>
      <c r="M766" s="626"/>
      <c r="N766" s="626"/>
      <c r="O766" s="626"/>
      <c r="P766" s="626"/>
      <c r="Q766" s="626"/>
      <c r="R766" s="626"/>
      <c r="S766" s="626"/>
      <c r="T766" s="626"/>
      <c r="U766" s="626"/>
      <c r="V766" s="626"/>
      <c r="W766" s="626"/>
      <c r="X766" s="626"/>
      <c r="Y766" s="626"/>
    </row>
    <row r="767">
      <c r="A767" s="626"/>
      <c r="B767" s="626"/>
      <c r="C767" s="626"/>
      <c r="D767" s="626"/>
      <c r="E767" s="627"/>
      <c r="F767" s="628"/>
      <c r="G767" s="626"/>
      <c r="H767" s="626"/>
      <c r="I767" s="626"/>
      <c r="J767" s="626"/>
      <c r="K767" s="626"/>
      <c r="L767" s="626"/>
      <c r="M767" s="626"/>
      <c r="N767" s="626"/>
      <c r="O767" s="626"/>
      <c r="P767" s="626"/>
      <c r="Q767" s="626"/>
      <c r="R767" s="626"/>
      <c r="S767" s="626"/>
      <c r="T767" s="626"/>
      <c r="U767" s="626"/>
      <c r="V767" s="626"/>
      <c r="W767" s="626"/>
      <c r="X767" s="626"/>
      <c r="Y767" s="626"/>
    </row>
    <row r="768">
      <c r="A768" s="626"/>
      <c r="B768" s="626"/>
      <c r="C768" s="626"/>
      <c r="D768" s="626"/>
      <c r="E768" s="627"/>
      <c r="F768" s="628"/>
      <c r="G768" s="626"/>
      <c r="H768" s="626"/>
      <c r="I768" s="626"/>
      <c r="J768" s="626"/>
      <c r="K768" s="626"/>
      <c r="L768" s="626"/>
      <c r="M768" s="626"/>
      <c r="N768" s="626"/>
      <c r="O768" s="626"/>
      <c r="P768" s="626"/>
      <c r="Q768" s="626"/>
      <c r="R768" s="626"/>
      <c r="S768" s="626"/>
      <c r="T768" s="626"/>
      <c r="U768" s="626"/>
      <c r="V768" s="626"/>
      <c r="W768" s="626"/>
      <c r="X768" s="626"/>
      <c r="Y768" s="626"/>
    </row>
    <row r="769">
      <c r="A769" s="626"/>
      <c r="B769" s="626"/>
      <c r="C769" s="626"/>
      <c r="D769" s="626"/>
      <c r="E769" s="627"/>
      <c r="F769" s="628"/>
      <c r="G769" s="626"/>
      <c r="H769" s="626"/>
      <c r="I769" s="626"/>
      <c r="J769" s="626"/>
      <c r="K769" s="626"/>
      <c r="L769" s="626"/>
      <c r="M769" s="626"/>
      <c r="N769" s="626"/>
      <c r="O769" s="626"/>
      <c r="P769" s="626"/>
      <c r="Q769" s="626"/>
      <c r="R769" s="626"/>
      <c r="S769" s="626"/>
      <c r="T769" s="626"/>
      <c r="U769" s="626"/>
      <c r="V769" s="626"/>
      <c r="W769" s="626"/>
      <c r="X769" s="626"/>
      <c r="Y769" s="626"/>
    </row>
    <row r="770">
      <c r="A770" s="626"/>
      <c r="B770" s="626"/>
      <c r="C770" s="626"/>
      <c r="D770" s="626"/>
      <c r="E770" s="627"/>
      <c r="F770" s="628"/>
      <c r="G770" s="626"/>
      <c r="H770" s="626"/>
      <c r="I770" s="626"/>
      <c r="J770" s="626"/>
      <c r="K770" s="626"/>
      <c r="L770" s="626"/>
      <c r="M770" s="626"/>
      <c r="N770" s="626"/>
      <c r="O770" s="626"/>
      <c r="P770" s="626"/>
      <c r="Q770" s="626"/>
      <c r="R770" s="626"/>
      <c r="S770" s="626"/>
      <c r="T770" s="626"/>
      <c r="U770" s="626"/>
      <c r="V770" s="626"/>
      <c r="W770" s="626"/>
      <c r="X770" s="626"/>
      <c r="Y770" s="626"/>
    </row>
    <row r="771">
      <c r="A771" s="626"/>
      <c r="B771" s="626"/>
      <c r="C771" s="626"/>
      <c r="D771" s="626"/>
      <c r="E771" s="627"/>
      <c r="F771" s="628"/>
      <c r="G771" s="626"/>
      <c r="H771" s="626"/>
      <c r="I771" s="626"/>
      <c r="J771" s="626"/>
      <c r="K771" s="626"/>
      <c r="L771" s="626"/>
      <c r="M771" s="626"/>
      <c r="N771" s="626"/>
      <c r="O771" s="626"/>
      <c r="P771" s="626"/>
      <c r="Q771" s="626"/>
      <c r="R771" s="626"/>
      <c r="S771" s="626"/>
      <c r="T771" s="626"/>
      <c r="U771" s="626"/>
      <c r="V771" s="626"/>
      <c r="W771" s="626"/>
      <c r="X771" s="626"/>
      <c r="Y771" s="626"/>
    </row>
    <row r="772">
      <c r="A772" s="626"/>
      <c r="B772" s="626"/>
      <c r="C772" s="626"/>
      <c r="D772" s="626"/>
      <c r="E772" s="627"/>
      <c r="F772" s="628"/>
      <c r="G772" s="626"/>
      <c r="H772" s="626"/>
      <c r="I772" s="626"/>
      <c r="J772" s="626"/>
      <c r="K772" s="626"/>
      <c r="L772" s="626"/>
      <c r="M772" s="626"/>
      <c r="N772" s="626"/>
      <c r="O772" s="626"/>
      <c r="P772" s="626"/>
      <c r="Q772" s="626"/>
      <c r="R772" s="626"/>
      <c r="S772" s="626"/>
      <c r="T772" s="626"/>
      <c r="U772" s="626"/>
      <c r="V772" s="626"/>
      <c r="W772" s="626"/>
      <c r="X772" s="626"/>
      <c r="Y772" s="626"/>
    </row>
    <row r="773">
      <c r="A773" s="626"/>
      <c r="B773" s="626"/>
      <c r="C773" s="626"/>
      <c r="D773" s="626"/>
      <c r="E773" s="627"/>
      <c r="F773" s="628"/>
      <c r="G773" s="626"/>
      <c r="H773" s="626"/>
      <c r="I773" s="626"/>
      <c r="J773" s="626"/>
      <c r="K773" s="626"/>
      <c r="L773" s="626"/>
      <c r="M773" s="626"/>
      <c r="N773" s="626"/>
      <c r="O773" s="626"/>
      <c r="P773" s="626"/>
      <c r="Q773" s="626"/>
      <c r="R773" s="626"/>
      <c r="S773" s="626"/>
      <c r="T773" s="626"/>
      <c r="U773" s="626"/>
      <c r="V773" s="626"/>
      <c r="W773" s="626"/>
      <c r="X773" s="626"/>
      <c r="Y773" s="626"/>
    </row>
    <row r="774">
      <c r="A774" s="626"/>
      <c r="B774" s="626"/>
      <c r="C774" s="626"/>
      <c r="D774" s="626"/>
      <c r="E774" s="627"/>
      <c r="F774" s="628"/>
      <c r="G774" s="626"/>
      <c r="H774" s="626"/>
      <c r="I774" s="626"/>
      <c r="J774" s="626"/>
      <c r="K774" s="626"/>
      <c r="L774" s="626"/>
      <c r="M774" s="626"/>
      <c r="N774" s="626"/>
      <c r="O774" s="626"/>
      <c r="P774" s="626"/>
      <c r="Q774" s="626"/>
      <c r="R774" s="626"/>
      <c r="S774" s="626"/>
      <c r="T774" s="626"/>
      <c r="U774" s="626"/>
      <c r="V774" s="626"/>
      <c r="W774" s="626"/>
      <c r="X774" s="626"/>
      <c r="Y774" s="626"/>
    </row>
    <row r="775">
      <c r="A775" s="626"/>
      <c r="B775" s="626"/>
      <c r="C775" s="626"/>
      <c r="D775" s="626"/>
      <c r="E775" s="627"/>
      <c r="F775" s="628"/>
      <c r="G775" s="626"/>
      <c r="H775" s="626"/>
      <c r="I775" s="626"/>
      <c r="J775" s="626"/>
      <c r="K775" s="626"/>
      <c r="L775" s="626"/>
      <c r="M775" s="626"/>
      <c r="N775" s="626"/>
      <c r="O775" s="626"/>
      <c r="P775" s="626"/>
      <c r="Q775" s="626"/>
      <c r="R775" s="626"/>
      <c r="S775" s="626"/>
      <c r="T775" s="626"/>
      <c r="U775" s="626"/>
      <c r="V775" s="626"/>
      <c r="W775" s="626"/>
      <c r="X775" s="626"/>
      <c r="Y775" s="626"/>
    </row>
    <row r="776">
      <c r="A776" s="626"/>
      <c r="B776" s="626"/>
      <c r="C776" s="626"/>
      <c r="D776" s="626"/>
      <c r="E776" s="627"/>
      <c r="F776" s="628"/>
      <c r="G776" s="626"/>
      <c r="H776" s="626"/>
      <c r="I776" s="626"/>
      <c r="J776" s="626"/>
      <c r="K776" s="626"/>
      <c r="L776" s="626"/>
      <c r="M776" s="626"/>
      <c r="N776" s="626"/>
      <c r="O776" s="626"/>
      <c r="P776" s="626"/>
      <c r="Q776" s="626"/>
      <c r="R776" s="626"/>
      <c r="S776" s="626"/>
      <c r="T776" s="626"/>
      <c r="U776" s="626"/>
      <c r="V776" s="626"/>
      <c r="W776" s="626"/>
      <c r="X776" s="626"/>
      <c r="Y776" s="626"/>
    </row>
    <row r="777">
      <c r="A777" s="626"/>
      <c r="B777" s="626"/>
      <c r="C777" s="626"/>
      <c r="D777" s="626"/>
      <c r="E777" s="627"/>
      <c r="F777" s="628"/>
      <c r="G777" s="626"/>
      <c r="H777" s="626"/>
      <c r="I777" s="626"/>
      <c r="J777" s="626"/>
      <c r="K777" s="626"/>
      <c r="L777" s="626"/>
      <c r="M777" s="626"/>
      <c r="N777" s="626"/>
      <c r="O777" s="626"/>
      <c r="P777" s="626"/>
      <c r="Q777" s="626"/>
      <c r="R777" s="626"/>
      <c r="S777" s="626"/>
      <c r="T777" s="626"/>
      <c r="U777" s="626"/>
      <c r="V777" s="626"/>
      <c r="W777" s="626"/>
      <c r="X777" s="626"/>
      <c r="Y777" s="626"/>
    </row>
    <row r="778">
      <c r="A778" s="626"/>
      <c r="B778" s="626"/>
      <c r="C778" s="626"/>
      <c r="D778" s="626"/>
      <c r="E778" s="627"/>
      <c r="F778" s="628"/>
      <c r="G778" s="626"/>
      <c r="H778" s="626"/>
      <c r="I778" s="626"/>
      <c r="J778" s="626"/>
      <c r="K778" s="626"/>
      <c r="L778" s="626"/>
      <c r="M778" s="626"/>
      <c r="N778" s="626"/>
      <c r="O778" s="626"/>
      <c r="P778" s="626"/>
      <c r="Q778" s="626"/>
      <c r="R778" s="626"/>
      <c r="S778" s="626"/>
      <c r="T778" s="626"/>
      <c r="U778" s="626"/>
      <c r="V778" s="626"/>
      <c r="W778" s="626"/>
      <c r="X778" s="626"/>
      <c r="Y778" s="626"/>
    </row>
    <row r="779">
      <c r="A779" s="626"/>
      <c r="B779" s="626"/>
      <c r="C779" s="626"/>
      <c r="D779" s="626"/>
      <c r="E779" s="627"/>
      <c r="F779" s="628"/>
      <c r="G779" s="626"/>
      <c r="H779" s="626"/>
      <c r="I779" s="626"/>
      <c r="J779" s="626"/>
      <c r="K779" s="626"/>
      <c r="L779" s="626"/>
      <c r="M779" s="626"/>
      <c r="N779" s="626"/>
      <c r="O779" s="626"/>
      <c r="P779" s="626"/>
      <c r="Q779" s="626"/>
      <c r="R779" s="626"/>
      <c r="S779" s="626"/>
      <c r="T779" s="626"/>
      <c r="U779" s="626"/>
      <c r="V779" s="626"/>
      <c r="W779" s="626"/>
      <c r="X779" s="626"/>
      <c r="Y779" s="626"/>
    </row>
    <row r="780">
      <c r="A780" s="626"/>
      <c r="B780" s="626"/>
      <c r="C780" s="626"/>
      <c r="D780" s="626"/>
      <c r="E780" s="627"/>
      <c r="F780" s="628"/>
      <c r="G780" s="626"/>
      <c r="H780" s="626"/>
      <c r="I780" s="626"/>
      <c r="J780" s="626"/>
      <c r="K780" s="626"/>
      <c r="L780" s="626"/>
      <c r="M780" s="626"/>
      <c r="N780" s="626"/>
      <c r="O780" s="626"/>
      <c r="P780" s="626"/>
      <c r="Q780" s="626"/>
      <c r="R780" s="626"/>
      <c r="S780" s="626"/>
      <c r="T780" s="626"/>
      <c r="U780" s="626"/>
      <c r="V780" s="626"/>
      <c r="W780" s="626"/>
      <c r="X780" s="626"/>
      <c r="Y780" s="626"/>
    </row>
    <row r="781">
      <c r="A781" s="626"/>
      <c r="B781" s="626"/>
      <c r="C781" s="626"/>
      <c r="D781" s="626"/>
      <c r="E781" s="627"/>
      <c r="F781" s="628"/>
      <c r="G781" s="626"/>
      <c r="H781" s="626"/>
      <c r="I781" s="626"/>
      <c r="J781" s="626"/>
      <c r="K781" s="626"/>
      <c r="L781" s="626"/>
      <c r="M781" s="626"/>
      <c r="N781" s="626"/>
      <c r="O781" s="626"/>
      <c r="P781" s="626"/>
      <c r="Q781" s="626"/>
      <c r="R781" s="626"/>
      <c r="S781" s="626"/>
      <c r="T781" s="626"/>
      <c r="U781" s="626"/>
      <c r="V781" s="626"/>
      <c r="W781" s="626"/>
      <c r="X781" s="626"/>
      <c r="Y781" s="626"/>
    </row>
    <row r="782">
      <c r="A782" s="626"/>
      <c r="B782" s="626"/>
      <c r="C782" s="626"/>
      <c r="D782" s="626"/>
      <c r="E782" s="627"/>
      <c r="F782" s="628"/>
      <c r="G782" s="626"/>
      <c r="H782" s="626"/>
      <c r="I782" s="626"/>
      <c r="J782" s="626"/>
      <c r="K782" s="626"/>
      <c r="L782" s="626"/>
      <c r="M782" s="626"/>
      <c r="N782" s="626"/>
      <c r="O782" s="626"/>
      <c r="P782" s="626"/>
      <c r="Q782" s="626"/>
      <c r="R782" s="626"/>
      <c r="S782" s="626"/>
      <c r="T782" s="626"/>
      <c r="U782" s="626"/>
      <c r="V782" s="626"/>
      <c r="W782" s="626"/>
      <c r="X782" s="626"/>
      <c r="Y782" s="626"/>
    </row>
    <row r="783">
      <c r="A783" s="626"/>
      <c r="B783" s="626"/>
      <c r="C783" s="626"/>
      <c r="D783" s="626"/>
      <c r="E783" s="627"/>
      <c r="F783" s="628"/>
      <c r="G783" s="626"/>
      <c r="H783" s="626"/>
      <c r="I783" s="626"/>
      <c r="J783" s="626"/>
      <c r="K783" s="626"/>
      <c r="L783" s="626"/>
      <c r="M783" s="626"/>
      <c r="N783" s="626"/>
      <c r="O783" s="626"/>
      <c r="P783" s="626"/>
      <c r="Q783" s="626"/>
      <c r="R783" s="626"/>
      <c r="S783" s="626"/>
      <c r="T783" s="626"/>
      <c r="U783" s="626"/>
      <c r="V783" s="626"/>
      <c r="W783" s="626"/>
      <c r="X783" s="626"/>
      <c r="Y783" s="626"/>
    </row>
    <row r="784">
      <c r="A784" s="626"/>
      <c r="B784" s="626"/>
      <c r="C784" s="626"/>
      <c r="D784" s="626"/>
      <c r="E784" s="627"/>
      <c r="F784" s="628"/>
      <c r="G784" s="626"/>
      <c r="H784" s="626"/>
      <c r="I784" s="626"/>
      <c r="J784" s="626"/>
      <c r="K784" s="626"/>
      <c r="L784" s="626"/>
      <c r="M784" s="626"/>
      <c r="N784" s="626"/>
      <c r="O784" s="626"/>
      <c r="P784" s="626"/>
      <c r="Q784" s="626"/>
      <c r="R784" s="626"/>
      <c r="S784" s="626"/>
      <c r="T784" s="626"/>
      <c r="U784" s="626"/>
      <c r="V784" s="626"/>
      <c r="W784" s="626"/>
      <c r="X784" s="626"/>
      <c r="Y784" s="626"/>
    </row>
    <row r="785">
      <c r="A785" s="626"/>
      <c r="B785" s="626"/>
      <c r="C785" s="626"/>
      <c r="D785" s="626"/>
      <c r="E785" s="627"/>
      <c r="F785" s="628"/>
      <c r="G785" s="626"/>
      <c r="H785" s="626"/>
      <c r="I785" s="626"/>
      <c r="J785" s="626"/>
      <c r="K785" s="626"/>
      <c r="L785" s="626"/>
      <c r="M785" s="626"/>
      <c r="N785" s="626"/>
      <c r="O785" s="626"/>
      <c r="P785" s="626"/>
      <c r="Q785" s="626"/>
      <c r="R785" s="626"/>
      <c r="S785" s="626"/>
      <c r="T785" s="626"/>
      <c r="U785" s="626"/>
      <c r="V785" s="626"/>
      <c r="W785" s="626"/>
      <c r="X785" s="626"/>
      <c r="Y785" s="626"/>
    </row>
    <row r="786">
      <c r="A786" s="626"/>
      <c r="B786" s="626"/>
      <c r="C786" s="626"/>
      <c r="D786" s="626"/>
      <c r="E786" s="627"/>
      <c r="F786" s="628"/>
      <c r="G786" s="626"/>
      <c r="H786" s="626"/>
      <c r="I786" s="626"/>
      <c r="J786" s="626"/>
      <c r="K786" s="626"/>
      <c r="L786" s="626"/>
      <c r="M786" s="626"/>
      <c r="N786" s="626"/>
      <c r="O786" s="626"/>
      <c r="P786" s="626"/>
      <c r="Q786" s="626"/>
      <c r="R786" s="626"/>
      <c r="S786" s="626"/>
      <c r="T786" s="626"/>
      <c r="U786" s="626"/>
      <c r="V786" s="626"/>
      <c r="W786" s="626"/>
      <c r="X786" s="626"/>
      <c r="Y786" s="626"/>
    </row>
    <row r="787">
      <c r="A787" s="626"/>
      <c r="B787" s="626"/>
      <c r="C787" s="626"/>
      <c r="D787" s="626"/>
      <c r="E787" s="627"/>
      <c r="F787" s="628"/>
      <c r="G787" s="626"/>
      <c r="H787" s="626"/>
      <c r="I787" s="626"/>
      <c r="J787" s="626"/>
      <c r="K787" s="626"/>
      <c r="L787" s="626"/>
      <c r="M787" s="626"/>
      <c r="N787" s="626"/>
      <c r="O787" s="626"/>
      <c r="P787" s="626"/>
      <c r="Q787" s="626"/>
      <c r="R787" s="626"/>
      <c r="S787" s="626"/>
      <c r="T787" s="626"/>
      <c r="U787" s="626"/>
      <c r="V787" s="626"/>
      <c r="W787" s="626"/>
      <c r="X787" s="626"/>
      <c r="Y787" s="626"/>
    </row>
    <row r="788">
      <c r="A788" s="626"/>
      <c r="B788" s="626"/>
      <c r="C788" s="626"/>
      <c r="D788" s="626"/>
      <c r="E788" s="627"/>
      <c r="F788" s="628"/>
      <c r="G788" s="626"/>
      <c r="H788" s="626"/>
      <c r="I788" s="626"/>
      <c r="J788" s="626"/>
      <c r="K788" s="626"/>
      <c r="L788" s="626"/>
      <c r="M788" s="626"/>
      <c r="N788" s="626"/>
      <c r="O788" s="626"/>
      <c r="P788" s="626"/>
      <c r="Q788" s="626"/>
      <c r="R788" s="626"/>
      <c r="S788" s="626"/>
      <c r="T788" s="626"/>
      <c r="U788" s="626"/>
      <c r="V788" s="626"/>
      <c r="W788" s="626"/>
      <c r="X788" s="626"/>
      <c r="Y788" s="626"/>
    </row>
    <row r="789">
      <c r="A789" s="626"/>
      <c r="B789" s="626"/>
      <c r="C789" s="626"/>
      <c r="D789" s="626"/>
      <c r="E789" s="627"/>
      <c r="F789" s="628"/>
      <c r="G789" s="626"/>
      <c r="H789" s="626"/>
      <c r="I789" s="626"/>
      <c r="J789" s="626"/>
      <c r="K789" s="626"/>
      <c r="L789" s="626"/>
      <c r="M789" s="626"/>
      <c r="N789" s="626"/>
      <c r="O789" s="626"/>
      <c r="P789" s="626"/>
      <c r="Q789" s="626"/>
      <c r="R789" s="626"/>
      <c r="S789" s="626"/>
      <c r="T789" s="626"/>
      <c r="U789" s="626"/>
      <c r="V789" s="626"/>
      <c r="W789" s="626"/>
      <c r="X789" s="626"/>
      <c r="Y789" s="626"/>
    </row>
    <row r="790">
      <c r="A790" s="626"/>
      <c r="B790" s="626"/>
      <c r="C790" s="626"/>
      <c r="D790" s="626"/>
      <c r="E790" s="627"/>
      <c r="F790" s="628"/>
      <c r="G790" s="626"/>
      <c r="H790" s="626"/>
      <c r="I790" s="626"/>
      <c r="J790" s="626"/>
      <c r="K790" s="626"/>
      <c r="L790" s="626"/>
      <c r="M790" s="626"/>
      <c r="N790" s="626"/>
      <c r="O790" s="626"/>
      <c r="P790" s="626"/>
      <c r="Q790" s="626"/>
      <c r="R790" s="626"/>
      <c r="S790" s="626"/>
      <c r="T790" s="626"/>
      <c r="U790" s="626"/>
      <c r="V790" s="626"/>
      <c r="W790" s="626"/>
      <c r="X790" s="626"/>
      <c r="Y790" s="626"/>
    </row>
    <row r="791">
      <c r="A791" s="626"/>
      <c r="B791" s="626"/>
      <c r="C791" s="626"/>
      <c r="D791" s="626"/>
      <c r="E791" s="627"/>
      <c r="F791" s="628"/>
      <c r="G791" s="626"/>
      <c r="H791" s="626"/>
      <c r="I791" s="626"/>
      <c r="J791" s="626"/>
      <c r="K791" s="626"/>
      <c r="L791" s="626"/>
      <c r="M791" s="626"/>
      <c r="N791" s="626"/>
      <c r="O791" s="626"/>
      <c r="P791" s="626"/>
      <c r="Q791" s="626"/>
      <c r="R791" s="626"/>
      <c r="S791" s="626"/>
      <c r="T791" s="626"/>
      <c r="U791" s="626"/>
      <c r="V791" s="626"/>
      <c r="W791" s="626"/>
      <c r="X791" s="626"/>
      <c r="Y791" s="626"/>
    </row>
    <row r="792">
      <c r="A792" s="626"/>
      <c r="B792" s="626"/>
      <c r="C792" s="626"/>
      <c r="D792" s="626"/>
      <c r="E792" s="627"/>
      <c r="F792" s="628"/>
      <c r="G792" s="626"/>
      <c r="H792" s="626"/>
      <c r="I792" s="626"/>
      <c r="J792" s="626"/>
      <c r="K792" s="626"/>
      <c r="L792" s="626"/>
      <c r="M792" s="626"/>
      <c r="N792" s="626"/>
      <c r="O792" s="626"/>
      <c r="P792" s="626"/>
      <c r="Q792" s="626"/>
      <c r="R792" s="626"/>
      <c r="S792" s="626"/>
      <c r="T792" s="626"/>
      <c r="U792" s="626"/>
      <c r="V792" s="626"/>
      <c r="W792" s="626"/>
      <c r="X792" s="626"/>
      <c r="Y792" s="626"/>
    </row>
    <row r="793">
      <c r="A793" s="626"/>
      <c r="B793" s="626"/>
      <c r="C793" s="626"/>
      <c r="D793" s="626"/>
      <c r="E793" s="627"/>
      <c r="F793" s="628"/>
      <c r="G793" s="626"/>
      <c r="H793" s="626"/>
      <c r="I793" s="626"/>
      <c r="J793" s="626"/>
      <c r="K793" s="626"/>
      <c r="L793" s="626"/>
      <c r="M793" s="626"/>
      <c r="N793" s="626"/>
      <c r="O793" s="626"/>
      <c r="P793" s="626"/>
      <c r="Q793" s="626"/>
      <c r="R793" s="626"/>
      <c r="S793" s="626"/>
      <c r="T793" s="626"/>
      <c r="U793" s="626"/>
      <c r="V793" s="626"/>
      <c r="W793" s="626"/>
      <c r="X793" s="626"/>
      <c r="Y793" s="626"/>
    </row>
    <row r="794">
      <c r="A794" s="626"/>
      <c r="B794" s="626"/>
      <c r="C794" s="626"/>
      <c r="D794" s="626"/>
      <c r="E794" s="627"/>
      <c r="F794" s="628"/>
      <c r="G794" s="626"/>
      <c r="H794" s="626"/>
      <c r="I794" s="626"/>
      <c r="J794" s="626"/>
      <c r="K794" s="626"/>
      <c r="L794" s="626"/>
      <c r="M794" s="626"/>
      <c r="N794" s="626"/>
      <c r="O794" s="626"/>
      <c r="P794" s="626"/>
      <c r="Q794" s="626"/>
      <c r="R794" s="626"/>
      <c r="S794" s="626"/>
      <c r="T794" s="626"/>
      <c r="U794" s="626"/>
      <c r="V794" s="626"/>
      <c r="W794" s="626"/>
      <c r="X794" s="626"/>
      <c r="Y794" s="626"/>
    </row>
    <row r="795">
      <c r="A795" s="626"/>
      <c r="B795" s="626"/>
      <c r="C795" s="626"/>
      <c r="D795" s="626"/>
      <c r="E795" s="627"/>
      <c r="F795" s="628"/>
      <c r="G795" s="626"/>
      <c r="H795" s="626"/>
      <c r="I795" s="626"/>
      <c r="J795" s="626"/>
      <c r="K795" s="626"/>
      <c r="L795" s="626"/>
      <c r="M795" s="626"/>
      <c r="N795" s="626"/>
      <c r="O795" s="626"/>
      <c r="P795" s="626"/>
      <c r="Q795" s="626"/>
      <c r="R795" s="626"/>
      <c r="S795" s="626"/>
      <c r="T795" s="626"/>
      <c r="U795" s="626"/>
      <c r="V795" s="626"/>
      <c r="W795" s="626"/>
      <c r="X795" s="626"/>
      <c r="Y795" s="626"/>
    </row>
    <row r="796">
      <c r="A796" s="626"/>
      <c r="B796" s="626"/>
      <c r="C796" s="626"/>
      <c r="D796" s="626"/>
      <c r="E796" s="627"/>
      <c r="F796" s="628"/>
      <c r="G796" s="626"/>
      <c r="H796" s="626"/>
      <c r="I796" s="626"/>
      <c r="J796" s="626"/>
      <c r="K796" s="626"/>
      <c r="L796" s="626"/>
      <c r="M796" s="626"/>
      <c r="N796" s="626"/>
      <c r="O796" s="626"/>
      <c r="P796" s="626"/>
      <c r="Q796" s="626"/>
      <c r="R796" s="626"/>
      <c r="S796" s="626"/>
      <c r="T796" s="626"/>
      <c r="U796" s="626"/>
      <c r="V796" s="626"/>
      <c r="W796" s="626"/>
      <c r="X796" s="626"/>
      <c r="Y796" s="626"/>
    </row>
    <row r="797">
      <c r="A797" s="626"/>
      <c r="B797" s="626"/>
      <c r="C797" s="626"/>
      <c r="D797" s="626"/>
      <c r="E797" s="627"/>
      <c r="F797" s="628"/>
      <c r="G797" s="626"/>
      <c r="H797" s="626"/>
      <c r="I797" s="626"/>
      <c r="J797" s="626"/>
      <c r="K797" s="626"/>
      <c r="L797" s="626"/>
      <c r="M797" s="626"/>
      <c r="N797" s="626"/>
      <c r="O797" s="626"/>
      <c r="P797" s="626"/>
      <c r="Q797" s="626"/>
      <c r="R797" s="626"/>
      <c r="S797" s="626"/>
      <c r="T797" s="626"/>
      <c r="U797" s="626"/>
      <c r="V797" s="626"/>
      <c r="W797" s="626"/>
      <c r="X797" s="626"/>
      <c r="Y797" s="626"/>
    </row>
    <row r="798">
      <c r="A798" s="626"/>
      <c r="B798" s="626"/>
      <c r="C798" s="626"/>
      <c r="D798" s="626"/>
      <c r="E798" s="627"/>
      <c r="F798" s="628"/>
      <c r="G798" s="626"/>
      <c r="H798" s="626"/>
      <c r="I798" s="626"/>
      <c r="J798" s="626"/>
      <c r="K798" s="626"/>
      <c r="L798" s="626"/>
      <c r="M798" s="626"/>
      <c r="N798" s="626"/>
      <c r="O798" s="626"/>
      <c r="P798" s="626"/>
      <c r="Q798" s="626"/>
      <c r="R798" s="626"/>
      <c r="S798" s="626"/>
      <c r="T798" s="626"/>
      <c r="U798" s="626"/>
      <c r="V798" s="626"/>
      <c r="W798" s="626"/>
      <c r="X798" s="626"/>
      <c r="Y798" s="626"/>
    </row>
    <row r="799">
      <c r="A799" s="626"/>
      <c r="B799" s="626"/>
      <c r="C799" s="626"/>
      <c r="D799" s="626"/>
      <c r="E799" s="627"/>
      <c r="F799" s="628"/>
      <c r="G799" s="626"/>
      <c r="H799" s="626"/>
      <c r="I799" s="626"/>
      <c r="J799" s="626"/>
      <c r="K799" s="626"/>
      <c r="L799" s="626"/>
      <c r="M799" s="626"/>
      <c r="N799" s="626"/>
      <c r="O799" s="626"/>
      <c r="P799" s="626"/>
      <c r="Q799" s="626"/>
      <c r="R799" s="626"/>
      <c r="S799" s="626"/>
      <c r="T799" s="626"/>
      <c r="U799" s="626"/>
      <c r="V799" s="626"/>
      <c r="W799" s="626"/>
      <c r="X799" s="626"/>
      <c r="Y799" s="626"/>
    </row>
    <row r="800">
      <c r="A800" s="626"/>
      <c r="B800" s="626"/>
      <c r="C800" s="626"/>
      <c r="D800" s="626"/>
      <c r="E800" s="627"/>
      <c r="F800" s="628"/>
      <c r="G800" s="626"/>
      <c r="H800" s="626"/>
      <c r="I800" s="626"/>
      <c r="J800" s="626"/>
      <c r="K800" s="626"/>
      <c r="L800" s="626"/>
      <c r="M800" s="626"/>
      <c r="N800" s="626"/>
      <c r="O800" s="626"/>
      <c r="P800" s="626"/>
      <c r="Q800" s="626"/>
      <c r="R800" s="626"/>
      <c r="S800" s="626"/>
      <c r="T800" s="626"/>
      <c r="U800" s="626"/>
      <c r="V800" s="626"/>
      <c r="W800" s="626"/>
      <c r="X800" s="626"/>
      <c r="Y800" s="626"/>
    </row>
    <row r="801">
      <c r="A801" s="626"/>
      <c r="B801" s="626"/>
      <c r="C801" s="626"/>
      <c r="D801" s="626"/>
      <c r="E801" s="627"/>
      <c r="F801" s="628"/>
      <c r="G801" s="626"/>
      <c r="H801" s="626"/>
      <c r="I801" s="626"/>
      <c r="J801" s="626"/>
      <c r="K801" s="626"/>
      <c r="L801" s="626"/>
      <c r="M801" s="626"/>
      <c r="N801" s="626"/>
      <c r="O801" s="626"/>
      <c r="P801" s="626"/>
      <c r="Q801" s="626"/>
      <c r="R801" s="626"/>
      <c r="S801" s="626"/>
      <c r="T801" s="626"/>
      <c r="U801" s="626"/>
      <c r="V801" s="626"/>
      <c r="W801" s="626"/>
      <c r="X801" s="626"/>
      <c r="Y801" s="626"/>
    </row>
    <row r="802">
      <c r="A802" s="626"/>
      <c r="B802" s="626"/>
      <c r="C802" s="626"/>
      <c r="D802" s="626"/>
      <c r="E802" s="627"/>
      <c r="F802" s="628"/>
      <c r="G802" s="626"/>
      <c r="H802" s="626"/>
      <c r="I802" s="626"/>
      <c r="J802" s="626"/>
      <c r="K802" s="626"/>
      <c r="L802" s="626"/>
      <c r="M802" s="626"/>
      <c r="N802" s="626"/>
      <c r="O802" s="626"/>
      <c r="P802" s="626"/>
      <c r="Q802" s="626"/>
      <c r="R802" s="626"/>
      <c r="S802" s="626"/>
      <c r="T802" s="626"/>
      <c r="U802" s="626"/>
      <c r="V802" s="626"/>
      <c r="W802" s="626"/>
      <c r="X802" s="626"/>
      <c r="Y802" s="626"/>
    </row>
    <row r="803">
      <c r="A803" s="626"/>
      <c r="B803" s="626"/>
      <c r="C803" s="626"/>
      <c r="D803" s="626"/>
      <c r="E803" s="627"/>
      <c r="F803" s="628"/>
      <c r="G803" s="626"/>
      <c r="H803" s="626"/>
      <c r="I803" s="626"/>
      <c r="J803" s="626"/>
      <c r="K803" s="626"/>
      <c r="L803" s="626"/>
      <c r="M803" s="626"/>
      <c r="N803" s="626"/>
      <c r="O803" s="626"/>
      <c r="P803" s="626"/>
      <c r="Q803" s="626"/>
      <c r="R803" s="626"/>
      <c r="S803" s="626"/>
      <c r="T803" s="626"/>
      <c r="U803" s="626"/>
      <c r="V803" s="626"/>
      <c r="W803" s="626"/>
      <c r="X803" s="626"/>
      <c r="Y803" s="626"/>
    </row>
    <row r="804">
      <c r="A804" s="626"/>
      <c r="B804" s="626"/>
      <c r="C804" s="626"/>
      <c r="D804" s="626"/>
      <c r="E804" s="627"/>
      <c r="F804" s="628"/>
      <c r="G804" s="626"/>
      <c r="H804" s="626"/>
      <c r="I804" s="626"/>
      <c r="J804" s="626"/>
      <c r="K804" s="626"/>
      <c r="L804" s="626"/>
      <c r="M804" s="626"/>
      <c r="N804" s="626"/>
      <c r="O804" s="626"/>
      <c r="P804" s="626"/>
      <c r="Q804" s="626"/>
      <c r="R804" s="626"/>
      <c r="S804" s="626"/>
      <c r="T804" s="626"/>
      <c r="U804" s="626"/>
      <c r="V804" s="626"/>
      <c r="W804" s="626"/>
      <c r="X804" s="626"/>
      <c r="Y804" s="626"/>
    </row>
    <row r="805">
      <c r="A805" s="626"/>
      <c r="B805" s="626"/>
      <c r="C805" s="626"/>
      <c r="D805" s="626"/>
      <c r="E805" s="627"/>
      <c r="F805" s="628"/>
      <c r="G805" s="626"/>
      <c r="H805" s="626"/>
      <c r="I805" s="626"/>
      <c r="J805" s="626"/>
      <c r="K805" s="626"/>
      <c r="L805" s="626"/>
      <c r="M805" s="626"/>
      <c r="N805" s="626"/>
      <c r="O805" s="626"/>
      <c r="P805" s="626"/>
      <c r="Q805" s="626"/>
      <c r="R805" s="626"/>
      <c r="S805" s="626"/>
      <c r="T805" s="626"/>
      <c r="U805" s="626"/>
      <c r="V805" s="626"/>
      <c r="W805" s="626"/>
      <c r="X805" s="626"/>
      <c r="Y805" s="626"/>
    </row>
    <row r="806">
      <c r="A806" s="626"/>
      <c r="B806" s="626"/>
      <c r="C806" s="626"/>
      <c r="D806" s="626"/>
      <c r="E806" s="627"/>
      <c r="F806" s="628"/>
      <c r="G806" s="626"/>
      <c r="H806" s="626"/>
      <c r="I806" s="626"/>
      <c r="J806" s="626"/>
      <c r="K806" s="626"/>
      <c r="L806" s="626"/>
      <c r="M806" s="626"/>
      <c r="N806" s="626"/>
      <c r="O806" s="626"/>
      <c r="P806" s="626"/>
      <c r="Q806" s="626"/>
      <c r="R806" s="626"/>
      <c r="S806" s="626"/>
      <c r="T806" s="626"/>
      <c r="U806" s="626"/>
      <c r="V806" s="626"/>
      <c r="W806" s="626"/>
      <c r="X806" s="626"/>
      <c r="Y806" s="626"/>
    </row>
    <row r="807">
      <c r="A807" s="626"/>
      <c r="B807" s="626"/>
      <c r="C807" s="626"/>
      <c r="D807" s="626"/>
      <c r="E807" s="627"/>
      <c r="F807" s="628"/>
      <c r="G807" s="626"/>
      <c r="H807" s="626"/>
      <c r="I807" s="626"/>
      <c r="J807" s="626"/>
      <c r="K807" s="626"/>
      <c r="L807" s="626"/>
      <c r="M807" s="626"/>
      <c r="N807" s="626"/>
      <c r="O807" s="626"/>
      <c r="P807" s="626"/>
      <c r="Q807" s="626"/>
      <c r="R807" s="626"/>
      <c r="S807" s="626"/>
      <c r="T807" s="626"/>
      <c r="U807" s="626"/>
      <c r="V807" s="626"/>
      <c r="W807" s="626"/>
      <c r="X807" s="626"/>
      <c r="Y807" s="626"/>
    </row>
    <row r="808">
      <c r="A808" s="626"/>
      <c r="B808" s="626"/>
      <c r="C808" s="626"/>
      <c r="D808" s="626"/>
      <c r="E808" s="627"/>
      <c r="F808" s="628"/>
      <c r="G808" s="626"/>
      <c r="H808" s="626"/>
      <c r="I808" s="626"/>
      <c r="J808" s="626"/>
      <c r="K808" s="626"/>
      <c r="L808" s="626"/>
      <c r="M808" s="626"/>
      <c r="N808" s="626"/>
      <c r="O808" s="626"/>
      <c r="P808" s="626"/>
      <c r="Q808" s="626"/>
      <c r="R808" s="626"/>
      <c r="S808" s="626"/>
      <c r="T808" s="626"/>
      <c r="U808" s="626"/>
      <c r="V808" s="626"/>
      <c r="W808" s="626"/>
      <c r="X808" s="626"/>
      <c r="Y808" s="626"/>
    </row>
    <row r="809">
      <c r="A809" s="626"/>
      <c r="B809" s="626"/>
      <c r="C809" s="626"/>
      <c r="D809" s="626"/>
      <c r="E809" s="627"/>
      <c r="F809" s="628"/>
      <c r="G809" s="626"/>
      <c r="H809" s="626"/>
      <c r="I809" s="626"/>
      <c r="J809" s="626"/>
      <c r="K809" s="626"/>
      <c r="L809" s="626"/>
      <c r="M809" s="626"/>
      <c r="N809" s="626"/>
      <c r="O809" s="626"/>
      <c r="P809" s="626"/>
      <c r="Q809" s="626"/>
      <c r="R809" s="626"/>
      <c r="S809" s="626"/>
      <c r="T809" s="626"/>
      <c r="U809" s="626"/>
      <c r="V809" s="626"/>
      <c r="W809" s="626"/>
      <c r="X809" s="626"/>
      <c r="Y809" s="626"/>
    </row>
    <row r="810">
      <c r="A810" s="626"/>
      <c r="B810" s="626"/>
      <c r="C810" s="626"/>
      <c r="D810" s="626"/>
      <c r="E810" s="627"/>
      <c r="F810" s="628"/>
      <c r="G810" s="626"/>
      <c r="H810" s="626"/>
      <c r="I810" s="626"/>
      <c r="J810" s="626"/>
      <c r="K810" s="626"/>
      <c r="L810" s="626"/>
      <c r="M810" s="626"/>
      <c r="N810" s="626"/>
      <c r="O810" s="626"/>
      <c r="P810" s="626"/>
      <c r="Q810" s="626"/>
      <c r="R810" s="626"/>
      <c r="S810" s="626"/>
      <c r="T810" s="626"/>
      <c r="U810" s="626"/>
      <c r="V810" s="626"/>
      <c r="W810" s="626"/>
      <c r="X810" s="626"/>
      <c r="Y810" s="626"/>
    </row>
    <row r="811">
      <c r="A811" s="626"/>
      <c r="B811" s="626"/>
      <c r="C811" s="626"/>
      <c r="D811" s="626"/>
      <c r="E811" s="627"/>
      <c r="F811" s="628"/>
      <c r="G811" s="626"/>
      <c r="H811" s="626"/>
      <c r="I811" s="626"/>
      <c r="J811" s="626"/>
      <c r="K811" s="626"/>
      <c r="L811" s="626"/>
      <c r="M811" s="626"/>
      <c r="N811" s="626"/>
      <c r="O811" s="626"/>
      <c r="P811" s="626"/>
      <c r="Q811" s="626"/>
      <c r="R811" s="626"/>
      <c r="S811" s="626"/>
      <c r="T811" s="626"/>
      <c r="U811" s="626"/>
      <c r="V811" s="626"/>
      <c r="W811" s="626"/>
      <c r="X811" s="626"/>
      <c r="Y811" s="626"/>
    </row>
    <row r="812">
      <c r="A812" s="626"/>
      <c r="B812" s="626"/>
      <c r="C812" s="626"/>
      <c r="D812" s="626"/>
      <c r="E812" s="627"/>
      <c r="F812" s="628"/>
      <c r="G812" s="626"/>
      <c r="H812" s="626"/>
      <c r="I812" s="626"/>
      <c r="J812" s="626"/>
      <c r="K812" s="626"/>
      <c r="L812" s="626"/>
      <c r="M812" s="626"/>
      <c r="N812" s="626"/>
      <c r="O812" s="626"/>
      <c r="P812" s="626"/>
      <c r="Q812" s="626"/>
      <c r="R812" s="626"/>
      <c r="S812" s="626"/>
      <c r="T812" s="626"/>
      <c r="U812" s="626"/>
      <c r="V812" s="626"/>
      <c r="W812" s="626"/>
      <c r="X812" s="626"/>
      <c r="Y812" s="626"/>
    </row>
    <row r="813">
      <c r="A813" s="626"/>
      <c r="B813" s="626"/>
      <c r="C813" s="626"/>
      <c r="D813" s="626"/>
      <c r="E813" s="627"/>
      <c r="F813" s="628"/>
      <c r="G813" s="626"/>
      <c r="H813" s="626"/>
      <c r="I813" s="626"/>
      <c r="J813" s="626"/>
      <c r="K813" s="626"/>
      <c r="L813" s="626"/>
      <c r="M813" s="626"/>
      <c r="N813" s="626"/>
      <c r="O813" s="626"/>
      <c r="P813" s="626"/>
      <c r="Q813" s="626"/>
      <c r="R813" s="626"/>
      <c r="S813" s="626"/>
      <c r="T813" s="626"/>
      <c r="U813" s="626"/>
      <c r="V813" s="626"/>
      <c r="W813" s="626"/>
      <c r="X813" s="626"/>
      <c r="Y813" s="626"/>
    </row>
    <row r="814">
      <c r="A814" s="626"/>
      <c r="B814" s="626"/>
      <c r="C814" s="626"/>
      <c r="D814" s="626"/>
      <c r="E814" s="627"/>
      <c r="F814" s="628"/>
      <c r="G814" s="626"/>
      <c r="H814" s="626"/>
      <c r="I814" s="626"/>
      <c r="J814" s="626"/>
      <c r="K814" s="626"/>
      <c r="L814" s="626"/>
      <c r="M814" s="626"/>
      <c r="N814" s="626"/>
      <c r="O814" s="626"/>
      <c r="P814" s="626"/>
      <c r="Q814" s="626"/>
      <c r="R814" s="626"/>
      <c r="S814" s="626"/>
      <c r="T814" s="626"/>
      <c r="U814" s="626"/>
      <c r="V814" s="626"/>
      <c r="W814" s="626"/>
      <c r="X814" s="626"/>
      <c r="Y814" s="626"/>
    </row>
    <row r="815">
      <c r="A815" s="626"/>
      <c r="B815" s="626"/>
      <c r="C815" s="626"/>
      <c r="D815" s="626"/>
      <c r="E815" s="627"/>
      <c r="F815" s="628"/>
      <c r="G815" s="626"/>
      <c r="H815" s="626"/>
      <c r="I815" s="626"/>
      <c r="J815" s="626"/>
      <c r="K815" s="626"/>
      <c r="L815" s="626"/>
      <c r="M815" s="626"/>
      <c r="N815" s="626"/>
      <c r="O815" s="626"/>
      <c r="P815" s="626"/>
      <c r="Q815" s="626"/>
      <c r="R815" s="626"/>
      <c r="S815" s="626"/>
      <c r="T815" s="626"/>
      <c r="U815" s="626"/>
      <c r="V815" s="626"/>
      <c r="W815" s="626"/>
      <c r="X815" s="626"/>
      <c r="Y815" s="626"/>
    </row>
    <row r="816">
      <c r="A816" s="626"/>
      <c r="B816" s="626"/>
      <c r="C816" s="626"/>
      <c r="D816" s="626"/>
      <c r="E816" s="627"/>
      <c r="F816" s="628"/>
      <c r="G816" s="626"/>
      <c r="H816" s="626"/>
      <c r="I816" s="626"/>
      <c r="J816" s="626"/>
      <c r="K816" s="626"/>
      <c r="L816" s="626"/>
      <c r="M816" s="626"/>
      <c r="N816" s="626"/>
      <c r="O816" s="626"/>
      <c r="P816" s="626"/>
      <c r="Q816" s="626"/>
      <c r="R816" s="626"/>
      <c r="S816" s="626"/>
      <c r="T816" s="626"/>
      <c r="U816" s="626"/>
      <c r="V816" s="626"/>
      <c r="W816" s="626"/>
      <c r="X816" s="626"/>
      <c r="Y816" s="626"/>
    </row>
    <row r="817">
      <c r="A817" s="626"/>
      <c r="B817" s="626"/>
      <c r="C817" s="626"/>
      <c r="D817" s="626"/>
      <c r="E817" s="627"/>
      <c r="F817" s="628"/>
      <c r="G817" s="626"/>
      <c r="H817" s="626"/>
      <c r="I817" s="626"/>
      <c r="J817" s="626"/>
      <c r="K817" s="626"/>
      <c r="L817" s="626"/>
      <c r="M817" s="626"/>
      <c r="N817" s="626"/>
      <c r="O817" s="626"/>
      <c r="P817" s="626"/>
      <c r="Q817" s="626"/>
      <c r="R817" s="626"/>
      <c r="S817" s="626"/>
      <c r="T817" s="626"/>
      <c r="U817" s="626"/>
      <c r="V817" s="626"/>
      <c r="W817" s="626"/>
      <c r="X817" s="626"/>
      <c r="Y817" s="626"/>
    </row>
    <row r="818">
      <c r="A818" s="626"/>
      <c r="B818" s="626"/>
      <c r="C818" s="626"/>
      <c r="D818" s="626"/>
      <c r="E818" s="627"/>
      <c r="F818" s="628"/>
      <c r="G818" s="626"/>
      <c r="H818" s="626"/>
      <c r="I818" s="626"/>
      <c r="J818" s="626"/>
      <c r="K818" s="626"/>
      <c r="L818" s="626"/>
      <c r="M818" s="626"/>
      <c r="N818" s="626"/>
      <c r="O818" s="626"/>
      <c r="P818" s="626"/>
      <c r="Q818" s="626"/>
      <c r="R818" s="626"/>
      <c r="S818" s="626"/>
      <c r="T818" s="626"/>
      <c r="U818" s="626"/>
      <c r="V818" s="626"/>
      <c r="W818" s="626"/>
      <c r="X818" s="626"/>
      <c r="Y818" s="626"/>
    </row>
    <row r="819">
      <c r="A819" s="626"/>
      <c r="B819" s="626"/>
      <c r="C819" s="626"/>
      <c r="D819" s="626"/>
      <c r="E819" s="627"/>
      <c r="F819" s="628"/>
      <c r="G819" s="626"/>
      <c r="H819" s="626"/>
      <c r="I819" s="626"/>
      <c r="J819" s="626"/>
      <c r="K819" s="626"/>
      <c r="L819" s="626"/>
      <c r="M819" s="626"/>
      <c r="N819" s="626"/>
      <c r="O819" s="626"/>
      <c r="P819" s="626"/>
      <c r="Q819" s="626"/>
      <c r="R819" s="626"/>
      <c r="S819" s="626"/>
      <c r="T819" s="626"/>
      <c r="U819" s="626"/>
      <c r="V819" s="626"/>
      <c r="W819" s="626"/>
      <c r="X819" s="626"/>
      <c r="Y819" s="626"/>
    </row>
    <row r="820">
      <c r="A820" s="626"/>
      <c r="B820" s="626"/>
      <c r="C820" s="626"/>
      <c r="D820" s="626"/>
      <c r="E820" s="627"/>
      <c r="F820" s="628"/>
      <c r="G820" s="626"/>
      <c r="H820" s="626"/>
      <c r="I820" s="626"/>
      <c r="J820" s="626"/>
      <c r="K820" s="626"/>
      <c r="L820" s="626"/>
      <c r="M820" s="626"/>
      <c r="N820" s="626"/>
      <c r="O820" s="626"/>
      <c r="P820" s="626"/>
      <c r="Q820" s="626"/>
      <c r="R820" s="626"/>
      <c r="S820" s="626"/>
      <c r="T820" s="626"/>
      <c r="U820" s="626"/>
      <c r="V820" s="626"/>
      <c r="W820" s="626"/>
      <c r="X820" s="626"/>
      <c r="Y820" s="626"/>
    </row>
    <row r="821">
      <c r="A821" s="626"/>
      <c r="B821" s="626"/>
      <c r="C821" s="626"/>
      <c r="D821" s="626"/>
      <c r="E821" s="627"/>
      <c r="F821" s="628"/>
      <c r="G821" s="626"/>
      <c r="H821" s="626"/>
      <c r="I821" s="626"/>
      <c r="J821" s="626"/>
      <c r="K821" s="626"/>
      <c r="L821" s="626"/>
      <c r="M821" s="626"/>
      <c r="N821" s="626"/>
      <c r="O821" s="626"/>
      <c r="P821" s="626"/>
      <c r="Q821" s="626"/>
      <c r="R821" s="626"/>
      <c r="S821" s="626"/>
      <c r="T821" s="626"/>
      <c r="U821" s="626"/>
      <c r="V821" s="626"/>
      <c r="W821" s="626"/>
      <c r="X821" s="626"/>
      <c r="Y821" s="626"/>
    </row>
    <row r="822">
      <c r="A822" s="626"/>
      <c r="B822" s="626"/>
      <c r="C822" s="626"/>
      <c r="D822" s="626"/>
      <c r="E822" s="627"/>
      <c r="F822" s="628"/>
      <c r="G822" s="626"/>
      <c r="H822" s="626"/>
      <c r="I822" s="626"/>
      <c r="J822" s="626"/>
      <c r="K822" s="626"/>
      <c r="L822" s="626"/>
      <c r="M822" s="626"/>
      <c r="N822" s="626"/>
      <c r="O822" s="626"/>
      <c r="P822" s="626"/>
      <c r="Q822" s="626"/>
      <c r="R822" s="626"/>
      <c r="S822" s="626"/>
      <c r="T822" s="626"/>
      <c r="U822" s="626"/>
      <c r="V822" s="626"/>
      <c r="W822" s="626"/>
      <c r="X822" s="626"/>
      <c r="Y822" s="626"/>
    </row>
    <row r="823">
      <c r="A823" s="626"/>
      <c r="B823" s="626"/>
      <c r="C823" s="626"/>
      <c r="D823" s="626"/>
      <c r="E823" s="627"/>
      <c r="F823" s="628"/>
      <c r="G823" s="626"/>
      <c r="H823" s="626"/>
      <c r="I823" s="626"/>
      <c r="J823" s="626"/>
      <c r="K823" s="626"/>
      <c r="L823" s="626"/>
      <c r="M823" s="626"/>
      <c r="N823" s="626"/>
      <c r="O823" s="626"/>
      <c r="P823" s="626"/>
      <c r="Q823" s="626"/>
      <c r="R823" s="626"/>
      <c r="S823" s="626"/>
      <c r="T823" s="626"/>
      <c r="U823" s="626"/>
      <c r="V823" s="626"/>
      <c r="W823" s="626"/>
      <c r="X823" s="626"/>
      <c r="Y823" s="626"/>
    </row>
    <row r="824">
      <c r="A824" s="626"/>
      <c r="B824" s="626"/>
      <c r="C824" s="626"/>
      <c r="D824" s="626"/>
      <c r="E824" s="627"/>
      <c r="F824" s="628"/>
      <c r="G824" s="626"/>
      <c r="H824" s="626"/>
      <c r="I824" s="626"/>
      <c r="J824" s="626"/>
      <c r="K824" s="626"/>
      <c r="L824" s="626"/>
      <c r="M824" s="626"/>
      <c r="N824" s="626"/>
      <c r="O824" s="626"/>
      <c r="P824" s="626"/>
      <c r="Q824" s="626"/>
      <c r="R824" s="626"/>
      <c r="S824" s="626"/>
      <c r="T824" s="626"/>
      <c r="U824" s="626"/>
      <c r="V824" s="626"/>
      <c r="W824" s="626"/>
      <c r="X824" s="626"/>
      <c r="Y824" s="626"/>
    </row>
    <row r="825">
      <c r="A825" s="626"/>
      <c r="B825" s="626"/>
      <c r="C825" s="626"/>
      <c r="D825" s="626"/>
      <c r="E825" s="627"/>
      <c r="F825" s="628"/>
      <c r="G825" s="626"/>
      <c r="H825" s="626"/>
      <c r="I825" s="626"/>
      <c r="J825" s="626"/>
      <c r="K825" s="626"/>
      <c r="L825" s="626"/>
      <c r="M825" s="626"/>
      <c r="N825" s="626"/>
      <c r="O825" s="626"/>
      <c r="P825" s="626"/>
      <c r="Q825" s="626"/>
      <c r="R825" s="626"/>
      <c r="S825" s="626"/>
      <c r="T825" s="626"/>
      <c r="U825" s="626"/>
      <c r="V825" s="626"/>
      <c r="W825" s="626"/>
      <c r="X825" s="626"/>
      <c r="Y825" s="626"/>
    </row>
    <row r="826">
      <c r="A826" s="626"/>
      <c r="B826" s="626"/>
      <c r="C826" s="626"/>
      <c r="D826" s="626"/>
      <c r="E826" s="627"/>
      <c r="F826" s="628"/>
      <c r="G826" s="626"/>
      <c r="H826" s="626"/>
      <c r="I826" s="626"/>
      <c r="J826" s="626"/>
      <c r="K826" s="626"/>
      <c r="L826" s="626"/>
      <c r="M826" s="626"/>
      <c r="N826" s="626"/>
      <c r="O826" s="626"/>
      <c r="P826" s="626"/>
      <c r="Q826" s="626"/>
      <c r="R826" s="626"/>
      <c r="S826" s="626"/>
      <c r="T826" s="626"/>
      <c r="U826" s="626"/>
      <c r="V826" s="626"/>
      <c r="W826" s="626"/>
      <c r="X826" s="626"/>
      <c r="Y826" s="626"/>
    </row>
    <row r="827">
      <c r="A827" s="626"/>
      <c r="B827" s="626"/>
      <c r="C827" s="626"/>
      <c r="D827" s="626"/>
      <c r="E827" s="627"/>
      <c r="F827" s="628"/>
      <c r="G827" s="626"/>
      <c r="H827" s="626"/>
      <c r="I827" s="626"/>
      <c r="J827" s="626"/>
      <c r="K827" s="626"/>
      <c r="L827" s="626"/>
      <c r="M827" s="626"/>
      <c r="N827" s="626"/>
      <c r="O827" s="626"/>
      <c r="P827" s="626"/>
      <c r="Q827" s="626"/>
      <c r="R827" s="626"/>
      <c r="S827" s="626"/>
      <c r="T827" s="626"/>
      <c r="U827" s="626"/>
      <c r="V827" s="626"/>
      <c r="W827" s="626"/>
      <c r="X827" s="626"/>
      <c r="Y827" s="626"/>
    </row>
    <row r="828">
      <c r="A828" s="626"/>
      <c r="B828" s="626"/>
      <c r="C828" s="626"/>
      <c r="D828" s="626"/>
      <c r="E828" s="627"/>
      <c r="F828" s="628"/>
      <c r="G828" s="626"/>
      <c r="H828" s="626"/>
      <c r="I828" s="626"/>
      <c r="J828" s="626"/>
      <c r="K828" s="626"/>
      <c r="L828" s="626"/>
      <c r="M828" s="626"/>
      <c r="N828" s="626"/>
      <c r="O828" s="626"/>
      <c r="P828" s="626"/>
      <c r="Q828" s="626"/>
      <c r="R828" s="626"/>
      <c r="S828" s="626"/>
      <c r="T828" s="626"/>
      <c r="U828" s="626"/>
      <c r="V828" s="626"/>
      <c r="W828" s="626"/>
      <c r="X828" s="626"/>
      <c r="Y828" s="626"/>
    </row>
    <row r="829">
      <c r="A829" s="626"/>
      <c r="B829" s="626"/>
      <c r="C829" s="626"/>
      <c r="D829" s="626"/>
      <c r="E829" s="627"/>
      <c r="F829" s="628"/>
      <c r="G829" s="626"/>
      <c r="H829" s="626"/>
      <c r="I829" s="626"/>
      <c r="J829" s="626"/>
      <c r="K829" s="626"/>
      <c r="L829" s="626"/>
      <c r="M829" s="626"/>
      <c r="N829" s="626"/>
      <c r="O829" s="626"/>
      <c r="P829" s="626"/>
      <c r="Q829" s="626"/>
      <c r="R829" s="626"/>
      <c r="S829" s="626"/>
      <c r="T829" s="626"/>
      <c r="U829" s="626"/>
      <c r="V829" s="626"/>
      <c r="W829" s="626"/>
      <c r="X829" s="626"/>
      <c r="Y829" s="626"/>
    </row>
    <row r="830">
      <c r="A830" s="626"/>
      <c r="B830" s="626"/>
      <c r="C830" s="626"/>
      <c r="D830" s="626"/>
      <c r="E830" s="627"/>
      <c r="F830" s="628"/>
      <c r="G830" s="626"/>
      <c r="H830" s="626"/>
      <c r="I830" s="626"/>
      <c r="J830" s="626"/>
      <c r="K830" s="626"/>
      <c r="L830" s="626"/>
      <c r="M830" s="626"/>
      <c r="N830" s="626"/>
      <c r="O830" s="626"/>
      <c r="P830" s="626"/>
      <c r="Q830" s="626"/>
      <c r="R830" s="626"/>
      <c r="S830" s="626"/>
      <c r="T830" s="626"/>
      <c r="U830" s="626"/>
      <c r="V830" s="626"/>
      <c r="W830" s="626"/>
      <c r="X830" s="626"/>
      <c r="Y830" s="626"/>
    </row>
    <row r="831">
      <c r="A831" s="626"/>
      <c r="B831" s="626"/>
      <c r="C831" s="626"/>
      <c r="D831" s="626"/>
      <c r="E831" s="627"/>
      <c r="F831" s="628"/>
      <c r="G831" s="626"/>
      <c r="H831" s="626"/>
      <c r="I831" s="626"/>
      <c r="J831" s="626"/>
      <c r="K831" s="626"/>
      <c r="L831" s="626"/>
      <c r="M831" s="626"/>
      <c r="N831" s="626"/>
      <c r="O831" s="626"/>
      <c r="P831" s="626"/>
      <c r="Q831" s="626"/>
      <c r="R831" s="626"/>
      <c r="S831" s="626"/>
      <c r="T831" s="626"/>
      <c r="U831" s="626"/>
      <c r="V831" s="626"/>
      <c r="W831" s="626"/>
      <c r="X831" s="626"/>
      <c r="Y831" s="626"/>
    </row>
    <row r="832">
      <c r="A832" s="626"/>
      <c r="B832" s="626"/>
      <c r="C832" s="626"/>
      <c r="D832" s="626"/>
      <c r="E832" s="627"/>
      <c r="F832" s="628"/>
      <c r="G832" s="626"/>
      <c r="H832" s="626"/>
      <c r="I832" s="626"/>
      <c r="J832" s="626"/>
      <c r="K832" s="626"/>
      <c r="L832" s="626"/>
      <c r="M832" s="626"/>
      <c r="N832" s="626"/>
      <c r="O832" s="626"/>
      <c r="P832" s="626"/>
      <c r="Q832" s="626"/>
      <c r="R832" s="626"/>
      <c r="S832" s="626"/>
      <c r="T832" s="626"/>
      <c r="U832" s="626"/>
      <c r="V832" s="626"/>
      <c r="W832" s="626"/>
      <c r="X832" s="626"/>
      <c r="Y832" s="626"/>
    </row>
    <row r="833">
      <c r="A833" s="626"/>
      <c r="B833" s="626"/>
      <c r="C833" s="626"/>
      <c r="D833" s="626"/>
      <c r="E833" s="627"/>
      <c r="F833" s="628"/>
      <c r="G833" s="626"/>
      <c r="H833" s="626"/>
      <c r="I833" s="626"/>
      <c r="J833" s="626"/>
      <c r="K833" s="626"/>
      <c r="L833" s="626"/>
      <c r="M833" s="626"/>
      <c r="N833" s="626"/>
      <c r="O833" s="626"/>
      <c r="P833" s="626"/>
      <c r="Q833" s="626"/>
      <c r="R833" s="626"/>
      <c r="S833" s="626"/>
      <c r="T833" s="626"/>
      <c r="U833" s="626"/>
      <c r="V833" s="626"/>
      <c r="W833" s="626"/>
      <c r="X833" s="626"/>
      <c r="Y833" s="626"/>
    </row>
    <row r="834">
      <c r="A834" s="626"/>
      <c r="B834" s="626"/>
      <c r="C834" s="626"/>
      <c r="D834" s="626"/>
      <c r="E834" s="627"/>
      <c r="F834" s="628"/>
      <c r="G834" s="626"/>
      <c r="H834" s="626"/>
      <c r="I834" s="626"/>
      <c r="J834" s="626"/>
      <c r="K834" s="626"/>
      <c r="L834" s="626"/>
      <c r="M834" s="626"/>
      <c r="N834" s="626"/>
      <c r="O834" s="626"/>
      <c r="P834" s="626"/>
      <c r="Q834" s="626"/>
      <c r="R834" s="626"/>
      <c r="S834" s="626"/>
      <c r="T834" s="626"/>
      <c r="U834" s="626"/>
      <c r="V834" s="626"/>
      <c r="W834" s="626"/>
      <c r="X834" s="626"/>
      <c r="Y834" s="626"/>
    </row>
    <row r="835">
      <c r="A835" s="626"/>
      <c r="B835" s="626"/>
      <c r="C835" s="626"/>
      <c r="D835" s="626"/>
      <c r="E835" s="627"/>
      <c r="F835" s="628"/>
      <c r="G835" s="626"/>
      <c r="H835" s="626"/>
      <c r="I835" s="626"/>
      <c r="J835" s="626"/>
      <c r="K835" s="626"/>
      <c r="L835" s="626"/>
      <c r="M835" s="626"/>
      <c r="N835" s="626"/>
      <c r="O835" s="626"/>
      <c r="P835" s="626"/>
      <c r="Q835" s="626"/>
      <c r="R835" s="626"/>
      <c r="S835" s="626"/>
      <c r="T835" s="626"/>
      <c r="U835" s="626"/>
      <c r="V835" s="626"/>
      <c r="W835" s="626"/>
      <c r="X835" s="626"/>
      <c r="Y835" s="626"/>
    </row>
    <row r="836">
      <c r="A836" s="626"/>
      <c r="B836" s="626"/>
      <c r="C836" s="626"/>
      <c r="D836" s="626"/>
      <c r="E836" s="627"/>
      <c r="F836" s="628"/>
      <c r="G836" s="626"/>
      <c r="H836" s="626"/>
      <c r="I836" s="626"/>
      <c r="J836" s="626"/>
      <c r="K836" s="626"/>
      <c r="L836" s="626"/>
      <c r="M836" s="626"/>
      <c r="N836" s="626"/>
      <c r="O836" s="626"/>
      <c r="P836" s="626"/>
      <c r="Q836" s="626"/>
      <c r="R836" s="626"/>
      <c r="S836" s="626"/>
      <c r="T836" s="626"/>
      <c r="U836" s="626"/>
      <c r="V836" s="626"/>
      <c r="W836" s="626"/>
      <c r="X836" s="626"/>
      <c r="Y836" s="626"/>
    </row>
    <row r="837">
      <c r="A837" s="626"/>
      <c r="B837" s="626"/>
      <c r="C837" s="626"/>
      <c r="D837" s="626"/>
      <c r="E837" s="627"/>
      <c r="F837" s="628"/>
      <c r="G837" s="626"/>
      <c r="H837" s="626"/>
      <c r="I837" s="626"/>
      <c r="J837" s="626"/>
      <c r="K837" s="626"/>
      <c r="L837" s="626"/>
      <c r="M837" s="626"/>
      <c r="N837" s="626"/>
      <c r="O837" s="626"/>
      <c r="P837" s="626"/>
      <c r="Q837" s="626"/>
      <c r="R837" s="626"/>
      <c r="S837" s="626"/>
      <c r="T837" s="626"/>
      <c r="U837" s="626"/>
      <c r="V837" s="626"/>
      <c r="W837" s="626"/>
      <c r="X837" s="626"/>
      <c r="Y837" s="626"/>
    </row>
    <row r="838">
      <c r="A838" s="626"/>
      <c r="B838" s="626"/>
      <c r="C838" s="626"/>
      <c r="D838" s="626"/>
      <c r="E838" s="627"/>
      <c r="F838" s="628"/>
      <c r="G838" s="626"/>
      <c r="H838" s="626"/>
      <c r="I838" s="626"/>
      <c r="J838" s="626"/>
      <c r="K838" s="626"/>
      <c r="L838" s="626"/>
      <c r="M838" s="626"/>
      <c r="N838" s="626"/>
      <c r="O838" s="626"/>
      <c r="P838" s="626"/>
      <c r="Q838" s="626"/>
      <c r="R838" s="626"/>
      <c r="S838" s="626"/>
      <c r="T838" s="626"/>
      <c r="U838" s="626"/>
      <c r="V838" s="626"/>
      <c r="W838" s="626"/>
      <c r="X838" s="626"/>
      <c r="Y838" s="626"/>
    </row>
    <row r="839">
      <c r="A839" s="626"/>
      <c r="B839" s="626"/>
      <c r="C839" s="626"/>
      <c r="D839" s="626"/>
      <c r="E839" s="627"/>
      <c r="F839" s="628"/>
      <c r="G839" s="626"/>
      <c r="H839" s="626"/>
      <c r="I839" s="626"/>
      <c r="J839" s="626"/>
      <c r="K839" s="626"/>
      <c r="L839" s="626"/>
      <c r="M839" s="626"/>
      <c r="N839" s="626"/>
      <c r="O839" s="626"/>
      <c r="P839" s="626"/>
      <c r="Q839" s="626"/>
      <c r="R839" s="626"/>
      <c r="S839" s="626"/>
      <c r="T839" s="626"/>
      <c r="U839" s="626"/>
      <c r="V839" s="626"/>
      <c r="W839" s="626"/>
      <c r="X839" s="626"/>
      <c r="Y839" s="626"/>
    </row>
    <row r="840">
      <c r="A840" s="626"/>
      <c r="B840" s="626"/>
      <c r="C840" s="626"/>
      <c r="D840" s="626"/>
      <c r="E840" s="627"/>
      <c r="F840" s="628"/>
      <c r="G840" s="626"/>
      <c r="H840" s="626"/>
      <c r="I840" s="626"/>
      <c r="J840" s="626"/>
      <c r="K840" s="626"/>
      <c r="L840" s="626"/>
      <c r="M840" s="626"/>
      <c r="N840" s="626"/>
      <c r="O840" s="626"/>
      <c r="P840" s="626"/>
      <c r="Q840" s="626"/>
      <c r="R840" s="626"/>
      <c r="S840" s="626"/>
      <c r="T840" s="626"/>
      <c r="U840" s="626"/>
      <c r="V840" s="626"/>
      <c r="W840" s="626"/>
      <c r="X840" s="626"/>
      <c r="Y840" s="626"/>
    </row>
    <row r="841">
      <c r="A841" s="626"/>
      <c r="B841" s="626"/>
      <c r="C841" s="626"/>
      <c r="D841" s="626"/>
      <c r="E841" s="627"/>
      <c r="F841" s="628"/>
      <c r="G841" s="626"/>
      <c r="H841" s="626"/>
      <c r="I841" s="626"/>
      <c r="J841" s="626"/>
      <c r="K841" s="626"/>
      <c r="L841" s="626"/>
      <c r="M841" s="626"/>
      <c r="N841" s="626"/>
      <c r="O841" s="626"/>
      <c r="P841" s="626"/>
      <c r="Q841" s="626"/>
      <c r="R841" s="626"/>
      <c r="S841" s="626"/>
      <c r="T841" s="626"/>
      <c r="U841" s="626"/>
      <c r="V841" s="626"/>
      <c r="W841" s="626"/>
      <c r="X841" s="626"/>
      <c r="Y841" s="626"/>
    </row>
    <row r="842">
      <c r="A842" s="626"/>
      <c r="B842" s="626"/>
      <c r="C842" s="626"/>
      <c r="D842" s="626"/>
      <c r="E842" s="627"/>
      <c r="F842" s="628"/>
      <c r="G842" s="626"/>
      <c r="H842" s="626"/>
      <c r="I842" s="626"/>
      <c r="J842" s="626"/>
      <c r="K842" s="626"/>
      <c r="L842" s="626"/>
      <c r="M842" s="626"/>
      <c r="N842" s="626"/>
      <c r="O842" s="626"/>
      <c r="P842" s="626"/>
      <c r="Q842" s="626"/>
      <c r="R842" s="626"/>
      <c r="S842" s="626"/>
      <c r="T842" s="626"/>
      <c r="U842" s="626"/>
      <c r="V842" s="626"/>
      <c r="W842" s="626"/>
      <c r="X842" s="626"/>
      <c r="Y842" s="626"/>
    </row>
    <row r="843">
      <c r="A843" s="626"/>
      <c r="B843" s="626"/>
      <c r="C843" s="626"/>
      <c r="D843" s="626"/>
      <c r="E843" s="627"/>
      <c r="F843" s="628"/>
      <c r="G843" s="626"/>
      <c r="H843" s="626"/>
      <c r="I843" s="626"/>
      <c r="J843" s="626"/>
      <c r="K843" s="626"/>
      <c r="L843" s="626"/>
      <c r="M843" s="626"/>
      <c r="N843" s="626"/>
      <c r="O843" s="626"/>
      <c r="P843" s="626"/>
      <c r="Q843" s="626"/>
      <c r="R843" s="626"/>
      <c r="S843" s="626"/>
      <c r="T843" s="626"/>
      <c r="U843" s="626"/>
      <c r="V843" s="626"/>
      <c r="W843" s="626"/>
      <c r="X843" s="626"/>
      <c r="Y843" s="626"/>
    </row>
    <row r="844">
      <c r="A844" s="626"/>
      <c r="B844" s="626"/>
      <c r="C844" s="626"/>
      <c r="D844" s="626"/>
      <c r="E844" s="627"/>
      <c r="F844" s="628"/>
      <c r="G844" s="626"/>
      <c r="H844" s="626"/>
      <c r="I844" s="626"/>
      <c r="J844" s="626"/>
      <c r="K844" s="626"/>
      <c r="L844" s="626"/>
      <c r="M844" s="626"/>
      <c r="N844" s="626"/>
      <c r="O844" s="626"/>
      <c r="P844" s="626"/>
      <c r="Q844" s="626"/>
      <c r="R844" s="626"/>
      <c r="S844" s="626"/>
      <c r="T844" s="626"/>
      <c r="U844" s="626"/>
      <c r="V844" s="626"/>
      <c r="W844" s="626"/>
      <c r="X844" s="626"/>
      <c r="Y844" s="626"/>
    </row>
    <row r="845">
      <c r="A845" s="626"/>
      <c r="B845" s="626"/>
      <c r="C845" s="626"/>
      <c r="D845" s="626"/>
      <c r="E845" s="627"/>
      <c r="F845" s="628"/>
      <c r="G845" s="626"/>
      <c r="H845" s="626"/>
      <c r="I845" s="626"/>
      <c r="J845" s="626"/>
      <c r="K845" s="626"/>
      <c r="L845" s="626"/>
      <c r="M845" s="626"/>
      <c r="N845" s="626"/>
      <c r="O845" s="626"/>
      <c r="P845" s="626"/>
      <c r="Q845" s="626"/>
      <c r="R845" s="626"/>
      <c r="S845" s="626"/>
      <c r="T845" s="626"/>
      <c r="U845" s="626"/>
      <c r="V845" s="626"/>
      <c r="W845" s="626"/>
      <c r="X845" s="626"/>
      <c r="Y845" s="626"/>
    </row>
    <row r="846">
      <c r="A846" s="626"/>
      <c r="B846" s="626"/>
      <c r="C846" s="626"/>
      <c r="D846" s="626"/>
      <c r="E846" s="627"/>
      <c r="F846" s="628"/>
      <c r="G846" s="626"/>
      <c r="H846" s="626"/>
      <c r="I846" s="626"/>
      <c r="J846" s="626"/>
      <c r="K846" s="626"/>
      <c r="L846" s="626"/>
      <c r="M846" s="626"/>
      <c r="N846" s="626"/>
      <c r="O846" s="626"/>
      <c r="P846" s="626"/>
      <c r="Q846" s="626"/>
      <c r="R846" s="626"/>
      <c r="S846" s="626"/>
      <c r="T846" s="626"/>
      <c r="U846" s="626"/>
      <c r="V846" s="626"/>
      <c r="W846" s="626"/>
      <c r="X846" s="626"/>
      <c r="Y846" s="626"/>
    </row>
    <row r="847">
      <c r="A847" s="626"/>
      <c r="B847" s="626"/>
      <c r="C847" s="626"/>
      <c r="D847" s="626"/>
      <c r="E847" s="627"/>
      <c r="F847" s="628"/>
      <c r="G847" s="626"/>
      <c r="H847" s="626"/>
      <c r="I847" s="626"/>
      <c r="J847" s="626"/>
      <c r="K847" s="626"/>
      <c r="L847" s="626"/>
      <c r="M847" s="626"/>
      <c r="N847" s="626"/>
      <c r="O847" s="626"/>
      <c r="P847" s="626"/>
      <c r="Q847" s="626"/>
      <c r="R847" s="626"/>
      <c r="S847" s="626"/>
      <c r="T847" s="626"/>
      <c r="U847" s="626"/>
      <c r="V847" s="626"/>
      <c r="W847" s="626"/>
      <c r="X847" s="626"/>
      <c r="Y847" s="626"/>
    </row>
    <row r="848">
      <c r="A848" s="626"/>
      <c r="B848" s="626"/>
      <c r="C848" s="626"/>
      <c r="D848" s="626"/>
      <c r="E848" s="627"/>
      <c r="F848" s="628"/>
      <c r="G848" s="626"/>
      <c r="H848" s="626"/>
      <c r="I848" s="626"/>
      <c r="J848" s="626"/>
      <c r="K848" s="626"/>
      <c r="L848" s="626"/>
      <c r="M848" s="626"/>
      <c r="N848" s="626"/>
      <c r="O848" s="626"/>
      <c r="P848" s="626"/>
      <c r="Q848" s="626"/>
      <c r="R848" s="626"/>
      <c r="S848" s="626"/>
      <c r="T848" s="626"/>
      <c r="U848" s="626"/>
      <c r="V848" s="626"/>
      <c r="W848" s="626"/>
      <c r="X848" s="626"/>
      <c r="Y848" s="626"/>
    </row>
    <row r="849">
      <c r="A849" s="626"/>
      <c r="B849" s="626"/>
      <c r="C849" s="626"/>
      <c r="D849" s="626"/>
      <c r="E849" s="627"/>
      <c r="F849" s="628"/>
      <c r="G849" s="626"/>
      <c r="H849" s="626"/>
      <c r="I849" s="626"/>
      <c r="J849" s="626"/>
      <c r="K849" s="626"/>
      <c r="L849" s="626"/>
      <c r="M849" s="626"/>
      <c r="N849" s="626"/>
      <c r="O849" s="626"/>
      <c r="P849" s="626"/>
      <c r="Q849" s="626"/>
      <c r="R849" s="626"/>
      <c r="S849" s="626"/>
      <c r="T849" s="626"/>
      <c r="U849" s="626"/>
      <c r="V849" s="626"/>
      <c r="W849" s="626"/>
      <c r="X849" s="626"/>
      <c r="Y849" s="626"/>
    </row>
    <row r="850">
      <c r="A850" s="626"/>
      <c r="B850" s="626"/>
      <c r="C850" s="626"/>
      <c r="D850" s="626"/>
      <c r="E850" s="627"/>
      <c r="F850" s="628"/>
      <c r="G850" s="626"/>
      <c r="H850" s="626"/>
      <c r="I850" s="626"/>
      <c r="J850" s="626"/>
      <c r="K850" s="626"/>
      <c r="L850" s="626"/>
      <c r="M850" s="626"/>
      <c r="N850" s="626"/>
      <c r="O850" s="626"/>
      <c r="P850" s="626"/>
      <c r="Q850" s="626"/>
      <c r="R850" s="626"/>
      <c r="S850" s="626"/>
      <c r="T850" s="626"/>
      <c r="U850" s="626"/>
      <c r="V850" s="626"/>
      <c r="W850" s="626"/>
      <c r="X850" s="626"/>
      <c r="Y850" s="626"/>
    </row>
    <row r="851">
      <c r="A851" s="626"/>
      <c r="B851" s="626"/>
      <c r="C851" s="626"/>
      <c r="D851" s="626"/>
      <c r="E851" s="627"/>
      <c r="F851" s="628"/>
      <c r="G851" s="626"/>
      <c r="H851" s="626"/>
      <c r="I851" s="626"/>
      <c r="J851" s="626"/>
      <c r="K851" s="626"/>
      <c r="L851" s="626"/>
      <c r="M851" s="626"/>
      <c r="N851" s="626"/>
      <c r="O851" s="626"/>
      <c r="P851" s="626"/>
      <c r="Q851" s="626"/>
      <c r="R851" s="626"/>
      <c r="S851" s="626"/>
      <c r="T851" s="626"/>
      <c r="U851" s="626"/>
      <c r="V851" s="626"/>
      <c r="W851" s="626"/>
      <c r="X851" s="626"/>
      <c r="Y851" s="626"/>
    </row>
    <row r="852">
      <c r="A852" s="626"/>
      <c r="B852" s="626"/>
      <c r="C852" s="626"/>
      <c r="D852" s="626"/>
      <c r="E852" s="627"/>
      <c r="F852" s="628"/>
      <c r="G852" s="626"/>
      <c r="H852" s="626"/>
      <c r="I852" s="626"/>
      <c r="J852" s="626"/>
      <c r="K852" s="626"/>
      <c r="L852" s="626"/>
      <c r="M852" s="626"/>
      <c r="N852" s="626"/>
      <c r="O852" s="626"/>
      <c r="P852" s="626"/>
      <c r="Q852" s="626"/>
      <c r="R852" s="626"/>
      <c r="S852" s="626"/>
      <c r="T852" s="626"/>
      <c r="U852" s="626"/>
      <c r="V852" s="626"/>
      <c r="W852" s="626"/>
      <c r="X852" s="626"/>
      <c r="Y852" s="626"/>
    </row>
    <row r="853">
      <c r="A853" s="626"/>
      <c r="B853" s="626"/>
      <c r="C853" s="626"/>
      <c r="D853" s="626"/>
      <c r="E853" s="627"/>
      <c r="F853" s="628"/>
      <c r="G853" s="626"/>
      <c r="H853" s="626"/>
      <c r="I853" s="626"/>
      <c r="J853" s="626"/>
      <c r="K853" s="626"/>
      <c r="L853" s="626"/>
      <c r="M853" s="626"/>
      <c r="N853" s="626"/>
      <c r="O853" s="626"/>
      <c r="P853" s="626"/>
      <c r="Q853" s="626"/>
      <c r="R853" s="626"/>
      <c r="S853" s="626"/>
      <c r="T853" s="626"/>
      <c r="U853" s="626"/>
      <c r="V853" s="626"/>
      <c r="W853" s="626"/>
      <c r="X853" s="626"/>
      <c r="Y853" s="626"/>
    </row>
    <row r="854">
      <c r="A854" s="626"/>
      <c r="B854" s="626"/>
      <c r="C854" s="626"/>
      <c r="D854" s="626"/>
      <c r="E854" s="627"/>
      <c r="F854" s="628"/>
      <c r="G854" s="626"/>
      <c r="H854" s="626"/>
      <c r="I854" s="626"/>
      <c r="J854" s="626"/>
      <c r="K854" s="626"/>
      <c r="L854" s="626"/>
      <c r="M854" s="626"/>
      <c r="N854" s="626"/>
      <c r="O854" s="626"/>
      <c r="P854" s="626"/>
      <c r="Q854" s="626"/>
      <c r="R854" s="626"/>
      <c r="S854" s="626"/>
      <c r="T854" s="626"/>
      <c r="U854" s="626"/>
      <c r="V854" s="626"/>
      <c r="W854" s="626"/>
      <c r="X854" s="626"/>
      <c r="Y854" s="626"/>
    </row>
    <row r="855">
      <c r="A855" s="626"/>
      <c r="B855" s="626"/>
      <c r="C855" s="626"/>
      <c r="D855" s="626"/>
      <c r="E855" s="627"/>
      <c r="F855" s="628"/>
      <c r="G855" s="626"/>
      <c r="H855" s="626"/>
      <c r="I855" s="626"/>
      <c r="J855" s="626"/>
      <c r="K855" s="626"/>
      <c r="L855" s="626"/>
      <c r="M855" s="626"/>
      <c r="N855" s="626"/>
      <c r="O855" s="626"/>
      <c r="P855" s="626"/>
      <c r="Q855" s="626"/>
      <c r="R855" s="626"/>
      <c r="S855" s="626"/>
      <c r="T855" s="626"/>
      <c r="U855" s="626"/>
      <c r="V855" s="626"/>
      <c r="W855" s="626"/>
      <c r="X855" s="626"/>
      <c r="Y855" s="626"/>
    </row>
    <row r="856">
      <c r="A856" s="626"/>
      <c r="B856" s="626"/>
      <c r="C856" s="626"/>
      <c r="D856" s="626"/>
      <c r="E856" s="627"/>
      <c r="F856" s="628"/>
      <c r="G856" s="626"/>
      <c r="H856" s="626"/>
      <c r="I856" s="626"/>
      <c r="J856" s="626"/>
      <c r="K856" s="626"/>
      <c r="L856" s="626"/>
      <c r="M856" s="626"/>
      <c r="N856" s="626"/>
      <c r="O856" s="626"/>
      <c r="P856" s="626"/>
      <c r="Q856" s="626"/>
      <c r="R856" s="626"/>
      <c r="S856" s="626"/>
      <c r="T856" s="626"/>
      <c r="U856" s="626"/>
      <c r="V856" s="626"/>
      <c r="W856" s="626"/>
      <c r="X856" s="626"/>
      <c r="Y856" s="626"/>
    </row>
    <row r="857">
      <c r="A857" s="626"/>
      <c r="B857" s="626"/>
      <c r="C857" s="626"/>
      <c r="D857" s="626"/>
      <c r="E857" s="627"/>
      <c r="F857" s="628"/>
      <c r="G857" s="626"/>
      <c r="H857" s="626"/>
      <c r="I857" s="626"/>
      <c r="J857" s="626"/>
      <c r="K857" s="626"/>
      <c r="L857" s="626"/>
      <c r="M857" s="626"/>
      <c r="N857" s="626"/>
      <c r="O857" s="626"/>
      <c r="P857" s="626"/>
      <c r="Q857" s="626"/>
      <c r="R857" s="626"/>
      <c r="S857" s="626"/>
      <c r="T857" s="626"/>
      <c r="U857" s="626"/>
      <c r="V857" s="626"/>
      <c r="W857" s="626"/>
      <c r="X857" s="626"/>
      <c r="Y857" s="626"/>
    </row>
    <row r="858">
      <c r="A858" s="626"/>
      <c r="B858" s="626"/>
      <c r="C858" s="626"/>
      <c r="D858" s="626"/>
      <c r="E858" s="627"/>
      <c r="F858" s="628"/>
      <c r="G858" s="626"/>
      <c r="H858" s="626"/>
      <c r="I858" s="626"/>
      <c r="J858" s="626"/>
      <c r="K858" s="626"/>
      <c r="L858" s="626"/>
      <c r="M858" s="626"/>
      <c r="N858" s="626"/>
      <c r="O858" s="626"/>
      <c r="P858" s="626"/>
      <c r="Q858" s="626"/>
      <c r="R858" s="626"/>
      <c r="S858" s="626"/>
      <c r="T858" s="626"/>
      <c r="U858" s="626"/>
      <c r="V858" s="626"/>
      <c r="W858" s="626"/>
      <c r="X858" s="626"/>
      <c r="Y858" s="626"/>
    </row>
    <row r="859">
      <c r="A859" s="626"/>
      <c r="B859" s="626"/>
      <c r="C859" s="626"/>
      <c r="D859" s="626"/>
      <c r="E859" s="627"/>
      <c r="F859" s="628"/>
      <c r="G859" s="626"/>
      <c r="H859" s="626"/>
      <c r="I859" s="626"/>
      <c r="J859" s="626"/>
      <c r="K859" s="626"/>
      <c r="L859" s="626"/>
      <c r="M859" s="626"/>
      <c r="N859" s="626"/>
      <c r="O859" s="626"/>
      <c r="P859" s="626"/>
      <c r="Q859" s="626"/>
      <c r="R859" s="626"/>
      <c r="S859" s="626"/>
      <c r="T859" s="626"/>
      <c r="U859" s="626"/>
      <c r="V859" s="626"/>
      <c r="W859" s="626"/>
      <c r="X859" s="626"/>
      <c r="Y859" s="626"/>
    </row>
    <row r="860">
      <c r="A860" s="626"/>
      <c r="B860" s="626"/>
      <c r="C860" s="626"/>
      <c r="D860" s="626"/>
      <c r="E860" s="627"/>
      <c r="F860" s="628"/>
      <c r="G860" s="626"/>
      <c r="H860" s="626"/>
      <c r="I860" s="626"/>
      <c r="J860" s="626"/>
      <c r="K860" s="626"/>
      <c r="L860" s="626"/>
      <c r="M860" s="626"/>
      <c r="N860" s="626"/>
      <c r="O860" s="626"/>
      <c r="P860" s="626"/>
      <c r="Q860" s="626"/>
      <c r="R860" s="626"/>
      <c r="S860" s="626"/>
      <c r="T860" s="626"/>
      <c r="U860" s="626"/>
      <c r="V860" s="626"/>
      <c r="W860" s="626"/>
      <c r="X860" s="626"/>
      <c r="Y860" s="626"/>
    </row>
    <row r="861">
      <c r="A861" s="626"/>
      <c r="B861" s="626"/>
      <c r="C861" s="626"/>
      <c r="D861" s="626"/>
      <c r="E861" s="627"/>
      <c r="F861" s="628"/>
      <c r="G861" s="626"/>
      <c r="H861" s="626"/>
      <c r="I861" s="626"/>
      <c r="J861" s="626"/>
      <c r="K861" s="626"/>
      <c r="L861" s="626"/>
      <c r="M861" s="626"/>
      <c r="N861" s="626"/>
      <c r="O861" s="626"/>
      <c r="P861" s="626"/>
      <c r="Q861" s="626"/>
      <c r="R861" s="626"/>
      <c r="S861" s="626"/>
      <c r="T861" s="626"/>
      <c r="U861" s="626"/>
      <c r="V861" s="626"/>
      <c r="W861" s="626"/>
      <c r="X861" s="626"/>
      <c r="Y861" s="626"/>
    </row>
    <row r="862">
      <c r="A862" s="626"/>
      <c r="B862" s="626"/>
      <c r="C862" s="626"/>
      <c r="D862" s="626"/>
      <c r="E862" s="627"/>
      <c r="F862" s="628"/>
      <c r="G862" s="626"/>
      <c r="H862" s="626"/>
      <c r="I862" s="626"/>
      <c r="J862" s="626"/>
      <c r="K862" s="626"/>
      <c r="L862" s="626"/>
      <c r="M862" s="626"/>
      <c r="N862" s="626"/>
      <c r="O862" s="626"/>
      <c r="P862" s="626"/>
      <c r="Q862" s="626"/>
      <c r="R862" s="626"/>
      <c r="S862" s="626"/>
      <c r="T862" s="626"/>
      <c r="U862" s="626"/>
      <c r="V862" s="626"/>
      <c r="W862" s="626"/>
      <c r="X862" s="626"/>
      <c r="Y862" s="626"/>
    </row>
    <row r="863">
      <c r="A863" s="626"/>
      <c r="B863" s="626"/>
      <c r="C863" s="626"/>
      <c r="D863" s="626"/>
      <c r="E863" s="627"/>
      <c r="F863" s="628"/>
      <c r="G863" s="626"/>
      <c r="H863" s="626"/>
      <c r="I863" s="626"/>
      <c r="J863" s="626"/>
      <c r="K863" s="626"/>
      <c r="L863" s="626"/>
      <c r="M863" s="626"/>
      <c r="N863" s="626"/>
      <c r="O863" s="626"/>
      <c r="P863" s="626"/>
      <c r="Q863" s="626"/>
      <c r="R863" s="626"/>
      <c r="S863" s="626"/>
      <c r="T863" s="626"/>
      <c r="U863" s="626"/>
      <c r="V863" s="626"/>
      <c r="W863" s="626"/>
      <c r="X863" s="626"/>
      <c r="Y863" s="626"/>
    </row>
    <row r="864">
      <c r="A864" s="626"/>
      <c r="B864" s="626"/>
      <c r="C864" s="626"/>
      <c r="D864" s="626"/>
      <c r="E864" s="627"/>
      <c r="F864" s="628"/>
      <c r="G864" s="626"/>
      <c r="H864" s="626"/>
      <c r="I864" s="626"/>
      <c r="J864" s="626"/>
      <c r="K864" s="626"/>
      <c r="L864" s="626"/>
      <c r="M864" s="626"/>
      <c r="N864" s="626"/>
      <c r="O864" s="626"/>
      <c r="P864" s="626"/>
      <c r="Q864" s="626"/>
      <c r="R864" s="626"/>
      <c r="S864" s="626"/>
      <c r="T864" s="626"/>
      <c r="U864" s="626"/>
      <c r="V864" s="626"/>
      <c r="W864" s="626"/>
      <c r="X864" s="626"/>
      <c r="Y864" s="626"/>
    </row>
    <row r="865">
      <c r="A865" s="626"/>
      <c r="B865" s="626"/>
      <c r="C865" s="626"/>
      <c r="D865" s="626"/>
      <c r="E865" s="627"/>
      <c r="F865" s="628"/>
      <c r="G865" s="626"/>
      <c r="H865" s="626"/>
      <c r="I865" s="626"/>
      <c r="J865" s="626"/>
      <c r="K865" s="626"/>
      <c r="L865" s="626"/>
      <c r="M865" s="626"/>
      <c r="N865" s="626"/>
      <c r="O865" s="626"/>
      <c r="P865" s="626"/>
      <c r="Q865" s="626"/>
      <c r="R865" s="626"/>
      <c r="S865" s="626"/>
      <c r="T865" s="626"/>
      <c r="U865" s="626"/>
      <c r="V865" s="626"/>
      <c r="W865" s="626"/>
      <c r="X865" s="626"/>
      <c r="Y865" s="626"/>
    </row>
    <row r="866">
      <c r="A866" s="626"/>
      <c r="B866" s="626"/>
      <c r="C866" s="626"/>
      <c r="D866" s="626"/>
      <c r="E866" s="627"/>
      <c r="F866" s="628"/>
      <c r="G866" s="626"/>
      <c r="H866" s="626"/>
      <c r="I866" s="626"/>
      <c r="J866" s="626"/>
      <c r="K866" s="626"/>
      <c r="L866" s="626"/>
      <c r="M866" s="626"/>
      <c r="N866" s="626"/>
      <c r="O866" s="626"/>
      <c r="P866" s="626"/>
      <c r="Q866" s="626"/>
      <c r="R866" s="626"/>
      <c r="S866" s="626"/>
      <c r="T866" s="626"/>
      <c r="U866" s="626"/>
      <c r="V866" s="626"/>
      <c r="W866" s="626"/>
      <c r="X866" s="626"/>
      <c r="Y866" s="626"/>
    </row>
    <row r="867">
      <c r="A867" s="626"/>
      <c r="B867" s="626"/>
      <c r="C867" s="626"/>
      <c r="D867" s="626"/>
      <c r="E867" s="627"/>
      <c r="F867" s="628"/>
      <c r="G867" s="626"/>
      <c r="H867" s="626"/>
      <c r="I867" s="626"/>
      <c r="J867" s="626"/>
      <c r="K867" s="626"/>
      <c r="L867" s="626"/>
      <c r="M867" s="626"/>
      <c r="N867" s="626"/>
      <c r="O867" s="626"/>
      <c r="P867" s="626"/>
      <c r="Q867" s="626"/>
      <c r="R867" s="626"/>
      <c r="S867" s="626"/>
      <c r="T867" s="626"/>
      <c r="U867" s="626"/>
      <c r="V867" s="626"/>
      <c r="W867" s="626"/>
      <c r="X867" s="626"/>
      <c r="Y867" s="626"/>
    </row>
    <row r="868">
      <c r="A868" s="626"/>
      <c r="B868" s="626"/>
      <c r="C868" s="626"/>
      <c r="D868" s="626"/>
      <c r="E868" s="627"/>
      <c r="F868" s="628"/>
      <c r="G868" s="626"/>
      <c r="H868" s="626"/>
      <c r="I868" s="626"/>
      <c r="J868" s="626"/>
      <c r="K868" s="626"/>
      <c r="L868" s="626"/>
      <c r="M868" s="626"/>
      <c r="N868" s="626"/>
      <c r="O868" s="626"/>
      <c r="P868" s="626"/>
      <c r="Q868" s="626"/>
      <c r="R868" s="626"/>
      <c r="S868" s="626"/>
      <c r="T868" s="626"/>
      <c r="U868" s="626"/>
      <c r="V868" s="626"/>
      <c r="W868" s="626"/>
      <c r="X868" s="626"/>
      <c r="Y868" s="626"/>
    </row>
    <row r="869">
      <c r="A869" s="626"/>
      <c r="B869" s="626"/>
      <c r="C869" s="626"/>
      <c r="D869" s="626"/>
      <c r="E869" s="627"/>
      <c r="F869" s="628"/>
      <c r="G869" s="626"/>
      <c r="H869" s="626"/>
      <c r="I869" s="626"/>
      <c r="J869" s="626"/>
      <c r="K869" s="626"/>
      <c r="L869" s="626"/>
      <c r="M869" s="626"/>
      <c r="N869" s="626"/>
      <c r="O869" s="626"/>
      <c r="P869" s="626"/>
      <c r="Q869" s="626"/>
      <c r="R869" s="626"/>
      <c r="S869" s="626"/>
      <c r="T869" s="626"/>
      <c r="U869" s="626"/>
      <c r="V869" s="626"/>
      <c r="W869" s="626"/>
      <c r="X869" s="626"/>
      <c r="Y869" s="626"/>
    </row>
    <row r="870">
      <c r="A870" s="626"/>
      <c r="B870" s="626"/>
      <c r="C870" s="626"/>
      <c r="D870" s="626"/>
      <c r="E870" s="627"/>
      <c r="F870" s="628"/>
      <c r="G870" s="626"/>
      <c r="H870" s="626"/>
      <c r="I870" s="626"/>
      <c r="J870" s="626"/>
      <c r="K870" s="626"/>
      <c r="L870" s="626"/>
      <c r="M870" s="626"/>
      <c r="N870" s="626"/>
      <c r="O870" s="626"/>
      <c r="P870" s="626"/>
      <c r="Q870" s="626"/>
      <c r="R870" s="626"/>
      <c r="S870" s="626"/>
      <c r="T870" s="626"/>
      <c r="U870" s="626"/>
      <c r="V870" s="626"/>
      <c r="W870" s="626"/>
      <c r="X870" s="626"/>
      <c r="Y870" s="626"/>
    </row>
    <row r="871">
      <c r="A871" s="626"/>
      <c r="B871" s="626"/>
      <c r="C871" s="626"/>
      <c r="D871" s="626"/>
      <c r="E871" s="627"/>
      <c r="F871" s="628"/>
      <c r="G871" s="626"/>
      <c r="H871" s="626"/>
      <c r="I871" s="626"/>
      <c r="J871" s="626"/>
      <c r="K871" s="626"/>
      <c r="L871" s="626"/>
      <c r="M871" s="626"/>
      <c r="N871" s="626"/>
      <c r="O871" s="626"/>
      <c r="P871" s="626"/>
      <c r="Q871" s="626"/>
      <c r="R871" s="626"/>
      <c r="S871" s="626"/>
      <c r="T871" s="626"/>
      <c r="U871" s="626"/>
      <c r="V871" s="626"/>
      <c r="W871" s="626"/>
      <c r="X871" s="626"/>
      <c r="Y871" s="626"/>
    </row>
    <row r="872">
      <c r="A872" s="626"/>
      <c r="B872" s="626"/>
      <c r="C872" s="626"/>
      <c r="D872" s="626"/>
      <c r="E872" s="627"/>
      <c r="F872" s="628"/>
      <c r="G872" s="626"/>
      <c r="H872" s="626"/>
      <c r="I872" s="626"/>
      <c r="J872" s="626"/>
      <c r="K872" s="626"/>
      <c r="L872" s="626"/>
      <c r="M872" s="626"/>
      <c r="N872" s="626"/>
      <c r="O872" s="626"/>
      <c r="P872" s="626"/>
      <c r="Q872" s="626"/>
      <c r="R872" s="626"/>
      <c r="S872" s="626"/>
      <c r="T872" s="626"/>
      <c r="U872" s="626"/>
      <c r="V872" s="626"/>
      <c r="W872" s="626"/>
      <c r="X872" s="626"/>
      <c r="Y872" s="626"/>
    </row>
    <row r="873">
      <c r="A873" s="626"/>
      <c r="B873" s="626"/>
      <c r="C873" s="626"/>
      <c r="D873" s="626"/>
      <c r="E873" s="627"/>
      <c r="F873" s="628"/>
      <c r="G873" s="626"/>
      <c r="H873" s="626"/>
      <c r="I873" s="626"/>
      <c r="J873" s="626"/>
      <c r="K873" s="626"/>
      <c r="L873" s="626"/>
      <c r="M873" s="626"/>
      <c r="N873" s="626"/>
      <c r="O873" s="626"/>
      <c r="P873" s="626"/>
      <c r="Q873" s="626"/>
      <c r="R873" s="626"/>
      <c r="S873" s="626"/>
      <c r="T873" s="626"/>
      <c r="U873" s="626"/>
      <c r="V873" s="626"/>
      <c r="W873" s="626"/>
      <c r="X873" s="626"/>
      <c r="Y873" s="626"/>
    </row>
    <row r="874">
      <c r="A874" s="626"/>
      <c r="B874" s="626"/>
      <c r="C874" s="626"/>
      <c r="D874" s="626"/>
      <c r="E874" s="627"/>
      <c r="F874" s="628"/>
      <c r="G874" s="626"/>
      <c r="H874" s="626"/>
      <c r="I874" s="626"/>
      <c r="J874" s="626"/>
      <c r="K874" s="626"/>
      <c r="L874" s="626"/>
      <c r="M874" s="626"/>
      <c r="N874" s="626"/>
      <c r="O874" s="626"/>
      <c r="P874" s="626"/>
      <c r="Q874" s="626"/>
      <c r="R874" s="626"/>
      <c r="S874" s="626"/>
      <c r="T874" s="626"/>
      <c r="U874" s="626"/>
      <c r="V874" s="626"/>
      <c r="W874" s="626"/>
      <c r="X874" s="626"/>
      <c r="Y874" s="626"/>
    </row>
    <row r="875">
      <c r="A875" s="626"/>
      <c r="B875" s="626"/>
      <c r="C875" s="626"/>
      <c r="D875" s="626"/>
      <c r="E875" s="627"/>
      <c r="F875" s="628"/>
      <c r="G875" s="626"/>
      <c r="H875" s="626"/>
      <c r="I875" s="626"/>
      <c r="J875" s="626"/>
      <c r="K875" s="626"/>
      <c r="L875" s="626"/>
      <c r="M875" s="626"/>
      <c r="N875" s="626"/>
      <c r="O875" s="626"/>
      <c r="P875" s="626"/>
      <c r="Q875" s="626"/>
      <c r="R875" s="626"/>
      <c r="S875" s="626"/>
      <c r="T875" s="626"/>
      <c r="U875" s="626"/>
      <c r="V875" s="626"/>
      <c r="W875" s="626"/>
      <c r="X875" s="626"/>
      <c r="Y875" s="626"/>
    </row>
    <row r="876">
      <c r="A876" s="626"/>
      <c r="B876" s="626"/>
      <c r="C876" s="626"/>
      <c r="D876" s="626"/>
      <c r="E876" s="627"/>
      <c r="F876" s="628"/>
      <c r="G876" s="626"/>
      <c r="H876" s="626"/>
      <c r="I876" s="626"/>
      <c r="J876" s="626"/>
      <c r="K876" s="626"/>
      <c r="L876" s="626"/>
      <c r="M876" s="626"/>
      <c r="N876" s="626"/>
      <c r="O876" s="626"/>
      <c r="P876" s="626"/>
      <c r="Q876" s="626"/>
      <c r="R876" s="626"/>
      <c r="S876" s="626"/>
      <c r="T876" s="626"/>
      <c r="U876" s="626"/>
      <c r="V876" s="626"/>
      <c r="W876" s="626"/>
      <c r="X876" s="626"/>
      <c r="Y876" s="626"/>
    </row>
    <row r="877">
      <c r="A877" s="626"/>
      <c r="B877" s="626"/>
      <c r="C877" s="626"/>
      <c r="D877" s="626"/>
      <c r="E877" s="627"/>
      <c r="F877" s="628"/>
      <c r="G877" s="626"/>
      <c r="H877" s="626"/>
      <c r="I877" s="626"/>
      <c r="J877" s="626"/>
      <c r="K877" s="626"/>
      <c r="L877" s="626"/>
      <c r="M877" s="626"/>
      <c r="N877" s="626"/>
      <c r="O877" s="626"/>
      <c r="P877" s="626"/>
      <c r="Q877" s="626"/>
      <c r="R877" s="626"/>
      <c r="S877" s="626"/>
      <c r="T877" s="626"/>
      <c r="U877" s="626"/>
      <c r="V877" s="626"/>
      <c r="W877" s="626"/>
      <c r="X877" s="626"/>
      <c r="Y877" s="626"/>
    </row>
    <row r="878">
      <c r="A878" s="626"/>
      <c r="B878" s="626"/>
      <c r="C878" s="626"/>
      <c r="D878" s="626"/>
      <c r="E878" s="627"/>
      <c r="F878" s="628"/>
      <c r="G878" s="626"/>
      <c r="H878" s="626"/>
      <c r="I878" s="626"/>
      <c r="J878" s="626"/>
      <c r="K878" s="626"/>
      <c r="L878" s="626"/>
      <c r="M878" s="626"/>
      <c r="N878" s="626"/>
      <c r="O878" s="626"/>
      <c r="P878" s="626"/>
      <c r="Q878" s="626"/>
      <c r="R878" s="626"/>
      <c r="S878" s="626"/>
      <c r="T878" s="626"/>
      <c r="U878" s="626"/>
      <c r="V878" s="626"/>
      <c r="W878" s="626"/>
      <c r="X878" s="626"/>
      <c r="Y878" s="626"/>
    </row>
    <row r="879">
      <c r="A879" s="626"/>
      <c r="B879" s="626"/>
      <c r="C879" s="626"/>
      <c r="D879" s="626"/>
      <c r="E879" s="627"/>
      <c r="F879" s="628"/>
      <c r="G879" s="626"/>
      <c r="H879" s="626"/>
      <c r="I879" s="626"/>
      <c r="J879" s="626"/>
      <c r="K879" s="626"/>
      <c r="L879" s="626"/>
      <c r="M879" s="626"/>
      <c r="N879" s="626"/>
      <c r="O879" s="626"/>
      <c r="P879" s="626"/>
      <c r="Q879" s="626"/>
      <c r="R879" s="626"/>
      <c r="S879" s="626"/>
      <c r="T879" s="626"/>
      <c r="U879" s="626"/>
      <c r="V879" s="626"/>
      <c r="W879" s="626"/>
      <c r="X879" s="626"/>
      <c r="Y879" s="626"/>
    </row>
    <row r="880">
      <c r="A880" s="626"/>
      <c r="B880" s="626"/>
      <c r="C880" s="626"/>
      <c r="D880" s="626"/>
      <c r="E880" s="627"/>
      <c r="F880" s="628"/>
      <c r="G880" s="626"/>
      <c r="H880" s="626"/>
      <c r="I880" s="626"/>
      <c r="J880" s="626"/>
      <c r="K880" s="626"/>
      <c r="L880" s="626"/>
      <c r="M880" s="626"/>
      <c r="N880" s="626"/>
      <c r="O880" s="626"/>
      <c r="P880" s="626"/>
      <c r="Q880" s="626"/>
      <c r="R880" s="626"/>
      <c r="S880" s="626"/>
      <c r="T880" s="626"/>
      <c r="U880" s="626"/>
      <c r="V880" s="626"/>
      <c r="W880" s="626"/>
      <c r="X880" s="626"/>
      <c r="Y880" s="626"/>
    </row>
    <row r="881">
      <c r="A881" s="626"/>
      <c r="B881" s="626"/>
      <c r="C881" s="626"/>
      <c r="D881" s="626"/>
      <c r="E881" s="627"/>
      <c r="F881" s="628"/>
      <c r="G881" s="626"/>
      <c r="H881" s="626"/>
      <c r="I881" s="626"/>
      <c r="J881" s="626"/>
      <c r="K881" s="626"/>
      <c r="L881" s="626"/>
      <c r="M881" s="626"/>
      <c r="N881" s="626"/>
      <c r="O881" s="626"/>
      <c r="P881" s="626"/>
      <c r="Q881" s="626"/>
      <c r="R881" s="626"/>
      <c r="S881" s="626"/>
      <c r="T881" s="626"/>
      <c r="U881" s="626"/>
      <c r="V881" s="626"/>
      <c r="W881" s="626"/>
      <c r="X881" s="626"/>
      <c r="Y881" s="626"/>
    </row>
    <row r="882">
      <c r="A882" s="626"/>
      <c r="B882" s="626"/>
      <c r="C882" s="626"/>
      <c r="D882" s="626"/>
      <c r="E882" s="627"/>
      <c r="F882" s="628"/>
      <c r="G882" s="626"/>
      <c r="H882" s="626"/>
      <c r="I882" s="626"/>
      <c r="J882" s="626"/>
      <c r="K882" s="626"/>
      <c r="L882" s="626"/>
      <c r="M882" s="626"/>
      <c r="N882" s="626"/>
      <c r="O882" s="626"/>
      <c r="P882" s="626"/>
      <c r="Q882" s="626"/>
      <c r="R882" s="626"/>
      <c r="S882" s="626"/>
      <c r="T882" s="626"/>
      <c r="U882" s="626"/>
      <c r="V882" s="626"/>
      <c r="W882" s="626"/>
      <c r="X882" s="626"/>
      <c r="Y882" s="626"/>
    </row>
    <row r="883">
      <c r="A883" s="626"/>
      <c r="B883" s="626"/>
      <c r="C883" s="626"/>
      <c r="D883" s="626"/>
      <c r="E883" s="627"/>
      <c r="F883" s="628"/>
      <c r="G883" s="626"/>
      <c r="H883" s="626"/>
      <c r="I883" s="626"/>
      <c r="J883" s="626"/>
      <c r="K883" s="626"/>
      <c r="L883" s="626"/>
      <c r="M883" s="626"/>
      <c r="N883" s="626"/>
      <c r="O883" s="626"/>
      <c r="P883" s="626"/>
      <c r="Q883" s="626"/>
      <c r="R883" s="626"/>
      <c r="S883" s="626"/>
      <c r="T883" s="626"/>
      <c r="U883" s="626"/>
      <c r="V883" s="626"/>
      <c r="W883" s="626"/>
      <c r="X883" s="626"/>
      <c r="Y883" s="626"/>
    </row>
    <row r="884">
      <c r="A884" s="626"/>
      <c r="B884" s="626"/>
      <c r="C884" s="626"/>
      <c r="D884" s="626"/>
      <c r="E884" s="627"/>
      <c r="F884" s="628"/>
      <c r="G884" s="626"/>
      <c r="H884" s="626"/>
      <c r="I884" s="626"/>
      <c r="J884" s="626"/>
      <c r="K884" s="626"/>
      <c r="L884" s="626"/>
      <c r="M884" s="626"/>
      <c r="N884" s="626"/>
      <c r="O884" s="626"/>
      <c r="P884" s="626"/>
      <c r="Q884" s="626"/>
      <c r="R884" s="626"/>
      <c r="S884" s="626"/>
      <c r="T884" s="626"/>
      <c r="U884" s="626"/>
      <c r="V884" s="626"/>
      <c r="W884" s="626"/>
      <c r="X884" s="626"/>
      <c r="Y884" s="626"/>
    </row>
    <row r="885">
      <c r="A885" s="626"/>
      <c r="B885" s="626"/>
      <c r="C885" s="626"/>
      <c r="D885" s="626"/>
      <c r="E885" s="627"/>
      <c r="F885" s="628"/>
      <c r="G885" s="626"/>
      <c r="H885" s="626"/>
      <c r="I885" s="626"/>
      <c r="J885" s="626"/>
      <c r="K885" s="626"/>
      <c r="L885" s="626"/>
      <c r="M885" s="626"/>
      <c r="N885" s="626"/>
      <c r="O885" s="626"/>
      <c r="P885" s="626"/>
      <c r="Q885" s="626"/>
      <c r="R885" s="626"/>
      <c r="S885" s="626"/>
      <c r="T885" s="626"/>
      <c r="U885" s="626"/>
      <c r="V885" s="626"/>
      <c r="W885" s="626"/>
      <c r="X885" s="626"/>
      <c r="Y885" s="626"/>
    </row>
    <row r="886">
      <c r="A886" s="626"/>
      <c r="B886" s="626"/>
      <c r="C886" s="626"/>
      <c r="D886" s="626"/>
      <c r="E886" s="627"/>
      <c r="F886" s="628"/>
      <c r="G886" s="626"/>
      <c r="H886" s="626"/>
      <c r="I886" s="626"/>
      <c r="J886" s="626"/>
      <c r="K886" s="626"/>
      <c r="L886" s="626"/>
      <c r="M886" s="626"/>
      <c r="N886" s="626"/>
      <c r="O886" s="626"/>
      <c r="P886" s="626"/>
      <c r="Q886" s="626"/>
      <c r="R886" s="626"/>
      <c r="S886" s="626"/>
      <c r="T886" s="626"/>
      <c r="U886" s="626"/>
      <c r="V886" s="626"/>
      <c r="W886" s="626"/>
      <c r="X886" s="626"/>
      <c r="Y886" s="626"/>
    </row>
    <row r="887">
      <c r="A887" s="626"/>
      <c r="B887" s="626"/>
      <c r="C887" s="626"/>
      <c r="D887" s="626"/>
      <c r="E887" s="627"/>
      <c r="F887" s="628"/>
      <c r="G887" s="626"/>
      <c r="H887" s="626"/>
      <c r="I887" s="626"/>
      <c r="J887" s="626"/>
      <c r="K887" s="626"/>
      <c r="L887" s="626"/>
      <c r="M887" s="626"/>
      <c r="N887" s="626"/>
      <c r="O887" s="626"/>
      <c r="P887" s="626"/>
      <c r="Q887" s="626"/>
      <c r="R887" s="626"/>
      <c r="S887" s="626"/>
      <c r="T887" s="626"/>
      <c r="U887" s="626"/>
      <c r="V887" s="626"/>
      <c r="W887" s="626"/>
      <c r="X887" s="626"/>
      <c r="Y887" s="626"/>
    </row>
    <row r="888">
      <c r="A888" s="626"/>
      <c r="B888" s="626"/>
      <c r="C888" s="626"/>
      <c r="D888" s="626"/>
      <c r="E888" s="627"/>
      <c r="F888" s="628"/>
      <c r="G888" s="626"/>
      <c r="H888" s="626"/>
      <c r="I888" s="626"/>
      <c r="J888" s="626"/>
      <c r="K888" s="626"/>
      <c r="L888" s="626"/>
      <c r="M888" s="626"/>
      <c r="N888" s="626"/>
      <c r="O888" s="626"/>
      <c r="P888" s="626"/>
      <c r="Q888" s="626"/>
      <c r="R888" s="626"/>
      <c r="S888" s="626"/>
      <c r="T888" s="626"/>
      <c r="U888" s="626"/>
      <c r="V888" s="626"/>
      <c r="W888" s="626"/>
      <c r="X888" s="626"/>
      <c r="Y888" s="626"/>
    </row>
    <row r="889">
      <c r="A889" s="626"/>
      <c r="B889" s="626"/>
      <c r="C889" s="626"/>
      <c r="D889" s="626"/>
      <c r="E889" s="627"/>
      <c r="F889" s="628"/>
      <c r="G889" s="626"/>
      <c r="H889" s="626"/>
      <c r="I889" s="626"/>
      <c r="J889" s="626"/>
      <c r="K889" s="626"/>
      <c r="L889" s="626"/>
      <c r="M889" s="626"/>
      <c r="N889" s="626"/>
      <c r="O889" s="626"/>
      <c r="P889" s="626"/>
      <c r="Q889" s="626"/>
      <c r="R889" s="626"/>
      <c r="S889" s="626"/>
      <c r="T889" s="626"/>
      <c r="U889" s="626"/>
      <c r="V889" s="626"/>
      <c r="W889" s="626"/>
      <c r="X889" s="626"/>
      <c r="Y889" s="626"/>
    </row>
    <row r="890">
      <c r="A890" s="626"/>
      <c r="B890" s="626"/>
      <c r="C890" s="626"/>
      <c r="D890" s="626"/>
      <c r="E890" s="627"/>
      <c r="F890" s="628"/>
      <c r="G890" s="626"/>
      <c r="H890" s="626"/>
      <c r="I890" s="626"/>
      <c r="J890" s="626"/>
      <c r="K890" s="626"/>
      <c r="L890" s="626"/>
      <c r="M890" s="626"/>
      <c r="N890" s="626"/>
      <c r="O890" s="626"/>
      <c r="P890" s="626"/>
      <c r="Q890" s="626"/>
      <c r="R890" s="626"/>
      <c r="S890" s="626"/>
      <c r="T890" s="626"/>
      <c r="U890" s="626"/>
      <c r="V890" s="626"/>
      <c r="W890" s="626"/>
      <c r="X890" s="626"/>
      <c r="Y890" s="626"/>
    </row>
    <row r="891">
      <c r="A891" s="626"/>
      <c r="B891" s="626"/>
      <c r="C891" s="626"/>
      <c r="D891" s="626"/>
      <c r="E891" s="627"/>
      <c r="F891" s="628"/>
      <c r="G891" s="626"/>
      <c r="H891" s="626"/>
      <c r="I891" s="626"/>
      <c r="J891" s="626"/>
      <c r="K891" s="626"/>
      <c r="L891" s="626"/>
      <c r="M891" s="626"/>
      <c r="N891" s="626"/>
      <c r="O891" s="626"/>
      <c r="P891" s="626"/>
      <c r="Q891" s="626"/>
      <c r="R891" s="626"/>
      <c r="S891" s="626"/>
      <c r="T891" s="626"/>
      <c r="U891" s="626"/>
      <c r="V891" s="626"/>
      <c r="W891" s="626"/>
      <c r="X891" s="626"/>
      <c r="Y891" s="626"/>
    </row>
    <row r="892">
      <c r="A892" s="626"/>
      <c r="B892" s="626"/>
      <c r="C892" s="626"/>
      <c r="D892" s="626"/>
      <c r="E892" s="627"/>
      <c r="F892" s="628"/>
      <c r="G892" s="626"/>
      <c r="H892" s="626"/>
      <c r="I892" s="626"/>
      <c r="J892" s="626"/>
      <c r="K892" s="626"/>
      <c r="L892" s="626"/>
      <c r="M892" s="626"/>
      <c r="N892" s="626"/>
      <c r="O892" s="626"/>
      <c r="P892" s="626"/>
      <c r="Q892" s="626"/>
      <c r="R892" s="626"/>
      <c r="S892" s="626"/>
      <c r="T892" s="626"/>
      <c r="U892" s="626"/>
      <c r="V892" s="626"/>
      <c r="W892" s="626"/>
      <c r="X892" s="626"/>
      <c r="Y892" s="626"/>
    </row>
    <row r="893">
      <c r="A893" s="626"/>
      <c r="B893" s="626"/>
      <c r="C893" s="626"/>
      <c r="D893" s="626"/>
      <c r="E893" s="627"/>
      <c r="F893" s="628"/>
      <c r="G893" s="626"/>
      <c r="H893" s="626"/>
      <c r="I893" s="626"/>
      <c r="J893" s="626"/>
      <c r="K893" s="626"/>
      <c r="L893" s="626"/>
      <c r="M893" s="626"/>
      <c r="N893" s="626"/>
      <c r="O893" s="626"/>
      <c r="P893" s="626"/>
      <c r="Q893" s="626"/>
      <c r="R893" s="626"/>
      <c r="S893" s="626"/>
      <c r="T893" s="626"/>
      <c r="U893" s="626"/>
      <c r="V893" s="626"/>
      <c r="W893" s="626"/>
      <c r="X893" s="626"/>
      <c r="Y893" s="626"/>
    </row>
    <row r="894">
      <c r="A894" s="626"/>
      <c r="B894" s="626"/>
      <c r="C894" s="626"/>
      <c r="D894" s="626"/>
      <c r="E894" s="627"/>
      <c r="F894" s="628"/>
      <c r="G894" s="626"/>
      <c r="H894" s="626"/>
      <c r="I894" s="626"/>
      <c r="J894" s="626"/>
      <c r="K894" s="626"/>
      <c r="L894" s="626"/>
      <c r="M894" s="626"/>
      <c r="N894" s="626"/>
      <c r="O894" s="626"/>
      <c r="P894" s="626"/>
      <c r="Q894" s="626"/>
      <c r="R894" s="626"/>
      <c r="S894" s="626"/>
      <c r="T894" s="626"/>
      <c r="U894" s="626"/>
      <c r="V894" s="626"/>
      <c r="W894" s="626"/>
      <c r="X894" s="626"/>
      <c r="Y894" s="626"/>
    </row>
    <row r="895">
      <c r="A895" s="626"/>
      <c r="B895" s="626"/>
      <c r="C895" s="626"/>
      <c r="D895" s="626"/>
      <c r="E895" s="627"/>
      <c r="F895" s="628"/>
      <c r="G895" s="626"/>
      <c r="H895" s="626"/>
      <c r="I895" s="626"/>
      <c r="J895" s="626"/>
      <c r="K895" s="626"/>
      <c r="L895" s="626"/>
      <c r="M895" s="626"/>
      <c r="N895" s="626"/>
      <c r="O895" s="626"/>
      <c r="P895" s="626"/>
      <c r="Q895" s="626"/>
      <c r="R895" s="626"/>
      <c r="S895" s="626"/>
      <c r="T895" s="626"/>
      <c r="U895" s="626"/>
      <c r="V895" s="626"/>
      <c r="W895" s="626"/>
      <c r="X895" s="626"/>
      <c r="Y895" s="626"/>
    </row>
    <row r="896">
      <c r="A896" s="626"/>
      <c r="B896" s="626"/>
      <c r="C896" s="626"/>
      <c r="D896" s="626"/>
      <c r="E896" s="627"/>
      <c r="F896" s="628"/>
      <c r="G896" s="626"/>
      <c r="H896" s="626"/>
      <c r="I896" s="626"/>
      <c r="J896" s="626"/>
      <c r="K896" s="626"/>
      <c r="L896" s="626"/>
      <c r="M896" s="626"/>
      <c r="N896" s="626"/>
      <c r="O896" s="626"/>
      <c r="P896" s="626"/>
      <c r="Q896" s="626"/>
      <c r="R896" s="626"/>
      <c r="S896" s="626"/>
      <c r="T896" s="626"/>
      <c r="U896" s="626"/>
      <c r="V896" s="626"/>
      <c r="W896" s="626"/>
      <c r="X896" s="626"/>
      <c r="Y896" s="626"/>
    </row>
    <row r="897">
      <c r="A897" s="626"/>
      <c r="B897" s="626"/>
      <c r="C897" s="626"/>
      <c r="D897" s="626"/>
      <c r="E897" s="627"/>
      <c r="F897" s="628"/>
      <c r="G897" s="626"/>
      <c r="H897" s="626"/>
      <c r="I897" s="626"/>
      <c r="J897" s="626"/>
      <c r="K897" s="626"/>
      <c r="L897" s="626"/>
      <c r="M897" s="626"/>
      <c r="N897" s="626"/>
      <c r="O897" s="626"/>
      <c r="P897" s="626"/>
      <c r="Q897" s="626"/>
      <c r="R897" s="626"/>
      <c r="S897" s="626"/>
      <c r="T897" s="626"/>
      <c r="U897" s="626"/>
      <c r="V897" s="626"/>
      <c r="W897" s="626"/>
      <c r="X897" s="626"/>
      <c r="Y897" s="626"/>
    </row>
    <row r="898">
      <c r="A898" s="626"/>
      <c r="B898" s="626"/>
      <c r="C898" s="626"/>
      <c r="D898" s="626"/>
      <c r="E898" s="627"/>
      <c r="F898" s="628"/>
      <c r="G898" s="626"/>
      <c r="H898" s="626"/>
      <c r="I898" s="626"/>
      <c r="J898" s="626"/>
      <c r="K898" s="626"/>
      <c r="L898" s="626"/>
      <c r="M898" s="626"/>
      <c r="N898" s="626"/>
      <c r="O898" s="626"/>
      <c r="P898" s="626"/>
      <c r="Q898" s="626"/>
      <c r="R898" s="626"/>
      <c r="S898" s="626"/>
      <c r="T898" s="626"/>
      <c r="U898" s="626"/>
      <c r="V898" s="626"/>
      <c r="W898" s="626"/>
      <c r="X898" s="626"/>
      <c r="Y898" s="626"/>
    </row>
    <row r="899">
      <c r="A899" s="626"/>
      <c r="B899" s="626"/>
      <c r="C899" s="626"/>
      <c r="D899" s="626"/>
      <c r="E899" s="627"/>
      <c r="F899" s="628"/>
      <c r="G899" s="626"/>
      <c r="H899" s="626"/>
      <c r="I899" s="626"/>
      <c r="J899" s="626"/>
      <c r="K899" s="626"/>
      <c r="L899" s="626"/>
      <c r="M899" s="626"/>
      <c r="N899" s="626"/>
      <c r="O899" s="626"/>
      <c r="P899" s="626"/>
      <c r="Q899" s="626"/>
      <c r="R899" s="626"/>
      <c r="S899" s="626"/>
      <c r="T899" s="626"/>
      <c r="U899" s="626"/>
      <c r="V899" s="626"/>
      <c r="W899" s="626"/>
      <c r="X899" s="626"/>
      <c r="Y899" s="626"/>
    </row>
    <row r="900">
      <c r="A900" s="626"/>
      <c r="B900" s="626"/>
      <c r="C900" s="626"/>
      <c r="D900" s="626"/>
      <c r="E900" s="627"/>
      <c r="F900" s="628"/>
      <c r="G900" s="626"/>
      <c r="H900" s="626"/>
      <c r="I900" s="626"/>
      <c r="J900" s="626"/>
      <c r="K900" s="626"/>
      <c r="L900" s="626"/>
      <c r="M900" s="626"/>
      <c r="N900" s="626"/>
      <c r="O900" s="626"/>
      <c r="P900" s="626"/>
      <c r="Q900" s="626"/>
      <c r="R900" s="626"/>
      <c r="S900" s="626"/>
      <c r="T900" s="626"/>
      <c r="U900" s="626"/>
      <c r="V900" s="626"/>
      <c r="W900" s="626"/>
      <c r="X900" s="626"/>
      <c r="Y900" s="626"/>
    </row>
    <row r="901">
      <c r="A901" s="626"/>
      <c r="B901" s="626"/>
      <c r="C901" s="626"/>
      <c r="D901" s="626"/>
      <c r="E901" s="627"/>
      <c r="F901" s="628"/>
      <c r="G901" s="626"/>
      <c r="H901" s="626"/>
      <c r="I901" s="626"/>
      <c r="J901" s="626"/>
      <c r="K901" s="626"/>
      <c r="L901" s="626"/>
      <c r="M901" s="626"/>
      <c r="N901" s="626"/>
      <c r="O901" s="626"/>
      <c r="P901" s="626"/>
      <c r="Q901" s="626"/>
      <c r="R901" s="626"/>
      <c r="S901" s="626"/>
      <c r="T901" s="626"/>
      <c r="U901" s="626"/>
      <c r="V901" s="626"/>
      <c r="W901" s="626"/>
      <c r="X901" s="626"/>
      <c r="Y901" s="626"/>
    </row>
    <row r="902">
      <c r="A902" s="626"/>
      <c r="B902" s="626"/>
      <c r="C902" s="626"/>
      <c r="D902" s="626"/>
      <c r="E902" s="627"/>
      <c r="F902" s="628"/>
      <c r="G902" s="626"/>
      <c r="H902" s="626"/>
      <c r="I902" s="626"/>
      <c r="J902" s="626"/>
      <c r="K902" s="626"/>
      <c r="L902" s="626"/>
      <c r="M902" s="626"/>
      <c r="N902" s="626"/>
      <c r="O902" s="626"/>
      <c r="P902" s="626"/>
      <c r="Q902" s="626"/>
      <c r="R902" s="626"/>
      <c r="S902" s="626"/>
      <c r="T902" s="626"/>
      <c r="U902" s="626"/>
      <c r="V902" s="626"/>
      <c r="W902" s="626"/>
      <c r="X902" s="626"/>
      <c r="Y902" s="626"/>
    </row>
    <row r="903">
      <c r="A903" s="626"/>
      <c r="B903" s="626"/>
      <c r="C903" s="626"/>
      <c r="D903" s="626"/>
      <c r="E903" s="627"/>
      <c r="F903" s="628"/>
      <c r="G903" s="626"/>
      <c r="H903" s="626"/>
      <c r="I903" s="626"/>
      <c r="J903" s="626"/>
      <c r="K903" s="626"/>
      <c r="L903" s="626"/>
      <c r="M903" s="626"/>
      <c r="N903" s="626"/>
      <c r="O903" s="626"/>
      <c r="P903" s="626"/>
      <c r="Q903" s="626"/>
      <c r="R903" s="626"/>
      <c r="S903" s="626"/>
      <c r="T903" s="626"/>
      <c r="U903" s="626"/>
      <c r="V903" s="626"/>
      <c r="W903" s="626"/>
      <c r="X903" s="626"/>
      <c r="Y903" s="626"/>
    </row>
    <row r="904">
      <c r="A904" s="626"/>
      <c r="B904" s="626"/>
      <c r="C904" s="626"/>
      <c r="D904" s="626"/>
      <c r="E904" s="627"/>
      <c r="F904" s="628"/>
      <c r="G904" s="626"/>
      <c r="H904" s="626"/>
      <c r="I904" s="626"/>
      <c r="J904" s="626"/>
      <c r="K904" s="626"/>
      <c r="L904" s="626"/>
      <c r="M904" s="626"/>
      <c r="N904" s="626"/>
      <c r="O904" s="626"/>
      <c r="P904" s="626"/>
      <c r="Q904" s="626"/>
      <c r="R904" s="626"/>
      <c r="S904" s="626"/>
      <c r="T904" s="626"/>
      <c r="U904" s="626"/>
      <c r="V904" s="626"/>
      <c r="W904" s="626"/>
      <c r="X904" s="626"/>
      <c r="Y904" s="626"/>
    </row>
    <row r="905">
      <c r="A905" s="626"/>
      <c r="B905" s="626"/>
      <c r="C905" s="626"/>
      <c r="D905" s="626"/>
      <c r="E905" s="627"/>
      <c r="F905" s="628"/>
      <c r="G905" s="626"/>
      <c r="H905" s="626"/>
      <c r="I905" s="626"/>
      <c r="J905" s="626"/>
      <c r="K905" s="626"/>
      <c r="L905" s="626"/>
      <c r="M905" s="626"/>
      <c r="N905" s="626"/>
      <c r="O905" s="626"/>
      <c r="P905" s="626"/>
      <c r="Q905" s="626"/>
      <c r="R905" s="626"/>
      <c r="S905" s="626"/>
      <c r="T905" s="626"/>
      <c r="U905" s="626"/>
      <c r="V905" s="626"/>
      <c r="W905" s="626"/>
      <c r="X905" s="626"/>
      <c r="Y905" s="626"/>
    </row>
    <row r="906">
      <c r="A906" s="626"/>
      <c r="B906" s="626"/>
      <c r="C906" s="626"/>
      <c r="D906" s="626"/>
      <c r="E906" s="627"/>
      <c r="F906" s="628"/>
      <c r="G906" s="626"/>
      <c r="H906" s="626"/>
      <c r="I906" s="626"/>
      <c r="J906" s="626"/>
      <c r="K906" s="626"/>
      <c r="L906" s="626"/>
      <c r="M906" s="626"/>
      <c r="N906" s="626"/>
      <c r="O906" s="626"/>
      <c r="P906" s="626"/>
      <c r="Q906" s="626"/>
      <c r="R906" s="626"/>
      <c r="S906" s="626"/>
      <c r="T906" s="626"/>
      <c r="U906" s="626"/>
      <c r="V906" s="626"/>
      <c r="W906" s="626"/>
      <c r="X906" s="626"/>
      <c r="Y906" s="626"/>
    </row>
    <row r="907">
      <c r="A907" s="626"/>
      <c r="B907" s="626"/>
      <c r="C907" s="626"/>
      <c r="D907" s="626"/>
      <c r="E907" s="627"/>
      <c r="F907" s="628"/>
      <c r="G907" s="626"/>
      <c r="H907" s="626"/>
      <c r="I907" s="626"/>
      <c r="J907" s="626"/>
      <c r="K907" s="626"/>
      <c r="L907" s="626"/>
      <c r="M907" s="626"/>
      <c r="N907" s="626"/>
      <c r="O907" s="626"/>
      <c r="P907" s="626"/>
      <c r="Q907" s="626"/>
      <c r="R907" s="626"/>
      <c r="S907" s="626"/>
      <c r="T907" s="626"/>
      <c r="U907" s="626"/>
      <c r="V907" s="626"/>
      <c r="W907" s="626"/>
      <c r="X907" s="626"/>
      <c r="Y907" s="626"/>
    </row>
    <row r="908">
      <c r="A908" s="626"/>
      <c r="B908" s="626"/>
      <c r="C908" s="626"/>
      <c r="D908" s="626"/>
      <c r="E908" s="627"/>
      <c r="F908" s="628"/>
      <c r="G908" s="626"/>
      <c r="H908" s="626"/>
      <c r="I908" s="626"/>
      <c r="J908" s="626"/>
      <c r="K908" s="626"/>
      <c r="L908" s="626"/>
      <c r="M908" s="626"/>
      <c r="N908" s="626"/>
      <c r="O908" s="626"/>
      <c r="P908" s="626"/>
      <c r="Q908" s="626"/>
      <c r="R908" s="626"/>
      <c r="S908" s="626"/>
      <c r="T908" s="626"/>
      <c r="U908" s="626"/>
      <c r="V908" s="626"/>
      <c r="W908" s="626"/>
      <c r="X908" s="626"/>
      <c r="Y908" s="626"/>
    </row>
    <row r="909">
      <c r="A909" s="626"/>
      <c r="B909" s="626"/>
      <c r="C909" s="626"/>
      <c r="D909" s="626"/>
      <c r="E909" s="627"/>
      <c r="F909" s="628"/>
      <c r="G909" s="626"/>
      <c r="H909" s="626"/>
      <c r="I909" s="626"/>
      <c r="J909" s="626"/>
      <c r="K909" s="626"/>
      <c r="L909" s="626"/>
      <c r="M909" s="626"/>
      <c r="N909" s="626"/>
      <c r="O909" s="626"/>
      <c r="P909" s="626"/>
      <c r="Q909" s="626"/>
      <c r="R909" s="626"/>
      <c r="S909" s="626"/>
      <c r="T909" s="626"/>
      <c r="U909" s="626"/>
      <c r="V909" s="626"/>
      <c r="W909" s="626"/>
      <c r="X909" s="626"/>
      <c r="Y909" s="626"/>
    </row>
    <row r="910">
      <c r="A910" s="626"/>
      <c r="B910" s="626"/>
      <c r="C910" s="626"/>
      <c r="D910" s="626"/>
      <c r="E910" s="627"/>
      <c r="F910" s="628"/>
      <c r="G910" s="626"/>
      <c r="H910" s="626"/>
      <c r="I910" s="626"/>
      <c r="J910" s="626"/>
      <c r="K910" s="626"/>
      <c r="L910" s="626"/>
      <c r="M910" s="626"/>
      <c r="N910" s="626"/>
      <c r="O910" s="626"/>
      <c r="P910" s="626"/>
      <c r="Q910" s="626"/>
      <c r="R910" s="626"/>
      <c r="S910" s="626"/>
      <c r="T910" s="626"/>
      <c r="U910" s="626"/>
      <c r="V910" s="626"/>
      <c r="W910" s="626"/>
      <c r="X910" s="626"/>
      <c r="Y910" s="626"/>
    </row>
    <row r="911">
      <c r="A911" s="626"/>
      <c r="B911" s="626"/>
      <c r="C911" s="626"/>
      <c r="D911" s="626"/>
      <c r="E911" s="627"/>
      <c r="F911" s="628"/>
      <c r="G911" s="626"/>
      <c r="H911" s="626"/>
      <c r="I911" s="626"/>
      <c r="J911" s="626"/>
      <c r="K911" s="626"/>
      <c r="L911" s="626"/>
      <c r="M911" s="626"/>
      <c r="N911" s="626"/>
      <c r="O911" s="626"/>
      <c r="P911" s="626"/>
      <c r="Q911" s="626"/>
      <c r="R911" s="626"/>
      <c r="S911" s="626"/>
      <c r="T911" s="626"/>
      <c r="U911" s="626"/>
      <c r="V911" s="626"/>
      <c r="W911" s="626"/>
      <c r="X911" s="626"/>
      <c r="Y911" s="626"/>
    </row>
    <row r="912">
      <c r="A912" s="626"/>
      <c r="B912" s="626"/>
      <c r="C912" s="626"/>
      <c r="D912" s="626"/>
      <c r="E912" s="627"/>
      <c r="F912" s="628"/>
      <c r="G912" s="626"/>
      <c r="H912" s="626"/>
      <c r="I912" s="626"/>
      <c r="J912" s="626"/>
      <c r="K912" s="626"/>
      <c r="L912" s="626"/>
      <c r="M912" s="626"/>
      <c r="N912" s="626"/>
      <c r="O912" s="626"/>
      <c r="P912" s="626"/>
      <c r="Q912" s="626"/>
      <c r="R912" s="626"/>
      <c r="S912" s="626"/>
      <c r="T912" s="626"/>
      <c r="U912" s="626"/>
      <c r="V912" s="626"/>
      <c r="W912" s="626"/>
      <c r="X912" s="626"/>
      <c r="Y912" s="626"/>
    </row>
    <row r="913">
      <c r="A913" s="626"/>
      <c r="B913" s="626"/>
      <c r="C913" s="626"/>
      <c r="D913" s="626"/>
      <c r="E913" s="627"/>
      <c r="F913" s="628"/>
      <c r="G913" s="626"/>
      <c r="H913" s="626"/>
      <c r="I913" s="626"/>
      <c r="J913" s="626"/>
      <c r="K913" s="626"/>
      <c r="L913" s="626"/>
      <c r="M913" s="626"/>
      <c r="N913" s="626"/>
      <c r="O913" s="626"/>
      <c r="P913" s="626"/>
      <c r="Q913" s="626"/>
      <c r="R913" s="626"/>
      <c r="S913" s="626"/>
      <c r="T913" s="626"/>
      <c r="U913" s="626"/>
      <c r="V913" s="626"/>
      <c r="W913" s="626"/>
      <c r="X913" s="626"/>
      <c r="Y913" s="626"/>
    </row>
    <row r="914">
      <c r="A914" s="626"/>
      <c r="B914" s="626"/>
      <c r="C914" s="626"/>
      <c r="D914" s="626"/>
      <c r="E914" s="627"/>
      <c r="F914" s="628"/>
      <c r="G914" s="626"/>
      <c r="H914" s="626"/>
      <c r="I914" s="626"/>
      <c r="J914" s="626"/>
      <c r="K914" s="626"/>
      <c r="L914" s="626"/>
      <c r="M914" s="626"/>
      <c r="N914" s="626"/>
      <c r="O914" s="626"/>
      <c r="P914" s="626"/>
      <c r="Q914" s="626"/>
      <c r="R914" s="626"/>
      <c r="S914" s="626"/>
      <c r="T914" s="626"/>
      <c r="U914" s="626"/>
      <c r="V914" s="626"/>
      <c r="W914" s="626"/>
      <c r="X914" s="626"/>
      <c r="Y914" s="626"/>
    </row>
    <row r="915">
      <c r="A915" s="626"/>
      <c r="B915" s="626"/>
      <c r="C915" s="626"/>
      <c r="D915" s="626"/>
      <c r="E915" s="627"/>
      <c r="F915" s="628"/>
      <c r="G915" s="626"/>
      <c r="H915" s="626"/>
      <c r="I915" s="626"/>
      <c r="J915" s="626"/>
      <c r="K915" s="626"/>
      <c r="L915" s="626"/>
      <c r="M915" s="626"/>
      <c r="N915" s="626"/>
      <c r="O915" s="626"/>
      <c r="P915" s="626"/>
      <c r="Q915" s="626"/>
      <c r="R915" s="626"/>
      <c r="S915" s="626"/>
      <c r="T915" s="626"/>
      <c r="U915" s="626"/>
      <c r="V915" s="626"/>
      <c r="W915" s="626"/>
      <c r="X915" s="626"/>
      <c r="Y915" s="626"/>
    </row>
    <row r="916">
      <c r="A916" s="626"/>
      <c r="B916" s="626"/>
      <c r="C916" s="626"/>
      <c r="D916" s="626"/>
      <c r="E916" s="627"/>
      <c r="F916" s="628"/>
      <c r="G916" s="626"/>
      <c r="H916" s="626"/>
      <c r="I916" s="626"/>
      <c r="J916" s="626"/>
      <c r="K916" s="626"/>
      <c r="L916" s="626"/>
      <c r="M916" s="626"/>
      <c r="N916" s="626"/>
      <c r="O916" s="626"/>
      <c r="P916" s="626"/>
      <c r="Q916" s="626"/>
      <c r="R916" s="626"/>
      <c r="S916" s="626"/>
      <c r="T916" s="626"/>
      <c r="U916" s="626"/>
      <c r="V916" s="626"/>
      <c r="W916" s="626"/>
      <c r="X916" s="626"/>
      <c r="Y916" s="626"/>
    </row>
    <row r="917">
      <c r="A917" s="626"/>
      <c r="B917" s="626"/>
      <c r="C917" s="626"/>
      <c r="D917" s="626"/>
      <c r="E917" s="627"/>
      <c r="F917" s="628"/>
      <c r="G917" s="626"/>
      <c r="H917" s="626"/>
      <c r="I917" s="626"/>
      <c r="J917" s="626"/>
      <c r="K917" s="626"/>
      <c r="L917" s="626"/>
      <c r="M917" s="626"/>
      <c r="N917" s="626"/>
      <c r="O917" s="626"/>
      <c r="P917" s="626"/>
      <c r="Q917" s="626"/>
      <c r="R917" s="626"/>
      <c r="S917" s="626"/>
      <c r="T917" s="626"/>
      <c r="U917" s="626"/>
      <c r="V917" s="626"/>
      <c r="W917" s="626"/>
      <c r="X917" s="626"/>
      <c r="Y917" s="626"/>
    </row>
    <row r="918">
      <c r="A918" s="626"/>
      <c r="B918" s="626"/>
      <c r="C918" s="626"/>
      <c r="D918" s="626"/>
      <c r="E918" s="627"/>
      <c r="F918" s="628"/>
      <c r="G918" s="626"/>
      <c r="H918" s="626"/>
      <c r="I918" s="626"/>
      <c r="J918" s="626"/>
      <c r="K918" s="626"/>
      <c r="L918" s="626"/>
      <c r="M918" s="626"/>
      <c r="N918" s="626"/>
      <c r="O918" s="626"/>
      <c r="P918" s="626"/>
      <c r="Q918" s="626"/>
      <c r="R918" s="626"/>
      <c r="S918" s="626"/>
      <c r="T918" s="626"/>
      <c r="U918" s="626"/>
      <c r="V918" s="626"/>
      <c r="W918" s="626"/>
      <c r="X918" s="626"/>
      <c r="Y918" s="626"/>
    </row>
    <row r="919">
      <c r="A919" s="626"/>
      <c r="B919" s="626"/>
      <c r="C919" s="626"/>
      <c r="D919" s="626"/>
      <c r="E919" s="627"/>
      <c r="F919" s="628"/>
      <c r="G919" s="626"/>
      <c r="H919" s="626"/>
      <c r="I919" s="626"/>
      <c r="J919" s="626"/>
      <c r="K919" s="626"/>
      <c r="L919" s="626"/>
      <c r="M919" s="626"/>
      <c r="N919" s="626"/>
      <c r="O919" s="626"/>
      <c r="P919" s="626"/>
      <c r="Q919" s="626"/>
      <c r="R919" s="626"/>
      <c r="S919" s="626"/>
      <c r="T919" s="626"/>
      <c r="U919" s="626"/>
      <c r="V919" s="626"/>
      <c r="W919" s="626"/>
      <c r="X919" s="626"/>
      <c r="Y919" s="626"/>
    </row>
    <row r="920">
      <c r="A920" s="626"/>
      <c r="B920" s="626"/>
      <c r="C920" s="626"/>
      <c r="D920" s="626"/>
      <c r="E920" s="627"/>
      <c r="F920" s="628"/>
      <c r="G920" s="626"/>
      <c r="H920" s="626"/>
      <c r="I920" s="626"/>
      <c r="J920" s="626"/>
      <c r="K920" s="626"/>
      <c r="L920" s="626"/>
      <c r="M920" s="626"/>
      <c r="N920" s="626"/>
      <c r="O920" s="626"/>
      <c r="P920" s="626"/>
      <c r="Q920" s="626"/>
      <c r="R920" s="626"/>
      <c r="S920" s="626"/>
      <c r="T920" s="626"/>
      <c r="U920" s="626"/>
      <c r="V920" s="626"/>
      <c r="W920" s="626"/>
      <c r="X920" s="626"/>
      <c r="Y920" s="626"/>
    </row>
    <row r="921">
      <c r="A921" s="626"/>
      <c r="B921" s="626"/>
      <c r="C921" s="626"/>
      <c r="D921" s="626"/>
      <c r="E921" s="627"/>
      <c r="F921" s="628"/>
      <c r="G921" s="626"/>
      <c r="H921" s="626"/>
      <c r="I921" s="626"/>
      <c r="J921" s="626"/>
      <c r="K921" s="626"/>
      <c r="L921" s="626"/>
      <c r="M921" s="626"/>
      <c r="N921" s="626"/>
      <c r="O921" s="626"/>
      <c r="P921" s="626"/>
      <c r="Q921" s="626"/>
      <c r="R921" s="626"/>
      <c r="S921" s="626"/>
      <c r="T921" s="626"/>
      <c r="U921" s="626"/>
      <c r="V921" s="626"/>
      <c r="W921" s="626"/>
      <c r="X921" s="626"/>
      <c r="Y921" s="626"/>
    </row>
    <row r="922">
      <c r="A922" s="626"/>
      <c r="B922" s="626"/>
      <c r="C922" s="626"/>
      <c r="D922" s="626"/>
      <c r="E922" s="627"/>
      <c r="F922" s="628"/>
      <c r="G922" s="626"/>
      <c r="H922" s="626"/>
      <c r="I922" s="626"/>
      <c r="J922" s="626"/>
      <c r="K922" s="626"/>
      <c r="L922" s="626"/>
      <c r="M922" s="626"/>
      <c r="N922" s="626"/>
      <c r="O922" s="626"/>
      <c r="P922" s="626"/>
      <c r="Q922" s="626"/>
      <c r="R922" s="626"/>
      <c r="S922" s="626"/>
      <c r="T922" s="626"/>
      <c r="U922" s="626"/>
      <c r="V922" s="626"/>
      <c r="W922" s="626"/>
      <c r="X922" s="626"/>
      <c r="Y922" s="626"/>
    </row>
    <row r="923">
      <c r="A923" s="626"/>
      <c r="B923" s="626"/>
      <c r="C923" s="626"/>
      <c r="D923" s="626"/>
      <c r="E923" s="627"/>
      <c r="F923" s="628"/>
      <c r="G923" s="626"/>
      <c r="H923" s="626"/>
      <c r="I923" s="626"/>
      <c r="J923" s="626"/>
      <c r="K923" s="626"/>
      <c r="L923" s="626"/>
      <c r="M923" s="626"/>
      <c r="N923" s="626"/>
      <c r="O923" s="626"/>
      <c r="P923" s="626"/>
      <c r="Q923" s="626"/>
      <c r="R923" s="626"/>
      <c r="S923" s="626"/>
      <c r="T923" s="626"/>
      <c r="U923" s="626"/>
      <c r="V923" s="626"/>
      <c r="W923" s="626"/>
      <c r="X923" s="626"/>
      <c r="Y923" s="626"/>
    </row>
    <row r="924">
      <c r="A924" s="626"/>
      <c r="B924" s="626"/>
      <c r="C924" s="626"/>
      <c r="D924" s="626"/>
      <c r="E924" s="627"/>
      <c r="F924" s="628"/>
      <c r="G924" s="626"/>
      <c r="H924" s="626"/>
      <c r="I924" s="626"/>
      <c r="J924" s="626"/>
      <c r="K924" s="626"/>
      <c r="L924" s="626"/>
      <c r="M924" s="626"/>
      <c r="N924" s="626"/>
      <c r="O924" s="626"/>
      <c r="P924" s="626"/>
      <c r="Q924" s="626"/>
      <c r="R924" s="626"/>
      <c r="S924" s="626"/>
      <c r="T924" s="626"/>
      <c r="U924" s="626"/>
      <c r="V924" s="626"/>
      <c r="W924" s="626"/>
      <c r="X924" s="626"/>
      <c r="Y924" s="626"/>
    </row>
    <row r="925">
      <c r="A925" s="626"/>
      <c r="B925" s="626"/>
      <c r="C925" s="626"/>
      <c r="D925" s="626"/>
      <c r="E925" s="627"/>
      <c r="F925" s="628"/>
      <c r="G925" s="626"/>
      <c r="H925" s="626"/>
      <c r="I925" s="626"/>
      <c r="J925" s="626"/>
      <c r="K925" s="626"/>
      <c r="L925" s="626"/>
      <c r="M925" s="626"/>
      <c r="N925" s="626"/>
      <c r="O925" s="626"/>
      <c r="P925" s="626"/>
      <c r="Q925" s="626"/>
      <c r="R925" s="626"/>
      <c r="S925" s="626"/>
      <c r="T925" s="626"/>
      <c r="U925" s="626"/>
      <c r="V925" s="626"/>
      <c r="W925" s="626"/>
      <c r="X925" s="626"/>
      <c r="Y925" s="626"/>
    </row>
    <row r="926">
      <c r="A926" s="626"/>
      <c r="B926" s="626"/>
      <c r="C926" s="626"/>
      <c r="D926" s="626"/>
      <c r="E926" s="627"/>
      <c r="F926" s="628"/>
      <c r="G926" s="626"/>
      <c r="H926" s="626"/>
      <c r="I926" s="626"/>
      <c r="J926" s="626"/>
      <c r="K926" s="626"/>
      <c r="L926" s="626"/>
      <c r="M926" s="626"/>
      <c r="N926" s="626"/>
      <c r="O926" s="626"/>
      <c r="P926" s="626"/>
      <c r="Q926" s="626"/>
      <c r="R926" s="626"/>
      <c r="S926" s="626"/>
      <c r="T926" s="626"/>
      <c r="U926" s="626"/>
      <c r="V926" s="626"/>
      <c r="W926" s="626"/>
      <c r="X926" s="626"/>
      <c r="Y926" s="626"/>
    </row>
    <row r="927">
      <c r="A927" s="626"/>
      <c r="B927" s="626"/>
      <c r="C927" s="626"/>
      <c r="D927" s="626"/>
      <c r="E927" s="627"/>
      <c r="F927" s="628"/>
      <c r="G927" s="626"/>
      <c r="H927" s="626"/>
      <c r="I927" s="626"/>
      <c r="J927" s="626"/>
      <c r="K927" s="626"/>
      <c r="L927" s="626"/>
      <c r="M927" s="626"/>
      <c r="N927" s="626"/>
      <c r="O927" s="626"/>
      <c r="P927" s="626"/>
      <c r="Q927" s="626"/>
      <c r="R927" s="626"/>
      <c r="S927" s="626"/>
      <c r="T927" s="626"/>
      <c r="U927" s="626"/>
      <c r="V927" s="626"/>
      <c r="W927" s="626"/>
      <c r="X927" s="626"/>
      <c r="Y927" s="626"/>
    </row>
    <row r="928">
      <c r="A928" s="626"/>
      <c r="B928" s="626"/>
      <c r="C928" s="626"/>
      <c r="D928" s="626"/>
      <c r="E928" s="627"/>
      <c r="F928" s="628"/>
      <c r="G928" s="626"/>
      <c r="H928" s="626"/>
      <c r="I928" s="626"/>
      <c r="J928" s="626"/>
      <c r="K928" s="626"/>
      <c r="L928" s="626"/>
      <c r="M928" s="626"/>
      <c r="N928" s="626"/>
      <c r="O928" s="626"/>
      <c r="P928" s="626"/>
      <c r="Q928" s="626"/>
      <c r="R928" s="626"/>
      <c r="S928" s="626"/>
      <c r="T928" s="626"/>
      <c r="U928" s="626"/>
      <c r="V928" s="626"/>
      <c r="W928" s="626"/>
      <c r="X928" s="626"/>
      <c r="Y928" s="626"/>
    </row>
    <row r="929">
      <c r="A929" s="626"/>
      <c r="B929" s="626"/>
      <c r="C929" s="626"/>
      <c r="D929" s="626"/>
      <c r="E929" s="627"/>
      <c r="F929" s="628"/>
      <c r="G929" s="626"/>
      <c r="H929" s="626"/>
      <c r="I929" s="626"/>
      <c r="J929" s="626"/>
      <c r="K929" s="626"/>
      <c r="L929" s="626"/>
      <c r="M929" s="626"/>
      <c r="N929" s="626"/>
      <c r="O929" s="626"/>
      <c r="P929" s="626"/>
      <c r="Q929" s="626"/>
      <c r="R929" s="626"/>
      <c r="S929" s="626"/>
      <c r="T929" s="626"/>
      <c r="U929" s="626"/>
      <c r="V929" s="626"/>
      <c r="W929" s="626"/>
      <c r="X929" s="626"/>
      <c r="Y929" s="626"/>
    </row>
    <row r="930">
      <c r="A930" s="626"/>
      <c r="B930" s="626"/>
      <c r="C930" s="626"/>
      <c r="D930" s="626"/>
      <c r="E930" s="627"/>
      <c r="F930" s="628"/>
      <c r="G930" s="626"/>
      <c r="H930" s="626"/>
      <c r="I930" s="626"/>
      <c r="J930" s="626"/>
      <c r="K930" s="626"/>
      <c r="L930" s="626"/>
      <c r="M930" s="626"/>
      <c r="N930" s="626"/>
      <c r="O930" s="626"/>
      <c r="P930" s="626"/>
      <c r="Q930" s="626"/>
      <c r="R930" s="626"/>
      <c r="S930" s="626"/>
      <c r="T930" s="626"/>
      <c r="U930" s="626"/>
      <c r="V930" s="626"/>
      <c r="W930" s="626"/>
      <c r="X930" s="626"/>
      <c r="Y930" s="626"/>
    </row>
    <row r="931">
      <c r="A931" s="626"/>
      <c r="B931" s="626"/>
      <c r="C931" s="626"/>
      <c r="D931" s="626"/>
      <c r="E931" s="627"/>
      <c r="F931" s="628"/>
      <c r="G931" s="626"/>
      <c r="H931" s="626"/>
      <c r="I931" s="626"/>
      <c r="J931" s="626"/>
      <c r="K931" s="626"/>
      <c r="L931" s="626"/>
      <c r="M931" s="626"/>
      <c r="N931" s="626"/>
      <c r="O931" s="626"/>
      <c r="P931" s="626"/>
      <c r="Q931" s="626"/>
      <c r="R931" s="626"/>
      <c r="S931" s="626"/>
      <c r="T931" s="626"/>
      <c r="U931" s="626"/>
      <c r="V931" s="626"/>
      <c r="W931" s="626"/>
      <c r="X931" s="626"/>
      <c r="Y931" s="626"/>
    </row>
    <row r="932">
      <c r="A932" s="626"/>
      <c r="B932" s="626"/>
      <c r="C932" s="626"/>
      <c r="D932" s="626"/>
      <c r="E932" s="627"/>
      <c r="F932" s="628"/>
      <c r="G932" s="626"/>
      <c r="H932" s="626"/>
      <c r="I932" s="626"/>
      <c r="J932" s="626"/>
      <c r="K932" s="626"/>
      <c r="L932" s="626"/>
      <c r="M932" s="626"/>
      <c r="N932" s="626"/>
      <c r="O932" s="626"/>
      <c r="P932" s="626"/>
      <c r="Q932" s="626"/>
      <c r="R932" s="626"/>
      <c r="S932" s="626"/>
      <c r="T932" s="626"/>
      <c r="U932" s="626"/>
      <c r="V932" s="626"/>
      <c r="W932" s="626"/>
      <c r="X932" s="626"/>
      <c r="Y932" s="626"/>
    </row>
    <row r="933">
      <c r="A933" s="626"/>
      <c r="B933" s="626"/>
      <c r="C933" s="626"/>
      <c r="D933" s="626"/>
      <c r="E933" s="627"/>
      <c r="F933" s="628"/>
      <c r="G933" s="626"/>
      <c r="H933" s="626"/>
      <c r="I933" s="626"/>
      <c r="J933" s="626"/>
      <c r="K933" s="626"/>
      <c r="L933" s="626"/>
      <c r="M933" s="626"/>
      <c r="N933" s="626"/>
      <c r="O933" s="626"/>
      <c r="P933" s="626"/>
      <c r="Q933" s="626"/>
      <c r="R933" s="626"/>
      <c r="S933" s="626"/>
      <c r="T933" s="626"/>
      <c r="U933" s="626"/>
      <c r="V933" s="626"/>
      <c r="W933" s="626"/>
      <c r="X933" s="626"/>
      <c r="Y933" s="626"/>
    </row>
    <row r="934">
      <c r="A934" s="626"/>
      <c r="B934" s="626"/>
      <c r="C934" s="626"/>
      <c r="D934" s="626"/>
      <c r="E934" s="627"/>
      <c r="F934" s="628"/>
      <c r="G934" s="626"/>
      <c r="H934" s="626"/>
      <c r="I934" s="626"/>
      <c r="J934" s="626"/>
      <c r="K934" s="626"/>
      <c r="L934" s="626"/>
      <c r="M934" s="626"/>
      <c r="N934" s="626"/>
      <c r="O934" s="626"/>
      <c r="P934" s="626"/>
      <c r="Q934" s="626"/>
      <c r="R934" s="626"/>
      <c r="S934" s="626"/>
      <c r="T934" s="626"/>
      <c r="U934" s="626"/>
      <c r="V934" s="626"/>
      <c r="W934" s="626"/>
      <c r="X934" s="626"/>
      <c r="Y934" s="626"/>
    </row>
    <row r="935">
      <c r="A935" s="626"/>
      <c r="B935" s="626"/>
      <c r="C935" s="626"/>
      <c r="D935" s="626"/>
      <c r="E935" s="627"/>
      <c r="F935" s="628"/>
      <c r="G935" s="626"/>
      <c r="H935" s="626"/>
      <c r="I935" s="626"/>
      <c r="J935" s="626"/>
      <c r="K935" s="626"/>
      <c r="L935" s="626"/>
      <c r="M935" s="626"/>
      <c r="N935" s="626"/>
      <c r="O935" s="626"/>
      <c r="P935" s="626"/>
      <c r="Q935" s="626"/>
      <c r="R935" s="626"/>
      <c r="S935" s="626"/>
      <c r="T935" s="626"/>
      <c r="U935" s="626"/>
      <c r="V935" s="626"/>
      <c r="W935" s="626"/>
      <c r="X935" s="626"/>
      <c r="Y935" s="626"/>
    </row>
    <row r="936">
      <c r="A936" s="626"/>
      <c r="B936" s="626"/>
      <c r="C936" s="626"/>
      <c r="D936" s="626"/>
      <c r="E936" s="627"/>
      <c r="F936" s="628"/>
      <c r="G936" s="626"/>
      <c r="H936" s="626"/>
      <c r="I936" s="626"/>
      <c r="J936" s="626"/>
      <c r="K936" s="626"/>
      <c r="L936" s="626"/>
      <c r="M936" s="626"/>
      <c r="N936" s="626"/>
      <c r="O936" s="626"/>
      <c r="P936" s="626"/>
      <c r="Q936" s="626"/>
      <c r="R936" s="626"/>
      <c r="S936" s="626"/>
      <c r="T936" s="626"/>
      <c r="U936" s="626"/>
      <c r="V936" s="626"/>
      <c r="W936" s="626"/>
      <c r="X936" s="626"/>
      <c r="Y936" s="626"/>
    </row>
    <row r="937">
      <c r="A937" s="626"/>
      <c r="B937" s="626"/>
      <c r="C937" s="626"/>
      <c r="D937" s="626"/>
      <c r="E937" s="627"/>
      <c r="F937" s="628"/>
      <c r="G937" s="626"/>
      <c r="H937" s="626"/>
      <c r="I937" s="626"/>
      <c r="J937" s="626"/>
      <c r="K937" s="626"/>
      <c r="L937" s="626"/>
      <c r="M937" s="626"/>
      <c r="N937" s="626"/>
      <c r="O937" s="626"/>
      <c r="P937" s="626"/>
      <c r="Q937" s="626"/>
      <c r="R937" s="626"/>
      <c r="S937" s="626"/>
      <c r="T937" s="626"/>
      <c r="U937" s="626"/>
      <c r="V937" s="626"/>
      <c r="W937" s="626"/>
      <c r="X937" s="626"/>
      <c r="Y937" s="626"/>
    </row>
    <row r="938">
      <c r="A938" s="626"/>
      <c r="B938" s="626"/>
      <c r="C938" s="626"/>
      <c r="D938" s="626"/>
      <c r="E938" s="627"/>
      <c r="F938" s="628"/>
      <c r="G938" s="626"/>
      <c r="H938" s="626"/>
      <c r="I938" s="626"/>
      <c r="J938" s="626"/>
      <c r="K938" s="626"/>
      <c r="L938" s="626"/>
      <c r="M938" s="626"/>
      <c r="N938" s="626"/>
      <c r="O938" s="626"/>
      <c r="P938" s="626"/>
      <c r="Q938" s="626"/>
      <c r="R938" s="626"/>
      <c r="S938" s="626"/>
      <c r="T938" s="626"/>
      <c r="U938" s="626"/>
      <c r="V938" s="626"/>
      <c r="W938" s="626"/>
      <c r="X938" s="626"/>
      <c r="Y938" s="626"/>
    </row>
    <row r="939">
      <c r="A939" s="626"/>
      <c r="B939" s="626"/>
      <c r="C939" s="626"/>
      <c r="D939" s="626"/>
      <c r="E939" s="627"/>
      <c r="F939" s="628"/>
      <c r="G939" s="626"/>
      <c r="H939" s="626"/>
      <c r="I939" s="626"/>
      <c r="J939" s="626"/>
      <c r="K939" s="626"/>
      <c r="L939" s="626"/>
      <c r="M939" s="626"/>
      <c r="N939" s="626"/>
      <c r="O939" s="626"/>
      <c r="P939" s="626"/>
      <c r="Q939" s="626"/>
      <c r="R939" s="626"/>
      <c r="S939" s="626"/>
      <c r="T939" s="626"/>
      <c r="U939" s="626"/>
      <c r="V939" s="626"/>
      <c r="W939" s="626"/>
      <c r="X939" s="626"/>
      <c r="Y939" s="626"/>
    </row>
    <row r="940">
      <c r="A940" s="626"/>
      <c r="B940" s="626"/>
      <c r="C940" s="626"/>
      <c r="D940" s="626"/>
      <c r="E940" s="627"/>
      <c r="F940" s="628"/>
      <c r="G940" s="626"/>
      <c r="H940" s="626"/>
      <c r="I940" s="626"/>
      <c r="J940" s="626"/>
      <c r="K940" s="626"/>
      <c r="L940" s="626"/>
      <c r="M940" s="626"/>
      <c r="N940" s="626"/>
      <c r="O940" s="626"/>
      <c r="P940" s="626"/>
      <c r="Q940" s="626"/>
      <c r="R940" s="626"/>
      <c r="S940" s="626"/>
      <c r="T940" s="626"/>
      <c r="U940" s="626"/>
      <c r="V940" s="626"/>
      <c r="W940" s="626"/>
      <c r="X940" s="626"/>
      <c r="Y940" s="626"/>
    </row>
    <row r="941">
      <c r="A941" s="626"/>
      <c r="B941" s="626"/>
      <c r="C941" s="626"/>
      <c r="D941" s="626"/>
      <c r="E941" s="627"/>
      <c r="F941" s="628"/>
      <c r="G941" s="626"/>
      <c r="H941" s="626"/>
      <c r="I941" s="626"/>
      <c r="J941" s="626"/>
      <c r="K941" s="626"/>
      <c r="L941" s="626"/>
      <c r="M941" s="626"/>
      <c r="N941" s="626"/>
      <c r="O941" s="626"/>
      <c r="P941" s="626"/>
      <c r="Q941" s="626"/>
      <c r="R941" s="626"/>
      <c r="S941" s="626"/>
      <c r="T941" s="626"/>
      <c r="U941" s="626"/>
      <c r="V941" s="626"/>
      <c r="W941" s="626"/>
      <c r="X941" s="626"/>
      <c r="Y941" s="626"/>
    </row>
    <row r="942">
      <c r="A942" s="626"/>
      <c r="B942" s="626"/>
      <c r="C942" s="626"/>
      <c r="D942" s="626"/>
      <c r="E942" s="627"/>
      <c r="F942" s="628"/>
      <c r="G942" s="626"/>
      <c r="H942" s="626"/>
      <c r="I942" s="626"/>
      <c r="J942" s="626"/>
      <c r="K942" s="626"/>
      <c r="L942" s="626"/>
      <c r="M942" s="626"/>
      <c r="N942" s="626"/>
      <c r="O942" s="626"/>
      <c r="P942" s="626"/>
      <c r="Q942" s="626"/>
      <c r="R942" s="626"/>
      <c r="S942" s="626"/>
      <c r="T942" s="626"/>
      <c r="U942" s="626"/>
      <c r="V942" s="626"/>
      <c r="W942" s="626"/>
      <c r="X942" s="626"/>
      <c r="Y942" s="626"/>
    </row>
    <row r="943">
      <c r="A943" s="626"/>
      <c r="B943" s="626"/>
      <c r="C943" s="626"/>
      <c r="D943" s="626"/>
      <c r="E943" s="627"/>
      <c r="F943" s="628"/>
      <c r="G943" s="626"/>
      <c r="H943" s="626"/>
      <c r="I943" s="626"/>
      <c r="J943" s="626"/>
      <c r="K943" s="626"/>
      <c r="L943" s="626"/>
      <c r="M943" s="626"/>
      <c r="N943" s="626"/>
      <c r="O943" s="626"/>
      <c r="P943" s="626"/>
      <c r="Q943" s="626"/>
      <c r="R943" s="626"/>
      <c r="S943" s="626"/>
      <c r="T943" s="626"/>
      <c r="U943" s="626"/>
      <c r="V943" s="626"/>
      <c r="W943" s="626"/>
      <c r="X943" s="626"/>
      <c r="Y943" s="626"/>
    </row>
    <row r="944">
      <c r="A944" s="626"/>
      <c r="B944" s="626"/>
      <c r="C944" s="626"/>
      <c r="D944" s="626"/>
      <c r="E944" s="627"/>
      <c r="F944" s="628"/>
      <c r="G944" s="626"/>
      <c r="H944" s="626"/>
      <c r="I944" s="626"/>
      <c r="J944" s="626"/>
      <c r="K944" s="626"/>
      <c r="L944" s="626"/>
      <c r="M944" s="626"/>
      <c r="N944" s="626"/>
      <c r="O944" s="626"/>
      <c r="P944" s="626"/>
      <c r="Q944" s="626"/>
      <c r="R944" s="626"/>
      <c r="S944" s="626"/>
      <c r="T944" s="626"/>
      <c r="U944" s="626"/>
      <c r="V944" s="626"/>
      <c r="W944" s="626"/>
      <c r="X944" s="626"/>
      <c r="Y944" s="626"/>
    </row>
    <row r="945">
      <c r="A945" s="626"/>
      <c r="B945" s="626"/>
      <c r="C945" s="626"/>
      <c r="D945" s="626"/>
      <c r="E945" s="627"/>
      <c r="F945" s="628"/>
      <c r="G945" s="626"/>
      <c r="H945" s="626"/>
      <c r="I945" s="626"/>
      <c r="J945" s="626"/>
      <c r="K945" s="626"/>
      <c r="L945" s="626"/>
      <c r="M945" s="626"/>
      <c r="N945" s="626"/>
      <c r="O945" s="626"/>
      <c r="P945" s="626"/>
      <c r="Q945" s="626"/>
      <c r="R945" s="626"/>
      <c r="S945" s="626"/>
      <c r="T945" s="626"/>
      <c r="U945" s="626"/>
      <c r="V945" s="626"/>
      <c r="W945" s="626"/>
      <c r="X945" s="626"/>
      <c r="Y945" s="626"/>
    </row>
    <row r="946">
      <c r="A946" s="626"/>
      <c r="B946" s="626"/>
      <c r="C946" s="626"/>
      <c r="D946" s="626"/>
      <c r="E946" s="627"/>
      <c r="F946" s="628"/>
      <c r="G946" s="626"/>
      <c r="H946" s="626"/>
      <c r="I946" s="626"/>
      <c r="J946" s="626"/>
      <c r="K946" s="626"/>
      <c r="L946" s="626"/>
      <c r="M946" s="626"/>
      <c r="N946" s="626"/>
      <c r="O946" s="626"/>
      <c r="P946" s="626"/>
      <c r="Q946" s="626"/>
      <c r="R946" s="626"/>
      <c r="S946" s="626"/>
      <c r="T946" s="626"/>
      <c r="U946" s="626"/>
      <c r="V946" s="626"/>
      <c r="W946" s="626"/>
      <c r="X946" s="626"/>
      <c r="Y946" s="626"/>
    </row>
    <row r="947">
      <c r="A947" s="626"/>
      <c r="B947" s="626"/>
      <c r="C947" s="626"/>
      <c r="D947" s="626"/>
      <c r="E947" s="627"/>
      <c r="F947" s="628"/>
      <c r="G947" s="626"/>
      <c r="H947" s="626"/>
      <c r="I947" s="626"/>
      <c r="J947" s="626"/>
      <c r="K947" s="626"/>
      <c r="L947" s="626"/>
      <c r="M947" s="626"/>
      <c r="N947" s="626"/>
      <c r="O947" s="626"/>
      <c r="P947" s="626"/>
      <c r="Q947" s="626"/>
      <c r="R947" s="626"/>
      <c r="S947" s="626"/>
      <c r="T947" s="626"/>
      <c r="U947" s="626"/>
      <c r="V947" s="626"/>
      <c r="W947" s="626"/>
      <c r="X947" s="626"/>
      <c r="Y947" s="626"/>
    </row>
    <row r="948">
      <c r="A948" s="626"/>
      <c r="B948" s="626"/>
      <c r="C948" s="626"/>
      <c r="D948" s="626"/>
      <c r="E948" s="627"/>
      <c r="F948" s="628"/>
      <c r="G948" s="626"/>
      <c r="H948" s="626"/>
      <c r="I948" s="626"/>
      <c r="J948" s="626"/>
      <c r="K948" s="626"/>
      <c r="L948" s="626"/>
      <c r="M948" s="626"/>
      <c r="N948" s="626"/>
      <c r="O948" s="626"/>
      <c r="P948" s="626"/>
      <c r="Q948" s="626"/>
      <c r="R948" s="626"/>
      <c r="S948" s="626"/>
      <c r="T948" s="626"/>
      <c r="U948" s="626"/>
      <c r="V948" s="626"/>
      <c r="W948" s="626"/>
      <c r="X948" s="626"/>
      <c r="Y948" s="626"/>
    </row>
    <row r="949">
      <c r="A949" s="626"/>
      <c r="B949" s="626"/>
      <c r="C949" s="626"/>
      <c r="D949" s="626"/>
      <c r="E949" s="627"/>
      <c r="F949" s="628"/>
      <c r="G949" s="626"/>
      <c r="H949" s="626"/>
      <c r="I949" s="626"/>
      <c r="J949" s="626"/>
      <c r="K949" s="626"/>
      <c r="L949" s="626"/>
      <c r="M949" s="626"/>
      <c r="N949" s="626"/>
      <c r="O949" s="626"/>
      <c r="P949" s="626"/>
      <c r="Q949" s="626"/>
      <c r="R949" s="626"/>
      <c r="S949" s="626"/>
      <c r="T949" s="626"/>
      <c r="U949" s="626"/>
      <c r="V949" s="626"/>
      <c r="W949" s="626"/>
      <c r="X949" s="626"/>
      <c r="Y949" s="626"/>
    </row>
    <row r="950">
      <c r="A950" s="626"/>
      <c r="B950" s="626"/>
      <c r="C950" s="626"/>
      <c r="D950" s="626"/>
      <c r="E950" s="627"/>
      <c r="F950" s="628"/>
      <c r="G950" s="626"/>
      <c r="H950" s="626"/>
      <c r="I950" s="626"/>
      <c r="J950" s="626"/>
      <c r="K950" s="626"/>
      <c r="L950" s="626"/>
      <c r="M950" s="626"/>
      <c r="N950" s="626"/>
      <c r="O950" s="626"/>
      <c r="P950" s="626"/>
      <c r="Q950" s="626"/>
      <c r="R950" s="626"/>
      <c r="S950" s="626"/>
      <c r="T950" s="626"/>
      <c r="U950" s="626"/>
      <c r="V950" s="626"/>
      <c r="W950" s="626"/>
      <c r="X950" s="626"/>
      <c r="Y950" s="626"/>
    </row>
    <row r="951">
      <c r="A951" s="626"/>
      <c r="B951" s="626"/>
      <c r="C951" s="626"/>
      <c r="D951" s="626"/>
      <c r="E951" s="627"/>
      <c r="F951" s="628"/>
      <c r="G951" s="626"/>
      <c r="H951" s="626"/>
      <c r="I951" s="626"/>
      <c r="J951" s="626"/>
      <c r="K951" s="626"/>
      <c r="L951" s="626"/>
      <c r="M951" s="626"/>
      <c r="N951" s="626"/>
      <c r="O951" s="626"/>
      <c r="P951" s="626"/>
      <c r="Q951" s="626"/>
      <c r="R951" s="626"/>
      <c r="S951" s="626"/>
      <c r="T951" s="626"/>
      <c r="U951" s="626"/>
      <c r="V951" s="626"/>
      <c r="W951" s="626"/>
      <c r="X951" s="626"/>
      <c r="Y951" s="626"/>
    </row>
    <row r="952">
      <c r="A952" s="626"/>
      <c r="B952" s="626"/>
      <c r="C952" s="626"/>
      <c r="D952" s="626"/>
      <c r="E952" s="627"/>
      <c r="F952" s="628"/>
      <c r="G952" s="626"/>
      <c r="H952" s="626"/>
      <c r="I952" s="626"/>
      <c r="J952" s="626"/>
      <c r="K952" s="626"/>
      <c r="L952" s="626"/>
      <c r="M952" s="626"/>
      <c r="N952" s="626"/>
      <c r="O952" s="626"/>
      <c r="P952" s="626"/>
      <c r="Q952" s="626"/>
      <c r="R952" s="626"/>
      <c r="S952" s="626"/>
      <c r="T952" s="626"/>
      <c r="U952" s="626"/>
      <c r="V952" s="626"/>
      <c r="W952" s="626"/>
      <c r="X952" s="626"/>
      <c r="Y952" s="626"/>
    </row>
    <row r="953">
      <c r="A953" s="626"/>
      <c r="B953" s="626"/>
      <c r="C953" s="626"/>
      <c r="D953" s="626"/>
      <c r="E953" s="627"/>
      <c r="F953" s="628"/>
      <c r="G953" s="626"/>
      <c r="H953" s="626"/>
      <c r="I953" s="626"/>
      <c r="J953" s="626"/>
      <c r="K953" s="626"/>
      <c r="L953" s="626"/>
      <c r="M953" s="626"/>
      <c r="N953" s="626"/>
      <c r="O953" s="626"/>
      <c r="P953" s="626"/>
      <c r="Q953" s="626"/>
      <c r="R953" s="626"/>
      <c r="S953" s="626"/>
      <c r="T953" s="626"/>
      <c r="U953" s="626"/>
      <c r="V953" s="626"/>
      <c r="W953" s="626"/>
      <c r="X953" s="626"/>
      <c r="Y953" s="626"/>
    </row>
    <row r="954">
      <c r="A954" s="626"/>
      <c r="B954" s="626"/>
      <c r="C954" s="626"/>
      <c r="D954" s="626"/>
      <c r="E954" s="627"/>
      <c r="F954" s="628"/>
      <c r="G954" s="626"/>
      <c r="H954" s="626"/>
      <c r="I954" s="626"/>
      <c r="J954" s="626"/>
      <c r="K954" s="626"/>
      <c r="L954" s="626"/>
      <c r="M954" s="626"/>
      <c r="N954" s="626"/>
      <c r="O954" s="626"/>
      <c r="P954" s="626"/>
      <c r="Q954" s="626"/>
      <c r="R954" s="626"/>
      <c r="S954" s="626"/>
      <c r="T954" s="626"/>
      <c r="U954" s="626"/>
      <c r="V954" s="626"/>
      <c r="W954" s="626"/>
      <c r="X954" s="626"/>
      <c r="Y954" s="626"/>
    </row>
    <row r="955">
      <c r="A955" s="626"/>
      <c r="B955" s="626"/>
      <c r="C955" s="626"/>
      <c r="D955" s="626"/>
      <c r="E955" s="627"/>
      <c r="F955" s="628"/>
      <c r="G955" s="626"/>
      <c r="H955" s="626"/>
      <c r="I955" s="626"/>
      <c r="J955" s="626"/>
      <c r="K955" s="626"/>
      <c r="L955" s="626"/>
      <c r="M955" s="626"/>
      <c r="N955" s="626"/>
      <c r="O955" s="626"/>
      <c r="P955" s="626"/>
      <c r="Q955" s="626"/>
      <c r="R955" s="626"/>
      <c r="S955" s="626"/>
      <c r="T955" s="626"/>
      <c r="U955" s="626"/>
      <c r="V955" s="626"/>
      <c r="W955" s="626"/>
      <c r="X955" s="626"/>
      <c r="Y955" s="626"/>
    </row>
    <row r="956">
      <c r="A956" s="626"/>
      <c r="B956" s="626"/>
      <c r="C956" s="626"/>
      <c r="D956" s="626"/>
      <c r="E956" s="627"/>
      <c r="F956" s="628"/>
      <c r="G956" s="626"/>
      <c r="H956" s="626"/>
      <c r="I956" s="626"/>
      <c r="J956" s="626"/>
      <c r="K956" s="626"/>
      <c r="L956" s="626"/>
      <c r="M956" s="626"/>
      <c r="N956" s="626"/>
      <c r="O956" s="626"/>
      <c r="P956" s="626"/>
      <c r="Q956" s="626"/>
      <c r="R956" s="626"/>
      <c r="S956" s="626"/>
      <c r="T956" s="626"/>
      <c r="U956" s="626"/>
      <c r="V956" s="626"/>
      <c r="W956" s="626"/>
      <c r="X956" s="626"/>
      <c r="Y956" s="626"/>
    </row>
    <row r="957">
      <c r="A957" s="626"/>
      <c r="B957" s="626"/>
      <c r="C957" s="626"/>
      <c r="D957" s="626"/>
      <c r="E957" s="627"/>
      <c r="F957" s="628"/>
      <c r="G957" s="626"/>
      <c r="H957" s="626"/>
      <c r="I957" s="626"/>
      <c r="J957" s="626"/>
      <c r="K957" s="626"/>
      <c r="L957" s="626"/>
      <c r="M957" s="626"/>
      <c r="N957" s="626"/>
      <c r="O957" s="626"/>
      <c r="P957" s="626"/>
      <c r="Q957" s="626"/>
      <c r="R957" s="626"/>
      <c r="S957" s="626"/>
      <c r="T957" s="626"/>
      <c r="U957" s="626"/>
      <c r="V957" s="626"/>
      <c r="W957" s="626"/>
      <c r="X957" s="626"/>
      <c r="Y957" s="626"/>
    </row>
    <row r="958">
      <c r="A958" s="626"/>
      <c r="B958" s="626"/>
      <c r="C958" s="626"/>
      <c r="D958" s="626"/>
      <c r="E958" s="627"/>
      <c r="F958" s="628"/>
      <c r="G958" s="626"/>
      <c r="H958" s="626"/>
      <c r="I958" s="626"/>
      <c r="J958" s="626"/>
      <c r="K958" s="626"/>
      <c r="L958" s="626"/>
      <c r="M958" s="626"/>
      <c r="N958" s="626"/>
      <c r="O958" s="626"/>
      <c r="P958" s="626"/>
      <c r="Q958" s="626"/>
      <c r="R958" s="626"/>
      <c r="S958" s="626"/>
      <c r="T958" s="626"/>
      <c r="U958" s="626"/>
      <c r="V958" s="626"/>
      <c r="W958" s="626"/>
      <c r="X958" s="626"/>
      <c r="Y958" s="626"/>
    </row>
    <row r="959">
      <c r="A959" s="626"/>
      <c r="B959" s="626"/>
      <c r="C959" s="626"/>
      <c r="D959" s="626"/>
      <c r="E959" s="627"/>
      <c r="F959" s="628"/>
      <c r="G959" s="626"/>
      <c r="H959" s="626"/>
      <c r="I959" s="626"/>
      <c r="J959" s="626"/>
      <c r="K959" s="626"/>
      <c r="L959" s="626"/>
      <c r="M959" s="626"/>
      <c r="N959" s="626"/>
      <c r="O959" s="626"/>
      <c r="P959" s="626"/>
      <c r="Q959" s="626"/>
      <c r="R959" s="626"/>
      <c r="S959" s="626"/>
      <c r="T959" s="626"/>
      <c r="U959" s="626"/>
      <c r="V959" s="626"/>
      <c r="W959" s="626"/>
      <c r="X959" s="626"/>
      <c r="Y959" s="626"/>
    </row>
    <row r="960">
      <c r="A960" s="626"/>
      <c r="B960" s="626"/>
      <c r="C960" s="626"/>
      <c r="D960" s="626"/>
      <c r="E960" s="627"/>
      <c r="F960" s="628"/>
      <c r="G960" s="626"/>
      <c r="H960" s="626"/>
      <c r="I960" s="626"/>
      <c r="J960" s="626"/>
      <c r="K960" s="626"/>
      <c r="L960" s="626"/>
      <c r="M960" s="626"/>
      <c r="N960" s="626"/>
      <c r="O960" s="626"/>
      <c r="P960" s="626"/>
      <c r="Q960" s="626"/>
      <c r="R960" s="626"/>
      <c r="S960" s="626"/>
      <c r="T960" s="626"/>
      <c r="U960" s="626"/>
      <c r="V960" s="626"/>
      <c r="W960" s="626"/>
      <c r="X960" s="626"/>
      <c r="Y960" s="626"/>
    </row>
    <row r="961">
      <c r="A961" s="626"/>
      <c r="B961" s="626"/>
      <c r="C961" s="626"/>
      <c r="D961" s="626"/>
      <c r="E961" s="627"/>
      <c r="F961" s="628"/>
      <c r="G961" s="626"/>
      <c r="H961" s="626"/>
      <c r="I961" s="626"/>
      <c r="J961" s="626"/>
      <c r="K961" s="626"/>
      <c r="L961" s="626"/>
      <c r="M961" s="626"/>
      <c r="N961" s="626"/>
      <c r="O961" s="626"/>
      <c r="P961" s="626"/>
      <c r="Q961" s="626"/>
      <c r="R961" s="626"/>
      <c r="S961" s="626"/>
      <c r="T961" s="626"/>
      <c r="U961" s="626"/>
      <c r="V961" s="626"/>
      <c r="W961" s="626"/>
      <c r="X961" s="626"/>
      <c r="Y961" s="626"/>
    </row>
    <row r="962">
      <c r="A962" s="626"/>
      <c r="B962" s="626"/>
      <c r="C962" s="626"/>
      <c r="D962" s="626"/>
      <c r="E962" s="627"/>
      <c r="F962" s="628"/>
      <c r="G962" s="626"/>
      <c r="H962" s="626"/>
      <c r="I962" s="626"/>
      <c r="J962" s="626"/>
      <c r="K962" s="626"/>
      <c r="L962" s="626"/>
      <c r="M962" s="626"/>
      <c r="N962" s="626"/>
      <c r="O962" s="626"/>
      <c r="P962" s="626"/>
      <c r="Q962" s="626"/>
      <c r="R962" s="626"/>
      <c r="S962" s="626"/>
      <c r="T962" s="626"/>
      <c r="U962" s="626"/>
      <c r="V962" s="626"/>
      <c r="W962" s="626"/>
      <c r="X962" s="626"/>
      <c r="Y962" s="626"/>
    </row>
    <row r="963">
      <c r="A963" s="626"/>
      <c r="B963" s="626"/>
      <c r="C963" s="626"/>
      <c r="D963" s="626"/>
      <c r="E963" s="627"/>
      <c r="F963" s="628"/>
      <c r="G963" s="626"/>
      <c r="H963" s="626"/>
      <c r="I963" s="626"/>
      <c r="J963" s="626"/>
      <c r="K963" s="626"/>
      <c r="L963" s="626"/>
      <c r="M963" s="626"/>
      <c r="N963" s="626"/>
      <c r="O963" s="626"/>
      <c r="P963" s="626"/>
      <c r="Q963" s="626"/>
      <c r="R963" s="626"/>
      <c r="S963" s="626"/>
      <c r="T963" s="626"/>
      <c r="U963" s="626"/>
      <c r="V963" s="626"/>
      <c r="W963" s="626"/>
      <c r="X963" s="626"/>
      <c r="Y963" s="626"/>
    </row>
    <row r="964">
      <c r="A964" s="626"/>
      <c r="B964" s="626"/>
      <c r="C964" s="626"/>
      <c r="D964" s="626"/>
      <c r="E964" s="627"/>
      <c r="F964" s="628"/>
      <c r="G964" s="626"/>
      <c r="H964" s="626"/>
      <c r="I964" s="626"/>
      <c r="J964" s="626"/>
      <c r="K964" s="626"/>
      <c r="L964" s="626"/>
      <c r="M964" s="626"/>
      <c r="N964" s="626"/>
      <c r="O964" s="626"/>
      <c r="P964" s="626"/>
      <c r="Q964" s="626"/>
      <c r="R964" s="626"/>
      <c r="S964" s="626"/>
      <c r="T964" s="626"/>
      <c r="U964" s="626"/>
      <c r="V964" s="626"/>
      <c r="W964" s="626"/>
      <c r="X964" s="626"/>
      <c r="Y964" s="626"/>
    </row>
    <row r="965">
      <c r="A965" s="626"/>
      <c r="B965" s="626"/>
      <c r="C965" s="626"/>
      <c r="D965" s="626"/>
      <c r="E965" s="627"/>
      <c r="F965" s="628"/>
      <c r="G965" s="626"/>
      <c r="H965" s="626"/>
      <c r="I965" s="626"/>
      <c r="J965" s="626"/>
      <c r="K965" s="626"/>
      <c r="L965" s="626"/>
      <c r="M965" s="626"/>
      <c r="N965" s="626"/>
      <c r="O965" s="626"/>
      <c r="P965" s="626"/>
      <c r="Q965" s="626"/>
      <c r="R965" s="626"/>
      <c r="S965" s="626"/>
      <c r="T965" s="626"/>
      <c r="U965" s="626"/>
      <c r="V965" s="626"/>
      <c r="W965" s="626"/>
      <c r="X965" s="626"/>
      <c r="Y965" s="626"/>
    </row>
    <row r="966">
      <c r="A966" s="626"/>
      <c r="B966" s="626"/>
      <c r="C966" s="626"/>
      <c r="D966" s="626"/>
      <c r="E966" s="627"/>
      <c r="F966" s="628"/>
      <c r="G966" s="626"/>
      <c r="H966" s="626"/>
      <c r="I966" s="626"/>
      <c r="J966" s="626"/>
      <c r="K966" s="626"/>
      <c r="L966" s="626"/>
      <c r="M966" s="626"/>
      <c r="N966" s="626"/>
      <c r="O966" s="626"/>
      <c r="P966" s="626"/>
      <c r="Q966" s="626"/>
      <c r="R966" s="626"/>
      <c r="S966" s="626"/>
      <c r="T966" s="626"/>
      <c r="U966" s="626"/>
      <c r="V966" s="626"/>
      <c r="W966" s="626"/>
      <c r="X966" s="626"/>
      <c r="Y966" s="626"/>
    </row>
    <row r="967">
      <c r="A967" s="626"/>
      <c r="B967" s="626"/>
      <c r="C967" s="626"/>
      <c r="D967" s="626"/>
      <c r="E967" s="627"/>
      <c r="F967" s="628"/>
      <c r="G967" s="626"/>
      <c r="H967" s="626"/>
      <c r="I967" s="626"/>
      <c r="J967" s="626"/>
      <c r="K967" s="626"/>
      <c r="L967" s="626"/>
      <c r="M967" s="626"/>
      <c r="N967" s="626"/>
      <c r="O967" s="626"/>
      <c r="P967" s="626"/>
      <c r="Q967" s="626"/>
      <c r="R967" s="626"/>
      <c r="S967" s="626"/>
      <c r="T967" s="626"/>
      <c r="U967" s="626"/>
      <c r="V967" s="626"/>
      <c r="W967" s="626"/>
      <c r="X967" s="626"/>
      <c r="Y967" s="626"/>
    </row>
    <row r="968">
      <c r="A968" s="626"/>
      <c r="B968" s="626"/>
      <c r="C968" s="626"/>
      <c r="D968" s="626"/>
      <c r="E968" s="627"/>
      <c r="F968" s="628"/>
      <c r="G968" s="626"/>
      <c r="H968" s="626"/>
      <c r="I968" s="626"/>
      <c r="J968" s="626"/>
      <c r="K968" s="626"/>
      <c r="L968" s="626"/>
      <c r="M968" s="626"/>
      <c r="N968" s="626"/>
      <c r="O968" s="626"/>
      <c r="P968" s="626"/>
      <c r="Q968" s="626"/>
      <c r="R968" s="626"/>
      <c r="S968" s="626"/>
      <c r="T968" s="626"/>
      <c r="U968" s="626"/>
      <c r="V968" s="626"/>
      <c r="W968" s="626"/>
      <c r="X968" s="626"/>
      <c r="Y968" s="626"/>
    </row>
    <row r="969">
      <c r="A969" s="626"/>
      <c r="B969" s="626"/>
      <c r="C969" s="626"/>
      <c r="D969" s="626"/>
      <c r="E969" s="627"/>
      <c r="F969" s="628"/>
      <c r="G969" s="626"/>
      <c r="H969" s="626"/>
      <c r="I969" s="626"/>
      <c r="J969" s="626"/>
      <c r="K969" s="626"/>
      <c r="L969" s="626"/>
      <c r="M969" s="626"/>
      <c r="N969" s="626"/>
      <c r="O969" s="626"/>
      <c r="P969" s="626"/>
      <c r="Q969" s="626"/>
      <c r="R969" s="626"/>
      <c r="S969" s="626"/>
      <c r="T969" s="626"/>
      <c r="U969" s="626"/>
      <c r="V969" s="626"/>
      <c r="W969" s="626"/>
      <c r="X969" s="626"/>
      <c r="Y969" s="626"/>
    </row>
    <row r="970">
      <c r="A970" s="626"/>
      <c r="B970" s="626"/>
      <c r="C970" s="626"/>
      <c r="D970" s="626"/>
      <c r="E970" s="627"/>
      <c r="F970" s="628"/>
      <c r="G970" s="626"/>
      <c r="H970" s="626"/>
      <c r="I970" s="626"/>
      <c r="J970" s="626"/>
      <c r="K970" s="626"/>
      <c r="L970" s="626"/>
      <c r="M970" s="626"/>
      <c r="N970" s="626"/>
      <c r="O970" s="626"/>
      <c r="P970" s="626"/>
      <c r="Q970" s="626"/>
      <c r="R970" s="626"/>
      <c r="S970" s="626"/>
      <c r="T970" s="626"/>
      <c r="U970" s="626"/>
      <c r="V970" s="626"/>
      <c r="W970" s="626"/>
      <c r="X970" s="626"/>
      <c r="Y970" s="626"/>
    </row>
    <row r="971">
      <c r="A971" s="626"/>
      <c r="B971" s="626"/>
      <c r="C971" s="626"/>
      <c r="D971" s="626"/>
      <c r="E971" s="627"/>
      <c r="F971" s="628"/>
      <c r="G971" s="626"/>
      <c r="H971" s="626"/>
      <c r="I971" s="626"/>
      <c r="J971" s="626"/>
      <c r="K971" s="626"/>
      <c r="L971" s="626"/>
      <c r="M971" s="626"/>
      <c r="N971" s="626"/>
      <c r="O971" s="626"/>
      <c r="P971" s="626"/>
      <c r="Q971" s="626"/>
      <c r="R971" s="626"/>
      <c r="S971" s="626"/>
      <c r="T971" s="626"/>
      <c r="U971" s="626"/>
      <c r="V971" s="626"/>
      <c r="W971" s="626"/>
      <c r="X971" s="626"/>
      <c r="Y971" s="626"/>
    </row>
    <row r="972">
      <c r="A972" s="626"/>
      <c r="B972" s="626"/>
      <c r="C972" s="626"/>
      <c r="D972" s="626"/>
      <c r="E972" s="627"/>
      <c r="F972" s="628"/>
      <c r="G972" s="626"/>
      <c r="H972" s="626"/>
      <c r="I972" s="626"/>
      <c r="J972" s="626"/>
      <c r="K972" s="626"/>
      <c r="L972" s="626"/>
      <c r="M972" s="626"/>
      <c r="N972" s="626"/>
      <c r="O972" s="626"/>
      <c r="P972" s="626"/>
      <c r="Q972" s="626"/>
      <c r="R972" s="626"/>
      <c r="S972" s="626"/>
      <c r="T972" s="626"/>
      <c r="U972" s="626"/>
      <c r="V972" s="626"/>
      <c r="W972" s="626"/>
      <c r="X972" s="626"/>
      <c r="Y972" s="626"/>
    </row>
    <row r="973">
      <c r="A973" s="626"/>
      <c r="B973" s="626"/>
      <c r="C973" s="626"/>
      <c r="D973" s="626"/>
      <c r="E973" s="627"/>
      <c r="F973" s="628"/>
      <c r="G973" s="626"/>
      <c r="H973" s="626"/>
      <c r="I973" s="626"/>
      <c r="J973" s="626"/>
      <c r="K973" s="626"/>
      <c r="L973" s="626"/>
      <c r="M973" s="626"/>
      <c r="N973" s="626"/>
      <c r="O973" s="626"/>
      <c r="P973" s="626"/>
      <c r="Q973" s="626"/>
      <c r="R973" s="626"/>
      <c r="S973" s="626"/>
      <c r="T973" s="626"/>
      <c r="U973" s="626"/>
      <c r="V973" s="626"/>
      <c r="W973" s="626"/>
      <c r="X973" s="626"/>
      <c r="Y973" s="626"/>
    </row>
    <row r="974">
      <c r="A974" s="626"/>
      <c r="B974" s="626"/>
      <c r="C974" s="626"/>
      <c r="D974" s="626"/>
      <c r="E974" s="627"/>
      <c r="F974" s="628"/>
      <c r="G974" s="626"/>
      <c r="H974" s="626"/>
      <c r="I974" s="626"/>
      <c r="J974" s="626"/>
      <c r="K974" s="626"/>
      <c r="L974" s="626"/>
      <c r="M974" s="626"/>
      <c r="N974" s="626"/>
      <c r="O974" s="626"/>
      <c r="P974" s="626"/>
      <c r="Q974" s="626"/>
      <c r="R974" s="626"/>
      <c r="S974" s="626"/>
      <c r="T974" s="626"/>
      <c r="U974" s="626"/>
      <c r="V974" s="626"/>
      <c r="W974" s="626"/>
      <c r="X974" s="626"/>
      <c r="Y974" s="626"/>
    </row>
    <row r="975">
      <c r="A975" s="626"/>
      <c r="B975" s="626"/>
      <c r="C975" s="626"/>
      <c r="D975" s="626"/>
      <c r="E975" s="627"/>
      <c r="F975" s="628"/>
      <c r="G975" s="626"/>
      <c r="H975" s="626"/>
      <c r="I975" s="626"/>
      <c r="J975" s="626"/>
      <c r="K975" s="626"/>
      <c r="L975" s="626"/>
      <c r="M975" s="626"/>
      <c r="N975" s="626"/>
      <c r="O975" s="626"/>
      <c r="P975" s="626"/>
      <c r="Q975" s="626"/>
      <c r="R975" s="626"/>
      <c r="S975" s="626"/>
      <c r="T975" s="626"/>
      <c r="U975" s="626"/>
      <c r="V975" s="626"/>
      <c r="W975" s="626"/>
      <c r="X975" s="626"/>
      <c r="Y975" s="626"/>
    </row>
    <row r="976">
      <c r="A976" s="626"/>
      <c r="B976" s="626"/>
      <c r="C976" s="626"/>
      <c r="D976" s="626"/>
      <c r="E976" s="627"/>
      <c r="F976" s="628"/>
      <c r="G976" s="626"/>
      <c r="H976" s="626"/>
      <c r="I976" s="626"/>
      <c r="J976" s="626"/>
      <c r="K976" s="626"/>
      <c r="L976" s="626"/>
      <c r="M976" s="626"/>
      <c r="N976" s="626"/>
      <c r="O976" s="626"/>
      <c r="P976" s="626"/>
      <c r="Q976" s="626"/>
      <c r="R976" s="626"/>
      <c r="S976" s="626"/>
      <c r="T976" s="626"/>
      <c r="U976" s="626"/>
      <c r="V976" s="626"/>
      <c r="W976" s="626"/>
      <c r="X976" s="626"/>
      <c r="Y976" s="626"/>
    </row>
    <row r="977">
      <c r="A977" s="626"/>
      <c r="B977" s="626"/>
      <c r="C977" s="626"/>
      <c r="D977" s="626"/>
      <c r="E977" s="627"/>
      <c r="F977" s="628"/>
      <c r="G977" s="626"/>
      <c r="H977" s="626"/>
      <c r="I977" s="626"/>
      <c r="J977" s="626"/>
      <c r="K977" s="626"/>
      <c r="L977" s="626"/>
      <c r="M977" s="626"/>
      <c r="N977" s="626"/>
      <c r="O977" s="626"/>
      <c r="P977" s="626"/>
      <c r="Q977" s="626"/>
      <c r="R977" s="626"/>
      <c r="S977" s="626"/>
      <c r="T977" s="626"/>
      <c r="U977" s="626"/>
      <c r="V977" s="626"/>
      <c r="W977" s="626"/>
      <c r="X977" s="626"/>
      <c r="Y977" s="626"/>
    </row>
    <row r="978">
      <c r="A978" s="626"/>
      <c r="B978" s="626"/>
      <c r="C978" s="626"/>
      <c r="D978" s="626"/>
      <c r="E978" s="627"/>
      <c r="F978" s="628"/>
      <c r="G978" s="626"/>
      <c r="H978" s="626"/>
      <c r="I978" s="626"/>
      <c r="J978" s="626"/>
      <c r="K978" s="626"/>
      <c r="L978" s="626"/>
      <c r="M978" s="626"/>
      <c r="N978" s="626"/>
      <c r="O978" s="626"/>
      <c r="P978" s="626"/>
      <c r="Q978" s="626"/>
      <c r="R978" s="626"/>
      <c r="S978" s="626"/>
      <c r="T978" s="626"/>
      <c r="U978" s="626"/>
      <c r="V978" s="626"/>
      <c r="W978" s="626"/>
      <c r="X978" s="626"/>
      <c r="Y978" s="626"/>
    </row>
    <row r="979">
      <c r="A979" s="626"/>
      <c r="B979" s="626"/>
      <c r="C979" s="626"/>
      <c r="D979" s="626"/>
      <c r="E979" s="627"/>
      <c r="F979" s="628"/>
      <c r="G979" s="626"/>
      <c r="H979" s="626"/>
      <c r="I979" s="626"/>
      <c r="J979" s="626"/>
      <c r="K979" s="626"/>
      <c r="L979" s="626"/>
      <c r="M979" s="626"/>
      <c r="N979" s="626"/>
      <c r="O979" s="626"/>
      <c r="P979" s="626"/>
      <c r="Q979" s="626"/>
      <c r="R979" s="626"/>
      <c r="S979" s="626"/>
      <c r="T979" s="626"/>
      <c r="U979" s="626"/>
      <c r="V979" s="626"/>
      <c r="W979" s="626"/>
      <c r="X979" s="626"/>
      <c r="Y979" s="626"/>
    </row>
    <row r="980">
      <c r="A980" s="626"/>
      <c r="B980" s="626"/>
      <c r="C980" s="626"/>
      <c r="D980" s="626"/>
      <c r="E980" s="627"/>
      <c r="F980" s="628"/>
      <c r="G980" s="626"/>
      <c r="H980" s="626"/>
      <c r="I980" s="626"/>
      <c r="J980" s="626"/>
      <c r="K980" s="626"/>
      <c r="L980" s="626"/>
      <c r="M980" s="626"/>
      <c r="N980" s="626"/>
      <c r="O980" s="626"/>
      <c r="P980" s="626"/>
      <c r="Q980" s="626"/>
      <c r="R980" s="626"/>
      <c r="S980" s="626"/>
      <c r="T980" s="626"/>
      <c r="U980" s="626"/>
      <c r="V980" s="626"/>
      <c r="W980" s="626"/>
      <c r="X980" s="626"/>
      <c r="Y980" s="626"/>
    </row>
    <row r="981">
      <c r="A981" s="626"/>
      <c r="B981" s="626"/>
      <c r="C981" s="626"/>
      <c r="D981" s="626"/>
      <c r="E981" s="627"/>
      <c r="F981" s="628"/>
      <c r="G981" s="626"/>
      <c r="H981" s="626"/>
      <c r="I981" s="626"/>
      <c r="J981" s="626"/>
      <c r="K981" s="626"/>
      <c r="L981" s="626"/>
      <c r="M981" s="626"/>
      <c r="N981" s="626"/>
      <c r="O981" s="626"/>
      <c r="P981" s="626"/>
      <c r="Q981" s="626"/>
      <c r="R981" s="626"/>
      <c r="S981" s="626"/>
      <c r="T981" s="626"/>
      <c r="U981" s="626"/>
      <c r="V981" s="626"/>
      <c r="W981" s="626"/>
      <c r="X981" s="626"/>
      <c r="Y981" s="626"/>
    </row>
    <row r="982">
      <c r="A982" s="626"/>
      <c r="B982" s="626"/>
      <c r="C982" s="626"/>
      <c r="D982" s="626"/>
      <c r="E982" s="627"/>
      <c r="F982" s="628"/>
      <c r="G982" s="626"/>
      <c r="H982" s="626"/>
      <c r="I982" s="626"/>
      <c r="J982" s="626"/>
      <c r="K982" s="626"/>
      <c r="L982" s="626"/>
      <c r="M982" s="626"/>
      <c r="N982" s="626"/>
      <c r="O982" s="626"/>
      <c r="P982" s="626"/>
      <c r="Q982" s="626"/>
      <c r="R982" s="626"/>
      <c r="S982" s="626"/>
      <c r="T982" s="626"/>
      <c r="U982" s="626"/>
      <c r="V982" s="626"/>
      <c r="W982" s="626"/>
      <c r="X982" s="626"/>
      <c r="Y982" s="626"/>
    </row>
    <row r="983">
      <c r="A983" s="626"/>
      <c r="B983" s="626"/>
      <c r="C983" s="626"/>
      <c r="D983" s="626"/>
      <c r="E983" s="627"/>
      <c r="F983" s="628"/>
      <c r="G983" s="626"/>
      <c r="H983" s="626"/>
      <c r="I983" s="626"/>
      <c r="J983" s="626"/>
      <c r="K983" s="626"/>
      <c r="L983" s="626"/>
      <c r="M983" s="626"/>
      <c r="N983" s="626"/>
      <c r="O983" s="626"/>
      <c r="P983" s="626"/>
      <c r="Q983" s="626"/>
      <c r="R983" s="626"/>
      <c r="S983" s="626"/>
      <c r="T983" s="626"/>
      <c r="U983" s="626"/>
      <c r="V983" s="626"/>
      <c r="W983" s="626"/>
      <c r="X983" s="626"/>
      <c r="Y983" s="626"/>
    </row>
    <row r="984">
      <c r="A984" s="626"/>
      <c r="B984" s="626"/>
      <c r="C984" s="626"/>
      <c r="D984" s="626"/>
      <c r="E984" s="627"/>
      <c r="F984" s="628"/>
      <c r="G984" s="626"/>
      <c r="H984" s="626"/>
      <c r="I984" s="626"/>
      <c r="J984" s="626"/>
      <c r="K984" s="626"/>
      <c r="L984" s="626"/>
      <c r="M984" s="626"/>
      <c r="N984" s="626"/>
      <c r="O984" s="626"/>
      <c r="P984" s="626"/>
      <c r="Q984" s="626"/>
      <c r="R984" s="626"/>
      <c r="S984" s="626"/>
      <c r="T984" s="626"/>
      <c r="U984" s="626"/>
      <c r="V984" s="626"/>
      <c r="W984" s="626"/>
      <c r="X984" s="626"/>
      <c r="Y984" s="626"/>
    </row>
    <row r="985">
      <c r="A985" s="626"/>
      <c r="B985" s="626"/>
      <c r="C985" s="626"/>
      <c r="D985" s="626"/>
      <c r="E985" s="627"/>
      <c r="F985" s="628"/>
      <c r="G985" s="626"/>
      <c r="H985" s="626"/>
      <c r="I985" s="626"/>
      <c r="J985" s="626"/>
      <c r="K985" s="626"/>
      <c r="L985" s="626"/>
      <c r="M985" s="626"/>
      <c r="N985" s="626"/>
      <c r="O985" s="626"/>
      <c r="P985" s="626"/>
      <c r="Q985" s="626"/>
      <c r="R985" s="626"/>
      <c r="S985" s="626"/>
      <c r="T985" s="626"/>
      <c r="U985" s="626"/>
      <c r="V985" s="626"/>
      <c r="W985" s="626"/>
      <c r="X985" s="626"/>
      <c r="Y985" s="626"/>
    </row>
    <row r="986">
      <c r="A986" s="626"/>
      <c r="B986" s="626"/>
      <c r="C986" s="626"/>
      <c r="D986" s="626"/>
      <c r="E986" s="627"/>
      <c r="F986" s="628"/>
      <c r="G986" s="626"/>
      <c r="H986" s="626"/>
      <c r="I986" s="626"/>
      <c r="J986" s="626"/>
      <c r="K986" s="626"/>
      <c r="L986" s="626"/>
      <c r="M986" s="626"/>
      <c r="N986" s="626"/>
      <c r="O986" s="626"/>
      <c r="P986" s="626"/>
      <c r="Q986" s="626"/>
      <c r="R986" s="626"/>
      <c r="S986" s="626"/>
      <c r="T986" s="626"/>
      <c r="U986" s="626"/>
      <c r="V986" s="626"/>
      <c r="W986" s="626"/>
      <c r="X986" s="626"/>
      <c r="Y986" s="626"/>
    </row>
  </sheetData>
  <mergeCells count="2">
    <mergeCell ref="F10:F11"/>
    <mergeCell ref="G10:G11"/>
  </mergeCells>
  <conditionalFormatting sqref="C3:C23 C42:C50">
    <cfRule type="containsText" dxfId="0" priority="1" operator="containsText" text="No Sales">
      <formula>NOT(ISERROR(SEARCH(("No Sales"),(C3))))</formula>
    </cfRule>
  </conditionalFormatting>
  <conditionalFormatting sqref="B3:B23 B42:B50">
    <cfRule type="containsText" dxfId="1" priority="2" operator="containsText" text="SAME VALUES">
      <formula>NOT(ISERROR(SEARCH(("SAME VALUES"),(B3))))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2025-07-20T04:50:32Z</dcterms:created>
  <dc:creator>Marou</dc:creator>
</cp:coreProperties>
</file>