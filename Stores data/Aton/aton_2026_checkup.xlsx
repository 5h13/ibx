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pen payables" sheetId="2" state="visible" r:id="rId4"/>
    <sheet name="Notes" sheetId="3" state="visible" r:id="rId5"/>
    <sheet name="Customer balances" sheetId="4" state="visible" r:id="rId6"/>
  </sheets>
  <definedNames>
    <definedName function="false" hidden="true" localSheetId="1" name="_xlnm._FilterDatabase" vbProcedure="false">'Open payables'!$A$1:$J$32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7" authorId="0">
      <text>
        <r>
          <rPr>
            <sz val="10"/>
            <rFont val="Arial"/>
            <family val="2"/>
          </rPr>
          <t xml:space="preserve">From the Summary block at the top of your 2026 AP sheet (Balance column). Ishabella shows −134,107.40 there.</t>
        </r>
      </text>
    </comment>
  </commentList>
</comments>
</file>

<file path=xl/sharedStrings.xml><?xml version="1.0" encoding="utf-8"?>
<sst xmlns="http://schemas.openxmlformats.org/spreadsheetml/2006/main" count="511" uniqueCount="356">
  <si>
    <t xml:space="preserve">ATON 2026 load — check-up</t>
  </si>
  <si>
    <t xml:space="preserve">What aton_transactions_2026.sql loads, against your own sheets in 2026_Aton_Aire_Transactions.xlsx.</t>
  </si>
  <si>
    <t xml:space="preserve">Month</t>
  </si>
  <si>
    <t xml:space="preserve">DRs loaded</t>
  </si>
  <si>
    <t xml:space="preserve">Sales loaded</t>
  </si>
  <si>
    <t xml:space="preserve">Cost loaded</t>
  </si>
  <si>
    <t xml:space="preserve">Your figure</t>
  </si>
  <si>
    <t xml:space="preserve">Difference</t>
  </si>
  <si>
    <t xml:space="preserve">Your figure comes from</t>
  </si>
  <si>
    <t xml:space="preserve">January</t>
  </si>
  <si>
    <t xml:space="preserve">2026 IS sheet, Sales row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</si>
  <si>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</si>
  <si>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</si>
  <si>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</si>
  <si>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</si>
  <si>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</si>
  <si>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</si>
  <si>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</si>
  <si>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2026 DS "AUGUST" total — its formula =SUM(F437:F539) runs into September and counts September twice</t>
  </si>
  <si>
    <t xml:space="preserve">September</t>
  </si>
  <si>
    <t xml:space="preserve">2026 DS "SEPTEMBER" total</t>
  </si>
  <si>
    <t xml:space="preserve">Total</t>
  </si>
  <si>
    <t xml:space="preserve">Supplier</t>
  </si>
  <si>
    <t xml:space="preserve">Payables loaded</t>
  </si>
  <si>
    <t xml:space="preserve">Paid (posted)</t>
  </si>
  <si>
    <t xml:space="preserve">Pending checks / transfers</t>
  </si>
  <si>
    <t xml:space="preserve">Open incl. pending checks</t>
  </si>
  <si>
    <t xml:space="preserve">Your 2026 AP balance</t>
  </si>
  <si>
    <t xml:space="preserve">Open excl. pending checks</t>
  </si>
  <si>
    <t xml:space="preserve">3BMA</t>
  </si>
  <si>
    <t xml:space="preserve">Entalpia</t>
  </si>
  <si>
    <t xml:space="preserve">Ishabella</t>
  </si>
  <si>
    <t xml:space="preserve">JYQL</t>
  </si>
  <si>
    <t xml:space="preserve">KM Aire (Hisys)</t>
  </si>
  <si>
    <t xml:space="preserve">STAL</t>
  </si>
  <si>
    <t xml:space="preserve">Uniwestech</t>
  </si>
  <si>
    <t xml:space="preserve">Winterpine</t>
  </si>
  <si>
    <t xml:space="preserve">How to read this:</t>
  </si>
  <si>
    <t xml:space="preserve">• Sales: Jan–Jul match your IS to the centavo. August differs only because your August total formula overlaps September.</t>
  </si>
  <si>
    <t xml:space="preserve">• Payables: loaded per supplier DR from 2026 Purch; payments from the check register (2026 issuances + check summ) by DR no.; DRs not in the register use the Purch status.</t>
  </si>
  <si>
    <t xml:space="preserve">  Your 2026 AP ledger stopped matching 2026 Purch (e.g. JYQL purchases 675,800 in AP vs 1,051,725 in Purch), so the balances differ.</t>
  </si>
  <si>
    <t xml:space="preserve">  Open the "Open payables" tab, tick off what is really paid, and record those payments in the app (AP → Record payment).</t>
  </si>
  <si>
    <t xml:space="preserve">• Pending = checks dated after today and transfers listed with no check no. and no remark: loaded as approved payments — post each in AP when it clears / was sent.</t>
  </si>
  <si>
    <t xml:space="preserve">• Notes tab: every assumption the loader made. Customer balances tab: fill in for the AR opening balances.</t>
  </si>
  <si>
    <t xml:space="preserve">Payable no. in app</t>
  </si>
  <si>
    <t xml:space="preserve">DR date</t>
  </si>
  <si>
    <t xml:space="preserve">Due date</t>
  </si>
  <si>
    <t xml:space="preserve">Amount</t>
  </si>
  <si>
    <t xml:space="preserve">Pending checks</t>
  </si>
  <si>
    <t xml:space="preserve">Open</t>
  </si>
  <si>
    <t xml:space="preserve">Your sheet says</t>
  </si>
  <si>
    <t xml:space="preserve">Pending check details</t>
  </si>
  <si>
    <t xml:space="preserve">DR 9977</t>
  </si>
  <si>
    <t xml:space="preserve">for bank transfer</t>
  </si>
  <si>
    <t xml:space="preserve">DR 7011</t>
  </si>
  <si>
    <t xml:space="preserve">Planned — confirm dated 2026-08-23 47,400.00</t>
  </si>
  <si>
    <t xml:space="preserve">DR 7238</t>
  </si>
  <si>
    <t xml:space="preserve">Planned — confirm dated 2026-09-05 12,000.00</t>
  </si>
  <si>
    <t xml:space="preserve">DR 7473</t>
  </si>
  <si>
    <t xml:space="preserve">(blank)</t>
  </si>
  <si>
    <t xml:space="preserve">DR 7238-2</t>
  </si>
  <si>
    <t xml:space="preserve">Planned — confirm dated 2026-09-21 12,000.00</t>
  </si>
  <si>
    <t xml:space="preserve">DR 6090</t>
  </si>
  <si>
    <t xml:space="preserve">Planned — confirm dated 2026-09-29 40,500.00</t>
  </si>
  <si>
    <t xml:space="preserve">DR 8544</t>
  </si>
  <si>
    <t xml:space="preserve">Planned — confirm dated 2026-10-17 40,500.00</t>
  </si>
  <si>
    <t xml:space="preserve">DR 8644</t>
  </si>
  <si>
    <t xml:space="preserve">Planned — confirm dated 2026-10-26 40,500.00</t>
  </si>
  <si>
    <t xml:space="preserve">No DR 2026-06-17</t>
  </si>
  <si>
    <t xml:space="preserve">No DR 2026-06-17-2</t>
  </si>
  <si>
    <t xml:space="preserve">No DR 2026-07-08</t>
  </si>
  <si>
    <t xml:space="preserve">DR 02137</t>
  </si>
  <si>
    <t xml:space="preserve">issued check</t>
  </si>
  <si>
    <t xml:space="preserve">DR 84293</t>
  </si>
  <si>
    <t xml:space="preserve">Check 956520 dated 2026-10-09 17,980.00</t>
  </si>
  <si>
    <t xml:space="preserve">DR 21435</t>
  </si>
  <si>
    <t xml:space="preserve">Check 956524 dated 2026-10-09 20,000.00; Check 956525 dated 2026-10-16 15,015.00</t>
  </si>
  <si>
    <t xml:space="preserve">DR 62788</t>
  </si>
  <si>
    <t xml:space="preserve">Check 956527 dated 2026-10-23 11,100.00</t>
  </si>
  <si>
    <t xml:space="preserve">DR 05088</t>
  </si>
  <si>
    <t xml:space="preserve">Check 956529 dated 2026-10-30 14,400.00</t>
  </si>
  <si>
    <t xml:space="preserve">DR 72094</t>
  </si>
  <si>
    <t xml:space="preserve">DR 03425</t>
  </si>
  <si>
    <t xml:space="preserve">DR 85456</t>
  </si>
  <si>
    <t xml:space="preserve">DR 00441</t>
  </si>
  <si>
    <t xml:space="preserve">DR 0002-2</t>
  </si>
  <si>
    <t xml:space="preserve">DR 0002-3</t>
  </si>
  <si>
    <t xml:space="preserve">Check 956491 dated 2026-10-06 19,400.00</t>
  </si>
  <si>
    <t xml:space="preserve">DR 0003</t>
  </si>
  <si>
    <t xml:space="preserve">Check 956492 dated 2026-10-16 20,000.00; Check 956493 dated 2026-10-26 17,830.00</t>
  </si>
  <si>
    <t xml:space="preserve">DR 0004-2</t>
  </si>
  <si>
    <t xml:space="preserve">Check 956508 dated 2026-10-20 25,150.00</t>
  </si>
  <si>
    <t xml:space="preserve">DR 0004-3</t>
  </si>
  <si>
    <t xml:space="preserve">Check 956515 dated 2026-10-27 23,100.00</t>
  </si>
  <si>
    <t xml:space="preserve">DR 0005</t>
  </si>
  <si>
    <t xml:space="preserve">Check 956516 dated 2026-11-02 14,250.00</t>
  </si>
  <si>
    <t xml:space="preserve">DR 0005-2</t>
  </si>
  <si>
    <t xml:space="preserve">Check 956526 dated 2026-11-17 6,000.00</t>
  </si>
  <si>
    <t xml:space="preserve">DR 0010</t>
  </si>
  <si>
    <t xml:space="preserve">Check 956528 dated 2026-11-24 17,500.00</t>
  </si>
  <si>
    <t xml:space="preserve">DR 0012</t>
  </si>
  <si>
    <t xml:space="preserve">DR 218650</t>
  </si>
  <si>
    <t xml:space="preserve">Check 956509 dated 2026-10-16 23,000.00; Check 956510 dated 2026-10-23 23,000.00; Check 956511 dated 2026-11-06 22,976.00</t>
  </si>
  <si>
    <t xml:space="preserve">No DR 2026-09-02</t>
  </si>
  <si>
    <t xml:space="preserve">Area</t>
  </si>
  <si>
    <t xml:space="preserve">Item</t>
  </si>
  <si>
    <t xml:space="preserve">What the loader did</t>
  </si>
  <si>
    <t xml:space="preserve">Sales</t>
  </si>
  <si>
    <t xml:space="preserve">Customer names</t>
  </si>
  <si>
    <t xml:space="preserve">Merged spellings: AUTO AIR / AUTO AIRE → Auto Aire; JS ELECTRONOMICAL / ELECTRONIMICAL → JS Electronomical; JOBSWRIGHT / JOBS WRIGHT → Jobswright. "2011" is kept as a customer named 2011.</t>
  </si>
  <si>
    <t xml:space="preserve">167 rows without a date</t>
  </si>
  <si>
    <t xml:space="preserve">Given the date of the row above in the same month (or the next dated row of that month).</t>
  </si>
  <si>
    <t xml:space="preserve">Month subtotal rows</t>
  </si>
  <si>
    <t xml:space="preserve">The AUGUST and SEPTEMBER total rows (dated 1 Oct by =TODAY()) were skipped, not loaded as sales.</t>
  </si>
  <si>
    <t xml:space="preserve">Suppliers</t>
  </si>
  <si>
    <t xml:space="preserve">KM AIRE / KM AIRE (HYSIS) / HYSIS</t>
  </si>
  <si>
    <t xml:space="preserve">Loaded as one supplier, KM Aire (Hisys), as you confirmed.</t>
  </si>
  <si>
    <t xml:space="preserve">Matching</t>
  </si>
  <si>
    <t xml:space="preserve">Each supplier is matched to the existing supplier record by name (JYQL, STAL, 3BMA, Winterpine, Ishabella, Entalpia, Uniwestech, KM Aire/Hisys); created only if none exists.</t>
  </si>
  <si>
    <t xml:space="preserve">Purchases</t>
  </si>
  <si>
    <t xml:space="preserve">Return JYQL −1,550</t>
  </si>
  <si>
    <t xml:space="preserve">Deducted from JYQL DR 35765 as your sheet says.</t>
  </si>
  <si>
    <t xml:space="preserve">row 180 DR 1760</t>
  </si>
  <si>
    <t xml:space="preserve">no cost (Capital) — loaded with cost 0</t>
  </si>
  <si>
    <t xml:space="preserve">row 231 DR 1837</t>
  </si>
  <si>
    <t xml:space="preserve">dated 2025-04-29 — taken as 2026-04-29</t>
  </si>
  <si>
    <t xml:space="preserve">row 285 DR 1783</t>
  </si>
  <si>
    <t xml:space="preserve">dated 2026-06-04 but listed under May — booked 2026-05-31 to match your IS</t>
  </si>
  <si>
    <t xml:space="preserve">Checks</t>
  </si>
  <si>
    <t xml:space="preserve">check summ row 11</t>
  </si>
  <si>
    <t xml:space="preserve">DR#61221 JYQL 16,000.00: no check no. (cancelled for replacement (wrong amount)) — skipped</t>
  </si>
  <si>
    <t xml:space="preserve">Winterpine DR 212162</t>
  </si>
  <si>
    <t xml:space="preserve">appears 2 times — loaded as separate payables (DR 212162, DR 212162-2 …); check for a double entry</t>
  </si>
  <si>
    <t xml:space="preserve">STAL DR 0002</t>
  </si>
  <si>
    <t xml:space="preserve">appears 3 times — loaded as separate payables (DR 0002, DR 0002-2 …); check for a double entry</t>
  </si>
  <si>
    <t xml:space="preserve">STAL DR 0004</t>
  </si>
  <si>
    <t xml:space="preserve">appears 3 times — loaded as separate payables (DR 0004, DR 0004-2 …); check for a double entry</t>
  </si>
  <si>
    <t xml:space="preserve">JYQL DR 03094</t>
  </si>
  <si>
    <t xml:space="preserve">appears 2 times — loaded as separate payables (DR 03094, DR 03094-2 …); check for a double entry</t>
  </si>
  <si>
    <t xml:space="preserve">STAL DR 0005</t>
  </si>
  <si>
    <t xml:space="preserve">appears 2 times — loaded as separate payables (DR 0005, DR 0005-2 …); check for a double entry</t>
  </si>
  <si>
    <t xml:space="preserve">3BMA DR 7238</t>
  </si>
  <si>
    <t xml:space="preserve">appears 2 times — loaded as separate payables (DR 7238, DR 7238-2 …); check for a double entry</t>
  </si>
  <si>
    <t xml:space="preserve">issuances row 33</t>
  </si>
  <si>
    <t xml:space="preserve">Uniwestech check 942952 35,000.00 for replacement check # 917648: "bounced, redep Feb 13, cleared Feb 6 2026" — bounced, NOT counted as paid</t>
  </si>
  <si>
    <t xml:space="preserve">Payments</t>
  </si>
  <si>
    <t xml:space="preserve">issuances row 49</t>
  </si>
  <si>
    <t xml:space="preserve">Ishabella Suzuki 10,000.00 dated 2026-01-30: no check no. and no remark — loaded as a PENDING payment; post it if it was paid</t>
  </si>
  <si>
    <t xml:space="preserve">issuances row 50</t>
  </si>
  <si>
    <t xml:space="preserve">Ishabella Suzuki 10,000.00 dated 2026-02-28: no check no. and no remark — loaded as a PENDING payment; post it if it was paid</t>
  </si>
  <si>
    <t xml:space="preserve">issuances row 84</t>
  </si>
  <si>
    <t xml:space="preserve">3BMA 6 tanks R134a 46,200.00 dated 2026-04-15: no check no. and no remark — loaded as a PENDING payment; post it if it was paid</t>
  </si>
  <si>
    <t xml:space="preserve">issuances row 96</t>
  </si>
  <si>
    <t xml:space="preserve">3BMA 6 tanks R134a 46,200.00 dated 2026-04-27: no check no. and no remark — loaded as a PENDING payment; post it if it was paid</t>
  </si>
  <si>
    <t xml:space="preserve">issuances row 101</t>
  </si>
  <si>
    <t xml:space="preserve">3BMA 4 tanks R134a 30,800.00 dated 2026-04-30: no check no. and no remark — loaded as a PENDING payment; post it if it was paid</t>
  </si>
  <si>
    <t xml:space="preserve">issuances row 163</t>
  </si>
  <si>
    <t xml:space="preserve">Ishabella 7 freons: transfers in the remarks cover 50,000.00 of 55,300.00; 5,300.00 left unpaid</t>
  </si>
  <si>
    <t xml:space="preserve">issuances row 187</t>
  </si>
  <si>
    <t xml:space="preserve">STAL check 943049 bounced, redeposited — counted as paid 2026-08-21</t>
  </si>
  <si>
    <t xml:space="preserve">issuances row 197</t>
  </si>
  <si>
    <t xml:space="preserve">STAL 16,440.00 check None: "returned check" — not counted as a payment</t>
  </si>
  <si>
    <t xml:space="preserve">issuances row 203</t>
  </si>
  <si>
    <t xml:space="preserve">STAL check 956489 17,000.00 for DR#0002 &amp; DR#0004: "bounced Sept 22" — bounced, NOT counted as paid</t>
  </si>
  <si>
    <t xml:space="preserve">issuances row 206</t>
  </si>
  <si>
    <t xml:space="preserve">3BMA DR#9977: transfers in the remarks cover 50,000.00 of 79,000.00; 29,000.00 left unpaid</t>
  </si>
  <si>
    <t xml:space="preserve">issuances row 207</t>
  </si>
  <si>
    <t xml:space="preserve">3BMA DR#7011 47,400.00 dated 2026-08-23: no check no. and no remark — loaded as a PENDING payment; post it if it was paid</t>
  </si>
  <si>
    <t xml:space="preserve">issuances row 208</t>
  </si>
  <si>
    <t xml:space="preserve">3BMA DR#7238 12,000.00 dated 2026-09-05: no check no. and no remark — loaded as a PENDING payment; post it if it was paid</t>
  </si>
  <si>
    <t xml:space="preserve">issuances row 210</t>
  </si>
  <si>
    <t xml:space="preserve">3BMA DR#6090 40,500.00 dated 2026-09-29: no check no. and no remark — loaded as a PENDING payment; post it if it was paid</t>
  </si>
  <si>
    <t xml:space="preserve">issuances row 211</t>
  </si>
  <si>
    <t xml:space="preserve">3BMA DR#8544 40,500.00 dated 2026-10-17: no check no. and no remark — loaded as a PENDING payment; post it if it was paid</t>
  </si>
  <si>
    <t xml:space="preserve">issuances row 212</t>
  </si>
  <si>
    <t xml:space="preserve">3BMA DR#8644 40,500.00 dated 2026-10-26: no check no. and no remark — loaded as a PENDING payment; post it if it was paid</t>
  </si>
  <si>
    <t xml:space="preserve">issuances row 213</t>
  </si>
  <si>
    <t xml:space="preserve">3BMA  65,000.00 dated 2026-10-25: no check no. and no remark — loaded as a PENDING payment; post it if it was paid</t>
  </si>
  <si>
    <t xml:space="preserve">issuances row 223</t>
  </si>
  <si>
    <t xml:space="preserve">STAL check 956490 23,750.00 for DR#00002: "bounced 9/30/2026" — bounced, NOT counted as paid</t>
  </si>
  <si>
    <t xml:space="preserve">issuances row 229</t>
  </si>
  <si>
    <t xml:space="preserve">JYQL check 956518 20,800.00 for DR#21413: "bounced 9/28/26" — bounced, NOT counted as paid</t>
  </si>
  <si>
    <t xml:space="preserve">issuances row 230</t>
  </si>
  <si>
    <t xml:space="preserve">3BMA DR#7473: transfers in the remarks cover 5,000.00 of 24,300.00; 19,300.00 left unpaid</t>
  </si>
  <si>
    <t xml:space="preserve">issuances row 231</t>
  </si>
  <si>
    <t xml:space="preserve">3BMA DR#7238 12,000.00 dated 2026-09-21: no check no. and no remark — loaded as a PENDING payment; post it if it was paid</t>
  </si>
  <si>
    <t xml:space="preserve">issuances row 232</t>
  </si>
  <si>
    <t xml:space="preserve">issuances row 41</t>
  </si>
  <si>
    <t xml:space="preserve">JYQL DR 94218: 10,290.00 of Check 942999 is more than the DR amount(s) — not loaded</t>
  </si>
  <si>
    <t xml:space="preserve">issuances row 68</t>
  </si>
  <si>
    <t xml:space="preserve">STAL DR 126: 20,660.00 of Check 917639 is more than the DR amount(s) — not loaded</t>
  </si>
  <si>
    <t xml:space="preserve">issuances row 82</t>
  </si>
  <si>
    <t xml:space="preserve">STAL DR 172: 20,250.00 of Check 942966 is more than the DR amount(s) — not loaded</t>
  </si>
  <si>
    <t xml:space="preserve">issuances row 113</t>
  </si>
  <si>
    <t xml:space="preserve">JYQL DR 35765: 1,550.00 of Check 943048 is more than the DR amount(s) — not loaded</t>
  </si>
  <si>
    <t xml:space="preserve">STAL DR 169: 34,720.00 of Check 943049 is more than the DR amount(s) — not loaded</t>
  </si>
  <si>
    <t xml:space="preserve">check summ</t>
  </si>
  <si>
    <t xml:space="preserve">JYQL DR 25897: 700.00 of Check 956513 is more than the DR amount(s) — not loaded</t>
  </si>
  <si>
    <t xml:space="preserve">JYQL DR 25897: note on sheet: correct amount is 7100</t>
  </si>
  <si>
    <t xml:space="preserve">3BMA DR 6090: 40,500.00 of Planned — confirm is more than the DR amount(s) — not loaded</t>
  </si>
  <si>
    <t xml:space="preserve">issuances row 16</t>
  </si>
  <si>
    <t xml:space="preserve">JYQL DR 401581 27,260.00 (Check 938045, 2026-01-16): no such DR in 2026 Purch — not loaded</t>
  </si>
  <si>
    <t xml:space="preserve">issuances row 17</t>
  </si>
  <si>
    <t xml:space="preserve">JYQL DR 72620 12,000.00 (Check 942958, 2026-01-16): no such DR in 2026 Purch — not loaded</t>
  </si>
  <si>
    <t xml:space="preserve">issuances row 18</t>
  </si>
  <si>
    <t xml:space="preserve">JYQL DR 20202 10,800.00 (Check 942959, 2026-01-16): no such DR in 2026 Purch — not loaded</t>
  </si>
  <si>
    <t xml:space="preserve">issuances row 23</t>
  </si>
  <si>
    <t xml:space="preserve">JYQL DR 50116 8,550.00 (Check 942960, 2026-01-22): no such DR in 2026 Purch — not loaded</t>
  </si>
  <si>
    <t xml:space="preserve">issuances row 24</t>
  </si>
  <si>
    <t xml:space="preserve">Winterpine DR 208141 18,858.40 (Check 942955, 2026-01-23): no such DR in 2026 Purch — not loaded</t>
  </si>
  <si>
    <t xml:space="preserve">issuances row 31</t>
  </si>
  <si>
    <t xml:space="preserve">JYQL DR 30652 27,450.00 (Check 942965, 2026-02-05): no such DR in 2026 Purch — not loaded</t>
  </si>
  <si>
    <t xml:space="preserve">issuances row 32</t>
  </si>
  <si>
    <t xml:space="preserve">JYQL DR 65427 18,610.00 (Check 942961, 2026-02-05): no such DR in 2026 Purch — not loaded</t>
  </si>
  <si>
    <t xml:space="preserve">issuances row 36</t>
  </si>
  <si>
    <t xml:space="preserve">JYQL DR 65820 23,500.00 (Check 942974, 2026-02-12): no such DR in 2026 Purch — not loaded</t>
  </si>
  <si>
    <t xml:space="preserve">issuances row 62</t>
  </si>
  <si>
    <t xml:space="preserve">STAL DR 137 12,150.00 (Check 938002, 2026-03-03): no such DR in 2026 Purch — not loaded</t>
  </si>
  <si>
    <t xml:space="preserve">issuances row 63</t>
  </si>
  <si>
    <t xml:space="preserve">Winterpine DR 204958 25,230.80 (Check 942954, 2026-03-05): no such DR in 2026 Purch — not loaded</t>
  </si>
  <si>
    <t xml:space="preserve">issuances row 83</t>
  </si>
  <si>
    <t xml:space="preserve">STAL DR 174 3,900.00 (Check 942967, 2026-04-10): no such DR in 2026 Purch — not loaded</t>
  </si>
  <si>
    <t xml:space="preserve">issuances row 86</t>
  </si>
  <si>
    <t xml:space="preserve">STAL DR 184 12,600.00 (Check 942968, 2026-04-17): no such DR in 2026 Purch — not loaded</t>
  </si>
  <si>
    <t xml:space="preserve">issuances row 93</t>
  </si>
  <si>
    <t xml:space="preserve">STAL DR 170 31,300.00 (Check 938050, 2026-04-24): no such DR in 2026 Purch — not loaded</t>
  </si>
  <si>
    <t xml:space="preserve">issuances row 112</t>
  </si>
  <si>
    <t xml:space="preserve">JYQL DR 55588 28,200.00 (Check 943034, 2026-05-24): no such DR in 2026 Purch — not loaded</t>
  </si>
  <si>
    <t xml:space="preserve">issuances (no DR no.)</t>
  </si>
  <si>
    <t xml:space="preserve">Uniwestech: 78,000.00 of checks / transfers name no DR — not applied to any DR (see Open payables)</t>
  </si>
  <si>
    <t xml:space="preserve">Entalpia: 106,433.00 of checks / transfers name no DR — not applied to any DR (see Open payables)</t>
  </si>
  <si>
    <t xml:space="preserve">Ishabella: 86,926.80 of checks / transfers name no DR — not applied to any DR (see Open payables)</t>
  </si>
  <si>
    <t xml:space="preserve">KM Aire (Hisys): 191,644.12 of checks / transfers name no DR — not applied to any DR (see Open payables)</t>
  </si>
  <si>
    <t xml:space="preserve">3BMA: 274,500.00 of checks / transfers name no DR — not applied to any DR (see Open payables)</t>
  </si>
  <si>
    <t xml:space="preserve">STAL: 14,550.00 of checks / transfers name no DR — not applied to any DR (see Open payables)</t>
  </si>
  <si>
    <t xml:space="preserve">issuances</t>
  </si>
  <si>
    <t xml:space="preserve">86,868.00 of checks dated 2025 for DRs not in 2026 Purch (2025 purchases) — not loaded</t>
  </si>
  <si>
    <t xml:space="preserve">JYQL 02137 (2026-03-17)</t>
  </si>
  <si>
    <t xml:space="preserve">sheet says 'issued check', register covers 18,080.00 of 20,380.00</t>
  </si>
  <si>
    <t xml:space="preserve">STAL 0002 (2026-06-24)</t>
  </si>
  <si>
    <t xml:space="preserve">sheet says 'issued check', register covers 3,600.00 of 8,500.00</t>
  </si>
  <si>
    <t xml:space="preserve">STAL DR 108 (2026-01-14, 14,550.00)</t>
  </si>
  <si>
    <t xml:space="preserve">sheet says 'issued check' but no check for this DR in 2026 issuances / check summ — counted as paid on the due date 2026-04-14</t>
  </si>
  <si>
    <t xml:space="preserve">Uniwestech DR None (2026-01-29, 16,400.00)</t>
  </si>
  <si>
    <t xml:space="preserve">sheet says 'issued check' but no check for this DR in 2026 issuances / check summ — counted as paid on the due date 2026-02-05</t>
  </si>
  <si>
    <t xml:space="preserve">KM Aire (Hisys) DR 0117 (2026-03-16, 191,644.12)</t>
  </si>
  <si>
    <t xml:space="preserve">sheet says 'issued check' but no check for this DR in 2026 issuances / check summ — counted as paid on the due date 2026-03-26</t>
  </si>
  <si>
    <t xml:space="preserve">JYQL DR 655588 (2026-04-14, 28,200.00)</t>
  </si>
  <si>
    <t xml:space="preserve">sheet says 'issued check' but no check for this DR in 2026 issuances / check summ — counted as paid on the due date 2026-05-24</t>
  </si>
  <si>
    <t xml:space="preserve">3BMA DR 2885 (2026-04-14, 23,100.00)</t>
  </si>
  <si>
    <t xml:space="preserve">sheet says 'issued check' but no check for this DR in 2026 issuances / check summ — counted as paid on the due date 2026-04-21</t>
  </si>
  <si>
    <t xml:space="preserve">3BMA DR 3124 (2026-04-26, 30,800.00)</t>
  </si>
  <si>
    <t xml:space="preserve">sheet says 'issued check' but no check for this DR in 2026 issuances / check summ — counted as paid on the due date 2026-05-04</t>
  </si>
  <si>
    <t xml:space="preserve">STAL DR RE-ISSUE (2026-03-14, 4,750.00)</t>
  </si>
  <si>
    <t xml:space="preserve">sheet says 'issued check' but no check for this DR in 2026 issuances / check summ — counted as paid on the due date 2026-03-14</t>
  </si>
  <si>
    <t xml:space="preserve">STAL DR 0006 (2026-06-17, 3,600.00)</t>
  </si>
  <si>
    <t xml:space="preserve">sheet says 'issued check' but no check for this DR in 2026 issuances / check summ — counted as paid on the due date 2026-09-15</t>
  </si>
  <si>
    <t xml:space="preserve">STAL DR 0004 (2026-06-24, 8,500.00)</t>
  </si>
  <si>
    <t xml:space="preserve">sheet says 'issued check' but no check for this DR in 2026 issuances / check summ — counted as paid on the due date 2026-09-22</t>
  </si>
  <si>
    <t xml:space="preserve">STAL DR 00002 (2026-07-02, 23,750.00)</t>
  </si>
  <si>
    <t xml:space="preserve">sheet says 'issued check' but no check for this DR in 2026 issuances / check summ — counted as paid on the due date 2026-09-30</t>
  </si>
  <si>
    <t xml:space="preserve">Ishabella DR (none) 2026-07-08</t>
  </si>
  <si>
    <t xml:space="preserve">'for bank transfer' and no transfer found in 2026 issuances — loaded as NOT yet paid (1,300.00)</t>
  </si>
  <si>
    <t xml:space="preserve">AR opening balances — fill in column H (yellow) with what each customer owes today. Leave blank if nothing.</t>
  </si>
  <si>
    <t xml:space="preserve">Column G is only a draft: the 2026 Ikot sheet lists Ikot's sales to about March/April and collections to 30 April, and starts without 2025 balances, so a negative or missing figure is normal.</t>
  </si>
  <si>
    <t xml:space="preserve">Send this file back and I will turn column H into opening-balance invoices (one per customer, dated column I).</t>
  </si>
  <si>
    <t xml:space="preserve">Customer</t>
  </si>
  <si>
    <t xml:space="preserve">Ikot sheet: sales</t>
  </si>
  <si>
    <t xml:space="preserve">Ikot sheet: collections</t>
  </si>
  <si>
    <t xml:space="preserve">Ikot difference</t>
  </si>
  <si>
    <t xml:space="preserve">All DS sales Jan–Sep</t>
  </si>
  <si>
    <t xml:space="preserve">Last DR date</t>
  </si>
  <si>
    <t xml:space="preserve">Draft (Ikot difference if positive)</t>
  </si>
  <si>
    <t xml:space="preserve">CURRENT BALANCE (you fill)</t>
  </si>
  <si>
    <t xml:space="preserve">As of</t>
  </si>
  <si>
    <t xml:space="preserve">2011</t>
  </si>
  <si>
    <t xml:space="preserve">3M Buenafe</t>
  </si>
  <si>
    <t xml:space="preserve">A2</t>
  </si>
  <si>
    <t xml:space="preserve">aida</t>
  </si>
  <si>
    <t xml:space="preserve">Albert</t>
  </si>
  <si>
    <t xml:space="preserve">Alex</t>
  </si>
  <si>
    <t xml:space="preserve">Alex Mendezebel</t>
  </si>
  <si>
    <t xml:space="preserve">Aljune</t>
  </si>
  <si>
    <t xml:space="preserve">Auto Aire</t>
  </si>
  <si>
    <t xml:space="preserve">Benjie</t>
  </si>
  <si>
    <t xml:space="preserve">BLB KING REYES</t>
  </si>
  <si>
    <t xml:space="preserve">Brian Bosa</t>
  </si>
  <si>
    <t xml:space="preserve">BRUN</t>
  </si>
  <si>
    <t xml:space="preserve">Buenafe</t>
  </si>
  <si>
    <t xml:space="preserve">Chrstian Erick</t>
  </si>
  <si>
    <t xml:space="preserve">Coronacion</t>
  </si>
  <si>
    <t xml:space="preserve">Cristine Rumoroza</t>
  </si>
  <si>
    <t xml:space="preserve">D7A</t>
  </si>
  <si>
    <t xml:space="preserve">Darla</t>
  </si>
  <si>
    <t xml:space="preserve">DBA</t>
  </si>
  <si>
    <t xml:space="preserve">DCASIO</t>
  </si>
  <si>
    <t xml:space="preserve">DHICEL</t>
  </si>
  <si>
    <t xml:space="preserve">Dondon</t>
  </si>
  <si>
    <t xml:space="preserve">Drench</t>
  </si>
  <si>
    <t xml:space="preserve">Edison</t>
  </si>
  <si>
    <t xml:space="preserve">Edward</t>
  </si>
  <si>
    <t xml:space="preserve">ELHAG AC</t>
  </si>
  <si>
    <t xml:space="preserve">FAV Refrigeration</t>
  </si>
  <si>
    <t xml:space="preserve">Fean Marie</t>
  </si>
  <si>
    <t xml:space="preserve">Glen</t>
  </si>
  <si>
    <t xml:space="preserve">HILARIO</t>
  </si>
  <si>
    <t xml:space="preserve">Isabelle Sanchez</t>
  </si>
  <si>
    <t xml:space="preserve">JAJ</t>
  </si>
  <si>
    <t xml:space="preserve">Jane</t>
  </si>
  <si>
    <t xml:space="preserve">janel dorado</t>
  </si>
  <si>
    <t xml:space="preserve">Jepoy</t>
  </si>
  <si>
    <t xml:space="preserve">Jerome Carbonera</t>
  </si>
  <si>
    <t xml:space="preserve">JMQ CCTV</t>
  </si>
  <si>
    <t xml:space="preserve">Jobswright</t>
  </si>
  <si>
    <t xml:space="preserve">john paul ambon</t>
  </si>
  <si>
    <t xml:space="preserve">Jon</t>
  </si>
  <si>
    <t xml:space="preserve">Joshua</t>
  </si>
  <si>
    <t xml:space="preserve">JS</t>
  </si>
  <si>
    <t xml:space="preserve">JS Electronomical</t>
  </si>
  <si>
    <t xml:space="preserve">Jshua</t>
  </si>
  <si>
    <t xml:space="preserve">June Tibayan</t>
  </si>
  <si>
    <t xml:space="preserve">JVL</t>
  </si>
  <si>
    <t xml:space="preserve">Kyozobrado</t>
  </si>
  <si>
    <t xml:space="preserve">Leo de Guzman</t>
  </si>
  <si>
    <t xml:space="preserve">Maam Lesly</t>
  </si>
  <si>
    <t xml:space="preserve">Maeden</t>
  </si>
  <si>
    <t xml:space="preserve">Marelco</t>
  </si>
  <si>
    <t xml:space="preserve">Matthew Tan</t>
  </si>
  <si>
    <t xml:space="preserve">MCZ</t>
  </si>
  <si>
    <t xml:space="preserve">MCZ CA</t>
  </si>
  <si>
    <t xml:space="preserve">MED</t>
  </si>
  <si>
    <t xml:space="preserve">Mervin</t>
  </si>
  <si>
    <t xml:space="preserve">Mervin Hilotin</t>
  </si>
  <si>
    <t xml:space="preserve">Mesar</t>
  </si>
  <si>
    <t xml:space="preserve">MG</t>
  </si>
  <si>
    <t xml:space="preserve">MHM</t>
  </si>
  <si>
    <t xml:space="preserve">Nat</t>
  </si>
  <si>
    <t xml:space="preserve">norman coronacion</t>
  </si>
  <si>
    <t xml:space="preserve">Rainard Yap</t>
  </si>
  <si>
    <t xml:space="preserve">RAJ</t>
  </si>
  <si>
    <t xml:space="preserve">Raymart Escalona</t>
  </si>
  <si>
    <t xml:space="preserve">Raymart Ramos</t>
  </si>
  <si>
    <t xml:space="preserve">REC AC</t>
  </si>
  <si>
    <t xml:space="preserve">RPV</t>
  </si>
  <si>
    <t xml:space="preserve">Ryan</t>
  </si>
  <si>
    <t xml:space="preserve">Subic GS Auto</t>
  </si>
  <si>
    <t xml:space="preserve">TECHPRO</t>
  </si>
  <si>
    <t xml:space="preserve">Templink Airconditioning</t>
  </si>
  <si>
    <t xml:space="preserve">Tempunk</t>
  </si>
  <si>
    <t xml:space="preserve">The Palms CC</t>
  </si>
  <si>
    <t xml:space="preserve">TOP 1</t>
  </si>
  <si>
    <t xml:space="preserve">Tope</t>
  </si>
  <si>
    <t xml:space="preserve">Vhong</t>
  </si>
  <si>
    <t xml:space="preserve">Vi N Vi</t>
  </si>
  <si>
    <t xml:space="preserve">William</t>
  </si>
  <si>
    <t xml:space="preserve">Yara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</si>
</sst>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[RED]\-#,##0.00"/>
    <numFmt numFmtId="166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38A8"/>
        <bgColor rgb="FF3333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38A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8A8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8" min="2" style="0" width="17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2"/>
    </row>
    <row r="5" customFormat="false" ht="15" hidden="false" customHeight="false" outlineLevel="0" collapsed="false">
      <c r="A5" s="2" t="s">
        <v>9</v>
      </c>
      <c r="B5" s="2" t="n">
        <v>35</v>
      </c>
      <c r="C5" s="4" t="n">
        <v>405325.97</v>
      </c>
      <c r="D5" s="4" t="n">
        <v>280718.4</v>
      </c>
      <c r="E5" s="4" t="n">
        <v>405325.97</v>
      </c>
      <c r="F5" s="4" t="n">
        <f aca="false">C5-E5</f>
        <v>0</v>
      </c>
      <c r="G5" s="2" t="s">
        <v>10</v>
      </c>
      <c r="H5" s="4"/>
    </row>
    <row r="6" customFormat="false" ht="15" hidden="false" customHeight="false" outlineLevel="0" collapsed="false">
      <c r="A6" s="2" t="s">
        <v>11</v>
      </c>
      <c r="B6" s="2" t="n">
        <v>53</v>
      </c>
      <c r="C6" s="4" t="n">
        <v>314994.6</v>
      </c>
      <c r="D6" s="4" t="n">
        <v>206326.08</v>
      </c>
      <c r="E6" s="4" t="n">
        <v>314994.6</v>
      </c>
      <c r="F6" s="4" t="n">
        <f aca="false">C6-E6</f>
        <v>0</v>
      </c>
      <c r="G6" s="2" t="s">
        <v>10</v>
      </c>
      <c r="H6" s="4"/>
    </row>
    <row r="7" customFormat="false" ht="15" hidden="false" customHeight="false" outlineLevel="0" collapsed="false">
      <c r="A7" s="2" t="s">
        <v>12</v>
      </c>
      <c r="B7" s="2" t="n">
        <v>64</v>
      </c>
      <c r="C7" s="4" t="n">
        <v>676068</v>
      </c>
      <c r="D7" s="4" t="n">
        <v>521692.8</v>
      </c>
      <c r="E7" s="4" t="n">
        <v>676068</v>
      </c>
      <c r="F7" s="4" t="n">
        <f aca="false">C7-E7</f>
        <v>0</v>
      </c>
      <c r="G7" s="2" t="s">
        <v>10</v>
      </c>
      <c r="H7" s="4"/>
    </row>
    <row r="8" customFormat="false" ht="15" hidden="false" customHeight="false" outlineLevel="0" collapsed="false">
      <c r="A8" s="2" t="s">
        <v>13</v>
      </c>
      <c r="B8" s="2" t="n">
        <v>62</v>
      </c>
      <c r="C8" s="4" t="n">
        <v>664972.26</v>
      </c>
      <c r="D8" s="4" t="n">
        <v>500048.32</v>
      </c>
      <c r="E8" s="4" t="n">
        <v>664972.26</v>
      </c>
      <c r="F8" s="4" t="n">
        <f aca="false">C8-E8</f>
        <v>0</v>
      </c>
      <c r="G8" s="2" t="s">
        <v>10</v>
      </c>
      <c r="H8" s="4"/>
    </row>
    <row r="9" customFormat="false" ht="15" hidden="false" customHeight="false" outlineLevel="0" collapsed="false">
      <c r="A9" s="2" t="s">
        <v>14</v>
      </c>
      <c r="B9" s="2" t="n">
        <v>51</v>
      </c>
      <c r="C9" s="4" t="n">
        <v>341484.6</v>
      </c>
      <c r="D9" s="4" t="n">
        <v>222972</v>
      </c>
      <c r="E9" s="4" t="n">
        <v>341484.6</v>
      </c>
      <c r="F9" s="4" t="n">
        <f aca="false">C9-E9</f>
        <v>0</v>
      </c>
      <c r="G9" s="2" t="s">
        <v>10</v>
      </c>
      <c r="H9" s="4"/>
    </row>
    <row r="10" customFormat="false" ht="15" hidden="false" customHeight="false" outlineLevel="0" collapsed="false">
      <c r="A10" s="2" t="s">
        <v>15</v>
      </c>
      <c r="B10" s="2" t="n">
        <v>63</v>
      </c>
      <c r="C10" s="4" t="n">
        <v>461234</v>
      </c>
      <c r="D10" s="4" t="n">
        <v>319265.8</v>
      </c>
      <c r="E10" s="4" t="n">
        <v>461234</v>
      </c>
      <c r="F10" s="4" t="n">
        <f aca="false">C10-E10</f>
        <v>0</v>
      </c>
      <c r="G10" s="2" t="s">
        <v>10</v>
      </c>
      <c r="H10" s="4"/>
    </row>
    <row r="11" customFormat="false" ht="15" hidden="false" customHeight="false" outlineLevel="0" collapsed="false">
      <c r="A11" s="2" t="s">
        <v>16</v>
      </c>
      <c r="B11" s="2" t="n">
        <v>77</v>
      </c>
      <c r="C11" s="4" t="n">
        <v>799834.6</v>
      </c>
      <c r="D11" s="4" t="n">
        <v>593187</v>
      </c>
      <c r="E11" s="4" t="n">
        <v>799834.6</v>
      </c>
      <c r="F11" s="4" t="n">
        <f aca="false">C11-E11</f>
        <v>0</v>
      </c>
      <c r="G11" s="2" t="s">
        <v>10</v>
      </c>
      <c r="H11" s="4"/>
    </row>
    <row r="12" customFormat="false" ht="15" hidden="false" customHeight="false" outlineLevel="0" collapsed="false">
      <c r="A12" s="2" t="s">
        <v>17</v>
      </c>
      <c r="B12" s="2" t="n">
        <v>40</v>
      </c>
      <c r="C12" s="4" t="n">
        <v>316295</v>
      </c>
      <c r="D12" s="4" t="n">
        <v>240411.4</v>
      </c>
      <c r="E12" s="4" t="n">
        <v>533089.6</v>
      </c>
      <c r="F12" s="4" t="n">
        <f aca="false">C12-E12</f>
        <v>-216794.6</v>
      </c>
      <c r="G12" s="2" t="s">
        <v>18</v>
      </c>
      <c r="H12" s="4"/>
    </row>
    <row r="13" customFormat="false" ht="15" hidden="false" customHeight="false" outlineLevel="0" collapsed="false">
      <c r="A13" s="2" t="s">
        <v>19</v>
      </c>
      <c r="B13" s="2" t="n">
        <v>20</v>
      </c>
      <c r="C13" s="4" t="n">
        <v>108397.3</v>
      </c>
      <c r="D13" s="4" t="n">
        <v>76502.4</v>
      </c>
      <c r="E13" s="4" t="n">
        <v>108397.3</v>
      </c>
      <c r="F13" s="4" t="n">
        <f aca="false">C13-E13</f>
        <v>0</v>
      </c>
      <c r="G13" s="2" t="s">
        <v>20</v>
      </c>
      <c r="H13" s="4"/>
    </row>
    <row r="14" customFormat="false" ht="15" hidden="false" customHeight="false" outlineLevel="0" collapsed="false">
      <c r="A14" s="5" t="s">
        <v>21</v>
      </c>
      <c r="B14" s="6" t="n">
        <f aca="false">SUM(B5:B13)</f>
        <v>465</v>
      </c>
      <c r="C14" s="6" t="n">
        <f aca="false">SUM(C5:C13)</f>
        <v>4088606.33</v>
      </c>
      <c r="D14" s="6" t="n">
        <f aca="false">SUM(D5:D13)</f>
        <v>2961124.2</v>
      </c>
      <c r="E14" s="6" t="n">
        <f aca="false">SUM(E5:E13)</f>
        <v>4305400.93</v>
      </c>
      <c r="F14" s="6" t="n">
        <f aca="false">C14-E14</f>
        <v>-216794.6</v>
      </c>
      <c r="G14" s="4"/>
      <c r="H14" s="4"/>
    </row>
    <row r="15" customFormat="false" ht="15" hidden="false" customHeight="false" outlineLevel="0" collapsed="false">
      <c r="A15" s="2"/>
      <c r="B15" s="2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2"/>
      <c r="B16" s="2"/>
      <c r="C16" s="4"/>
      <c r="D16" s="4"/>
      <c r="E16" s="4"/>
      <c r="F16" s="4"/>
      <c r="G16" s="4"/>
      <c r="H16" s="4"/>
    </row>
    <row r="17" customFormat="false" ht="39.55" hidden="false" customHeight="false" outlineLevel="0" collapsed="false">
      <c r="A17" s="3" t="s">
        <v>22</v>
      </c>
      <c r="B17" s="3" t="s">
        <v>23</v>
      </c>
      <c r="C17" s="3" t="s">
        <v>24</v>
      </c>
      <c r="D17" s="3" t="s">
        <v>25</v>
      </c>
      <c r="E17" s="3" t="s">
        <v>26</v>
      </c>
      <c r="F17" s="3" t="s">
        <v>27</v>
      </c>
      <c r="G17" s="3" t="s">
        <v>7</v>
      </c>
      <c r="H17" s="3" t="s">
        <v>28</v>
      </c>
    </row>
    <row r="18" customFormat="false" ht="15" hidden="false" customHeight="false" outlineLevel="0" collapsed="false">
      <c r="A18" s="2" t="s">
        <v>29</v>
      </c>
      <c r="B18" s="2" t="n">
        <v>663700</v>
      </c>
      <c r="C18" s="4" t="n">
        <v>422500</v>
      </c>
      <c r="D18" s="4" t="n">
        <v>192900</v>
      </c>
      <c r="E18" s="4" t="n">
        <f aca="false">B18-C18</f>
        <v>241200</v>
      </c>
      <c r="F18" s="4" t="n">
        <v>140200</v>
      </c>
      <c r="G18" s="4" t="n">
        <f aca="false">E18-F18</f>
        <v>101000</v>
      </c>
      <c r="H18" s="4" t="n">
        <f aca="false">E18-D18</f>
        <v>48300</v>
      </c>
    </row>
    <row r="19" customFormat="false" ht="15" hidden="false" customHeight="false" outlineLevel="0" collapsed="false">
      <c r="A19" s="2" t="s">
        <v>30</v>
      </c>
      <c r="B19" s="2" t="n">
        <v>106433</v>
      </c>
      <c r="C19" s="4" t="n">
        <v>106433</v>
      </c>
      <c r="D19" s="4" t="n">
        <v>0</v>
      </c>
      <c r="E19" s="4" t="n">
        <f aca="false">B19-C19</f>
        <v>0</v>
      </c>
      <c r="F19" s="4" t="n">
        <v>0</v>
      </c>
      <c r="G19" s="4" t="n">
        <f aca="false">E19-F19</f>
        <v>0</v>
      </c>
      <c r="H19" s="4" t="n">
        <f aca="false">E19-D19</f>
        <v>0</v>
      </c>
    </row>
    <row r="20" customFormat="false" ht="15" hidden="false" customHeight="false" outlineLevel="0" collapsed="false">
      <c r="A20" s="2" t="s">
        <v>31</v>
      </c>
      <c r="B20" s="2" t="n">
        <v>108411.2</v>
      </c>
      <c r="C20" s="4" t="n">
        <v>97256.4</v>
      </c>
      <c r="D20" s="4" t="n">
        <v>0</v>
      </c>
      <c r="E20" s="4" t="n">
        <f aca="false">B20-C20</f>
        <v>11154.8</v>
      </c>
      <c r="F20" s="4" t="n">
        <v>-134107.4</v>
      </c>
      <c r="G20" s="4" t="n">
        <f aca="false">E20-F20</f>
        <v>145262.2</v>
      </c>
      <c r="H20" s="4" t="n">
        <f aca="false">E20-D20</f>
        <v>11154.8</v>
      </c>
    </row>
    <row r="21" customFormat="false" ht="15" hidden="false" customHeight="false" outlineLevel="0" collapsed="false">
      <c r="A21" s="2" t="s">
        <v>32</v>
      </c>
      <c r="B21" s="2" t="n">
        <v>1051725</v>
      </c>
      <c r="C21" s="4" t="n">
        <v>904730</v>
      </c>
      <c r="D21" s="4" t="n">
        <v>78495</v>
      </c>
      <c r="E21" s="4" t="n">
        <f aca="false">B21-C21</f>
        <v>146995</v>
      </c>
      <c r="F21" s="4" t="n">
        <v>284235</v>
      </c>
      <c r="G21" s="4" t="n">
        <f aca="false">E21-F21</f>
        <v>-137240</v>
      </c>
      <c r="H21" s="4" t="n">
        <f aca="false">E21-D21</f>
        <v>68500</v>
      </c>
    </row>
    <row r="22" customFormat="false" ht="15" hidden="false" customHeight="false" outlineLevel="0" collapsed="false">
      <c r="A22" s="2" t="s">
        <v>33</v>
      </c>
      <c r="B22" s="2" t="n">
        <v>308618.32</v>
      </c>
      <c r="C22" s="4" t="n">
        <v>308618.32</v>
      </c>
      <c r="D22" s="4" t="n">
        <v>0</v>
      </c>
      <c r="E22" s="4" t="n">
        <f aca="false">B22-C22</f>
        <v>0</v>
      </c>
      <c r="F22" s="4" t="n">
        <v>0</v>
      </c>
      <c r="G22" s="4" t="n">
        <f aca="false">E22-F22</f>
        <v>0</v>
      </c>
      <c r="H22" s="4" t="n">
        <f aca="false">E22-D22</f>
        <v>0</v>
      </c>
    </row>
    <row r="23" customFormat="false" ht="15" hidden="false" customHeight="false" outlineLevel="0" collapsed="false">
      <c r="A23" s="2" t="s">
        <v>34</v>
      </c>
      <c r="B23" s="2" t="n">
        <v>607400</v>
      </c>
      <c r="C23" s="4" t="n">
        <v>436520</v>
      </c>
      <c r="D23" s="4" t="n">
        <v>143230</v>
      </c>
      <c r="E23" s="4" t="n">
        <f aca="false">B23-C23</f>
        <v>170880</v>
      </c>
      <c r="F23" s="4" t="n">
        <v>382490</v>
      </c>
      <c r="G23" s="4" t="n">
        <f aca="false">E23-F23</f>
        <v>-211610</v>
      </c>
      <c r="H23" s="4" t="n">
        <f aca="false">E23-D23</f>
        <v>27650</v>
      </c>
    </row>
    <row r="24" customFormat="false" ht="15" hidden="false" customHeight="false" outlineLevel="0" collapsed="false">
      <c r="A24" s="2" t="s">
        <v>35</v>
      </c>
      <c r="B24" s="2" t="n">
        <v>49000</v>
      </c>
      <c r="C24" s="4" t="n">
        <v>49000</v>
      </c>
      <c r="D24" s="4" t="n">
        <v>0</v>
      </c>
      <c r="E24" s="4" t="n">
        <f aca="false">B24-C24</f>
        <v>0</v>
      </c>
      <c r="F24" s="4" t="n">
        <v>0</v>
      </c>
      <c r="G24" s="4" t="n">
        <f aca="false">E24-F24</f>
        <v>0</v>
      </c>
      <c r="H24" s="4" t="n">
        <f aca="false">E24-D24</f>
        <v>0</v>
      </c>
    </row>
    <row r="25" customFormat="false" ht="15" hidden="false" customHeight="false" outlineLevel="0" collapsed="false">
      <c r="A25" s="2" t="s">
        <v>36</v>
      </c>
      <c r="B25" s="2" t="n">
        <v>387085.12</v>
      </c>
      <c r="C25" s="4" t="n">
        <v>307449.12</v>
      </c>
      <c r="D25" s="4" t="n">
        <v>68976</v>
      </c>
      <c r="E25" s="4" t="n">
        <f aca="false">B25-C25</f>
        <v>79636</v>
      </c>
      <c r="F25" s="4" t="n">
        <v>112396</v>
      </c>
      <c r="G25" s="4" t="n">
        <f aca="false">E25-F25</f>
        <v>-32760</v>
      </c>
      <c r="H25" s="4" t="n">
        <f aca="false">E25-D25</f>
        <v>10660</v>
      </c>
    </row>
    <row r="26" customFormat="false" ht="15" hidden="false" customHeight="false" outlineLevel="0" collapsed="false">
      <c r="A26" s="5" t="s">
        <v>21</v>
      </c>
      <c r="B26" s="6" t="n">
        <f aca="false">SUM(B18:B25)</f>
        <v>3282372.64</v>
      </c>
      <c r="C26" s="6" t="n">
        <f aca="false">SUM(C18:C25)</f>
        <v>2632506.84</v>
      </c>
      <c r="D26" s="6" t="n">
        <f aca="false">SUM(D18:D25)</f>
        <v>483601</v>
      </c>
      <c r="E26" s="6" t="n">
        <f aca="false">SUM(E18:E25)</f>
        <v>649865.8</v>
      </c>
      <c r="F26" s="6" t="n">
        <f aca="false">SUM(F18:F25)</f>
        <v>785213.6</v>
      </c>
      <c r="G26" s="6" t="n">
        <f aca="false">SUM(G18:G25)</f>
        <v>-135347.8</v>
      </c>
      <c r="H26" s="6" t="n">
        <f aca="false">SUM(H18:H25)</f>
        <v>166264.8</v>
      </c>
    </row>
    <row r="27" customFormat="false" ht="15" hidden="false" customHeight="false" outlineLevel="0" collapsed="false">
      <c r="A27" s="2"/>
      <c r="B27" s="2"/>
      <c r="C27" s="4"/>
      <c r="D27" s="4"/>
      <c r="E27" s="4"/>
      <c r="F27" s="4"/>
      <c r="G27" s="4"/>
      <c r="H27" s="4"/>
    </row>
    <row r="28" customFormat="false" ht="15" hidden="false" customHeight="false" outlineLevel="0" collapsed="false">
      <c r="A28" s="2" t="s">
        <v>37</v>
      </c>
      <c r="B28" s="2"/>
      <c r="C28" s="4"/>
      <c r="D28" s="4"/>
      <c r="E28" s="4"/>
      <c r="F28" s="4"/>
      <c r="G28" s="4"/>
      <c r="H28" s="4"/>
    </row>
    <row r="29" customFormat="false" ht="15" hidden="false" customHeight="false" outlineLevel="0" collapsed="false">
      <c r="A29" s="2" t="s">
        <v>38</v>
      </c>
      <c r="B29" s="2"/>
      <c r="C29" s="4"/>
      <c r="D29" s="4"/>
      <c r="E29" s="4"/>
      <c r="F29" s="4"/>
      <c r="G29" s="4"/>
      <c r="H29" s="4"/>
    </row>
    <row r="30" customFormat="false" ht="15" hidden="false" customHeight="false" outlineLevel="0" collapsed="false">
      <c r="A30" s="2" t="s">
        <v>39</v>
      </c>
      <c r="B30" s="2"/>
      <c r="C30" s="4"/>
      <c r="D30" s="4"/>
      <c r="E30" s="4"/>
      <c r="F30" s="4"/>
      <c r="G30" s="4"/>
      <c r="H30" s="4"/>
    </row>
    <row r="31" customFormat="false" ht="15" hidden="false" customHeight="false" outlineLevel="0" collapsed="false">
      <c r="A31" s="2" t="s">
        <v>40</v>
      </c>
      <c r="B31" s="2"/>
      <c r="C31" s="4"/>
      <c r="D31" s="4"/>
      <c r="E31" s="4"/>
      <c r="F31" s="4"/>
      <c r="G31" s="4"/>
      <c r="H31" s="4"/>
    </row>
    <row r="32" customFormat="false" ht="15" hidden="false" customHeight="false" outlineLevel="0" collapsed="false">
      <c r="A32" s="2" t="s">
        <v>41</v>
      </c>
      <c r="B32" s="2"/>
      <c r="C32" s="4"/>
      <c r="D32" s="4"/>
      <c r="E32" s="4"/>
      <c r="F32" s="4"/>
      <c r="G32" s="4"/>
      <c r="H32" s="4"/>
    </row>
    <row r="33" customFormat="false" ht="15" hidden="false" customHeight="false" outlineLevel="0" collapsed="false">
      <c r="A33" s="2" t="s">
        <v>42</v>
      </c>
      <c r="B33" s="2"/>
      <c r="C33" s="4"/>
      <c r="D33" s="4"/>
      <c r="E33" s="4"/>
      <c r="F33" s="4"/>
      <c r="G33" s="4"/>
      <c r="H33" s="4"/>
    </row>
    <row r="34" customFormat="false" ht="15" hidden="false" customHeight="false" outlineLevel="0" collapsed="false">
      <c r="A34" s="2" t="s">
        <v>43</v>
      </c>
      <c r="B34" s="2"/>
      <c r="C34" s="4"/>
      <c r="D34" s="4"/>
      <c r="E34" s="4"/>
      <c r="F34" s="4"/>
      <c r="G34" s="4"/>
      <c r="H3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4" min="3" style="0" width="11"/>
    <col collapsed="false" customWidth="true" hidden="false" outlineLevel="0" max="8" min="5" style="0" width="13"/>
    <col collapsed="false" customWidth="true" hidden="false" outlineLevel="0" max="9" min="9" style="0" width="22"/>
    <col collapsed="false" customWidth="true" hidden="false" outlineLevel="0" max="10" min="10" style="0" width="60"/>
  </cols>
  <sheetData>
    <row r="1" customFormat="false" ht="26.85" hidden="false" customHeight="false" outlineLevel="0" collapsed="false">
      <c r="A1" s="3" t="s">
        <v>22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24</v>
      </c>
      <c r="G1" s="3" t="s">
        <v>48</v>
      </c>
      <c r="H1" s="3" t="s">
        <v>49</v>
      </c>
      <c r="I1" s="3" t="s">
        <v>50</v>
      </c>
      <c r="J1" s="3" t="s">
        <v>51</v>
      </c>
    </row>
    <row r="2" customFormat="false" ht="15" hidden="false" customHeight="false" outlineLevel="0" collapsed="false">
      <c r="A2" s="2" t="s">
        <v>29</v>
      </c>
      <c r="B2" s="2" t="s">
        <v>52</v>
      </c>
      <c r="C2" s="7" t="n">
        <v>46225</v>
      </c>
      <c r="D2" s="7" t="n">
        <v>46255</v>
      </c>
      <c r="E2" s="4" t="n">
        <v>79000</v>
      </c>
      <c r="F2" s="4" t="n">
        <v>50000</v>
      </c>
      <c r="G2" s="4" t="n">
        <v>0</v>
      </c>
      <c r="H2" s="4" t="n">
        <f aca="false">E2-F2</f>
        <v>29000</v>
      </c>
      <c r="I2" s="2" t="s">
        <v>53</v>
      </c>
      <c r="J2" s="2"/>
    </row>
    <row r="3" customFormat="false" ht="15" hidden="false" customHeight="false" outlineLevel="0" collapsed="false">
      <c r="A3" s="2" t="s">
        <v>29</v>
      </c>
      <c r="B3" s="2" t="s">
        <v>54</v>
      </c>
      <c r="C3" s="7" t="n">
        <v>46226</v>
      </c>
      <c r="D3" s="7" t="n">
        <v>46256</v>
      </c>
      <c r="E3" s="4" t="n">
        <v>47400</v>
      </c>
      <c r="F3" s="4" t="n">
        <v>0</v>
      </c>
      <c r="G3" s="4" t="n">
        <v>47400</v>
      </c>
      <c r="H3" s="4" t="n">
        <f aca="false">E3-F3</f>
        <v>47400</v>
      </c>
      <c r="I3" s="2" t="s">
        <v>53</v>
      </c>
      <c r="J3" s="2" t="s">
        <v>55</v>
      </c>
    </row>
    <row r="4" customFormat="false" ht="15" hidden="false" customHeight="false" outlineLevel="0" collapsed="false">
      <c r="A4" s="2" t="s">
        <v>29</v>
      </c>
      <c r="B4" s="2" t="s">
        <v>56</v>
      </c>
      <c r="C4" s="7" t="n">
        <v>46239</v>
      </c>
      <c r="D4" s="7" t="n">
        <v>46269</v>
      </c>
      <c r="E4" s="4" t="n">
        <v>12000</v>
      </c>
      <c r="F4" s="4" t="n">
        <v>0</v>
      </c>
      <c r="G4" s="4" t="n">
        <v>12000</v>
      </c>
      <c r="H4" s="4" t="n">
        <f aca="false">E4-F4</f>
        <v>12000</v>
      </c>
      <c r="I4" s="2" t="s">
        <v>53</v>
      </c>
      <c r="J4" s="2" t="s">
        <v>57</v>
      </c>
    </row>
    <row r="5" customFormat="false" ht="15" hidden="false" customHeight="false" outlineLevel="0" collapsed="false">
      <c r="A5" s="2" t="s">
        <v>29</v>
      </c>
      <c r="B5" s="2" t="s">
        <v>58</v>
      </c>
      <c r="C5" s="7" t="n">
        <v>46253</v>
      </c>
      <c r="D5" s="7" t="n">
        <v>46298</v>
      </c>
      <c r="E5" s="4" t="n">
        <v>24300</v>
      </c>
      <c r="F5" s="4" t="n">
        <v>5000</v>
      </c>
      <c r="G5" s="4" t="n">
        <v>0</v>
      </c>
      <c r="H5" s="4" t="n">
        <f aca="false">E5-F5</f>
        <v>19300</v>
      </c>
      <c r="I5" s="2" t="s">
        <v>59</v>
      </c>
      <c r="J5" s="2"/>
    </row>
    <row r="6" customFormat="false" ht="15" hidden="false" customHeight="false" outlineLevel="0" collapsed="false">
      <c r="A6" s="2" t="s">
        <v>29</v>
      </c>
      <c r="B6" s="2" t="s">
        <v>60</v>
      </c>
      <c r="C6" s="7" t="n">
        <v>46255</v>
      </c>
      <c r="D6" s="7" t="n">
        <v>46290</v>
      </c>
      <c r="E6" s="4" t="n">
        <v>12000</v>
      </c>
      <c r="F6" s="4" t="n">
        <v>0</v>
      </c>
      <c r="G6" s="4" t="n">
        <v>12000</v>
      </c>
      <c r="H6" s="4" t="n">
        <f aca="false">E6-F6</f>
        <v>12000</v>
      </c>
      <c r="I6" s="2" t="s">
        <v>59</v>
      </c>
      <c r="J6" s="2" t="s">
        <v>61</v>
      </c>
    </row>
    <row r="7" customFormat="false" ht="15" hidden="false" customHeight="false" outlineLevel="0" collapsed="false">
      <c r="A7" s="2" t="s">
        <v>29</v>
      </c>
      <c r="B7" s="2" t="s">
        <v>62</v>
      </c>
      <c r="C7" s="7" t="n">
        <v>46260</v>
      </c>
      <c r="D7" s="7" t="n">
        <v>46297</v>
      </c>
      <c r="E7" s="4" t="n">
        <v>40500</v>
      </c>
      <c r="F7" s="4" t="n">
        <v>0</v>
      </c>
      <c r="G7" s="4" t="n">
        <v>40500</v>
      </c>
      <c r="H7" s="4" t="n">
        <f aca="false">E7-F7</f>
        <v>40500</v>
      </c>
      <c r="I7" s="2" t="s">
        <v>59</v>
      </c>
      <c r="J7" s="2" t="s">
        <v>63</v>
      </c>
    </row>
    <row r="8" customFormat="false" ht="15" hidden="false" customHeight="false" outlineLevel="0" collapsed="false">
      <c r="A8" s="2" t="s">
        <v>29</v>
      </c>
      <c r="B8" s="2" t="s">
        <v>64</v>
      </c>
      <c r="C8" s="7" t="n">
        <v>46282</v>
      </c>
      <c r="D8" s="7" t="n">
        <v>46282</v>
      </c>
      <c r="E8" s="4" t="n">
        <v>40500</v>
      </c>
      <c r="F8" s="4" t="n">
        <v>0</v>
      </c>
      <c r="G8" s="4" t="n">
        <v>40500</v>
      </c>
      <c r="H8" s="4" t="n">
        <f aca="false">E8-F8</f>
        <v>40500</v>
      </c>
      <c r="I8" s="2" t="s">
        <v>59</v>
      </c>
      <c r="J8" s="2" t="s">
        <v>65</v>
      </c>
    </row>
    <row r="9" customFormat="false" ht="15" hidden="false" customHeight="false" outlineLevel="0" collapsed="false">
      <c r="A9" s="2" t="s">
        <v>29</v>
      </c>
      <c r="B9" s="2" t="s">
        <v>66</v>
      </c>
      <c r="C9" s="7" t="n">
        <v>46288</v>
      </c>
      <c r="D9" s="7" t="n">
        <v>46288</v>
      </c>
      <c r="E9" s="4" t="n">
        <v>40500</v>
      </c>
      <c r="F9" s="4" t="n">
        <v>0</v>
      </c>
      <c r="G9" s="4" t="n">
        <v>40500</v>
      </c>
      <c r="H9" s="4" t="n">
        <f aca="false">E9-F9</f>
        <v>40500</v>
      </c>
      <c r="I9" s="2" t="s">
        <v>59</v>
      </c>
      <c r="J9" s="2" t="s">
        <v>67</v>
      </c>
    </row>
    <row r="10" customFormat="false" ht="15" hidden="false" customHeight="false" outlineLevel="0" collapsed="false">
      <c r="A10" s="2" t="s">
        <v>31</v>
      </c>
      <c r="B10" s="2" t="s">
        <v>68</v>
      </c>
      <c r="C10" s="7" t="n">
        <v>46190</v>
      </c>
      <c r="D10" s="7" t="n">
        <v>46220</v>
      </c>
      <c r="E10" s="4" t="n">
        <v>5570</v>
      </c>
      <c r="F10" s="4" t="n">
        <v>0</v>
      </c>
      <c r="G10" s="4" t="n">
        <v>0</v>
      </c>
      <c r="H10" s="4" t="n">
        <f aca="false">E10-F10</f>
        <v>5570</v>
      </c>
      <c r="I10" s="2" t="s">
        <v>59</v>
      </c>
      <c r="J10" s="2"/>
    </row>
    <row r="11" customFormat="false" ht="15" hidden="false" customHeight="false" outlineLevel="0" collapsed="false">
      <c r="A11" s="2" t="s">
        <v>31</v>
      </c>
      <c r="B11" s="2" t="s">
        <v>69</v>
      </c>
      <c r="C11" s="7" t="n">
        <v>46190</v>
      </c>
      <c r="D11" s="7" t="n">
        <v>46220</v>
      </c>
      <c r="E11" s="4" t="n">
        <v>4284.8</v>
      </c>
      <c r="F11" s="4" t="n">
        <v>0</v>
      </c>
      <c r="G11" s="4" t="n">
        <v>0</v>
      </c>
      <c r="H11" s="4" t="n">
        <f aca="false">E11-F11</f>
        <v>4284.8</v>
      </c>
      <c r="I11" s="2" t="s">
        <v>59</v>
      </c>
      <c r="J11" s="2"/>
    </row>
    <row r="12" customFormat="false" ht="15" hidden="false" customHeight="false" outlineLevel="0" collapsed="false">
      <c r="A12" s="2" t="s">
        <v>31</v>
      </c>
      <c r="B12" s="2" t="s">
        <v>70</v>
      </c>
      <c r="C12" s="7" t="n">
        <v>46211</v>
      </c>
      <c r="D12" s="7" t="n">
        <v>46211</v>
      </c>
      <c r="E12" s="4" t="n">
        <v>1300</v>
      </c>
      <c r="F12" s="4" t="n">
        <v>0</v>
      </c>
      <c r="G12" s="4" t="n">
        <v>0</v>
      </c>
      <c r="H12" s="4" t="n">
        <f aca="false">E12-F12</f>
        <v>1300</v>
      </c>
      <c r="I12" s="2" t="s">
        <v>53</v>
      </c>
      <c r="J12" s="2"/>
    </row>
    <row r="13" customFormat="false" ht="15" hidden="false" customHeight="false" outlineLevel="0" collapsed="false">
      <c r="A13" s="2" t="s">
        <v>32</v>
      </c>
      <c r="B13" s="2" t="s">
        <v>71</v>
      </c>
      <c r="C13" s="7" t="n">
        <v>46098</v>
      </c>
      <c r="D13" s="7" t="n">
        <v>46136</v>
      </c>
      <c r="E13" s="4" t="n">
        <v>20380</v>
      </c>
      <c r="F13" s="4" t="n">
        <v>18080</v>
      </c>
      <c r="G13" s="4" t="n">
        <v>0</v>
      </c>
      <c r="H13" s="4" t="n">
        <f aca="false">E13-F13</f>
        <v>2300</v>
      </c>
      <c r="I13" s="2" t="s">
        <v>72</v>
      </c>
      <c r="J13" s="2"/>
    </row>
    <row r="14" customFormat="false" ht="15" hidden="false" customHeight="false" outlineLevel="0" collapsed="false">
      <c r="A14" s="2" t="s">
        <v>32</v>
      </c>
      <c r="B14" s="2" t="s">
        <v>73</v>
      </c>
      <c r="C14" s="7" t="n">
        <v>46247</v>
      </c>
      <c r="D14" s="7" t="n">
        <v>46304</v>
      </c>
      <c r="E14" s="4" t="n">
        <v>17980</v>
      </c>
      <c r="F14" s="4" t="n">
        <v>0</v>
      </c>
      <c r="G14" s="4" t="n">
        <v>17980</v>
      </c>
      <c r="H14" s="4" t="n">
        <f aca="false">E14-F14</f>
        <v>17980</v>
      </c>
      <c r="I14" s="2" t="s">
        <v>72</v>
      </c>
      <c r="J14" s="2" t="s">
        <v>74</v>
      </c>
    </row>
    <row r="15" customFormat="false" ht="15" hidden="false" customHeight="false" outlineLevel="0" collapsed="false">
      <c r="A15" s="2" t="s">
        <v>32</v>
      </c>
      <c r="B15" s="2" t="s">
        <v>75</v>
      </c>
      <c r="C15" s="7" t="n">
        <v>46253</v>
      </c>
      <c r="D15" s="7" t="n">
        <v>46304</v>
      </c>
      <c r="E15" s="4" t="n">
        <v>35015</v>
      </c>
      <c r="F15" s="4" t="n">
        <v>0</v>
      </c>
      <c r="G15" s="4" t="n">
        <v>35015</v>
      </c>
      <c r="H15" s="4" t="n">
        <f aca="false">E15-F15</f>
        <v>35015</v>
      </c>
      <c r="I15" s="2" t="s">
        <v>59</v>
      </c>
      <c r="J15" s="2" t="s">
        <v>76</v>
      </c>
    </row>
    <row r="16" customFormat="false" ht="15" hidden="false" customHeight="false" outlineLevel="0" collapsed="false">
      <c r="A16" s="2" t="s">
        <v>32</v>
      </c>
      <c r="B16" s="2" t="s">
        <v>77</v>
      </c>
      <c r="C16" s="7" t="n">
        <v>46260</v>
      </c>
      <c r="D16" s="7" t="n">
        <v>46318</v>
      </c>
      <c r="E16" s="4" t="n">
        <v>11100</v>
      </c>
      <c r="F16" s="4" t="n">
        <v>0</v>
      </c>
      <c r="G16" s="4" t="n">
        <v>11100</v>
      </c>
      <c r="H16" s="4" t="n">
        <f aca="false">E16-F16</f>
        <v>11100</v>
      </c>
      <c r="I16" s="2" t="s">
        <v>59</v>
      </c>
      <c r="J16" s="2" t="s">
        <v>78</v>
      </c>
    </row>
    <row r="17" customFormat="false" ht="15" hidden="false" customHeight="false" outlineLevel="0" collapsed="false">
      <c r="A17" s="2" t="s">
        <v>32</v>
      </c>
      <c r="B17" s="2" t="s">
        <v>79</v>
      </c>
      <c r="C17" s="7" t="n">
        <v>46267</v>
      </c>
      <c r="D17" s="7" t="n">
        <v>46325</v>
      </c>
      <c r="E17" s="4" t="n">
        <v>14400</v>
      </c>
      <c r="F17" s="4" t="n">
        <v>0</v>
      </c>
      <c r="G17" s="4" t="n">
        <v>14400</v>
      </c>
      <c r="H17" s="4" t="n">
        <f aca="false">E17-F17</f>
        <v>14400</v>
      </c>
      <c r="I17" s="2" t="s">
        <v>59</v>
      </c>
      <c r="J17" s="2" t="s">
        <v>80</v>
      </c>
    </row>
    <row r="18" customFormat="false" ht="15" hidden="false" customHeight="false" outlineLevel="0" collapsed="false">
      <c r="A18" s="2" t="s">
        <v>32</v>
      </c>
      <c r="B18" s="2" t="s">
        <v>81</v>
      </c>
      <c r="C18" s="7" t="n">
        <v>46274</v>
      </c>
      <c r="D18" s="7" t="n">
        <v>46274</v>
      </c>
      <c r="E18" s="4" t="n">
        <v>5650</v>
      </c>
      <c r="F18" s="4" t="n">
        <v>0</v>
      </c>
      <c r="G18" s="4" t="n">
        <v>0</v>
      </c>
      <c r="H18" s="4" t="n">
        <f aca="false">E18-F18</f>
        <v>5650</v>
      </c>
      <c r="I18" s="2" t="s">
        <v>59</v>
      </c>
      <c r="J18" s="2"/>
    </row>
    <row r="19" customFormat="false" ht="15" hidden="false" customHeight="false" outlineLevel="0" collapsed="false">
      <c r="A19" s="2" t="s">
        <v>32</v>
      </c>
      <c r="B19" s="2" t="s">
        <v>82</v>
      </c>
      <c r="C19" s="7" t="n">
        <v>46280</v>
      </c>
      <c r="D19" s="7" t="n">
        <v>46280</v>
      </c>
      <c r="E19" s="4" t="n">
        <v>24950</v>
      </c>
      <c r="F19" s="4" t="n">
        <v>0</v>
      </c>
      <c r="G19" s="4" t="n">
        <v>0</v>
      </c>
      <c r="H19" s="4" t="n">
        <f aca="false">E19-F19</f>
        <v>24950</v>
      </c>
      <c r="I19" s="2" t="s">
        <v>59</v>
      </c>
      <c r="J19" s="2"/>
    </row>
    <row r="20" customFormat="false" ht="15" hidden="false" customHeight="false" outlineLevel="0" collapsed="false">
      <c r="A20" s="2" t="s">
        <v>32</v>
      </c>
      <c r="B20" s="2" t="s">
        <v>83</v>
      </c>
      <c r="C20" s="7" t="n">
        <v>46288</v>
      </c>
      <c r="D20" s="7" t="n">
        <v>46288</v>
      </c>
      <c r="E20" s="4" t="n">
        <v>7700</v>
      </c>
      <c r="F20" s="4" t="n">
        <v>0</v>
      </c>
      <c r="G20" s="4" t="n">
        <v>0</v>
      </c>
      <c r="H20" s="4" t="n">
        <f aca="false">E20-F20</f>
        <v>7700</v>
      </c>
      <c r="I20" s="2" t="s">
        <v>59</v>
      </c>
      <c r="J20" s="2"/>
    </row>
    <row r="21" customFormat="false" ht="15" hidden="false" customHeight="false" outlineLevel="0" collapsed="false">
      <c r="A21" s="2" t="s">
        <v>32</v>
      </c>
      <c r="B21" s="2" t="s">
        <v>84</v>
      </c>
      <c r="C21" s="7" t="n">
        <v>46288</v>
      </c>
      <c r="D21" s="7" t="n">
        <v>46288</v>
      </c>
      <c r="E21" s="4" t="n">
        <v>27900</v>
      </c>
      <c r="F21" s="4" t="n">
        <v>0</v>
      </c>
      <c r="G21" s="4" t="n">
        <v>0</v>
      </c>
      <c r="H21" s="4" t="n">
        <f aca="false">E21-F21</f>
        <v>27900</v>
      </c>
      <c r="I21" s="2" t="s">
        <v>59</v>
      </c>
      <c r="J21" s="2"/>
    </row>
    <row r="22" customFormat="false" ht="15" hidden="false" customHeight="false" outlineLevel="0" collapsed="false">
      <c r="A22" s="2" t="s">
        <v>34</v>
      </c>
      <c r="B22" s="2" t="s">
        <v>85</v>
      </c>
      <c r="C22" s="7" t="n">
        <v>46197</v>
      </c>
      <c r="D22" s="7" t="n">
        <v>46287</v>
      </c>
      <c r="E22" s="4" t="n">
        <v>8500</v>
      </c>
      <c r="F22" s="4" t="n">
        <v>3600</v>
      </c>
      <c r="G22" s="4" t="n">
        <v>0</v>
      </c>
      <c r="H22" s="4" t="n">
        <f aca="false">E22-F22</f>
        <v>4900</v>
      </c>
      <c r="I22" s="2" t="s">
        <v>72</v>
      </c>
      <c r="J22" s="2"/>
    </row>
    <row r="23" customFormat="false" ht="15" hidden="false" customHeight="false" outlineLevel="0" collapsed="false">
      <c r="A23" s="2" t="s">
        <v>34</v>
      </c>
      <c r="B23" s="2" t="s">
        <v>86</v>
      </c>
      <c r="C23" s="7" t="n">
        <v>46211</v>
      </c>
      <c r="D23" s="7" t="n">
        <v>46301</v>
      </c>
      <c r="E23" s="4" t="n">
        <v>19400</v>
      </c>
      <c r="F23" s="4" t="n">
        <v>0</v>
      </c>
      <c r="G23" s="4" t="n">
        <v>19400</v>
      </c>
      <c r="H23" s="4" t="n">
        <f aca="false">E23-F23</f>
        <v>19400</v>
      </c>
      <c r="I23" s="2" t="s">
        <v>72</v>
      </c>
      <c r="J23" s="2" t="s">
        <v>87</v>
      </c>
    </row>
    <row r="24" customFormat="false" ht="15" hidden="false" customHeight="false" outlineLevel="0" collapsed="false">
      <c r="A24" s="2" t="s">
        <v>34</v>
      </c>
      <c r="B24" s="2" t="s">
        <v>88</v>
      </c>
      <c r="C24" s="7" t="n">
        <v>46218</v>
      </c>
      <c r="D24" s="7" t="n">
        <v>46311</v>
      </c>
      <c r="E24" s="4" t="n">
        <v>37830</v>
      </c>
      <c r="F24" s="4" t="n">
        <v>0</v>
      </c>
      <c r="G24" s="4" t="n">
        <v>37830</v>
      </c>
      <c r="H24" s="4" t="n">
        <f aca="false">E24-F24</f>
        <v>37830</v>
      </c>
      <c r="I24" s="2" t="s">
        <v>72</v>
      </c>
      <c r="J24" s="2" t="s">
        <v>89</v>
      </c>
    </row>
    <row r="25" customFormat="false" ht="15" hidden="false" customHeight="false" outlineLevel="0" collapsed="false">
      <c r="A25" s="2" t="s">
        <v>34</v>
      </c>
      <c r="B25" s="2" t="s">
        <v>90</v>
      </c>
      <c r="C25" s="7" t="n">
        <v>46225</v>
      </c>
      <c r="D25" s="7" t="n">
        <v>46315</v>
      </c>
      <c r="E25" s="4" t="n">
        <v>25150</v>
      </c>
      <c r="F25" s="4" t="n">
        <v>0</v>
      </c>
      <c r="G25" s="4" t="n">
        <v>25150</v>
      </c>
      <c r="H25" s="4" t="n">
        <f aca="false">E25-F25</f>
        <v>25150</v>
      </c>
      <c r="I25" s="2" t="s">
        <v>72</v>
      </c>
      <c r="J25" s="2" t="s">
        <v>91</v>
      </c>
    </row>
    <row r="26" customFormat="false" ht="15" hidden="false" customHeight="false" outlineLevel="0" collapsed="false">
      <c r="A26" s="2" t="s">
        <v>34</v>
      </c>
      <c r="B26" s="2" t="s">
        <v>92</v>
      </c>
      <c r="C26" s="7" t="n">
        <v>46232</v>
      </c>
      <c r="D26" s="7" t="n">
        <v>46322</v>
      </c>
      <c r="E26" s="4" t="n">
        <v>23100</v>
      </c>
      <c r="F26" s="4" t="n">
        <v>0</v>
      </c>
      <c r="G26" s="4" t="n">
        <v>23100</v>
      </c>
      <c r="H26" s="4" t="n">
        <f aca="false">E26-F26</f>
        <v>23100</v>
      </c>
      <c r="I26" s="2" t="s">
        <v>72</v>
      </c>
      <c r="J26" s="2" t="s">
        <v>93</v>
      </c>
    </row>
    <row r="27" customFormat="false" ht="15" hidden="false" customHeight="false" outlineLevel="0" collapsed="false">
      <c r="A27" s="2" t="s">
        <v>34</v>
      </c>
      <c r="B27" s="2" t="s">
        <v>94</v>
      </c>
      <c r="C27" s="7" t="n">
        <v>46238</v>
      </c>
      <c r="D27" s="7" t="n">
        <v>46328</v>
      </c>
      <c r="E27" s="4" t="n">
        <v>14250</v>
      </c>
      <c r="F27" s="4" t="n">
        <v>0</v>
      </c>
      <c r="G27" s="4" t="n">
        <v>14250</v>
      </c>
      <c r="H27" s="4" t="n">
        <f aca="false">E27-F27</f>
        <v>14250</v>
      </c>
      <c r="I27" s="2" t="s">
        <v>72</v>
      </c>
      <c r="J27" s="2" t="s">
        <v>95</v>
      </c>
    </row>
    <row r="28" customFormat="false" ht="15" hidden="false" customHeight="false" outlineLevel="0" collapsed="false">
      <c r="A28" s="2" t="s">
        <v>34</v>
      </c>
      <c r="B28" s="2" t="s">
        <v>96</v>
      </c>
      <c r="C28" s="7" t="n">
        <v>46253</v>
      </c>
      <c r="D28" s="7" t="n">
        <v>46343</v>
      </c>
      <c r="E28" s="4" t="n">
        <v>6000</v>
      </c>
      <c r="F28" s="4" t="n">
        <v>0</v>
      </c>
      <c r="G28" s="4" t="n">
        <v>6000</v>
      </c>
      <c r="H28" s="4" t="n">
        <f aca="false">E28-F28</f>
        <v>6000</v>
      </c>
      <c r="I28" s="2" t="s">
        <v>59</v>
      </c>
      <c r="J28" s="2" t="s">
        <v>97</v>
      </c>
    </row>
    <row r="29" customFormat="false" ht="15" hidden="false" customHeight="false" outlineLevel="0" collapsed="false">
      <c r="A29" s="2" t="s">
        <v>34</v>
      </c>
      <c r="B29" s="2" t="s">
        <v>98</v>
      </c>
      <c r="C29" s="7" t="n">
        <v>46260</v>
      </c>
      <c r="D29" s="7" t="n">
        <v>46350</v>
      </c>
      <c r="E29" s="4" t="n">
        <v>17500</v>
      </c>
      <c r="F29" s="4" t="n">
        <v>0</v>
      </c>
      <c r="G29" s="4" t="n">
        <v>17500</v>
      </c>
      <c r="H29" s="4" t="n">
        <f aca="false">E29-F29</f>
        <v>17500</v>
      </c>
      <c r="I29" s="2" t="s">
        <v>59</v>
      </c>
      <c r="J29" s="2" t="s">
        <v>99</v>
      </c>
    </row>
    <row r="30" customFormat="false" ht="15" hidden="false" customHeight="false" outlineLevel="0" collapsed="false">
      <c r="A30" s="2" t="s">
        <v>34</v>
      </c>
      <c r="B30" s="2" t="s">
        <v>100</v>
      </c>
      <c r="C30" s="7" t="n">
        <v>46288</v>
      </c>
      <c r="D30" s="7" t="n">
        <v>46288</v>
      </c>
      <c r="E30" s="4" t="n">
        <v>22750</v>
      </c>
      <c r="F30" s="4" t="n">
        <v>0</v>
      </c>
      <c r="G30" s="4" t="n">
        <v>0</v>
      </c>
      <c r="H30" s="4" t="n">
        <f aca="false">E30-F30</f>
        <v>22750</v>
      </c>
      <c r="I30" s="2" t="s">
        <v>59</v>
      </c>
      <c r="J30" s="2"/>
    </row>
    <row r="31" customFormat="false" ht="15" hidden="false" customHeight="false" outlineLevel="0" collapsed="false">
      <c r="A31" s="2" t="s">
        <v>36</v>
      </c>
      <c r="B31" s="2" t="s">
        <v>101</v>
      </c>
      <c r="C31" s="7" t="n">
        <v>46230</v>
      </c>
      <c r="D31" s="7" t="n">
        <v>46320</v>
      </c>
      <c r="E31" s="4" t="n">
        <v>68976</v>
      </c>
      <c r="F31" s="4" t="n">
        <v>0</v>
      </c>
      <c r="G31" s="4" t="n">
        <v>68976</v>
      </c>
      <c r="H31" s="4" t="n">
        <f aca="false">E31-F31</f>
        <v>68976</v>
      </c>
      <c r="I31" s="2" t="s">
        <v>72</v>
      </c>
      <c r="J31" s="2" t="s">
        <v>102</v>
      </c>
    </row>
    <row r="32" customFormat="false" ht="15" hidden="false" customHeight="false" outlineLevel="0" collapsed="false">
      <c r="A32" s="2" t="s">
        <v>36</v>
      </c>
      <c r="B32" s="2" t="s">
        <v>103</v>
      </c>
      <c r="C32" s="7" t="n">
        <v>46267</v>
      </c>
      <c r="D32" s="7" t="n">
        <v>46267</v>
      </c>
      <c r="E32" s="4" t="n">
        <v>10660</v>
      </c>
      <c r="F32" s="4" t="n">
        <v>0</v>
      </c>
      <c r="G32" s="4" t="n">
        <v>0</v>
      </c>
      <c r="H32" s="4" t="n">
        <f aca="false">E32-F32</f>
        <v>10660</v>
      </c>
      <c r="I32" s="2" t="s">
        <v>59</v>
      </c>
      <c r="J32" s="2"/>
    </row>
    <row r="33" customFormat="false" ht="15" hidden="false" customHeight="false" outlineLevel="0" collapsed="false">
      <c r="A33" s="5" t="s">
        <v>21</v>
      </c>
      <c r="B33" s="2"/>
      <c r="C33" s="7"/>
      <c r="D33" s="7"/>
      <c r="E33" s="6" t="n">
        <f aca="false">SUM(E2:E32)</f>
        <v>726545.8</v>
      </c>
      <c r="F33" s="6" t="n">
        <f aca="false">SUM(F2:F32)</f>
        <v>76680</v>
      </c>
      <c r="G33" s="6" t="n">
        <f aca="false">SUM(G2:G32)</f>
        <v>483601</v>
      </c>
      <c r="H33" s="6" t="n">
        <f aca="false">SUM(H2:H32)</f>
        <v>649865.8</v>
      </c>
      <c r="I33" s="2"/>
      <c r="J33" s="2"/>
    </row>
  </sheetData>
  <autoFilter ref="A1:J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00"/>
  </cols>
  <sheetData>
    <row r="1" customFormat="false" ht="15" hidden="false" customHeight="false" outlineLevel="0" collapsed="false">
      <c r="A1" s="3" t="s">
        <v>104</v>
      </c>
      <c r="B1" s="3" t="s">
        <v>105</v>
      </c>
      <c r="C1" s="3" t="s">
        <v>106</v>
      </c>
    </row>
    <row r="2" customFormat="false" ht="39.55" hidden="false" customHeight="false" outlineLevel="0" collapsed="false">
      <c r="A2" s="8" t="s">
        <v>107</v>
      </c>
      <c r="B2" s="8" t="s">
        <v>108</v>
      </c>
      <c r="C2" s="8" t="s">
        <v>109</v>
      </c>
    </row>
    <row r="3" customFormat="false" ht="15" hidden="false" customHeight="false" outlineLevel="0" collapsed="false">
      <c r="A3" s="8" t="s">
        <v>107</v>
      </c>
      <c r="B3" s="8" t="s">
        <v>110</v>
      </c>
      <c r="C3" s="8" t="s">
        <v>111</v>
      </c>
    </row>
    <row r="4" customFormat="false" ht="15" hidden="false" customHeight="false" outlineLevel="0" collapsed="false">
      <c r="A4" s="8" t="s">
        <v>107</v>
      </c>
      <c r="B4" s="8" t="s">
        <v>112</v>
      </c>
      <c r="C4" s="8" t="s">
        <v>113</v>
      </c>
    </row>
    <row r="5" customFormat="false" ht="26.85" hidden="false" customHeight="false" outlineLevel="0" collapsed="false">
      <c r="A5" s="8" t="s">
        <v>114</v>
      </c>
      <c r="B5" s="8" t="s">
        <v>115</v>
      </c>
      <c r="C5" s="8" t="s">
        <v>116</v>
      </c>
    </row>
    <row r="6" customFormat="false" ht="26.85" hidden="false" customHeight="false" outlineLevel="0" collapsed="false">
      <c r="A6" s="8" t="s">
        <v>114</v>
      </c>
      <c r="B6" s="8" t="s">
        <v>117</v>
      </c>
      <c r="C6" s="8" t="s">
        <v>118</v>
      </c>
    </row>
    <row r="7" customFormat="false" ht="15" hidden="false" customHeight="false" outlineLevel="0" collapsed="false">
      <c r="A7" s="8" t="s">
        <v>119</v>
      </c>
      <c r="B7" s="8" t="s">
        <v>120</v>
      </c>
      <c r="C7" s="8" t="s">
        <v>121</v>
      </c>
    </row>
    <row r="8" customFormat="false" ht="15" hidden="false" customHeight="false" outlineLevel="0" collapsed="false">
      <c r="A8" s="8" t="s">
        <v>107</v>
      </c>
      <c r="B8" s="8" t="s">
        <v>122</v>
      </c>
      <c r="C8" s="8" t="s">
        <v>123</v>
      </c>
    </row>
    <row r="9" customFormat="false" ht="15" hidden="false" customHeight="false" outlineLevel="0" collapsed="false">
      <c r="A9" s="8" t="s">
        <v>107</v>
      </c>
      <c r="B9" s="8" t="s">
        <v>124</v>
      </c>
      <c r="C9" s="8" t="s">
        <v>125</v>
      </c>
    </row>
    <row r="10" customFormat="false" ht="15" hidden="false" customHeight="false" outlineLevel="0" collapsed="false">
      <c r="A10" s="8" t="s">
        <v>107</v>
      </c>
      <c r="B10" s="8" t="s">
        <v>126</v>
      </c>
      <c r="C10" s="8" t="s">
        <v>127</v>
      </c>
    </row>
    <row r="11" customFormat="false" ht="15" hidden="false" customHeight="false" outlineLevel="0" collapsed="false">
      <c r="A11" s="8" t="s">
        <v>128</v>
      </c>
      <c r="B11" s="8" t="s">
        <v>129</v>
      </c>
      <c r="C11" s="8" t="s">
        <v>130</v>
      </c>
    </row>
    <row r="12" customFormat="false" ht="15" hidden="false" customHeight="false" outlineLevel="0" collapsed="false">
      <c r="A12" s="8" t="s">
        <v>119</v>
      </c>
      <c r="B12" s="8" t="s">
        <v>131</v>
      </c>
      <c r="C12" s="8" t="s">
        <v>132</v>
      </c>
    </row>
    <row r="13" customFormat="false" ht="15" hidden="false" customHeight="false" outlineLevel="0" collapsed="false">
      <c r="A13" s="8" t="s">
        <v>119</v>
      </c>
      <c r="B13" s="8" t="s">
        <v>133</v>
      </c>
      <c r="C13" s="8" t="s">
        <v>134</v>
      </c>
    </row>
    <row r="14" customFormat="false" ht="15" hidden="false" customHeight="false" outlineLevel="0" collapsed="false">
      <c r="A14" s="8" t="s">
        <v>119</v>
      </c>
      <c r="B14" s="8" t="s">
        <v>135</v>
      </c>
      <c r="C14" s="8" t="s">
        <v>136</v>
      </c>
    </row>
    <row r="15" customFormat="false" ht="15" hidden="false" customHeight="false" outlineLevel="0" collapsed="false">
      <c r="A15" s="8" t="s">
        <v>119</v>
      </c>
      <c r="B15" s="8" t="s">
        <v>137</v>
      </c>
      <c r="C15" s="8" t="s">
        <v>138</v>
      </c>
    </row>
    <row r="16" customFormat="false" ht="15" hidden="false" customHeight="false" outlineLevel="0" collapsed="false">
      <c r="A16" s="8" t="s">
        <v>119</v>
      </c>
      <c r="B16" s="8" t="s">
        <v>139</v>
      </c>
      <c r="C16" s="8" t="s">
        <v>140</v>
      </c>
    </row>
    <row r="17" customFormat="false" ht="15" hidden="false" customHeight="false" outlineLevel="0" collapsed="false">
      <c r="A17" s="8" t="s">
        <v>119</v>
      </c>
      <c r="B17" s="8" t="s">
        <v>141</v>
      </c>
      <c r="C17" s="8" t="s">
        <v>142</v>
      </c>
    </row>
    <row r="18" customFormat="false" ht="26.85" hidden="false" customHeight="false" outlineLevel="0" collapsed="false">
      <c r="A18" s="8" t="s">
        <v>128</v>
      </c>
      <c r="B18" s="8" t="s">
        <v>143</v>
      </c>
      <c r="C18" s="8" t="s">
        <v>144</v>
      </c>
    </row>
    <row r="19" customFormat="false" ht="26.85" hidden="false" customHeight="false" outlineLevel="0" collapsed="false">
      <c r="A19" s="8" t="s">
        <v>145</v>
      </c>
      <c r="B19" s="8" t="s">
        <v>146</v>
      </c>
      <c r="C19" s="8" t="s">
        <v>147</v>
      </c>
    </row>
    <row r="20" customFormat="false" ht="26.85" hidden="false" customHeight="false" outlineLevel="0" collapsed="false">
      <c r="A20" s="8" t="s">
        <v>145</v>
      </c>
      <c r="B20" s="8" t="s">
        <v>148</v>
      </c>
      <c r="C20" s="8" t="s">
        <v>149</v>
      </c>
    </row>
    <row r="21" customFormat="false" ht="26.85" hidden="false" customHeight="false" outlineLevel="0" collapsed="false">
      <c r="A21" s="8" t="s">
        <v>145</v>
      </c>
      <c r="B21" s="8" t="s">
        <v>150</v>
      </c>
      <c r="C21" s="8" t="s">
        <v>151</v>
      </c>
    </row>
    <row r="22" customFormat="false" ht="26.85" hidden="false" customHeight="false" outlineLevel="0" collapsed="false">
      <c r="A22" s="8" t="s">
        <v>145</v>
      </c>
      <c r="B22" s="8" t="s">
        <v>152</v>
      </c>
      <c r="C22" s="8" t="s">
        <v>153</v>
      </c>
    </row>
    <row r="23" customFormat="false" ht="26.85" hidden="false" customHeight="false" outlineLevel="0" collapsed="false">
      <c r="A23" s="8" t="s">
        <v>145</v>
      </c>
      <c r="B23" s="8" t="s">
        <v>154</v>
      </c>
      <c r="C23" s="8" t="s">
        <v>155</v>
      </c>
    </row>
    <row r="24" customFormat="false" ht="15" hidden="false" customHeight="false" outlineLevel="0" collapsed="false">
      <c r="A24" s="8" t="s">
        <v>145</v>
      </c>
      <c r="B24" s="8" t="s">
        <v>156</v>
      </c>
      <c r="C24" s="8" t="s">
        <v>157</v>
      </c>
    </row>
    <row r="25" customFormat="false" ht="15" hidden="false" customHeight="false" outlineLevel="0" collapsed="false">
      <c r="A25" s="8" t="s">
        <v>128</v>
      </c>
      <c r="B25" s="8" t="s">
        <v>158</v>
      </c>
      <c r="C25" s="8" t="s">
        <v>159</v>
      </c>
    </row>
    <row r="26" customFormat="false" ht="15" hidden="false" customHeight="false" outlineLevel="0" collapsed="false">
      <c r="A26" s="8" t="s">
        <v>128</v>
      </c>
      <c r="B26" s="8" t="s">
        <v>160</v>
      </c>
      <c r="C26" s="8" t="s">
        <v>161</v>
      </c>
    </row>
    <row r="27" customFormat="false" ht="26.85" hidden="false" customHeight="false" outlineLevel="0" collapsed="false">
      <c r="A27" s="8" t="s">
        <v>128</v>
      </c>
      <c r="B27" s="8" t="s">
        <v>162</v>
      </c>
      <c r="C27" s="8" t="s">
        <v>163</v>
      </c>
    </row>
    <row r="28" customFormat="false" ht="15" hidden="false" customHeight="false" outlineLevel="0" collapsed="false">
      <c r="A28" s="8" t="s">
        <v>145</v>
      </c>
      <c r="B28" s="8" t="s">
        <v>164</v>
      </c>
      <c r="C28" s="8" t="s">
        <v>165</v>
      </c>
    </row>
    <row r="29" customFormat="false" ht="26.85" hidden="false" customHeight="false" outlineLevel="0" collapsed="false">
      <c r="A29" s="8" t="s">
        <v>145</v>
      </c>
      <c r="B29" s="8" t="s">
        <v>166</v>
      </c>
      <c r="C29" s="8" t="s">
        <v>167</v>
      </c>
    </row>
    <row r="30" customFormat="false" ht="26.85" hidden="false" customHeight="false" outlineLevel="0" collapsed="false">
      <c r="A30" s="8" t="s">
        <v>145</v>
      </c>
      <c r="B30" s="8" t="s">
        <v>168</v>
      </c>
      <c r="C30" s="8" t="s">
        <v>169</v>
      </c>
    </row>
    <row r="31" customFormat="false" ht="26.85" hidden="false" customHeight="false" outlineLevel="0" collapsed="false">
      <c r="A31" s="8" t="s">
        <v>145</v>
      </c>
      <c r="B31" s="8" t="s">
        <v>170</v>
      </c>
      <c r="C31" s="8" t="s">
        <v>171</v>
      </c>
    </row>
    <row r="32" customFormat="false" ht="26.85" hidden="false" customHeight="false" outlineLevel="0" collapsed="false">
      <c r="A32" s="8" t="s">
        <v>145</v>
      </c>
      <c r="B32" s="8" t="s">
        <v>172</v>
      </c>
      <c r="C32" s="8" t="s">
        <v>173</v>
      </c>
    </row>
    <row r="33" customFormat="false" ht="26.85" hidden="false" customHeight="false" outlineLevel="0" collapsed="false">
      <c r="A33" s="8" t="s">
        <v>145</v>
      </c>
      <c r="B33" s="8" t="s">
        <v>174</v>
      </c>
      <c r="C33" s="8" t="s">
        <v>175</v>
      </c>
    </row>
    <row r="34" customFormat="false" ht="26.85" hidden="false" customHeight="false" outlineLevel="0" collapsed="false">
      <c r="A34" s="8" t="s">
        <v>145</v>
      </c>
      <c r="B34" s="8" t="s">
        <v>176</v>
      </c>
      <c r="C34" s="8" t="s">
        <v>177</v>
      </c>
    </row>
    <row r="35" customFormat="false" ht="15" hidden="false" customHeight="false" outlineLevel="0" collapsed="false">
      <c r="A35" s="8" t="s">
        <v>128</v>
      </c>
      <c r="B35" s="8" t="s">
        <v>178</v>
      </c>
      <c r="C35" s="8" t="s">
        <v>179</v>
      </c>
    </row>
    <row r="36" customFormat="false" ht="15" hidden="false" customHeight="false" outlineLevel="0" collapsed="false">
      <c r="A36" s="8" t="s">
        <v>128</v>
      </c>
      <c r="B36" s="8" t="s">
        <v>180</v>
      </c>
      <c r="C36" s="8" t="s">
        <v>181</v>
      </c>
    </row>
    <row r="37" customFormat="false" ht="15" hidden="false" customHeight="false" outlineLevel="0" collapsed="false">
      <c r="A37" s="8" t="s">
        <v>145</v>
      </c>
      <c r="B37" s="8" t="s">
        <v>182</v>
      </c>
      <c r="C37" s="8" t="s">
        <v>183</v>
      </c>
    </row>
    <row r="38" customFormat="false" ht="26.85" hidden="false" customHeight="false" outlineLevel="0" collapsed="false">
      <c r="A38" s="8" t="s">
        <v>145</v>
      </c>
      <c r="B38" s="8" t="s">
        <v>184</v>
      </c>
      <c r="C38" s="8" t="s">
        <v>185</v>
      </c>
    </row>
    <row r="39" customFormat="false" ht="26.85" hidden="false" customHeight="false" outlineLevel="0" collapsed="false">
      <c r="A39" s="8" t="s">
        <v>145</v>
      </c>
      <c r="B39" s="8" t="s">
        <v>186</v>
      </c>
      <c r="C39" s="8" t="s">
        <v>171</v>
      </c>
    </row>
    <row r="40" customFormat="false" ht="15" hidden="false" customHeight="false" outlineLevel="0" collapsed="false">
      <c r="A40" s="8" t="s">
        <v>145</v>
      </c>
      <c r="B40" s="8" t="s">
        <v>187</v>
      </c>
      <c r="C40" s="8" t="s">
        <v>188</v>
      </c>
    </row>
    <row r="41" customFormat="false" ht="15" hidden="false" customHeight="false" outlineLevel="0" collapsed="false">
      <c r="A41" s="8" t="s">
        <v>145</v>
      </c>
      <c r="B41" s="8" t="s">
        <v>189</v>
      </c>
      <c r="C41" s="8" t="s">
        <v>190</v>
      </c>
    </row>
    <row r="42" customFormat="false" ht="15" hidden="false" customHeight="false" outlineLevel="0" collapsed="false">
      <c r="A42" s="8" t="s">
        <v>145</v>
      </c>
      <c r="B42" s="8" t="s">
        <v>191</v>
      </c>
      <c r="C42" s="8" t="s">
        <v>192</v>
      </c>
    </row>
    <row r="43" customFormat="false" ht="15" hidden="false" customHeight="false" outlineLevel="0" collapsed="false">
      <c r="A43" s="8" t="s">
        <v>145</v>
      </c>
      <c r="B43" s="8" t="s">
        <v>193</v>
      </c>
      <c r="C43" s="8" t="s">
        <v>194</v>
      </c>
    </row>
    <row r="44" customFormat="false" ht="15" hidden="false" customHeight="false" outlineLevel="0" collapsed="false">
      <c r="A44" s="8" t="s">
        <v>145</v>
      </c>
      <c r="B44" s="8" t="s">
        <v>158</v>
      </c>
      <c r="C44" s="8" t="s">
        <v>195</v>
      </c>
    </row>
    <row r="45" customFormat="false" ht="15" hidden="false" customHeight="false" outlineLevel="0" collapsed="false">
      <c r="A45" s="8" t="s">
        <v>145</v>
      </c>
      <c r="B45" s="8" t="s">
        <v>196</v>
      </c>
      <c r="C45" s="8" t="s">
        <v>197</v>
      </c>
    </row>
    <row r="46" customFormat="false" ht="15" hidden="false" customHeight="false" outlineLevel="0" collapsed="false">
      <c r="A46" s="8" t="s">
        <v>128</v>
      </c>
      <c r="B46" s="8" t="s">
        <v>196</v>
      </c>
      <c r="C46" s="8" t="s">
        <v>198</v>
      </c>
    </row>
    <row r="47" customFormat="false" ht="15" hidden="false" customHeight="false" outlineLevel="0" collapsed="false">
      <c r="A47" s="8" t="s">
        <v>145</v>
      </c>
      <c r="B47" s="8" t="s">
        <v>186</v>
      </c>
      <c r="C47" s="8" t="s">
        <v>199</v>
      </c>
    </row>
    <row r="48" customFormat="false" ht="15" hidden="false" customHeight="false" outlineLevel="0" collapsed="false">
      <c r="A48" s="8" t="s">
        <v>145</v>
      </c>
      <c r="B48" s="8" t="s">
        <v>200</v>
      </c>
      <c r="C48" s="8" t="s">
        <v>201</v>
      </c>
    </row>
    <row r="49" customFormat="false" ht="15" hidden="false" customHeight="false" outlineLevel="0" collapsed="false">
      <c r="A49" s="8" t="s">
        <v>145</v>
      </c>
      <c r="B49" s="8" t="s">
        <v>202</v>
      </c>
      <c r="C49" s="8" t="s">
        <v>203</v>
      </c>
    </row>
    <row r="50" customFormat="false" ht="15" hidden="false" customHeight="false" outlineLevel="0" collapsed="false">
      <c r="A50" s="8" t="s">
        <v>145</v>
      </c>
      <c r="B50" s="8" t="s">
        <v>204</v>
      </c>
      <c r="C50" s="8" t="s">
        <v>205</v>
      </c>
    </row>
    <row r="51" customFormat="false" ht="15" hidden="false" customHeight="false" outlineLevel="0" collapsed="false">
      <c r="A51" s="8" t="s">
        <v>145</v>
      </c>
      <c r="B51" s="8" t="s">
        <v>206</v>
      </c>
      <c r="C51" s="8" t="s">
        <v>207</v>
      </c>
    </row>
    <row r="52" customFormat="false" ht="15" hidden="false" customHeight="false" outlineLevel="0" collapsed="false">
      <c r="A52" s="8" t="s">
        <v>145</v>
      </c>
      <c r="B52" s="8" t="s">
        <v>208</v>
      </c>
      <c r="C52" s="8" t="s">
        <v>209</v>
      </c>
    </row>
    <row r="53" customFormat="false" ht="15" hidden="false" customHeight="false" outlineLevel="0" collapsed="false">
      <c r="A53" s="8" t="s">
        <v>145</v>
      </c>
      <c r="B53" s="8" t="s">
        <v>210</v>
      </c>
      <c r="C53" s="8" t="s">
        <v>211</v>
      </c>
    </row>
    <row r="54" customFormat="false" ht="15" hidden="false" customHeight="false" outlineLevel="0" collapsed="false">
      <c r="A54" s="8" t="s">
        <v>145</v>
      </c>
      <c r="B54" s="8" t="s">
        <v>212</v>
      </c>
      <c r="C54" s="8" t="s">
        <v>213</v>
      </c>
    </row>
    <row r="55" customFormat="false" ht="15" hidden="false" customHeight="false" outlineLevel="0" collapsed="false">
      <c r="A55" s="8" t="s">
        <v>145</v>
      </c>
      <c r="B55" s="8" t="s">
        <v>214</v>
      </c>
      <c r="C55" s="8" t="s">
        <v>215</v>
      </c>
    </row>
    <row r="56" customFormat="false" ht="15" hidden="false" customHeight="false" outlineLevel="0" collapsed="false">
      <c r="A56" s="8" t="s">
        <v>145</v>
      </c>
      <c r="B56" s="8" t="s">
        <v>216</v>
      </c>
      <c r="C56" s="8" t="s">
        <v>217</v>
      </c>
    </row>
    <row r="57" customFormat="false" ht="15" hidden="false" customHeight="false" outlineLevel="0" collapsed="false">
      <c r="A57" s="8" t="s">
        <v>145</v>
      </c>
      <c r="B57" s="8" t="s">
        <v>218</v>
      </c>
      <c r="C57" s="8" t="s">
        <v>219</v>
      </c>
    </row>
    <row r="58" customFormat="false" ht="15" hidden="false" customHeight="false" outlineLevel="0" collapsed="false">
      <c r="A58" s="8" t="s">
        <v>145</v>
      </c>
      <c r="B58" s="8" t="s">
        <v>220</v>
      </c>
      <c r="C58" s="8" t="s">
        <v>221</v>
      </c>
    </row>
    <row r="59" customFormat="false" ht="15" hidden="false" customHeight="false" outlineLevel="0" collapsed="false">
      <c r="A59" s="8" t="s">
        <v>145</v>
      </c>
      <c r="B59" s="8" t="s">
        <v>222</v>
      </c>
      <c r="C59" s="8" t="s">
        <v>223</v>
      </c>
    </row>
    <row r="60" customFormat="false" ht="15" hidden="false" customHeight="false" outlineLevel="0" collapsed="false">
      <c r="A60" s="8" t="s">
        <v>145</v>
      </c>
      <c r="B60" s="8" t="s">
        <v>224</v>
      </c>
      <c r="C60" s="8" t="s">
        <v>225</v>
      </c>
    </row>
    <row r="61" customFormat="false" ht="15" hidden="false" customHeight="false" outlineLevel="0" collapsed="false">
      <c r="A61" s="8" t="s">
        <v>145</v>
      </c>
      <c r="B61" s="8" t="s">
        <v>226</v>
      </c>
      <c r="C61" s="8" t="s">
        <v>227</v>
      </c>
    </row>
    <row r="62" customFormat="false" ht="15" hidden="false" customHeight="false" outlineLevel="0" collapsed="false">
      <c r="A62" s="8" t="s">
        <v>145</v>
      </c>
      <c r="B62" s="8" t="s">
        <v>228</v>
      </c>
      <c r="C62" s="8" t="s">
        <v>229</v>
      </c>
    </row>
    <row r="63" customFormat="false" ht="15" hidden="false" customHeight="false" outlineLevel="0" collapsed="false">
      <c r="A63" s="8" t="s">
        <v>145</v>
      </c>
      <c r="B63" s="8" t="s">
        <v>228</v>
      </c>
      <c r="C63" s="8" t="s">
        <v>230</v>
      </c>
    </row>
    <row r="64" customFormat="false" ht="15" hidden="false" customHeight="false" outlineLevel="0" collapsed="false">
      <c r="A64" s="8" t="s">
        <v>145</v>
      </c>
      <c r="B64" s="8" t="s">
        <v>228</v>
      </c>
      <c r="C64" s="8" t="s">
        <v>231</v>
      </c>
    </row>
    <row r="65" customFormat="false" ht="26.85" hidden="false" customHeight="false" outlineLevel="0" collapsed="false">
      <c r="A65" s="8" t="s">
        <v>145</v>
      </c>
      <c r="B65" s="8" t="s">
        <v>228</v>
      </c>
      <c r="C65" s="8" t="s">
        <v>232</v>
      </c>
    </row>
    <row r="66" customFormat="false" ht="15" hidden="false" customHeight="false" outlineLevel="0" collapsed="false">
      <c r="A66" s="8" t="s">
        <v>145</v>
      </c>
      <c r="B66" s="8" t="s">
        <v>228</v>
      </c>
      <c r="C66" s="8" t="s">
        <v>233</v>
      </c>
    </row>
    <row r="67" customFormat="false" ht="15" hidden="false" customHeight="false" outlineLevel="0" collapsed="false">
      <c r="A67" s="8" t="s">
        <v>145</v>
      </c>
      <c r="B67" s="8" t="s">
        <v>228</v>
      </c>
      <c r="C67" s="8" t="s">
        <v>234</v>
      </c>
    </row>
    <row r="68" customFormat="false" ht="15" hidden="false" customHeight="false" outlineLevel="0" collapsed="false">
      <c r="A68" s="8" t="s">
        <v>145</v>
      </c>
      <c r="B68" s="8" t="s">
        <v>235</v>
      </c>
      <c r="C68" s="8" t="s">
        <v>236</v>
      </c>
    </row>
    <row r="69" customFormat="false" ht="15" hidden="false" customHeight="false" outlineLevel="0" collapsed="false">
      <c r="A69" s="8" t="s">
        <v>119</v>
      </c>
      <c r="B69" s="8" t="s">
        <v>237</v>
      </c>
      <c r="C69" s="8" t="s">
        <v>238</v>
      </c>
    </row>
    <row r="70" customFormat="false" ht="15" hidden="false" customHeight="false" outlineLevel="0" collapsed="false">
      <c r="A70" s="8" t="s">
        <v>119</v>
      </c>
      <c r="B70" s="8" t="s">
        <v>239</v>
      </c>
      <c r="C70" s="8" t="s">
        <v>240</v>
      </c>
    </row>
    <row r="71" customFormat="false" ht="26.85" hidden="false" customHeight="false" outlineLevel="0" collapsed="false">
      <c r="A71" s="8" t="s">
        <v>119</v>
      </c>
      <c r="B71" s="8" t="s">
        <v>241</v>
      </c>
      <c r="C71" s="8" t="s">
        <v>242</v>
      </c>
    </row>
    <row r="72" customFormat="false" ht="26.85" hidden="false" customHeight="false" outlineLevel="0" collapsed="false">
      <c r="A72" s="8" t="s">
        <v>119</v>
      </c>
      <c r="B72" s="8" t="s">
        <v>243</v>
      </c>
      <c r="C72" s="8" t="s">
        <v>244</v>
      </c>
    </row>
    <row r="73" customFormat="false" ht="26.85" hidden="false" customHeight="false" outlineLevel="0" collapsed="false">
      <c r="A73" s="8" t="s">
        <v>119</v>
      </c>
      <c r="B73" s="8" t="s">
        <v>245</v>
      </c>
      <c r="C73" s="8" t="s">
        <v>246</v>
      </c>
    </row>
    <row r="74" customFormat="false" ht="26.85" hidden="false" customHeight="false" outlineLevel="0" collapsed="false">
      <c r="A74" s="8" t="s">
        <v>119</v>
      </c>
      <c r="B74" s="8" t="s">
        <v>247</v>
      </c>
      <c r="C74" s="8" t="s">
        <v>248</v>
      </c>
    </row>
    <row r="75" customFormat="false" ht="26.85" hidden="false" customHeight="false" outlineLevel="0" collapsed="false">
      <c r="A75" s="8" t="s">
        <v>119</v>
      </c>
      <c r="B75" s="8" t="s">
        <v>249</v>
      </c>
      <c r="C75" s="8" t="s">
        <v>250</v>
      </c>
    </row>
    <row r="76" customFormat="false" ht="26.85" hidden="false" customHeight="false" outlineLevel="0" collapsed="false">
      <c r="A76" s="8" t="s">
        <v>119</v>
      </c>
      <c r="B76" s="8" t="s">
        <v>251</v>
      </c>
      <c r="C76" s="8" t="s">
        <v>252</v>
      </c>
    </row>
    <row r="77" customFormat="false" ht="26.85" hidden="false" customHeight="false" outlineLevel="0" collapsed="false">
      <c r="A77" s="8" t="s">
        <v>119</v>
      </c>
      <c r="B77" s="8" t="s">
        <v>253</v>
      </c>
      <c r="C77" s="8" t="s">
        <v>254</v>
      </c>
    </row>
    <row r="78" customFormat="false" ht="26.85" hidden="false" customHeight="false" outlineLevel="0" collapsed="false">
      <c r="A78" s="8" t="s">
        <v>119</v>
      </c>
      <c r="B78" s="8" t="s">
        <v>255</v>
      </c>
      <c r="C78" s="8" t="s">
        <v>256</v>
      </c>
    </row>
    <row r="79" customFormat="false" ht="26.85" hidden="false" customHeight="false" outlineLevel="0" collapsed="false">
      <c r="A79" s="8" t="s">
        <v>119</v>
      </c>
      <c r="B79" s="8" t="s">
        <v>257</v>
      </c>
      <c r="C79" s="8" t="s">
        <v>258</v>
      </c>
    </row>
    <row r="80" customFormat="false" ht="26.85" hidden="false" customHeight="false" outlineLevel="0" collapsed="false">
      <c r="A80" s="8" t="s">
        <v>119</v>
      </c>
      <c r="B80" s="8" t="s">
        <v>259</v>
      </c>
      <c r="C80" s="8" t="s">
        <v>260</v>
      </c>
    </row>
    <row r="81" customFormat="false" ht="15" hidden="false" customHeight="false" outlineLevel="0" collapsed="false">
      <c r="A81" s="8" t="s">
        <v>119</v>
      </c>
      <c r="B81" s="8" t="s">
        <v>261</v>
      </c>
      <c r="C81" s="8" t="s">
        <v>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5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5" t="s">
        <v>263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2" t="s">
        <v>264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 t="s">
        <v>265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</row>
    <row r="5" customFormat="false" ht="39.55" hidden="false" customHeight="false" outlineLevel="0" collapsed="false">
      <c r="A5" s="3" t="s">
        <v>266</v>
      </c>
      <c r="B5" s="3" t="s">
        <v>267</v>
      </c>
      <c r="C5" s="3" t="s">
        <v>268</v>
      </c>
      <c r="D5" s="3" t="s">
        <v>269</v>
      </c>
      <c r="E5" s="3" t="s">
        <v>270</v>
      </c>
      <c r="F5" s="3" t="s">
        <v>271</v>
      </c>
      <c r="G5" s="3" t="s">
        <v>272</v>
      </c>
      <c r="H5" s="3" t="s">
        <v>273</v>
      </c>
      <c r="I5" s="3" t="s">
        <v>274</v>
      </c>
    </row>
    <row r="6" customFormat="false" ht="15" hidden="false" customHeight="false" outlineLevel="0" collapsed="false">
      <c r="A6" s="2" t="s">
        <v>275</v>
      </c>
      <c r="B6" s="4" t="n">
        <v>19380</v>
      </c>
      <c r="C6" s="4" t="n">
        <v>0</v>
      </c>
      <c r="D6" s="4" t="n">
        <f aca="false">B6-C6</f>
        <v>19380</v>
      </c>
      <c r="E6" s="4" t="n">
        <v>113370</v>
      </c>
      <c r="F6" s="7" t="n">
        <v>46268</v>
      </c>
      <c r="G6" s="4" t="n">
        <f aca="false">MAX(D6,0)</f>
        <v>19380</v>
      </c>
      <c r="H6" s="9"/>
      <c r="I6" s="10" t="n">
        <v>46298</v>
      </c>
    </row>
    <row r="7" customFormat="false" ht="15" hidden="false" customHeight="false" outlineLevel="0" collapsed="false">
      <c r="A7" s="2" t="s">
        <v>276</v>
      </c>
      <c r="B7" s="4" t="n">
        <v>2300</v>
      </c>
      <c r="C7" s="4" t="n">
        <v>0</v>
      </c>
      <c r="D7" s="4" t="n">
        <f aca="false">B7-C7</f>
        <v>2300</v>
      </c>
      <c r="E7" s="4" t="n">
        <v>2300</v>
      </c>
      <c r="F7" s="7" t="n">
        <v>46121</v>
      </c>
      <c r="G7" s="4" t="n">
        <f aca="false">MAX(D7,0)</f>
        <v>2300</v>
      </c>
      <c r="H7" s="9"/>
      <c r="I7" s="10" t="n">
        <v>46298</v>
      </c>
    </row>
    <row r="8" customFormat="false" ht="15" hidden="false" customHeight="false" outlineLevel="0" collapsed="false">
      <c r="A8" s="2" t="s">
        <v>277</v>
      </c>
      <c r="B8" s="4" t="n">
        <v>0</v>
      </c>
      <c r="C8" s="4" t="n">
        <v>0</v>
      </c>
      <c r="D8" s="4" t="n">
        <f aca="false">B8-C8</f>
        <v>0</v>
      </c>
      <c r="E8" s="4" t="n">
        <v>2500</v>
      </c>
      <c r="F8" s="7" t="n">
        <v>46241</v>
      </c>
      <c r="G8" s="4" t="n">
        <f aca="false">MAX(D8,0)</f>
        <v>0</v>
      </c>
      <c r="H8" s="9"/>
      <c r="I8" s="10" t="n">
        <v>46298</v>
      </c>
    </row>
    <row r="9" customFormat="false" ht="15" hidden="false" customHeight="false" outlineLevel="0" collapsed="false">
      <c r="A9" s="2" t="s">
        <v>278</v>
      </c>
      <c r="B9" s="4" t="n">
        <v>0</v>
      </c>
      <c r="C9" s="4" t="n">
        <v>0</v>
      </c>
      <c r="D9" s="4" t="n">
        <f aca="false">B9-C9</f>
        <v>0</v>
      </c>
      <c r="E9" s="4" t="n">
        <v>4200</v>
      </c>
      <c r="F9" s="7" t="n">
        <v>46129</v>
      </c>
      <c r="G9" s="4" t="n">
        <f aca="false">MAX(D9,0)</f>
        <v>0</v>
      </c>
      <c r="H9" s="9"/>
      <c r="I9" s="10" t="n">
        <v>46298</v>
      </c>
    </row>
    <row r="10" customFormat="false" ht="15" hidden="false" customHeight="false" outlineLevel="0" collapsed="false">
      <c r="A10" s="2" t="s">
        <v>279</v>
      </c>
      <c r="B10" s="4" t="n">
        <v>0</v>
      </c>
      <c r="C10" s="4" t="n">
        <v>0</v>
      </c>
      <c r="D10" s="4" t="n">
        <f aca="false">B10-C10</f>
        <v>0</v>
      </c>
      <c r="E10" s="4" t="n">
        <v>4500</v>
      </c>
      <c r="F10" s="7" t="n">
        <v>46173</v>
      </c>
      <c r="G10" s="4" t="n">
        <f aca="false">MAX(D10,0)</f>
        <v>0</v>
      </c>
      <c r="H10" s="9"/>
      <c r="I10" s="10" t="n">
        <v>46298</v>
      </c>
    </row>
    <row r="11" customFormat="false" ht="15" hidden="false" customHeight="false" outlineLevel="0" collapsed="false">
      <c r="A11" s="2" t="s">
        <v>280</v>
      </c>
      <c r="B11" s="4" t="n">
        <v>0</v>
      </c>
      <c r="C11" s="4" t="n">
        <v>0</v>
      </c>
      <c r="D11" s="4" t="n">
        <f aca="false">B11-C11</f>
        <v>0</v>
      </c>
      <c r="E11" s="4" t="n">
        <v>6800</v>
      </c>
      <c r="F11" s="7" t="n">
        <v>46177</v>
      </c>
      <c r="G11" s="4" t="n">
        <f aca="false">MAX(D11,0)</f>
        <v>0</v>
      </c>
      <c r="H11" s="9"/>
      <c r="I11" s="10" t="n">
        <v>46298</v>
      </c>
    </row>
    <row r="12" customFormat="false" ht="15" hidden="false" customHeight="false" outlineLevel="0" collapsed="false">
      <c r="A12" s="2" t="s">
        <v>281</v>
      </c>
      <c r="B12" s="4" t="n">
        <v>0</v>
      </c>
      <c r="C12" s="4" t="n">
        <v>0</v>
      </c>
      <c r="D12" s="4" t="n">
        <f aca="false">B12-C12</f>
        <v>0</v>
      </c>
      <c r="E12" s="4" t="n">
        <v>4250</v>
      </c>
      <c r="F12" s="7" t="n">
        <v>46217</v>
      </c>
      <c r="G12" s="4" t="n">
        <f aca="false">MAX(D12,0)</f>
        <v>0</v>
      </c>
      <c r="H12" s="9"/>
      <c r="I12" s="10" t="n">
        <v>46298</v>
      </c>
    </row>
    <row r="13" customFormat="false" ht="15" hidden="false" customHeight="false" outlineLevel="0" collapsed="false">
      <c r="A13" s="2" t="s">
        <v>282</v>
      </c>
      <c r="B13" s="4" t="n">
        <v>0</v>
      </c>
      <c r="C13" s="4" t="n">
        <v>0</v>
      </c>
      <c r="D13" s="4" t="n">
        <f aca="false">B13-C13</f>
        <v>0</v>
      </c>
      <c r="E13" s="4" t="n">
        <v>15000</v>
      </c>
      <c r="F13" s="7" t="n">
        <v>46235</v>
      </c>
      <c r="G13" s="4" t="n">
        <f aca="false">MAX(D13,0)</f>
        <v>0</v>
      </c>
      <c r="H13" s="9"/>
      <c r="I13" s="10" t="n">
        <v>46298</v>
      </c>
    </row>
    <row r="14" customFormat="false" ht="15" hidden="false" customHeight="false" outlineLevel="0" collapsed="false">
      <c r="A14" s="2" t="s">
        <v>283</v>
      </c>
      <c r="B14" s="4" t="n">
        <v>101760</v>
      </c>
      <c r="C14" s="4" t="n">
        <v>0</v>
      </c>
      <c r="D14" s="4" t="n">
        <f aca="false">B14-C14</f>
        <v>101760</v>
      </c>
      <c r="E14" s="4" t="n">
        <v>347510</v>
      </c>
      <c r="F14" s="7" t="n">
        <v>46269</v>
      </c>
      <c r="G14" s="4" t="n">
        <f aca="false">MAX(D14,0)</f>
        <v>101760</v>
      </c>
      <c r="H14" s="9"/>
      <c r="I14" s="10" t="n">
        <v>46298</v>
      </c>
    </row>
    <row r="15" customFormat="false" ht="15" hidden="false" customHeight="false" outlineLevel="0" collapsed="false">
      <c r="A15" s="2" t="s">
        <v>284</v>
      </c>
      <c r="B15" s="4" t="n">
        <v>0</v>
      </c>
      <c r="C15" s="4" t="n">
        <v>0</v>
      </c>
      <c r="D15" s="4" t="n">
        <f aca="false">B15-C15</f>
        <v>0</v>
      </c>
      <c r="E15" s="4" t="n">
        <v>5000</v>
      </c>
      <c r="F15" s="7" t="n">
        <v>46111</v>
      </c>
      <c r="G15" s="4" t="n">
        <f aca="false">MAX(D15,0)</f>
        <v>0</v>
      </c>
      <c r="H15" s="9"/>
      <c r="I15" s="10" t="n">
        <v>46298</v>
      </c>
    </row>
    <row r="16" customFormat="false" ht="15" hidden="false" customHeight="false" outlineLevel="0" collapsed="false">
      <c r="A16" s="2" t="s">
        <v>285</v>
      </c>
      <c r="B16" s="4" t="n">
        <v>0</v>
      </c>
      <c r="C16" s="4" t="n">
        <v>0</v>
      </c>
      <c r="D16" s="4" t="n">
        <f aca="false">B16-C16</f>
        <v>0</v>
      </c>
      <c r="E16" s="4" t="n">
        <v>474</v>
      </c>
      <c r="F16" s="7" t="n">
        <v>46069</v>
      </c>
      <c r="G16" s="4" t="n">
        <f aca="false">MAX(D16,0)</f>
        <v>0</v>
      </c>
      <c r="H16" s="9"/>
      <c r="I16" s="10" t="n">
        <v>46298</v>
      </c>
    </row>
    <row r="17" customFormat="false" ht="15" hidden="false" customHeight="false" outlineLevel="0" collapsed="false">
      <c r="A17" s="2" t="s">
        <v>286</v>
      </c>
      <c r="B17" s="4" t="n">
        <v>0</v>
      </c>
      <c r="C17" s="4" t="n">
        <v>0</v>
      </c>
      <c r="D17" s="4" t="n">
        <f aca="false">B17-C17</f>
        <v>0</v>
      </c>
      <c r="E17" s="4" t="n">
        <v>1800</v>
      </c>
      <c r="F17" s="7" t="n">
        <v>46045</v>
      </c>
      <c r="G17" s="4" t="n">
        <f aca="false">MAX(D17,0)</f>
        <v>0</v>
      </c>
      <c r="H17" s="9"/>
      <c r="I17" s="10" t="n">
        <v>46298</v>
      </c>
    </row>
    <row r="18" customFormat="false" ht="15" hidden="false" customHeight="false" outlineLevel="0" collapsed="false">
      <c r="A18" s="2" t="s">
        <v>287</v>
      </c>
      <c r="B18" s="4" t="n">
        <v>0</v>
      </c>
      <c r="C18" s="4" t="n">
        <v>0</v>
      </c>
      <c r="D18" s="4" t="n">
        <f aca="false">B18-C18</f>
        <v>0</v>
      </c>
      <c r="E18" s="4" t="n">
        <v>4200</v>
      </c>
      <c r="F18" s="7" t="n">
        <v>46177</v>
      </c>
      <c r="G18" s="4" t="n">
        <f aca="false">MAX(D18,0)</f>
        <v>0</v>
      </c>
      <c r="H18" s="9"/>
      <c r="I18" s="10" t="n">
        <v>46298</v>
      </c>
    </row>
    <row r="19" customFormat="false" ht="15" hidden="false" customHeight="false" outlineLevel="0" collapsed="false">
      <c r="A19" s="2" t="s">
        <v>288</v>
      </c>
      <c r="B19" s="4" t="n">
        <v>13500</v>
      </c>
      <c r="C19" s="4" t="n">
        <v>0</v>
      </c>
      <c r="D19" s="4" t="n">
        <f aca="false">B19-C19</f>
        <v>13500</v>
      </c>
      <c r="E19" s="4" t="n">
        <v>29700</v>
      </c>
      <c r="F19" s="7" t="n">
        <v>46202</v>
      </c>
      <c r="G19" s="4" t="n">
        <f aca="false">MAX(D19,0)</f>
        <v>13500</v>
      </c>
      <c r="H19" s="9"/>
      <c r="I19" s="10" t="n">
        <v>46298</v>
      </c>
    </row>
    <row r="20" customFormat="false" ht="15" hidden="false" customHeight="false" outlineLevel="0" collapsed="false">
      <c r="A20" s="2" t="s">
        <v>289</v>
      </c>
      <c r="B20" s="4" t="n">
        <v>0</v>
      </c>
      <c r="C20" s="4" t="n">
        <v>0</v>
      </c>
      <c r="D20" s="4" t="n">
        <f aca="false">B20-C20</f>
        <v>0</v>
      </c>
      <c r="E20" s="4" t="n">
        <v>2400</v>
      </c>
      <c r="F20" s="7" t="n">
        <v>46056</v>
      </c>
      <c r="G20" s="4" t="n">
        <f aca="false">MAX(D20,0)</f>
        <v>0</v>
      </c>
      <c r="H20" s="9"/>
      <c r="I20" s="10" t="n">
        <v>46298</v>
      </c>
    </row>
    <row r="21" customFormat="false" ht="15" hidden="false" customHeight="false" outlineLevel="0" collapsed="false">
      <c r="A21" s="2" t="s">
        <v>290</v>
      </c>
      <c r="B21" s="4" t="n">
        <v>0</v>
      </c>
      <c r="C21" s="4" t="n">
        <v>0</v>
      </c>
      <c r="D21" s="4" t="n">
        <f aca="false">B21-C21</f>
        <v>0</v>
      </c>
      <c r="E21" s="4" t="n">
        <v>7050</v>
      </c>
      <c r="F21" s="7" t="n">
        <v>46157</v>
      </c>
      <c r="G21" s="4" t="n">
        <f aca="false">MAX(D21,0)</f>
        <v>0</v>
      </c>
      <c r="H21" s="9"/>
      <c r="I21" s="10" t="n">
        <v>46298</v>
      </c>
    </row>
    <row r="22" customFormat="false" ht="15" hidden="false" customHeight="false" outlineLevel="0" collapsed="false">
      <c r="A22" s="2" t="s">
        <v>291</v>
      </c>
      <c r="B22" s="4" t="n">
        <v>0</v>
      </c>
      <c r="C22" s="4" t="n">
        <v>0</v>
      </c>
      <c r="D22" s="4" t="n">
        <f aca="false">B22-C22</f>
        <v>0</v>
      </c>
      <c r="E22" s="4" t="n">
        <v>4200</v>
      </c>
      <c r="F22" s="7" t="n">
        <v>46173</v>
      </c>
      <c r="G22" s="4" t="n">
        <f aca="false">MAX(D22,0)</f>
        <v>0</v>
      </c>
      <c r="H22" s="9"/>
      <c r="I22" s="10" t="n">
        <v>46298</v>
      </c>
    </row>
    <row r="23" customFormat="false" ht="15" hidden="false" customHeight="false" outlineLevel="0" collapsed="false">
      <c r="A23" s="2" t="s">
        <v>292</v>
      </c>
      <c r="B23" s="4" t="n">
        <v>136070</v>
      </c>
      <c r="C23" s="4" t="n">
        <v>180050</v>
      </c>
      <c r="D23" s="4" t="n">
        <f aca="false">B23-C23</f>
        <v>-43980</v>
      </c>
      <c r="E23" s="4" t="n">
        <v>678070</v>
      </c>
      <c r="F23" s="7" t="n">
        <v>46275</v>
      </c>
      <c r="G23" s="4" t="n">
        <f aca="false">MAX(D23,0)</f>
        <v>0</v>
      </c>
      <c r="H23" s="9"/>
      <c r="I23" s="10" t="n">
        <v>46298</v>
      </c>
    </row>
    <row r="24" customFormat="false" ht="15" hidden="false" customHeight="false" outlineLevel="0" collapsed="false">
      <c r="A24" s="2" t="s">
        <v>293</v>
      </c>
      <c r="B24" s="4" t="n">
        <v>22280</v>
      </c>
      <c r="C24" s="4" t="n">
        <v>30000</v>
      </c>
      <c r="D24" s="4" t="n">
        <f aca="false">B24-C24</f>
        <v>-7720</v>
      </c>
      <c r="E24" s="4" t="n">
        <v>100090</v>
      </c>
      <c r="F24" s="7" t="n">
        <v>46275</v>
      </c>
      <c r="G24" s="4" t="n">
        <f aca="false">MAX(D24,0)</f>
        <v>0</v>
      </c>
      <c r="H24" s="9"/>
      <c r="I24" s="10" t="n">
        <v>46298</v>
      </c>
    </row>
    <row r="25" customFormat="false" ht="15" hidden="false" customHeight="false" outlineLevel="0" collapsed="false">
      <c r="A25" s="2" t="s">
        <v>294</v>
      </c>
      <c r="B25" s="4" t="n">
        <v>0</v>
      </c>
      <c r="C25" s="4" t="n">
        <v>0</v>
      </c>
      <c r="D25" s="4" t="n">
        <f aca="false">B25-C25</f>
        <v>0</v>
      </c>
      <c r="E25" s="4" t="n">
        <v>3500</v>
      </c>
      <c r="F25" s="7" t="n">
        <v>46113</v>
      </c>
      <c r="G25" s="4" t="n">
        <f aca="false">MAX(D25,0)</f>
        <v>0</v>
      </c>
      <c r="H25" s="9"/>
      <c r="I25" s="10" t="n">
        <v>46298</v>
      </c>
    </row>
    <row r="26" customFormat="false" ht="15" hidden="false" customHeight="false" outlineLevel="0" collapsed="false">
      <c r="A26" s="2" t="s">
        <v>295</v>
      </c>
      <c r="B26" s="4" t="n">
        <v>0</v>
      </c>
      <c r="C26" s="4" t="n">
        <v>0</v>
      </c>
      <c r="D26" s="4" t="n">
        <f aca="false">B26-C26</f>
        <v>0</v>
      </c>
      <c r="E26" s="4" t="n">
        <v>605404</v>
      </c>
      <c r="F26" s="7" t="n">
        <v>46132</v>
      </c>
      <c r="G26" s="4" t="n">
        <f aca="false">MAX(D26,0)</f>
        <v>0</v>
      </c>
      <c r="H26" s="9"/>
      <c r="I26" s="10" t="n">
        <v>46298</v>
      </c>
    </row>
    <row r="27" customFormat="false" ht="15" hidden="false" customHeight="false" outlineLevel="0" collapsed="false">
      <c r="A27" s="2" t="s">
        <v>296</v>
      </c>
      <c r="B27" s="4" t="n">
        <v>0</v>
      </c>
      <c r="C27" s="4" t="n">
        <v>0</v>
      </c>
      <c r="D27" s="4" t="n">
        <f aca="false">B27-C27</f>
        <v>0</v>
      </c>
      <c r="E27" s="4" t="n">
        <v>10300</v>
      </c>
      <c r="F27" s="7" t="n">
        <v>46269</v>
      </c>
      <c r="G27" s="4" t="n">
        <f aca="false">MAX(D27,0)</f>
        <v>0</v>
      </c>
      <c r="H27" s="9"/>
      <c r="I27" s="10" t="n">
        <v>46298</v>
      </c>
    </row>
    <row r="28" customFormat="false" ht="15" hidden="false" customHeight="false" outlineLevel="0" collapsed="false">
      <c r="A28" s="2" t="s">
        <v>297</v>
      </c>
      <c r="B28" s="4" t="n">
        <v>0</v>
      </c>
      <c r="C28" s="4" t="n">
        <v>0</v>
      </c>
      <c r="D28" s="4" t="n">
        <f aca="false">B28-C28</f>
        <v>0</v>
      </c>
      <c r="E28" s="4" t="n">
        <v>2650</v>
      </c>
      <c r="F28" s="7" t="n">
        <v>46249</v>
      </c>
      <c r="G28" s="4" t="n">
        <f aca="false">MAX(D28,0)</f>
        <v>0</v>
      </c>
      <c r="H28" s="9"/>
      <c r="I28" s="10" t="n">
        <v>46298</v>
      </c>
    </row>
    <row r="29" customFormat="false" ht="15" hidden="false" customHeight="false" outlineLevel="0" collapsed="false">
      <c r="A29" s="2" t="s">
        <v>298</v>
      </c>
      <c r="B29" s="4" t="n">
        <v>112700</v>
      </c>
      <c r="C29" s="4" t="n">
        <v>110312.5</v>
      </c>
      <c r="D29" s="4" t="n">
        <f aca="false">B29-C29</f>
        <v>2387.5</v>
      </c>
      <c r="E29" s="4" t="n">
        <v>415470</v>
      </c>
      <c r="F29" s="7" t="n">
        <v>46248</v>
      </c>
      <c r="G29" s="4" t="n">
        <f aca="false">MAX(D29,0)</f>
        <v>2387.5</v>
      </c>
      <c r="H29" s="9"/>
      <c r="I29" s="10" t="n">
        <v>46298</v>
      </c>
    </row>
    <row r="30" customFormat="false" ht="15" hidden="false" customHeight="false" outlineLevel="0" collapsed="false">
      <c r="A30" s="2" t="s">
        <v>299</v>
      </c>
      <c r="B30" s="4" t="n">
        <v>0</v>
      </c>
      <c r="C30" s="4" t="n">
        <v>0</v>
      </c>
      <c r="D30" s="4" t="n">
        <f aca="false">B30-C30</f>
        <v>0</v>
      </c>
      <c r="E30" s="4" t="n">
        <v>10500</v>
      </c>
      <c r="F30" s="7" t="n">
        <v>46211</v>
      </c>
      <c r="G30" s="4" t="n">
        <f aca="false">MAX(D30,0)</f>
        <v>0</v>
      </c>
      <c r="H30" s="9"/>
      <c r="I30" s="10" t="n">
        <v>46298</v>
      </c>
    </row>
    <row r="31" customFormat="false" ht="15" hidden="false" customHeight="false" outlineLevel="0" collapsed="false">
      <c r="A31" s="2" t="s">
        <v>300</v>
      </c>
      <c r="B31" s="4" t="n">
        <v>0</v>
      </c>
      <c r="C31" s="4" t="n">
        <v>0</v>
      </c>
      <c r="D31" s="4" t="n">
        <f aca="false">B31-C31</f>
        <v>0</v>
      </c>
      <c r="E31" s="4" t="n">
        <v>5250</v>
      </c>
      <c r="F31" s="7" t="n">
        <v>46173</v>
      </c>
      <c r="G31" s="4" t="n">
        <f aca="false">MAX(D31,0)</f>
        <v>0</v>
      </c>
      <c r="H31" s="9"/>
      <c r="I31" s="10" t="n">
        <v>46298</v>
      </c>
    </row>
    <row r="32" customFormat="false" ht="15" hidden="false" customHeight="false" outlineLevel="0" collapsed="false">
      <c r="A32" s="2" t="s">
        <v>301</v>
      </c>
      <c r="B32" s="4" t="n">
        <v>0</v>
      </c>
      <c r="C32" s="4" t="n">
        <v>0</v>
      </c>
      <c r="D32" s="4" t="n">
        <f aca="false">B32-C32</f>
        <v>0</v>
      </c>
      <c r="E32" s="4" t="n">
        <v>4200</v>
      </c>
      <c r="F32" s="7" t="n">
        <v>46213</v>
      </c>
      <c r="G32" s="4" t="n">
        <f aca="false">MAX(D32,0)</f>
        <v>0</v>
      </c>
      <c r="H32" s="9"/>
      <c r="I32" s="10" t="n">
        <v>46298</v>
      </c>
    </row>
    <row r="33" customFormat="false" ht="15" hidden="false" customHeight="false" outlineLevel="0" collapsed="false">
      <c r="A33" s="2" t="s">
        <v>302</v>
      </c>
      <c r="B33" s="4" t="n">
        <v>0</v>
      </c>
      <c r="C33" s="4" t="n">
        <v>0</v>
      </c>
      <c r="D33" s="4" t="n">
        <f aca="false">B33-C33</f>
        <v>0</v>
      </c>
      <c r="E33" s="4" t="n">
        <v>19100</v>
      </c>
      <c r="F33" s="7" t="n">
        <v>46198</v>
      </c>
      <c r="G33" s="4" t="n">
        <f aca="false">MAX(D33,0)</f>
        <v>0</v>
      </c>
      <c r="H33" s="9"/>
      <c r="I33" s="10" t="n">
        <v>46298</v>
      </c>
    </row>
    <row r="34" customFormat="false" ht="15" hidden="false" customHeight="false" outlineLevel="0" collapsed="false">
      <c r="A34" s="2" t="s">
        <v>303</v>
      </c>
      <c r="B34" s="4" t="n">
        <v>0</v>
      </c>
      <c r="C34" s="4" t="n">
        <v>0</v>
      </c>
      <c r="D34" s="4" t="n">
        <f aca="false">B34-C34</f>
        <v>0</v>
      </c>
      <c r="E34" s="4" t="n">
        <v>2930</v>
      </c>
      <c r="F34" s="7" t="n">
        <v>46134</v>
      </c>
      <c r="G34" s="4" t="n">
        <f aca="false">MAX(D34,0)</f>
        <v>0</v>
      </c>
      <c r="H34" s="9"/>
      <c r="I34" s="10" t="n">
        <v>46298</v>
      </c>
    </row>
    <row r="35" customFormat="false" ht="15" hidden="false" customHeight="false" outlineLevel="0" collapsed="false">
      <c r="A35" s="2" t="s">
        <v>304</v>
      </c>
      <c r="B35" s="4" t="n">
        <v>0</v>
      </c>
      <c r="C35" s="4" t="n">
        <v>0</v>
      </c>
      <c r="D35" s="4" t="n">
        <f aca="false">B35-C35</f>
        <v>0</v>
      </c>
      <c r="E35" s="4" t="n">
        <v>4500</v>
      </c>
      <c r="F35" s="7" t="n">
        <v>46094</v>
      </c>
      <c r="G35" s="4" t="n">
        <f aca="false">MAX(D35,0)</f>
        <v>0</v>
      </c>
      <c r="H35" s="9"/>
      <c r="I35" s="10" t="n">
        <v>46298</v>
      </c>
    </row>
    <row r="36" customFormat="false" ht="15" hidden="false" customHeight="false" outlineLevel="0" collapsed="false">
      <c r="A36" s="2" t="s">
        <v>305</v>
      </c>
      <c r="B36" s="4" t="n">
        <v>760</v>
      </c>
      <c r="C36" s="4" t="n">
        <v>0</v>
      </c>
      <c r="D36" s="4" t="n">
        <f aca="false">B36-C36</f>
        <v>760</v>
      </c>
      <c r="E36" s="4" t="n">
        <v>760</v>
      </c>
      <c r="F36" s="7" t="n">
        <v>46080</v>
      </c>
      <c r="G36" s="4" t="n">
        <f aca="false">MAX(D36,0)</f>
        <v>760</v>
      </c>
      <c r="H36" s="9"/>
      <c r="I36" s="10" t="n">
        <v>46298</v>
      </c>
    </row>
    <row r="37" customFormat="false" ht="15" hidden="false" customHeight="false" outlineLevel="0" collapsed="false">
      <c r="A37" s="2" t="s">
        <v>306</v>
      </c>
      <c r="B37" s="4" t="n">
        <v>0</v>
      </c>
      <c r="C37" s="4" t="n">
        <v>0</v>
      </c>
      <c r="D37" s="4" t="n">
        <f aca="false">B37-C37</f>
        <v>0</v>
      </c>
      <c r="E37" s="4" t="n">
        <v>2500</v>
      </c>
      <c r="F37" s="7" t="n">
        <v>46256</v>
      </c>
      <c r="G37" s="4" t="n">
        <f aca="false">MAX(D37,0)</f>
        <v>0</v>
      </c>
      <c r="H37" s="9"/>
      <c r="I37" s="10" t="n">
        <v>46298</v>
      </c>
    </row>
    <row r="38" customFormat="false" ht="15" hidden="false" customHeight="false" outlineLevel="0" collapsed="false">
      <c r="A38" s="2" t="s">
        <v>307</v>
      </c>
      <c r="B38" s="4" t="n">
        <v>0</v>
      </c>
      <c r="C38" s="4" t="n">
        <v>0</v>
      </c>
      <c r="D38" s="4" t="n">
        <f aca="false">B38-C38</f>
        <v>0</v>
      </c>
      <c r="E38" s="4" t="n">
        <v>3860</v>
      </c>
      <c r="F38" s="7" t="n">
        <v>46184</v>
      </c>
      <c r="G38" s="4" t="n">
        <f aca="false">MAX(D38,0)</f>
        <v>0</v>
      </c>
      <c r="H38" s="9"/>
      <c r="I38" s="10" t="n">
        <v>46298</v>
      </c>
    </row>
    <row r="39" customFormat="false" ht="15" hidden="false" customHeight="false" outlineLevel="0" collapsed="false">
      <c r="A39" s="2" t="s">
        <v>308</v>
      </c>
      <c r="B39" s="4" t="n">
        <v>0</v>
      </c>
      <c r="C39" s="4" t="n">
        <v>0</v>
      </c>
      <c r="D39" s="4" t="n">
        <f aca="false">B39-C39</f>
        <v>0</v>
      </c>
      <c r="E39" s="4" t="n">
        <v>2500</v>
      </c>
      <c r="F39" s="7" t="n">
        <v>46256</v>
      </c>
      <c r="G39" s="4" t="n">
        <f aca="false">MAX(D39,0)</f>
        <v>0</v>
      </c>
      <c r="H39" s="9"/>
      <c r="I39" s="10" t="n">
        <v>46298</v>
      </c>
    </row>
    <row r="40" customFormat="false" ht="15" hidden="false" customHeight="false" outlineLevel="0" collapsed="false">
      <c r="A40" s="2" t="s">
        <v>309</v>
      </c>
      <c r="B40" s="4" t="n">
        <v>0</v>
      </c>
      <c r="C40" s="4" t="n">
        <v>0</v>
      </c>
      <c r="D40" s="4" t="n">
        <f aca="false">B40-C40</f>
        <v>0</v>
      </c>
      <c r="E40" s="4" t="n">
        <v>4400</v>
      </c>
      <c r="F40" s="7" t="n">
        <v>46130</v>
      </c>
      <c r="G40" s="4" t="n">
        <f aca="false">MAX(D40,0)</f>
        <v>0</v>
      </c>
      <c r="H40" s="9"/>
      <c r="I40" s="10" t="n">
        <v>46298</v>
      </c>
    </row>
    <row r="41" customFormat="false" ht="15" hidden="false" customHeight="false" outlineLevel="0" collapsed="false">
      <c r="A41" s="2" t="s">
        <v>310</v>
      </c>
      <c r="B41" s="4" t="n">
        <v>0</v>
      </c>
      <c r="C41" s="4" t="n">
        <v>0</v>
      </c>
      <c r="D41" s="4" t="n">
        <f aca="false">B41-C41</f>
        <v>0</v>
      </c>
      <c r="E41" s="4" t="n">
        <v>2500</v>
      </c>
      <c r="F41" s="7" t="n">
        <v>46140</v>
      </c>
      <c r="G41" s="4" t="n">
        <f aca="false">MAX(D41,0)</f>
        <v>0</v>
      </c>
      <c r="H41" s="9"/>
      <c r="I41" s="10" t="n">
        <v>46298</v>
      </c>
    </row>
    <row r="42" customFormat="false" ht="15" hidden="false" customHeight="false" outlineLevel="0" collapsed="false">
      <c r="A42" s="2" t="s">
        <v>311</v>
      </c>
      <c r="B42" s="4" t="n">
        <v>0</v>
      </c>
      <c r="C42" s="4" t="n">
        <v>0</v>
      </c>
      <c r="D42" s="4" t="n">
        <f aca="false">B42-C42</f>
        <v>0</v>
      </c>
      <c r="E42" s="4" t="n">
        <v>5000</v>
      </c>
      <c r="F42" s="7" t="n">
        <v>46278</v>
      </c>
      <c r="G42" s="4" t="n">
        <f aca="false">MAX(D42,0)</f>
        <v>0</v>
      </c>
      <c r="H42" s="9"/>
      <c r="I42" s="10" t="n">
        <v>46298</v>
      </c>
    </row>
    <row r="43" customFormat="false" ht="15" hidden="false" customHeight="false" outlineLevel="0" collapsed="false">
      <c r="A43" s="2" t="s">
        <v>312</v>
      </c>
      <c r="B43" s="4" t="n">
        <v>0</v>
      </c>
      <c r="C43" s="4" t="n">
        <v>0</v>
      </c>
      <c r="D43" s="4" t="n">
        <f aca="false">B43-C43</f>
        <v>0</v>
      </c>
      <c r="E43" s="4" t="n">
        <v>24000</v>
      </c>
      <c r="F43" s="7" t="n">
        <v>46202</v>
      </c>
      <c r="G43" s="4" t="n">
        <f aca="false">MAX(D43,0)</f>
        <v>0</v>
      </c>
      <c r="H43" s="9"/>
      <c r="I43" s="10" t="n">
        <v>46298</v>
      </c>
    </row>
    <row r="44" customFormat="false" ht="15" hidden="false" customHeight="false" outlineLevel="0" collapsed="false">
      <c r="A44" s="2" t="s">
        <v>313</v>
      </c>
      <c r="B44" s="4" t="n">
        <v>0</v>
      </c>
      <c r="C44" s="4" t="n">
        <v>0</v>
      </c>
      <c r="D44" s="4" t="n">
        <f aca="false">B44-C44</f>
        <v>0</v>
      </c>
      <c r="E44" s="4" t="n">
        <v>80300</v>
      </c>
      <c r="F44" s="7" t="n">
        <v>46216</v>
      </c>
      <c r="G44" s="4" t="n">
        <f aca="false">MAX(D44,0)</f>
        <v>0</v>
      </c>
      <c r="H44" s="9"/>
      <c r="I44" s="10" t="n">
        <v>46298</v>
      </c>
    </row>
    <row r="45" customFormat="false" ht="15" hidden="false" customHeight="false" outlineLevel="0" collapsed="false">
      <c r="A45" s="2" t="s">
        <v>314</v>
      </c>
      <c r="B45" s="4" t="n">
        <v>0</v>
      </c>
      <c r="C45" s="4" t="n">
        <v>0</v>
      </c>
      <c r="D45" s="4" t="n">
        <f aca="false">B45-C45</f>
        <v>0</v>
      </c>
      <c r="E45" s="4" t="n">
        <v>2500</v>
      </c>
      <c r="F45" s="7" t="n">
        <v>46132</v>
      </c>
      <c r="G45" s="4" t="n">
        <f aca="false">MAX(D45,0)</f>
        <v>0</v>
      </c>
      <c r="H45" s="9"/>
      <c r="I45" s="10" t="n">
        <v>46298</v>
      </c>
    </row>
    <row r="46" customFormat="false" ht="15" hidden="false" customHeight="false" outlineLevel="0" collapsed="false">
      <c r="A46" s="2" t="s">
        <v>315</v>
      </c>
      <c r="B46" s="4" t="n">
        <v>0</v>
      </c>
      <c r="C46" s="4" t="n">
        <v>0</v>
      </c>
      <c r="D46" s="4" t="n">
        <f aca="false">B46-C46</f>
        <v>0</v>
      </c>
      <c r="E46" s="4" t="n">
        <v>2400</v>
      </c>
      <c r="F46" s="7" t="n">
        <v>46177</v>
      </c>
      <c r="G46" s="4" t="n">
        <f aca="false">MAX(D46,0)</f>
        <v>0</v>
      </c>
      <c r="H46" s="9"/>
      <c r="I46" s="10" t="n">
        <v>46298</v>
      </c>
    </row>
    <row r="47" customFormat="false" ht="15" hidden="false" customHeight="false" outlineLevel="0" collapsed="false">
      <c r="A47" s="2" t="s">
        <v>316</v>
      </c>
      <c r="B47" s="4" t="n">
        <v>0</v>
      </c>
      <c r="C47" s="4" t="n">
        <v>0</v>
      </c>
      <c r="D47" s="4" t="n">
        <f aca="false">B47-C47</f>
        <v>0</v>
      </c>
      <c r="E47" s="4" t="n">
        <v>15640</v>
      </c>
      <c r="F47" s="7" t="n">
        <v>46275</v>
      </c>
      <c r="G47" s="4" t="n">
        <f aca="false">MAX(D47,0)</f>
        <v>0</v>
      </c>
      <c r="H47" s="9"/>
      <c r="I47" s="10" t="n">
        <v>46298</v>
      </c>
    </row>
    <row r="48" customFormat="false" ht="15" hidden="false" customHeight="false" outlineLevel="0" collapsed="false">
      <c r="A48" s="2" t="s">
        <v>317</v>
      </c>
      <c r="B48" s="4" t="n">
        <v>0</v>
      </c>
      <c r="C48" s="4" t="n">
        <v>0</v>
      </c>
      <c r="D48" s="4" t="n">
        <f aca="false">B48-C48</f>
        <v>0</v>
      </c>
      <c r="E48" s="4" t="n">
        <v>750</v>
      </c>
      <c r="F48" s="7" t="n">
        <v>46107</v>
      </c>
      <c r="G48" s="4" t="n">
        <f aca="false">MAX(D48,0)</f>
        <v>0</v>
      </c>
      <c r="H48" s="9"/>
      <c r="I48" s="10" t="n">
        <v>46298</v>
      </c>
    </row>
    <row r="49" customFormat="false" ht="15" hidden="false" customHeight="false" outlineLevel="0" collapsed="false">
      <c r="A49" s="2" t="s">
        <v>318</v>
      </c>
      <c r="B49" s="4" t="n">
        <v>0</v>
      </c>
      <c r="C49" s="4" t="n">
        <v>0</v>
      </c>
      <c r="D49" s="4" t="n">
        <f aca="false">B49-C49</f>
        <v>0</v>
      </c>
      <c r="E49" s="4" t="n">
        <v>103326.8</v>
      </c>
      <c r="F49" s="7" t="n">
        <v>46249</v>
      </c>
      <c r="G49" s="4" t="n">
        <f aca="false">MAX(D49,0)</f>
        <v>0</v>
      </c>
      <c r="H49" s="9"/>
      <c r="I49" s="10" t="n">
        <v>46298</v>
      </c>
    </row>
    <row r="50" customFormat="false" ht="15" hidden="false" customHeight="false" outlineLevel="0" collapsed="false">
      <c r="A50" s="2" t="s">
        <v>319</v>
      </c>
      <c r="B50" s="4" t="n">
        <v>0</v>
      </c>
      <c r="C50" s="4" t="n">
        <v>0</v>
      </c>
      <c r="D50" s="4" t="n">
        <f aca="false">B50-C50</f>
        <v>0</v>
      </c>
      <c r="E50" s="4" t="n">
        <v>17780</v>
      </c>
      <c r="F50" s="7" t="n">
        <v>46205</v>
      </c>
      <c r="G50" s="4" t="n">
        <f aca="false">MAX(D50,0)</f>
        <v>0</v>
      </c>
      <c r="H50" s="9"/>
      <c r="I50" s="10" t="n">
        <v>46298</v>
      </c>
    </row>
    <row r="51" customFormat="false" ht="15" hidden="false" customHeight="false" outlineLevel="0" collapsed="false">
      <c r="A51" s="2" t="s">
        <v>320</v>
      </c>
      <c r="B51" s="4" t="n">
        <v>0</v>
      </c>
      <c r="C51" s="4" t="n">
        <v>2000</v>
      </c>
      <c r="D51" s="4" t="n">
        <f aca="false">B51-C51</f>
        <v>-2000</v>
      </c>
      <c r="E51" s="4" t="n">
        <v>0</v>
      </c>
      <c r="F51" s="7"/>
      <c r="G51" s="4" t="n">
        <f aca="false">MAX(D51,0)</f>
        <v>0</v>
      </c>
      <c r="H51" s="9"/>
      <c r="I51" s="10" t="n">
        <v>46298</v>
      </c>
    </row>
    <row r="52" customFormat="false" ht="15" hidden="false" customHeight="false" outlineLevel="0" collapsed="false">
      <c r="A52" s="2" t="s">
        <v>321</v>
      </c>
      <c r="B52" s="4" t="n">
        <v>0</v>
      </c>
      <c r="C52" s="4" t="n">
        <v>0</v>
      </c>
      <c r="D52" s="4" t="n">
        <f aca="false">B52-C52</f>
        <v>0</v>
      </c>
      <c r="E52" s="4" t="n">
        <v>11910</v>
      </c>
      <c r="F52" s="7" t="n">
        <v>46163</v>
      </c>
      <c r="G52" s="4" t="n">
        <f aca="false">MAX(D52,0)</f>
        <v>0</v>
      </c>
      <c r="H52" s="9"/>
      <c r="I52" s="10" t="n">
        <v>46298</v>
      </c>
    </row>
    <row r="53" customFormat="false" ht="15" hidden="false" customHeight="false" outlineLevel="0" collapsed="false">
      <c r="A53" s="2" t="s">
        <v>322</v>
      </c>
      <c r="B53" s="4" t="n">
        <v>0</v>
      </c>
      <c r="C53" s="4" t="n">
        <v>0</v>
      </c>
      <c r="D53" s="4" t="n">
        <f aca="false">B53-C53</f>
        <v>0</v>
      </c>
      <c r="E53" s="4" t="n">
        <v>107100.6</v>
      </c>
      <c r="F53" s="7" t="n">
        <v>46267</v>
      </c>
      <c r="G53" s="4" t="n">
        <f aca="false">MAX(D53,0)</f>
        <v>0</v>
      </c>
      <c r="H53" s="9"/>
      <c r="I53" s="10" t="n">
        <v>46298</v>
      </c>
    </row>
    <row r="54" customFormat="false" ht="15" hidden="false" customHeight="false" outlineLevel="0" collapsed="false">
      <c r="A54" s="2" t="s">
        <v>323</v>
      </c>
      <c r="B54" s="4" t="n">
        <v>0</v>
      </c>
      <c r="C54" s="4" t="n">
        <v>0</v>
      </c>
      <c r="D54" s="4" t="n">
        <f aca="false">B54-C54</f>
        <v>0</v>
      </c>
      <c r="E54" s="4" t="n">
        <v>5000</v>
      </c>
      <c r="F54" s="7" t="n">
        <v>46210</v>
      </c>
      <c r="G54" s="4" t="n">
        <f aca="false">MAX(D54,0)</f>
        <v>0</v>
      </c>
      <c r="H54" s="9"/>
      <c r="I54" s="10" t="n">
        <v>46298</v>
      </c>
    </row>
    <row r="55" customFormat="false" ht="15" hidden="false" customHeight="false" outlineLevel="0" collapsed="false">
      <c r="A55" s="2" t="s">
        <v>324</v>
      </c>
      <c r="B55" s="4" t="n">
        <v>0</v>
      </c>
      <c r="C55" s="4" t="n">
        <v>0</v>
      </c>
      <c r="D55" s="4" t="n">
        <f aca="false">B55-C55</f>
        <v>0</v>
      </c>
      <c r="E55" s="4" t="n">
        <v>2500</v>
      </c>
      <c r="F55" s="7" t="n">
        <v>46220</v>
      </c>
      <c r="G55" s="4" t="n">
        <f aca="false">MAX(D55,0)</f>
        <v>0</v>
      </c>
      <c r="H55" s="9"/>
      <c r="I55" s="10" t="n">
        <v>46298</v>
      </c>
    </row>
    <row r="56" customFormat="false" ht="15" hidden="false" customHeight="false" outlineLevel="0" collapsed="false">
      <c r="A56" s="2" t="s">
        <v>325</v>
      </c>
      <c r="B56" s="4" t="n">
        <v>0</v>
      </c>
      <c r="C56" s="4" t="n">
        <v>0</v>
      </c>
      <c r="D56" s="4" t="n">
        <f aca="false">B56-C56</f>
        <v>0</v>
      </c>
      <c r="E56" s="4" t="n">
        <v>4450</v>
      </c>
      <c r="F56" s="7" t="n">
        <v>46114</v>
      </c>
      <c r="G56" s="4" t="n">
        <f aca="false">MAX(D56,0)</f>
        <v>0</v>
      </c>
      <c r="H56" s="9"/>
      <c r="I56" s="10" t="n">
        <v>46298</v>
      </c>
    </row>
    <row r="57" customFormat="false" ht="15" hidden="false" customHeight="false" outlineLevel="0" collapsed="false">
      <c r="A57" s="2" t="s">
        <v>326</v>
      </c>
      <c r="B57" s="4" t="n">
        <v>0</v>
      </c>
      <c r="C57" s="4" t="n">
        <v>0</v>
      </c>
      <c r="D57" s="4" t="n">
        <f aca="false">B57-C57</f>
        <v>0</v>
      </c>
      <c r="E57" s="4" t="n">
        <v>60000</v>
      </c>
      <c r="F57" s="7" t="n">
        <v>46045</v>
      </c>
      <c r="G57" s="4" t="n">
        <f aca="false">MAX(D57,0)</f>
        <v>0</v>
      </c>
      <c r="H57" s="9"/>
      <c r="I57" s="10" t="n">
        <v>46298</v>
      </c>
    </row>
    <row r="58" customFormat="false" ht="15" hidden="false" customHeight="false" outlineLevel="0" collapsed="false">
      <c r="A58" s="2" t="s">
        <v>327</v>
      </c>
      <c r="B58" s="4" t="n">
        <v>0</v>
      </c>
      <c r="C58" s="4" t="n">
        <v>0</v>
      </c>
      <c r="D58" s="4" t="n">
        <f aca="false">B58-C58</f>
        <v>0</v>
      </c>
      <c r="E58" s="4" t="n">
        <v>4200</v>
      </c>
      <c r="F58" s="7" t="n">
        <v>46036</v>
      </c>
      <c r="G58" s="4" t="n">
        <f aca="false">MAX(D58,0)</f>
        <v>0</v>
      </c>
      <c r="H58" s="9"/>
      <c r="I58" s="10" t="n">
        <v>46298</v>
      </c>
    </row>
    <row r="59" customFormat="false" ht="15" hidden="false" customHeight="false" outlineLevel="0" collapsed="false">
      <c r="A59" s="2" t="s">
        <v>328</v>
      </c>
      <c r="B59" s="4" t="n">
        <v>0</v>
      </c>
      <c r="C59" s="4" t="n">
        <v>0</v>
      </c>
      <c r="D59" s="4" t="n">
        <f aca="false">B59-C59</f>
        <v>0</v>
      </c>
      <c r="E59" s="4" t="n">
        <v>10140</v>
      </c>
      <c r="F59" s="7" t="n">
        <v>46206</v>
      </c>
      <c r="G59" s="4" t="n">
        <f aca="false">MAX(D59,0)</f>
        <v>0</v>
      </c>
      <c r="H59" s="9"/>
      <c r="I59" s="10" t="n">
        <v>46298</v>
      </c>
    </row>
    <row r="60" customFormat="false" ht="15" hidden="false" customHeight="false" outlineLevel="0" collapsed="false">
      <c r="A60" s="2" t="s">
        <v>329</v>
      </c>
      <c r="B60" s="4" t="n">
        <v>0</v>
      </c>
      <c r="C60" s="4" t="n">
        <v>0</v>
      </c>
      <c r="D60" s="4" t="n">
        <f aca="false">B60-C60</f>
        <v>0</v>
      </c>
      <c r="E60" s="4" t="n">
        <v>1400</v>
      </c>
      <c r="F60" s="7" t="n">
        <v>46139</v>
      </c>
      <c r="G60" s="4" t="n">
        <f aca="false">MAX(D60,0)</f>
        <v>0</v>
      </c>
      <c r="H60" s="9"/>
      <c r="I60" s="10" t="n">
        <v>46298</v>
      </c>
    </row>
    <row r="61" customFormat="false" ht="15" hidden="false" customHeight="false" outlineLevel="0" collapsed="false">
      <c r="A61" s="2" t="s">
        <v>330</v>
      </c>
      <c r="B61" s="4" t="n">
        <v>380</v>
      </c>
      <c r="C61" s="4" t="n">
        <v>0</v>
      </c>
      <c r="D61" s="4" t="n">
        <f aca="false">B61-C61</f>
        <v>380</v>
      </c>
      <c r="E61" s="4" t="n">
        <v>3380</v>
      </c>
      <c r="F61" s="7" t="n">
        <v>46189</v>
      </c>
      <c r="G61" s="4" t="n">
        <f aca="false">MAX(D61,0)</f>
        <v>380</v>
      </c>
      <c r="H61" s="9"/>
      <c r="I61" s="10" t="n">
        <v>46298</v>
      </c>
    </row>
    <row r="62" customFormat="false" ht="15" hidden="false" customHeight="false" outlineLevel="0" collapsed="false">
      <c r="A62" s="2" t="s">
        <v>331</v>
      </c>
      <c r="B62" s="4" t="n">
        <v>0</v>
      </c>
      <c r="C62" s="4" t="n">
        <v>0</v>
      </c>
      <c r="D62" s="4" t="n">
        <f aca="false">B62-C62</f>
        <v>0</v>
      </c>
      <c r="E62" s="4" t="n">
        <v>3020</v>
      </c>
      <c r="F62" s="7" t="n">
        <v>46254</v>
      </c>
      <c r="G62" s="4" t="n">
        <f aca="false">MAX(D62,0)</f>
        <v>0</v>
      </c>
      <c r="H62" s="9"/>
      <c r="I62" s="10" t="n">
        <v>46298</v>
      </c>
    </row>
    <row r="63" customFormat="false" ht="15" hidden="false" customHeight="false" outlineLevel="0" collapsed="false">
      <c r="A63" s="2" t="s">
        <v>332</v>
      </c>
      <c r="B63" s="4" t="n">
        <v>25060</v>
      </c>
      <c r="C63" s="4" t="n">
        <v>0</v>
      </c>
      <c r="D63" s="4" t="n">
        <f aca="false">B63-C63</f>
        <v>25060</v>
      </c>
      <c r="E63" s="4" t="n">
        <v>34660</v>
      </c>
      <c r="F63" s="7" t="n">
        <v>46136</v>
      </c>
      <c r="G63" s="4" t="n">
        <f aca="false">MAX(D63,0)</f>
        <v>25060</v>
      </c>
      <c r="H63" s="9"/>
      <c r="I63" s="10" t="n">
        <v>46298</v>
      </c>
    </row>
    <row r="64" customFormat="false" ht="15" hidden="false" customHeight="false" outlineLevel="0" collapsed="false">
      <c r="A64" s="2" t="s">
        <v>333</v>
      </c>
      <c r="B64" s="4" t="n">
        <v>0</v>
      </c>
      <c r="C64" s="4" t="n">
        <v>1000</v>
      </c>
      <c r="D64" s="4" t="n">
        <f aca="false">B64-C64</f>
        <v>-1000</v>
      </c>
      <c r="E64" s="4" t="n">
        <v>0</v>
      </c>
      <c r="F64" s="7"/>
      <c r="G64" s="4" t="n">
        <f aca="false">MAX(D64,0)</f>
        <v>0</v>
      </c>
      <c r="H64" s="9"/>
      <c r="I64" s="10" t="n">
        <v>46298</v>
      </c>
    </row>
    <row r="65" customFormat="false" ht="15" hidden="false" customHeight="false" outlineLevel="0" collapsed="false">
      <c r="A65" s="2" t="s">
        <v>334</v>
      </c>
      <c r="B65" s="4" t="n">
        <v>0</v>
      </c>
      <c r="C65" s="4" t="n">
        <v>0</v>
      </c>
      <c r="D65" s="4" t="n">
        <f aca="false">B65-C65</f>
        <v>0</v>
      </c>
      <c r="E65" s="4" t="n">
        <v>1800</v>
      </c>
      <c r="F65" s="7" t="n">
        <v>46212</v>
      </c>
      <c r="G65" s="4" t="n">
        <f aca="false">MAX(D65,0)</f>
        <v>0</v>
      </c>
      <c r="H65" s="9"/>
      <c r="I65" s="10" t="n">
        <v>46298</v>
      </c>
    </row>
    <row r="66" customFormat="false" ht="15" hidden="false" customHeight="false" outlineLevel="0" collapsed="false">
      <c r="A66" s="2" t="s">
        <v>335</v>
      </c>
      <c r="B66" s="4" t="n">
        <v>1800</v>
      </c>
      <c r="C66" s="4" t="n">
        <v>5500</v>
      </c>
      <c r="D66" s="4" t="n">
        <f aca="false">B66-C66</f>
        <v>-3700</v>
      </c>
      <c r="E66" s="4" t="n">
        <v>16400</v>
      </c>
      <c r="F66" s="7" t="n">
        <v>46275</v>
      </c>
      <c r="G66" s="4" t="n">
        <f aca="false">MAX(D66,0)</f>
        <v>0</v>
      </c>
      <c r="H66" s="9"/>
      <c r="I66" s="10" t="n">
        <v>46298</v>
      </c>
    </row>
    <row r="67" customFormat="false" ht="15" hidden="false" customHeight="false" outlineLevel="0" collapsed="false">
      <c r="A67" s="2" t="s">
        <v>336</v>
      </c>
      <c r="B67" s="4" t="n">
        <v>0</v>
      </c>
      <c r="C67" s="4" t="n">
        <v>0</v>
      </c>
      <c r="D67" s="4" t="n">
        <f aca="false">B67-C67</f>
        <v>0</v>
      </c>
      <c r="E67" s="4" t="n">
        <v>4000</v>
      </c>
      <c r="F67" s="7" t="n">
        <v>46236</v>
      </c>
      <c r="G67" s="4" t="n">
        <f aca="false">MAX(D67,0)</f>
        <v>0</v>
      </c>
      <c r="H67" s="9"/>
      <c r="I67" s="10" t="n">
        <v>46298</v>
      </c>
    </row>
    <row r="68" customFormat="false" ht="15" hidden="false" customHeight="false" outlineLevel="0" collapsed="false">
      <c r="A68" s="2" t="s">
        <v>337</v>
      </c>
      <c r="B68" s="4" t="n">
        <v>0</v>
      </c>
      <c r="C68" s="4" t="n">
        <v>0</v>
      </c>
      <c r="D68" s="4" t="n">
        <f aca="false">B68-C68</f>
        <v>0</v>
      </c>
      <c r="E68" s="4" t="n">
        <v>2400</v>
      </c>
      <c r="F68" s="7" t="n">
        <v>46133</v>
      </c>
      <c r="G68" s="4" t="n">
        <f aca="false">MAX(D68,0)</f>
        <v>0</v>
      </c>
      <c r="H68" s="9"/>
      <c r="I68" s="10" t="n">
        <v>46298</v>
      </c>
    </row>
    <row r="69" customFormat="false" ht="15" hidden="false" customHeight="false" outlineLevel="0" collapsed="false">
      <c r="A69" s="2" t="s">
        <v>338</v>
      </c>
      <c r="B69" s="4" t="n">
        <v>0</v>
      </c>
      <c r="C69" s="4" t="n">
        <v>0</v>
      </c>
      <c r="D69" s="4" t="n">
        <f aca="false">B69-C69</f>
        <v>0</v>
      </c>
      <c r="E69" s="4" t="n">
        <v>2400</v>
      </c>
      <c r="F69" s="7" t="n">
        <v>46274</v>
      </c>
      <c r="G69" s="4" t="n">
        <f aca="false">MAX(D69,0)</f>
        <v>0</v>
      </c>
      <c r="H69" s="9"/>
      <c r="I69" s="10" t="n">
        <v>46298</v>
      </c>
    </row>
    <row r="70" customFormat="false" ht="15" hidden="false" customHeight="false" outlineLevel="0" collapsed="false">
      <c r="A70" s="2" t="s">
        <v>339</v>
      </c>
      <c r="B70" s="4" t="n">
        <v>92390</v>
      </c>
      <c r="C70" s="4" t="n">
        <v>6600</v>
      </c>
      <c r="D70" s="4" t="n">
        <f aca="false">B70-C70</f>
        <v>85790</v>
      </c>
      <c r="E70" s="4" t="n">
        <v>327655</v>
      </c>
      <c r="F70" s="7" t="n">
        <v>46275</v>
      </c>
      <c r="G70" s="4" t="n">
        <f aca="false">MAX(D70,0)</f>
        <v>85790</v>
      </c>
      <c r="H70" s="9"/>
      <c r="I70" s="10" t="n">
        <v>46298</v>
      </c>
    </row>
    <row r="71" customFormat="false" ht="15" hidden="false" customHeight="false" outlineLevel="0" collapsed="false">
      <c r="A71" s="2" t="s">
        <v>340</v>
      </c>
      <c r="B71" s="4" t="n">
        <v>0</v>
      </c>
      <c r="C71" s="4" t="n">
        <v>0</v>
      </c>
      <c r="D71" s="4" t="n">
        <f aca="false">B71-C71</f>
        <v>0</v>
      </c>
      <c r="E71" s="4" t="n">
        <v>5000</v>
      </c>
      <c r="F71" s="7" t="n">
        <v>46266</v>
      </c>
      <c r="G71" s="4" t="n">
        <f aca="false">MAX(D71,0)</f>
        <v>0</v>
      </c>
      <c r="H71" s="9"/>
      <c r="I71" s="10" t="n">
        <v>46298</v>
      </c>
    </row>
    <row r="72" customFormat="false" ht="15" hidden="false" customHeight="false" outlineLevel="0" collapsed="false">
      <c r="A72" s="2" t="s">
        <v>341</v>
      </c>
      <c r="B72" s="4" t="n">
        <v>0</v>
      </c>
      <c r="C72" s="4" t="n">
        <v>0</v>
      </c>
      <c r="D72" s="4" t="n">
        <f aca="false">B72-C72</f>
        <v>0</v>
      </c>
      <c r="E72" s="4" t="n">
        <v>6700</v>
      </c>
      <c r="F72" s="7" t="n">
        <v>46262</v>
      </c>
      <c r="G72" s="4" t="n">
        <f aca="false">MAX(D72,0)</f>
        <v>0</v>
      </c>
      <c r="H72" s="9"/>
      <c r="I72" s="10" t="n">
        <v>46298</v>
      </c>
    </row>
    <row r="73" customFormat="false" ht="15" hidden="false" customHeight="false" outlineLevel="0" collapsed="false">
      <c r="A73" s="2" t="s">
        <v>342</v>
      </c>
      <c r="B73" s="4" t="n">
        <v>0</v>
      </c>
      <c r="C73" s="4" t="n">
        <v>0</v>
      </c>
      <c r="D73" s="4" t="n">
        <f aca="false">B73-C73</f>
        <v>0</v>
      </c>
      <c r="E73" s="4" t="n">
        <v>44344</v>
      </c>
      <c r="F73" s="7" t="n">
        <v>46225</v>
      </c>
      <c r="G73" s="4" t="n">
        <f aca="false">MAX(D73,0)</f>
        <v>0</v>
      </c>
      <c r="H73" s="9"/>
      <c r="I73" s="10" t="n">
        <v>46298</v>
      </c>
    </row>
    <row r="74" customFormat="false" ht="15" hidden="false" customHeight="false" outlineLevel="0" collapsed="false">
      <c r="A74" s="2" t="s">
        <v>343</v>
      </c>
      <c r="B74" s="4" t="n">
        <v>0</v>
      </c>
      <c r="C74" s="4" t="n">
        <v>0</v>
      </c>
      <c r="D74" s="4" t="n">
        <f aca="false">B74-C74</f>
        <v>0</v>
      </c>
      <c r="E74" s="4" t="n">
        <v>6900</v>
      </c>
      <c r="F74" s="7" t="n">
        <v>46158</v>
      </c>
      <c r="G74" s="4" t="n">
        <f aca="false">MAX(D74,0)</f>
        <v>0</v>
      </c>
      <c r="H74" s="9"/>
      <c r="I74" s="10" t="n">
        <v>46298</v>
      </c>
    </row>
    <row r="75" customFormat="false" ht="15" hidden="false" customHeight="false" outlineLevel="0" collapsed="false">
      <c r="A75" s="2" t="s">
        <v>344</v>
      </c>
      <c r="B75" s="4" t="n">
        <v>0</v>
      </c>
      <c r="C75" s="4" t="n">
        <v>0</v>
      </c>
      <c r="D75" s="4" t="n">
        <f aca="false">B75-C75</f>
        <v>0</v>
      </c>
      <c r="E75" s="4" t="n">
        <v>9600</v>
      </c>
      <c r="F75" s="7" t="n">
        <v>46253</v>
      </c>
      <c r="G75" s="4" t="n">
        <f aca="false">MAX(D75,0)</f>
        <v>0</v>
      </c>
      <c r="H75" s="9"/>
      <c r="I75" s="10" t="n">
        <v>46298</v>
      </c>
    </row>
    <row r="76" customFormat="false" ht="15" hidden="false" customHeight="false" outlineLevel="0" collapsed="false">
      <c r="A76" s="2" t="s">
        <v>345</v>
      </c>
      <c r="B76" s="4" t="n">
        <v>0</v>
      </c>
      <c r="C76" s="4" t="n">
        <v>108754.14</v>
      </c>
      <c r="D76" s="4" t="n">
        <f aca="false">B76-C76</f>
        <v>-108754.14</v>
      </c>
      <c r="E76" s="4" t="n">
        <v>397084.93</v>
      </c>
      <c r="F76" s="7" t="n">
        <v>46269</v>
      </c>
      <c r="G76" s="4" t="n">
        <f aca="false">MAX(D76,0)</f>
        <v>0</v>
      </c>
      <c r="H76" s="9"/>
      <c r="I76" s="10" t="n">
        <v>46298</v>
      </c>
    </row>
    <row r="77" customFormat="false" ht="15" hidden="false" customHeight="false" outlineLevel="0" collapsed="false">
      <c r="A77" s="2" t="s">
        <v>346</v>
      </c>
      <c r="B77" s="4" t="n">
        <v>0</v>
      </c>
      <c r="C77" s="4" t="n">
        <v>0</v>
      </c>
      <c r="D77" s="4" t="n">
        <f aca="false">B77-C77</f>
        <v>0</v>
      </c>
      <c r="E77" s="4" t="n">
        <v>7200</v>
      </c>
      <c r="F77" s="7" t="n">
        <v>46177</v>
      </c>
      <c r="G77" s="4" t="n">
        <f aca="false">MAX(D77,0)</f>
        <v>0</v>
      </c>
      <c r="H77" s="9"/>
      <c r="I77" s="10" t="n">
        <v>46298</v>
      </c>
    </row>
    <row r="78" customFormat="false" ht="15" hidden="false" customHeight="false" outlineLevel="0" collapsed="false">
      <c r="A78" s="2" t="s">
        <v>347</v>
      </c>
      <c r="B78" s="4" t="n">
        <v>0</v>
      </c>
      <c r="C78" s="4" t="n">
        <v>0</v>
      </c>
      <c r="D78" s="4" t="n">
        <f aca="false">B78-C78</f>
        <v>0</v>
      </c>
      <c r="E78" s="4" t="n">
        <v>4200</v>
      </c>
      <c r="F78" s="7" t="n">
        <v>46102</v>
      </c>
      <c r="G78" s="4" t="n">
        <f aca="false">MAX(D78,0)</f>
        <v>0</v>
      </c>
      <c r="H78" s="9"/>
      <c r="I78" s="10" t="n">
        <v>46298</v>
      </c>
    </row>
    <row r="79" customFormat="false" ht="15" hidden="false" customHeight="false" outlineLevel="0" collapsed="false">
      <c r="A79" s="2" t="s">
        <v>348</v>
      </c>
      <c r="B79" s="4" t="n">
        <v>0</v>
      </c>
      <c r="C79" s="4" t="n">
        <v>0</v>
      </c>
      <c r="D79" s="4" t="n">
        <f aca="false">B79-C79</f>
        <v>0</v>
      </c>
      <c r="E79" s="4" t="n">
        <v>4800</v>
      </c>
      <c r="F79" s="7" t="n">
        <v>46177</v>
      </c>
      <c r="G79" s="4" t="n">
        <f aca="false">MAX(D79,0)</f>
        <v>0</v>
      </c>
      <c r="H79" s="9"/>
      <c r="I79" s="10" t="n">
        <v>46298</v>
      </c>
    </row>
    <row r="80" customFormat="false" ht="15" hidden="false" customHeight="false" outlineLevel="0" collapsed="false">
      <c r="A80" s="2" t="s">
        <v>349</v>
      </c>
      <c r="B80" s="4" t="n">
        <v>0</v>
      </c>
      <c r="C80" s="4" t="n">
        <v>0</v>
      </c>
      <c r="D80" s="4" t="n">
        <f aca="false">B80-C80</f>
        <v>0</v>
      </c>
      <c r="E80" s="4" t="n">
        <v>5000</v>
      </c>
      <c r="F80" s="7" t="n">
        <v>46177</v>
      </c>
      <c r="G80" s="4" t="n">
        <f aca="false">MAX(D80,0)</f>
        <v>0</v>
      </c>
      <c r="H80" s="9"/>
      <c r="I80" s="10" t="n">
        <v>46298</v>
      </c>
    </row>
    <row r="81" customFormat="false" ht="15" hidden="false" customHeight="false" outlineLevel="0" collapsed="false">
      <c r="A81" s="2" t="s">
        <v>350</v>
      </c>
      <c r="B81" s="4" t="n">
        <v>0</v>
      </c>
      <c r="C81" s="4" t="n">
        <v>0</v>
      </c>
      <c r="D81" s="4" t="n">
        <f aca="false">B81-C81</f>
        <v>0</v>
      </c>
      <c r="E81" s="4" t="n">
        <v>4400</v>
      </c>
      <c r="F81" s="7" t="n">
        <v>46202</v>
      </c>
      <c r="G81" s="4" t="n">
        <f aca="false">MAX(D81,0)</f>
        <v>0</v>
      </c>
      <c r="H81" s="9"/>
      <c r="I81" s="10" t="n">
        <v>46298</v>
      </c>
    </row>
    <row r="82" customFormat="false" ht="15" hidden="false" customHeight="false" outlineLevel="0" collapsed="false">
      <c r="A82" s="2" t="s">
        <v>351</v>
      </c>
      <c r="B82" s="4" t="n">
        <v>0</v>
      </c>
      <c r="C82" s="4" t="n">
        <v>0</v>
      </c>
      <c r="D82" s="4" t="n">
        <f aca="false">B82-C82</f>
        <v>0</v>
      </c>
      <c r="E82" s="4" t="n">
        <v>4000</v>
      </c>
      <c r="F82" s="7" t="n">
        <v>46212</v>
      </c>
      <c r="G82" s="4" t="n">
        <f aca="false">MAX(D82,0)</f>
        <v>0</v>
      </c>
      <c r="H82" s="9"/>
      <c r="I82" s="10" t="n">
        <v>46298</v>
      </c>
    </row>
    <row r="83" customFormat="false" ht="15" hidden="false" customHeight="false" outlineLevel="0" collapsed="false">
      <c r="A83" s="2" t="s">
        <v>352</v>
      </c>
      <c r="B83" s="4" t="n">
        <v>68000</v>
      </c>
      <c r="C83" s="4" t="n">
        <v>50000</v>
      </c>
      <c r="D83" s="4" t="n">
        <f aca="false">B83-C83</f>
        <v>18000</v>
      </c>
      <c r="E83" s="4" t="n">
        <v>231450</v>
      </c>
      <c r="F83" s="7" t="n">
        <v>46275</v>
      </c>
      <c r="G83" s="4" t="n">
        <f aca="false">MAX(D83,0)</f>
        <v>18000</v>
      </c>
      <c r="H83" s="9"/>
      <c r="I83" s="10" t="n">
        <v>46298</v>
      </c>
    </row>
    <row r="84" customFormat="false" ht="15" hidden="false" customHeight="false" outlineLevel="0" collapsed="false">
      <c r="A84" s="2" t="s">
        <v>353</v>
      </c>
      <c r="B84" s="4" t="n">
        <v>5200</v>
      </c>
      <c r="C84" s="4" t="n">
        <v>0</v>
      </c>
      <c r="D84" s="4" t="n">
        <f aca="false">B84-C84</f>
        <v>5200</v>
      </c>
      <c r="E84" s="4" t="n">
        <v>33677</v>
      </c>
      <c r="F84" s="7" t="n">
        <v>46276</v>
      </c>
      <c r="G84" s="4" t="n">
        <f aca="false">MAX(D84,0)</f>
        <v>5200</v>
      </c>
      <c r="H84" s="9"/>
      <c r="I84" s="10" t="n">
        <v>46298</v>
      </c>
    </row>
    <row r="85" customFormat="false" ht="15" hidden="false" customHeight="false" outlineLevel="0" collapsed="false">
      <c r="A85" s="2" t="s">
        <v>354</v>
      </c>
      <c r="B85" s="4" t="n">
        <v>10700</v>
      </c>
      <c r="C85" s="4" t="n">
        <v>0</v>
      </c>
      <c r="D85" s="4" t="n">
        <f aca="false">B85-C85</f>
        <v>10700</v>
      </c>
      <c r="E85" s="4" t="n">
        <v>33900</v>
      </c>
      <c r="F85" s="7" t="n">
        <v>46254</v>
      </c>
      <c r="G85" s="4" t="n">
        <f aca="false">MAX(D85,0)</f>
        <v>10700</v>
      </c>
      <c r="H85" s="9"/>
      <c r="I85" s="10" t="n">
        <v>46298</v>
      </c>
    </row>
    <row r="86" customFormat="false" ht="15" hidden="false" customHeight="false" outlineLevel="0" collapsed="false">
      <c r="A86" s="2" t="s">
        <v>355</v>
      </c>
      <c r="B86" s="4" t="n">
        <v>0</v>
      </c>
      <c r="C86" s="4" t="n">
        <v>0</v>
      </c>
      <c r="D86" s="4" t="n">
        <f aca="false">B86-C86</f>
        <v>0</v>
      </c>
      <c r="E86" s="4" t="n">
        <v>2500</v>
      </c>
      <c r="F86" s="7" t="n">
        <v>46139</v>
      </c>
      <c r="G86" s="4" t="n">
        <f aca="false">MAX(D86,0)</f>
        <v>0</v>
      </c>
      <c r="H86" s="9"/>
      <c r="I86" s="10" t="n">
        <v>46298</v>
      </c>
    </row>
    <row r="87" customFormat="false" ht="15" hidden="false" customHeight="false" outlineLevel="0" collapsed="false">
      <c r="A87" s="5" t="s">
        <v>21</v>
      </c>
      <c r="B87" s="6" t="n">
        <f aca="false">SUM(B6:B86)</f>
        <v>612280</v>
      </c>
      <c r="C87" s="6" t="n">
        <f aca="false">SUM(C6:C86)</f>
        <v>494216.64</v>
      </c>
      <c r="D87" s="6" t="n">
        <f aca="false">SUM(D6:D86)</f>
        <v>118063.36</v>
      </c>
      <c r="E87" s="6" t="n">
        <f aca="false">SUM(E6:E86)</f>
        <v>4088606.33</v>
      </c>
      <c r="F87" s="2"/>
      <c r="G87" s="6" t="n">
        <f aca="false">SUM(G6:G86)</f>
        <v>285217.5</v>
      </c>
      <c r="H87" s="6" t="n">
        <f aca="false">SUM(H6:H86)</f>
        <v>0</v>
      </c>
      <c r="I8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2026-10-03T10:19:08Z</dcterms:created>
  <dc:creator>openpyxl</dc:creator>
  <dc:description/>
  <dc:language>en-US</dc:language>
  <cp:lastModifiedBy/>
  <dcterms:modified xsi:type="dcterms:W3CDTF">2026-10-03T10:19:08Z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